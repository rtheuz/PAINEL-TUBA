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çamentos" sheetId="1" r:id="rId4"/>
    <sheet state="visible" name="Pedidos" sheetId="2" r:id="rId5"/>
    <sheet state="visible" name="Configuracoes" sheetId="3" r:id="rId6"/>
    <sheet state="visible" name="MensagensApresentacao" sheetId="4" r:id="rId7"/>
    <sheet state="visible" name="Relação de Produtos" sheetId="5" r:id="rId8"/>
    <sheet state="visible" name="Registro de Manutenções" sheetId="6" r:id="rId9"/>
    <sheet state="visible" name="Controle de Materiais" sheetId="7" r:id="rId10"/>
    <sheet state="visible" name="Controle de Veículos" sheetId="8" r:id="rId11"/>
    <sheet state="visible" name="Cadastro de Clientes" sheetId="9" r:id="rId12"/>
    <sheet state="visible" name="Logs" sheetId="10" r:id="rId13"/>
    <sheet state="visible" name="Avaliações" sheetId="11" r:id="rId14"/>
    <sheet state="visible" name="Tabelas para cálculos" sheetId="12" r:id="rId15"/>
    <sheet state="visible" name="Configurações Máquina de corte" sheetId="13" r:id="rId16"/>
    <sheet state="visible" name="Configurações" sheetId="14" r:id="rId17"/>
  </sheets>
  <definedNames>
    <definedName hidden="1" localSheetId="0" name="_xlnm._FilterDatabase">'Orçamentos'!$A$1:$L$948</definedName>
    <definedName hidden="1" localSheetId="1" name="_xlnm._FilterDatabase">Pedidos!$A$1:$G$958</definedName>
    <definedName hidden="1" localSheetId="4" name="_xlnm._FilterDatabase">'Relação de Produtos'!$A$1:$L$3796</definedName>
    <definedName hidden="1" localSheetId="5" name="_xlnm._FilterDatabase">'Registro de Manutenções'!$A$1:$G$11</definedName>
    <definedName hidden="1" localSheetId="6" name="_xlnm._FilterDatabase">'Controle de Materiais'!$A$1:$M$60</definedName>
    <definedName hidden="1" localSheetId="7" name="_xlnm._FilterDatabase">'Controle de Veículos'!$A$1:$H$995</definedName>
    <definedName hidden="1" localSheetId="8" name="_xlnm._FilterDatabase">'Cadastro de Clientes'!$A$1:$E$988</definedName>
    <definedName hidden="1" localSheetId="9" name="_xlnm._FilterDatabase">Logs!$A$1:$G$964</definedName>
  </definedNames>
  <calcPr/>
</workbook>
</file>

<file path=xl/sharedStrings.xml><?xml version="1.0" encoding="utf-8"?>
<sst xmlns="http://schemas.openxmlformats.org/spreadsheetml/2006/main" count="36018" uniqueCount="8838">
  <si>
    <t>CLIENTE</t>
  </si>
  <si>
    <t>DESCRIÇÃO</t>
  </si>
  <si>
    <t>Responsável Cliente</t>
  </si>
  <si>
    <t>PROJETO</t>
  </si>
  <si>
    <t>VALOR TOTAL</t>
  </si>
  <si>
    <t>DATA</t>
  </si>
  <si>
    <t>Processos</t>
  </si>
  <si>
    <t>LINK DO PDF</t>
  </si>
  <si>
    <t>LINK DA MEMÓRIA DE CÁLCULO</t>
  </si>
  <si>
    <t>STATUS</t>
  </si>
  <si>
    <t>PRAZO</t>
  </si>
  <si>
    <t>JSON_DADOS</t>
  </si>
  <si>
    <t>ADRIANA BRAUER</t>
  </si>
  <si>
    <t>ARMARIO ADRIANA</t>
  </si>
  <si>
    <t>Convertido em Pedido</t>
  </si>
  <si>
    <t>TUBA</t>
  </si>
  <si>
    <t>PORTA LATERAL PESSOAS</t>
  </si>
  <si>
    <t>240204aBR_1</t>
  </si>
  <si>
    <t>PISO MEZANINO</t>
  </si>
  <si>
    <t>240204aBR_2</t>
  </si>
  <si>
    <t>MC METAIS E SOLUÇOES LTDA</t>
  </si>
  <si>
    <t>ANDRE</t>
  </si>
  <si>
    <t>250808aMS  (1)</t>
  </si>
  <si>
    <t>250808aMS 2</t>
  </si>
  <si>
    <t>MAX FIRE EQUIPAMENTOS INDUSTRIAIS LTDA</t>
  </si>
  <si>
    <t>250821dBR</t>
  </si>
  <si>
    <t>Enviado</t>
  </si>
  <si>
    <t>HOME CÃO SERVIÇOS MÉDICOS VETERINARIOS LTDA</t>
  </si>
  <si>
    <t>250827dBR</t>
  </si>
  <si>
    <t>https://drive.google.com/file/d/1f6bLZV7YfTAAbdCM74hQLqBbgPxpfkwY/view?usp=drive_link</t>
  </si>
  <si>
    <t>FURNAX COMERCIAL IMPORTADORA</t>
  </si>
  <si>
    <t>ISMAEL</t>
  </si>
  <si>
    <t>251013cBR</t>
  </si>
  <si>
    <t>Corte: 0.57h | Dobra: 3h</t>
  </si>
  <si>
    <t>https://drive.google.com/file/d/1aoVY-BuHHmbQQ1LWa_O57-LMl2rcGtQ-/view?usp=drivesdk</t>
  </si>
  <si>
    <t>https://drive.google.com/file/d/1xTtjTVpHedMfNbGRcd6gWF_3w3gi9ncr/view?usp=drivesdk</t>
  </si>
  <si>
    <t>TECNIGRAV INDUSTRIA E COMERCIO LTDA</t>
  </si>
  <si>
    <t>Rodrigo</t>
  </si>
  <si>
    <t>251013dBR</t>
  </si>
  <si>
    <t>Corte: 0.73h | Dobra: 2h</t>
  </si>
  <si>
    <t>https://drive.google.com/file/d/16P5hEEtPvtorQx97sG9lmJHGIzvFYyJA/view?usp=drivesdk</t>
  </si>
  <si>
    <t>https://drive.google.com/file/d/1_M51LSDFqNROTN0L3_yTKTCU3p7f7VQO/view?usp=drivesdk</t>
  </si>
  <si>
    <t>LUSITANA REFRIGERACAO PROFISSIONAL LTDA</t>
  </si>
  <si>
    <t>251105cBR</t>
  </si>
  <si>
    <t>VRP UNIDADE MOVEL LTDA</t>
  </si>
  <si>
    <t>251105dMS</t>
  </si>
  <si>
    <t>https://drive.google.com/file/d/14OIcjVj2K0eXjmhp7r3Z4KmTUGJ5bYUt/view?usp=drive_link</t>
  </si>
  <si>
    <t>E.C. ALVES</t>
  </si>
  <si>
    <t>251106aMS</t>
  </si>
  <si>
    <t>SOS HIDRAULICA SISTEMAS HIDRAULICOS LTDA</t>
  </si>
  <si>
    <t>251106cMS</t>
  </si>
  <si>
    <t>CORTE: 2,1H DOBRA: 1H</t>
  </si>
  <si>
    <t>https://drive.google.com/file/d/12AsTNeObo86Q9iSxAw4j0pXMkDAbmhjc/view?usp=drive_link</t>
  </si>
  <si>
    <t>SJS SEBASTIAN PARAIBA</t>
  </si>
  <si>
    <t>COT SJS PARAIBA - LOGO + PECAS ACO CARBONO</t>
  </si>
  <si>
    <t>251107aBR</t>
  </si>
  <si>
    <t>Preparação: , Corte: , Dobra:</t>
  </si>
  <si>
    <t>251107bMS</t>
  </si>
  <si>
    <t>https://drive.google.com/file/d/1zT3sVwfuNU-LID1mg462wb_yqFWdOtsG/view?usp=drive_link</t>
  </si>
  <si>
    <t>TECH ASSIST NETWORKING INDUSTRIA E COMERCIO, ASSISTENCIA TEC</t>
  </si>
  <si>
    <t>251107cMS</t>
  </si>
  <si>
    <t>https://drive.google.com/file/d/1bMjET6sZsTqJkHcF2HIjnN-qc85A3hCr/view?usp=drive_link</t>
  </si>
  <si>
    <t>ALFA SERVIÇOS DE SOLDA LTDA</t>
  </si>
  <si>
    <t>ADRIANA</t>
  </si>
  <si>
    <t>251110aMS</t>
  </si>
  <si>
    <t>251110cMS</t>
  </si>
  <si>
    <t>https://drive.google.com/file/d/1bQsP3iF8-62OZRy-8kxCQfKFfqVYZkH6/view?usp=drive_link</t>
  </si>
  <si>
    <t>ON CONVEYORS EVERTON</t>
  </si>
  <si>
    <t>30PC CHAPA AFASTAM #4,25mm</t>
  </si>
  <si>
    <t>251111aMS</t>
  </si>
  <si>
    <t>VETTORE INDUSTRIA E COMERCIO LTDA</t>
  </si>
  <si>
    <t>251111fMS</t>
  </si>
  <si>
    <t>251111gMS</t>
  </si>
  <si>
    <t>THERMAM LTDA</t>
  </si>
  <si>
    <t>THERMAN - JOAO CURIT - 20PC SUP CIL + 50PC SUP FC  + 50 PC ACION</t>
  </si>
  <si>
    <t>ANDERSON</t>
  </si>
  <si>
    <t>251112cBR</t>
  </si>
  <si>
    <t>CORTE e DOBRA</t>
  </si>
  <si>
    <t>THALLYS HENRIQUE ANDRADE LOURENCO - COMERCIO DE FERROS E FER</t>
  </si>
  <si>
    <t>251113aMS</t>
  </si>
  <si>
    <t>XT AUTOMAÇÃO</t>
  </si>
  <si>
    <t>CONJ DESENHOS</t>
  </si>
  <si>
    <t>Renato</t>
  </si>
  <si>
    <t>251114aMS</t>
  </si>
  <si>
    <t>{"nome":"251203aMS","dataSalvo":"2025-12-03T14:17:31.484Z","dados":{"observacoes":{"pagamento":"","descricao":"PED HP HIDRÁULICA 25+30 CHAPAS DE ALUMINIO XADREZ","projeto":"251203aMS","materialCond":"Incluso","adicional":"","faturamento":"2025-12-03","vendedor":"Ivan Braga Ramos"},"cliente":{"telefone":"(11) 2669-7505","nome":"HENRY PEÇAS COMÉRCIO E SERVIÇOS DE EQUIPAMENTOS HIDRÁULICOS","endereco":"RUA ZELIA (CH D PAULISTA), 421 - ASSUNCAO São Bernardo do Campo - SP, CEP: 09861-710","data":"2025-12-03","select":"HENRY PEÇAS COMÉRCIO E SERVIÇOS DE EQUIPAMENTOS HIDRÁULICOS","email":"financeiro@henrypecas.com.br","cpf":"12.243.466/0001-05","responsavel":"HENRIQUE"},"produtosCadastrados":[{"precoTotal":18600,"codigo":"PRD00842","tipo":"99 - Outras","quantidade":30,"precoUnitario":620,"descricao":"CHAPA ALUMINIO LAVRADO #2,5mm 830 mm - PEÇA 8.1 + SUPORTE \"L\" PEÇA 7 (6X)","familia":"PR - Componentes industriais","unidade":"1UN"},{"codigo":"PRD00843","tipo":"99 - Outras","precoTotal":12400,"quantidade":20,"precoUnitario":620,"descricao":"CHAPA ALUMINIO LAVRADO #2,5mm 750 mm - PEÇA 10.1","familia":"PR - Componentes industriais","unidade":"1UN"}],"chapas":[],"processosPedido":[],"projeto":{"versao":"","indice":"a","pasta":"251203aMS - PED HP HIDRÁULICA 25+30 CHAPAS DE ALUMINIO XADREZ","iniciais":"MS","data":"251203"}}}</t>
  </si>
  <si>
    <t>ALFA SERVICOS DE SOLDA LTDA</t>
  </si>
  <si>
    <t>251114dMS</t>
  </si>
  <si>
    <t>HENRY PEÇAS COMÉRCIO E SERVIÇOS DE EQUIPAMENTOS HIDRÁULICOS</t>
  </si>
  <si>
    <t>251117bMS</t>
  </si>
  <si>
    <t>GASPEC MECANICA INDUSTRIAL DE PRECISAO LTDA. - EPP</t>
  </si>
  <si>
    <t>251118aMS</t>
  </si>
  <si>
    <t>251118aMS_2</t>
  </si>
  <si>
    <t>251118cMS</t>
  </si>
  <si>
    <t>251118eMS</t>
  </si>
  <si>
    <t>corte: 0,4h</t>
  </si>
  <si>
    <t>J.V.M ESQUADRIAS</t>
  </si>
  <si>
    <t>PROJ JMV ESQUADRIAS _ACH ENG CONSTRUT - CJ SUPORTES INOX TETO VIDRO AREA PISCINA</t>
  </si>
  <si>
    <t>251118fMS</t>
  </si>
  <si>
    <t>LEGAS / TUBA</t>
  </si>
  <si>
    <t>VENDA ANTEC LEGAS - TROCA 12 PC VIGAS MONOVIA 'I' 150MM</t>
  </si>
  <si>
    <t>Adalmiro</t>
  </si>
  <si>
    <t>251119cBR</t>
  </si>
  <si>
    <t>251124aMS</t>
  </si>
  <si>
    <t>251124bMS</t>
  </si>
  <si>
    <t>251124cMS</t>
  </si>
  <si>
    <t>251124eMS</t>
  </si>
  <si>
    <t>251124fMS</t>
  </si>
  <si>
    <t>251124gMS</t>
  </si>
  <si>
    <t>FRANCISCO DE ASSIS DE ALMEIDA ALVE</t>
  </si>
  <si>
    <t>251124hMS</t>
  </si>
  <si>
    <t>251124jMS</t>
  </si>
  <si>
    <t>251125cMS</t>
  </si>
  <si>
    <t>251125dMS</t>
  </si>
  <si>
    <t>Márcio</t>
  </si>
  <si>
    <t>251125eMS</t>
  </si>
  <si>
    <t>251126aMS</t>
  </si>
  <si>
    <t>251126bMS</t>
  </si>
  <si>
    <t>251127aMS</t>
  </si>
  <si>
    <t>ON CONVEYORS ESTEIRAS METALICAS INDUSTRIA E COMERCIO LTDA</t>
  </si>
  <si>
    <t>ON CONVEYORS EVERTON -  10UN PC ELO 515</t>
  </si>
  <si>
    <t>CORTE</t>
  </si>
  <si>
    <t>251127cMS</t>
  </si>
  <si>
    <t>251127dMS</t>
  </si>
  <si>
    <t>NOVO TEMPO</t>
  </si>
  <si>
    <t>251128aMS</t>
  </si>
  <si>
    <t>251128bMS</t>
  </si>
  <si>
    <t>MICROGRAV INDUSTRIA E COMERCIO LTDA</t>
  </si>
  <si>
    <t>251201bMS</t>
  </si>
  <si>
    <t>GARAGEM CONCEITO EM MOVEIS LTDA</t>
  </si>
  <si>
    <t>251202aMS</t>
  </si>
  <si>
    <t>251202dMS</t>
  </si>
  <si>
    <t>251203dMS</t>
  </si>
  <si>
    <t>251203eMS</t>
  </si>
  <si>
    <t>251204aMS</t>
  </si>
  <si>
    <t>20PC FRENTE COLORATA</t>
  </si>
  <si>
    <t>Anderson</t>
  </si>
  <si>
    <t>251204cBR</t>
  </si>
  <si>
    <t>https://drive.google.com/file/d/1AAkbtVvt4rtuKdfG-KDV7aQPyKOsxyrv/view?usp=drivesdk</t>
  </si>
  <si>
    <t>https://drive.google.com/file/d/1aWtdXv5YuvSoy0WpqRCFEv_DcGy9Fz4a/view?usp=drivesdk</t>
  </si>
  <si>
    <t>{"nome":"V0","dataSalvo":"2025-12-04T22:40:02.708Z","dados":{"chapas":[],"processosPedido":[],"projeto":{"versao":"","pasta":"","indice":"c","iniciais":"BR","data":"251204"},"cliente":{"telefone":"(11) 98794-5310","select":"THERMAM LTDA","data":"2025-12-04","endereco":"Rua Maria da Penha, 67 Casa 2 - Rudge Ramos São Bernardo do Campo - SP, CEP: 09626-080","responsavel":"Anderson","cpf":"56.093.059/0001-26","nome":"THERMAM LTDA","email":"thermambrasil@gmail.com"},"observacoes":{"descricao":"","adicional":"","vendedor":"Ivan Braga Ramos","projeto":"251204cBR","materialCond":"","prazo":"","faturamento":"2025-12-04","pagamento":""},"produtosCadastrados":[{"tipo":"04 - Produto Acabado","codigo":"PRD02924","descricao":"THERMAM FRENTE SUPERIOR - #1,5mm - LOGO COLORATA","precoUnitario":10.98,"precoTotal":109.8,"quantidade":10,"familia":"PR - Componentes industriais","unidade":"pc"}]}}</t>
  </si>
  <si>
    <t>PRIMORDIAL REFORMA DE CARRETAS LTDA</t>
  </si>
  <si>
    <t>CHAPA DOBRADA #1,2mm LE + LD</t>
  </si>
  <si>
    <t>251205aMS</t>
  </si>
  <si>
    <t>HIROSHI KURAMOCHI SHIMIZU</t>
  </si>
  <si>
    <t>251205bMS</t>
  </si>
  <si>
    <t>251208dBR</t>
  </si>
  <si>
    <t>https://drive.google.com/file/d/13-nuKvg-k4jRQ7wTq9CKCR3kZkkwtekL/view?usp=drivesdk</t>
  </si>
  <si>
    <t>https://drive.google.com/file/d/1JTFUoJpP4HTLdjmtsVr-tzJkXz1wF8J-/view?usp=drivesdk</t>
  </si>
  <si>
    <t>{"nome":"251208dBR","dataSalvo":"2025-12-08T13:22:17.796Z","dados":{"processosPedido":[],"projeto":{"pasta":"THERMAM ANDERSON - PROT BAND FURACOES 3mm ANCORAGEM BORRACHA","iniciais":"BR","versao":"V0","data":"251208","indice":"d"},"chapas":[],"produtosCadastrados":[{"quantidade":1,"precoTotal":105.23,"precoUnitario":105.23,"unidade":"UN","codigo":"PRD03228","tipo":"","descricao":"CAD + PROTOTIPO BANDEJA FURADA","familia":""}],"cliente":{"email":"thermambrasil@gmail.com","responsavel":"Anderson","endereco":"Rua Maria da Penha, 67 Casa 2 - Rudge Ramos São Bernardo do Campo - SP, CEP: 09626-080","nome":"THERMAM LTDA","data":"2025-12-08","select":"THERMAM LTDA","cpf":"56.093.059/0001-26","telefone":"(11) 98794-5310"},"observacoes":{"descricao":"","vendedor":"Ivan Braga Ramos","materialCond":"Incluso","projeto":"251208dBR","pagamento":"À Vista","faturamento":"2025-12-08","adicional":"","prazo":""}}}</t>
  </si>
  <si>
    <t>251205dMS</t>
  </si>
  <si>
    <t>251208bMS</t>
  </si>
  <si>
    <t>251208aMS</t>
  </si>
  <si>
    <t>RECKAR (EDIMILSON BARBOSA MONTAGEM INDUSTRIAL)</t>
  </si>
  <si>
    <t>251208cMS</t>
  </si>
  <si>
    <t>251203bMS</t>
  </si>
  <si>
    <t>251203fMS</t>
  </si>
  <si>
    <t>KIT CHAPAS #12,7mm</t>
  </si>
  <si>
    <t>251208eBR</t>
  </si>
  <si>
    <t>251209cMS</t>
  </si>
  <si>
    <t>MAX FIRE</t>
  </si>
  <si>
    <t>11 pecas chicanes</t>
  </si>
  <si>
    <t>Adailton</t>
  </si>
  <si>
    <t>251211cBR</t>
  </si>
  <si>
    <t>{"nome":"_V0","dataSalvo":"2025-12-11T16:00:08.713Z","dados":{"produtosCadastrados":[],"cliente":{"email":"contato@maxfire.com.br","nome":"MAX FIRE","endereco":"Avenida Presidente Costa e Silva, 485 - Casa Grande Diadema - SP, CEP: 09961-400","responsavel":"Adailton","data":"2025-12-11","select":"MAX FIRE","cpf":"25.532.732/0001-53","telefone":"(11) 4051-1692"},"projeto":{"pasta":"251211cBR COT MAX FIRE ADAILTON - 11PC CHICANES","versao":"","iniciais":"BR","data":"251211","indice":"c"},"observacoes":{"adicional":"","projeto":"251211cBR","pagamento":"","faturamento":"2025-12-11","descricao":"11 pecas chicanes","vendedor":"Ivan Braga Ramos","prazo":"2025-12-12","materialCond":"Não incluso"},"processosPedido":[],"chapas":[]}}</t>
  </si>
  <si>
    <t>NOVO TEMPO SERVICOS E COMERCIO DE PECAS HIDRAULICAS LTDA</t>
  </si>
  <si>
    <t>PRD03413 - RASGO TUBO 2400 X 9,5mm</t>
  </si>
  <si>
    <t>251211eMS</t>
  </si>
  <si>
    <t>251211dMS</t>
  </si>
  <si>
    <t>NL DIAGNOSTICA</t>
  </si>
  <si>
    <t>NL DIAGNOSTICA FELIPE - SUP DIVERSOS PACOTE 1</t>
  </si>
  <si>
    <t>251211dBR</t>
  </si>
  <si>
    <t>251212aMS</t>
  </si>
  <si>
    <t>SUPORTES DIVERSOS PACOTE 2</t>
  </si>
  <si>
    <t>FELIPE</t>
  </si>
  <si>
    <t>251213cBR</t>
  </si>
  <si>
    <t>4 PÇS SAPATAS</t>
  </si>
  <si>
    <t>251212cBR</t>
  </si>
  <si>
    <t>Corte: 0.28h</t>
  </si>
  <si>
    <t>https://drive.google.com/file/d/1u6C2f-4LeTEBtrxMcbsAl7vZfxD37axK/view?usp=drivesdk</t>
  </si>
  <si>
    <t>https://drive.google.com/file/d/1Ao-w3nTge7XORU6CGeuwgC5nUtGuf3PU/view?usp=drivesdk</t>
  </si>
  <si>
    <t>{"nome":"251212cBR","dataSalvo":"2025-12-15T12:52:48.383Z","dados":{"chapas":[{"isConjunto":false,"espessura":"9.5","quantidadeConjunto":"1","pecas":[{"numDobras":"","numPecasChapa":"154","comprimento":"200","descricao":"4 PÇS SAPATAS","largura":"100","codigo":"PRD03427","processos":[],"temCorte":true,"tempoCorte":"87","temProcessos":false,"numPecasLote":"6","tempoDobra":"","setupDobra":"","temDobra":false}],"comprimento":"3000","largura":"1200","material":"AÇO CARBONO","descricaoConjunto":"","codigoConjunto":""}],"processosPedido":[],"projeto":{"indice":"c","pasta":"ON CONVEYOR EVERTON - 4 PC SAPATAs #9,53mm","data":"251212","versao":"","iniciais":"BR"},"produtosCadastrados":[],"observacoes":{"vendedor":"Ivan Braga Ramos","faturamento":"2025-12-15","materialCond":"Incluso","descricao":"4 PÇS SAPATAS","prazo":"","projeto":"251212cBR","pagamento":"À vista","adicional":""},"cliente":{"select":"ON CONVEYORS ESTEIRAS METALICAS INDUSTRIA E COMERCIO LTDA","email":"c.garcia@on-conveyors.com.br","endereco":"Rua Barbara Heliodora, 281 - UTINGA SANTO ANDRE - SP, CEP: 09220-340","nome":"ON CONVEYORS ESTEIRAS METALICAS INDUSTRIA E COMERCIO LTDA","cpf":"13.518.869/0001-74","telefone":"(11) 4451-1470","data":"2025-12-15","responsavel":""}}}</t>
  </si>
  <si>
    <t>51.110.888 RINALDO FUGANHOLI</t>
  </si>
  <si>
    <t>KIT GUINCHO</t>
  </si>
  <si>
    <t>251215aMS</t>
  </si>
  <si>
    <t>Cliente</t>
  </si>
  <si>
    <t>Número do Projeto</t>
  </si>
  <si>
    <t>Status</t>
  </si>
  <si>
    <t>Observações</t>
  </si>
  <si>
    <t>Tempo estimado por processo</t>
  </si>
  <si>
    <t>Finalizado</t>
  </si>
  <si>
    <t>CORTE, DOBRA, PINTURA</t>
  </si>
  <si>
    <t>Preparação:  Corte: Dobra:  Adicionais: </t>
  </si>
  <si>
    <t>Processo de Dobra</t>
  </si>
  <si>
    <t>CORTAR E DOBRAR</t>
  </si>
  <si>
    <t>Processo de Preparação MP / CAD / CAM</t>
  </si>
  <si>
    <t>VER COM ANDRE</t>
  </si>
  <si>
    <t>CORTE COBRA</t>
  </si>
  <si>
    <t>AGUARDANDO LIBERAÇÃO DO CLIENTE</t>
  </si>
  <si>
    <t>GRAVAR O LOGO NAS PEÇAS VELHAS </t>
  </si>
  <si>
    <t>ADRIANO DOS SANTOS DE SOUZA</t>
  </si>
  <si>
    <t>251013fMS</t>
  </si>
  <si>
    <t xml:space="preserve">251014cBR
</t>
  </si>
  <si>
    <t>Preparação:  Corte: 5h Dobra:  Adicionais: </t>
  </si>
  <si>
    <t>251031aMS</t>
  </si>
  <si>
    <t>CORTAR, DOBRAR</t>
  </si>
  <si>
    <t>251031dMS</t>
  </si>
  <si>
    <t>CORTAR</t>
  </si>
  <si>
    <t>251031eMS</t>
  </si>
  <si>
    <t>FURNAX COMERCIAL E IMPORTADORA LTDA</t>
  </si>
  <si>
    <t>251031fMS</t>
  </si>
  <si>
    <t>D D EQUIPAMENTOS INDUSTRIAIS LTDA</t>
  </si>
  <si>
    <t>251031gMS</t>
  </si>
  <si>
    <t>251103aMS</t>
  </si>
  <si>
    <t>251104cBR</t>
  </si>
  <si>
    <t>CORTAR, DOBRAR, PINTAR</t>
  </si>
  <si>
    <t xml:space="preserve">
</t>
  </si>
  <si>
    <t>ESPERANDO APROVAÇAO DO CLIENTE</t>
  </si>
  <si>
    <t>RIBATEC SOLDAS E MONTAGENS INDUSTRIAL LTDA</t>
  </si>
  <si>
    <t>251105fMS</t>
  </si>
  <si>
    <t>DOBRA</t>
  </si>
  <si>
    <t>Preparação: Corte: 2,1h Dobra: 1h  Adicionais: </t>
  </si>
  <si>
    <t>CORTE E DOBRA</t>
  </si>
  <si>
    <t>FURNAX COMERIAL IMPORTADORA</t>
  </si>
  <si>
    <t>251111cBR</t>
  </si>
  <si>
    <t>CORTE DOBRA</t>
  </si>
  <si>
    <t>CORTE: 1h  DOBRA: 1h</t>
  </si>
  <si>
    <t>251111eMS</t>
  </si>
  <si>
    <t>Corte: 0,5H Dobra 0,5H</t>
  </si>
  <si>
    <t>Corte: 1H</t>
  </si>
  <si>
    <t>THERMAN - JOAO CURIT - 20PC SUP CIL + 50PC SUP FC + 50 PC ACION</t>
  </si>
  <si>
    <t>251118dMS</t>
  </si>
  <si>
    <t>CORTE/DOBRA</t>
  </si>
  <si>
    <t>LEGAS</t>
  </si>
  <si>
    <t>TUBO CORTE</t>
  </si>
  <si>
    <t>TRANSBRASA TRANSITARIA BRASILEIRA LTDA</t>
  </si>
  <si>
    <t>251124iMS</t>
  </si>
  <si>
    <t>CORTE 01/12/25</t>
  </si>
  <si>
    <t>JOALMI INDUSTRIA E COMERCIO LIMITADA</t>
  </si>
  <si>
    <t>251125aMS</t>
  </si>
  <si>
    <t>COLETA AS 11:30h</t>
  </si>
  <si>
    <t>CORTE/DOBRA TMN</t>
  </si>
  <si>
    <t>SOLUCOES ART COMUNICACAO VISUAL LTDA</t>
  </si>
  <si>
    <t>251201aMS</t>
  </si>
  <si>
    <t>251202bMS</t>
  </si>
  <si>
    <t>251203aMS</t>
  </si>
  <si>
    <t>PED HP HIDRÁULICA 25+30 CHAPAS DE ALUMINIO XADREZ</t>
  </si>
  <si>
    <t>Processo de Corte</t>
  </si>
  <si>
    <t>ESPERANDO CLIENTE LIBERAR CORTE</t>
  </si>
  <si>
    <t>251203cMS</t>
  </si>
  <si>
    <t>SO FAZER APOS PAG.=CORTE/DOBRA</t>
  </si>
  <si>
    <t>CORTE /DOBRA/SOLDA/GABARITO</t>
  </si>
  <si>
    <t>Envio / Coleta</t>
  </si>
  <si>
    <t>SO FAZER APOS PAG.=CORTE /DOBRA</t>
  </si>
  <si>
    <t>CORTE /DOBRA</t>
  </si>
  <si>
    <t>CORTE/DOBRA??</t>
  </si>
  <si>
    <t>EMBARQUE ÀS 16:00h</t>
  </si>
  <si>
    <t>NL DIAGNOSTICA FELIPE - SUPORTE DIVERSOS PACOTE 1</t>
  </si>
  <si>
    <t>CORTE PRD03413 - RASGO TUBO 2400 X 9,5mm</t>
  </si>
  <si>
    <t>COLETA AS 16:00h</t>
  </si>
  <si>
    <t>4 PC SAPATAs #9,53mm - PARA ENTREGA em 15/12</t>
  </si>
  <si>
    <t>chave</t>
  </si>
  <si>
    <t>valor</t>
  </si>
  <si>
    <t>timeSeguranca</t>
  </si>
  <si>
    <t>messagePosition</t>
  </si>
  <si>
    <t>top</t>
  </si>
  <si>
    <t>timeKanban</t>
  </si>
  <si>
    <t>transitionTime</t>
  </si>
  <si>
    <t>id</t>
  </si>
  <si>
    <t>texto</t>
  </si>
  <si>
    <t>cor</t>
  </si>
  <si>
    <t>tamanho</t>
  </si>
  <si>
    <t>destaque</t>
  </si>
  <si>
    <t>Código do Produto</t>
  </si>
  <si>
    <t>Descrição do Produto</t>
  </si>
  <si>
    <t>Código da Família</t>
  </si>
  <si>
    <t>Família de Produto</t>
  </si>
  <si>
    <t>Tipo do Produto</t>
  </si>
  <si>
    <t>Código EAN (GTIN)</t>
  </si>
  <si>
    <t>Código NCM</t>
  </si>
  <si>
    <t>Preço Unitário de Venda</t>
  </si>
  <si>
    <t>Unidade</t>
  </si>
  <si>
    <t>Características</t>
  </si>
  <si>
    <t>Estoque</t>
  </si>
  <si>
    <t>Local de estoque</t>
  </si>
  <si>
    <t>000000000000157205</t>
  </si>
  <si>
    <t>CFQ 3,75 x 1200 x 3000 SAE J4031010</t>
  </si>
  <si>
    <t>N/D</t>
  </si>
  <si>
    <t>99 - Outras</t>
  </si>
  <si>
    <t>7208.53.00</t>
  </si>
  <si>
    <t>KG</t>
  </si>
  <si>
    <t>000000000000157624</t>
  </si>
  <si>
    <t>CFF 1,2 x 1200 x 2000 SAE J4031008</t>
  </si>
  <si>
    <t>7209.26.00</t>
  </si>
  <si>
    <t>000000000000157625</t>
  </si>
  <si>
    <t>CFF 1,2 x 1200 x 3000 SAE J4031008</t>
  </si>
  <si>
    <t>000000000000158024</t>
  </si>
  <si>
    <t>CFF 0,75 x 1200 x 3000 SAE J4031008</t>
  </si>
  <si>
    <t>7209.27.00</t>
  </si>
  <si>
    <t>000000000000158034</t>
  </si>
  <si>
    <t>CFQ 2,00 x 1200 x 3000 SAE J4031010</t>
  </si>
  <si>
    <t>7208.54.00</t>
  </si>
  <si>
    <t>000000000000158038</t>
  </si>
  <si>
    <t>CFQ 3 x 1200 x 2000 SAE J4031010</t>
  </si>
  <si>
    <t>000000000000158039</t>
  </si>
  <si>
    <t>CFQ 3 x 1200 x 3000 SAE J4031010</t>
  </si>
  <si>
    <t>000000000000158042</t>
  </si>
  <si>
    <t>CFQ 4,75 x 1200 x 3000 SAE J4031010</t>
  </si>
  <si>
    <t>7208.52.00</t>
  </si>
  <si>
    <t>000000000000158045</t>
  </si>
  <si>
    <t>CGQ 6,3 x 1200 x 3000 SAE J4031010</t>
  </si>
  <si>
    <t>000000000000158051</t>
  </si>
  <si>
    <t>CGQ 9,5 x 1200 x 3000 SAE J4031010</t>
  </si>
  <si>
    <t>000000000000158765</t>
  </si>
  <si>
    <t>CFF 1,5 x 1200 x 2000 SAE J4031008</t>
  </si>
  <si>
    <t>000000000000162286</t>
  </si>
  <si>
    <t>CGQ 6,3 x 1200 x 3000 ASTM A36 STD</t>
  </si>
  <si>
    <t>000000000000165189</t>
  </si>
  <si>
    <t>CGQ 12,5 x 1200 x 3000 ASTM A36</t>
  </si>
  <si>
    <t>7208.51.00</t>
  </si>
  <si>
    <t>000000000000166215</t>
  </si>
  <si>
    <t>CGQ 6,3 x 1500 x 3000 ASTM A36</t>
  </si>
  <si>
    <t>000000000000197048</t>
  </si>
  <si>
    <t>CFQ 4,75 x 1200 x 3000 ASTM A36</t>
  </si>
  <si>
    <t>000000000000199416</t>
  </si>
  <si>
    <t>CZN 0,80 X 1200 X 3000 NBR7008ZC X CT</t>
  </si>
  <si>
    <t>7210.49.10</t>
  </si>
  <si>
    <t>000000000000300318</t>
  </si>
  <si>
    <t>CFQX 3,00X 1200X 3000 CST PISO</t>
  </si>
  <si>
    <t>7208.40.00</t>
  </si>
  <si>
    <t>000000000087338125</t>
  </si>
  <si>
    <t>Disco Diaman Tornado Segmentado 105mm</t>
  </si>
  <si>
    <t>07897371604615</t>
  </si>
  <si>
    <t>6804.21.90</t>
  </si>
  <si>
    <t>UN</t>
  </si>
  <si>
    <t>000000000089368944</t>
  </si>
  <si>
    <t>CIMENTO CPII 32 TODAS AS OBRA 50KG VOT</t>
  </si>
  <si>
    <t>07898265335677</t>
  </si>
  <si>
    <t>2523.29.10</t>
  </si>
  <si>
    <t>000000000089810833</t>
  </si>
  <si>
    <t>Serra Marm 1450W 4100 NH2Z 220V</t>
  </si>
  <si>
    <t>8467.22.00</t>
  </si>
  <si>
    <t>000000000090599432</t>
  </si>
  <si>
    <t>Oculos sky incolor Delta</t>
  </si>
  <si>
    <t>07898554010117</t>
  </si>
  <si>
    <t>9004.90.20</t>
  </si>
  <si>
    <t>000000000090599460</t>
  </si>
  <si>
    <t>Oculos summer incolor Delta</t>
  </si>
  <si>
    <t>07898554010292</t>
  </si>
  <si>
    <t>000000000091932862</t>
  </si>
  <si>
    <t>Esmer 412 GWS 700 710W 220V BOSCH</t>
  </si>
  <si>
    <t>04059952603438</t>
  </si>
  <si>
    <t>8467.29.99</t>
  </si>
  <si>
    <t>000000000106003354</t>
  </si>
  <si>
    <t>PF I 76,2x4,32mm A36 6m FX1,19t</t>
  </si>
  <si>
    <t>7891738192920</t>
  </si>
  <si>
    <t>7216.10.00</t>
  </si>
  <si>
    <t>BR</t>
  </si>
  <si>
    <t>000000000106032285</t>
  </si>
  <si>
    <t>PF I W200x15 A572GR50 12m FX4,32t</t>
  </si>
  <si>
    <t>7890612942392</t>
  </si>
  <si>
    <t>7216.32.00</t>
  </si>
  <si>
    <t>000000000106040040</t>
  </si>
  <si>
    <t>PF I W150x13 A572GR50 12m FX4,37t</t>
  </si>
  <si>
    <t>7909219030675</t>
  </si>
  <si>
    <t>000000000110006892</t>
  </si>
  <si>
    <t>VERG CA50 8mm RT 12m 2t NV</t>
  </si>
  <si>
    <t>7890612362633</t>
  </si>
  <si>
    <t>7214.20.00</t>
  </si>
  <si>
    <t>000000000312000928</t>
  </si>
  <si>
    <t>PERFIL LQUS 100x50x2,65x6000</t>
  </si>
  <si>
    <t>7891738394065</t>
  </si>
  <si>
    <t>7216.61.10</t>
  </si>
  <si>
    <t>0000000029056</t>
  </si>
  <si>
    <t>SSD 512GB ALLTEK SATA 3 2,5 7MM ATKSSDS512</t>
  </si>
  <si>
    <t>7908598500663</t>
  </si>
  <si>
    <t>8471.70.40</t>
  </si>
  <si>
    <t>000005</t>
  </si>
  <si>
    <t>CHAPA FF 1,20 X 1200 X 3000 (MM)</t>
  </si>
  <si>
    <t>000006</t>
  </si>
  <si>
    <t>CHAPA FF 1,50 X 1200 X 3000 (MM)</t>
  </si>
  <si>
    <t>000007</t>
  </si>
  <si>
    <t>CHAPA FQ 2,00 X 1200 X 3000 (MM)</t>
  </si>
  <si>
    <t>000008</t>
  </si>
  <si>
    <t>CHAPA FQ 3,00 X 1200 X 3000 (MM)</t>
  </si>
  <si>
    <t>000009</t>
  </si>
  <si>
    <t>CHAPA FQ 4,75 X 1200 X 3000 (MM)</t>
  </si>
  <si>
    <t>000010</t>
  </si>
  <si>
    <t>CHAPA FZM 1,25 X 1200 X 3000 (MM)</t>
  </si>
  <si>
    <t>000046</t>
  </si>
  <si>
    <t>CHAPA FQ 6,35 X 1200 X 3000 (MM)</t>
  </si>
  <si>
    <t>000050</t>
  </si>
  <si>
    <t>CHAPA FF 0,75 X 1200 X 3000 (MM)</t>
  </si>
  <si>
    <t>7209.17.00</t>
  </si>
  <si>
    <t>000056</t>
  </si>
  <si>
    <t>CHAPA FQ 8,00 X 1200 X 3000 (MM)</t>
  </si>
  <si>
    <t>000078</t>
  </si>
  <si>
    <t>CHAPA FQ 9,50 X 1200 X 3000 (MM)</t>
  </si>
  <si>
    <t>000096</t>
  </si>
  <si>
    <t>CHAPA FQ 12,7 X 1200 X 3000 (MM)</t>
  </si>
  <si>
    <t>000121.1</t>
  </si>
  <si>
    <t>PA.SEXT.RI GR-5 5/16"- 18 UNC X 1"</t>
  </si>
  <si>
    <t>7318.15.00</t>
  </si>
  <si>
    <t>PC</t>
  </si>
  <si>
    <t>000161</t>
  </si>
  <si>
    <t>CHAPA FQ 4,25 X 1200 X 3000 (MM)</t>
  </si>
  <si>
    <t>7208.39.90</t>
  </si>
  <si>
    <t>00027</t>
  </si>
  <si>
    <t>ABRAC. TIPO "D" .C/ CUNHA F 2"</t>
  </si>
  <si>
    <t>7308.90.10</t>
  </si>
  <si>
    <t>000355</t>
  </si>
  <si>
    <t>CHAPA INOX 304 - 1/8x1.250x3.000mm</t>
  </si>
  <si>
    <t>7326.90.90</t>
  </si>
  <si>
    <t>000451301</t>
  </si>
  <si>
    <t>3105-H114 CHXA LAMINADO 2.20 x1000.00 x 3000 (289.8 KG)</t>
  </si>
  <si>
    <t>7606.12.90</t>
  </si>
  <si>
    <t>000451302</t>
  </si>
  <si>
    <t>1100-H14 CHLS LAMINADO 1.50 x1000.00 x 2000 (8.2 KG)</t>
  </si>
  <si>
    <t>7606.11.90</t>
  </si>
  <si>
    <t>0005</t>
  </si>
  <si>
    <t>RELOGIO PONTO FACIAL X7 + LICENCA EXPERT PONTO (1 CNPJ)</t>
  </si>
  <si>
    <t>9106.10.00</t>
  </si>
  <si>
    <t>000610101</t>
  </si>
  <si>
    <t>3105-H114 CHXA LAMINADO 2.20 x1000.00 x 3000 (25 PCS)</t>
  </si>
  <si>
    <t>000677</t>
  </si>
  <si>
    <t>LUVA VAQUETA MISTA 20CM - VALCAN - CA 25387</t>
  </si>
  <si>
    <t>4203.29.00</t>
  </si>
  <si>
    <t>PAR</t>
  </si>
  <si>
    <t>000727301</t>
  </si>
  <si>
    <t>3105-H114 CHXA LAMINADO 2.20 x1000.00 x 3000 (10 PCS)</t>
  </si>
  <si>
    <t>000819501</t>
  </si>
  <si>
    <t>3105-H114 CHXA LAMINADO 2.20 x1000.00 x 3000 (37.6 KG)</t>
  </si>
  <si>
    <t>000840101</t>
  </si>
  <si>
    <t>3105-H114 CHXA LAMINADO 2.20 x1000.00 x 3000 (9 PCS)</t>
  </si>
  <si>
    <t>000989.1</t>
  </si>
  <si>
    <t>PA.ALLEN C/C DIN 912 M-3 X 0,5 X 16</t>
  </si>
  <si>
    <t>000995.1</t>
  </si>
  <si>
    <t>PA.ALLEN C/C DIN 912 M-4 X 0,7 X 10</t>
  </si>
  <si>
    <t>001</t>
  </si>
  <si>
    <t>CHAPA OXICORTE ESPESSURA 2,80 LARGURA 530 COMPRIMENTO 3000 MM (PESO 68 GK)</t>
  </si>
  <si>
    <t>7228.50.00</t>
  </si>
  <si>
    <t>00100101073</t>
  </si>
  <si>
    <t>TUBO 31.75 (1.1/4P) X 2,00 X 6000</t>
  </si>
  <si>
    <t>7306.30.00</t>
  </si>
  <si>
    <t>00100101126</t>
  </si>
  <si>
    <t>TUBO 25.40 (1P) X 2,00 X 6000</t>
  </si>
  <si>
    <t>001005210</t>
  </si>
  <si>
    <t>CHAPA GALV 0,50MM 26 1000 X 2000</t>
  </si>
  <si>
    <t>CH</t>
  </si>
  <si>
    <t>00100707001</t>
  </si>
  <si>
    <t>FERRO REDONDO 1/4 X 6000</t>
  </si>
  <si>
    <t>7214.99.10</t>
  </si>
  <si>
    <t>00100711015</t>
  </si>
  <si>
    <t>FERRO REDONDO 5/8 - FER</t>
  </si>
  <si>
    <t>00101414032</t>
  </si>
  <si>
    <t>CHAPA P (18) 3 X 1.2 - 1,20MM</t>
  </si>
  <si>
    <t>00101919070</t>
  </si>
  <si>
    <t>DC ELITE 4.1/2P - 115 X 1.0 X 22</t>
  </si>
  <si>
    <t>6805.30.90</t>
  </si>
  <si>
    <t>001033801</t>
  </si>
  <si>
    <t>3105-H114 CHXA LAMINADO 2.20 x1000.00 x 3000 (15 PCS)</t>
  </si>
  <si>
    <t>001038.1</t>
  </si>
  <si>
    <t>PA.ALLEN C/C DIN 912 M-8 X 1,25 X 16</t>
  </si>
  <si>
    <t>001064.1</t>
  </si>
  <si>
    <t>PA.ALLEN C/C DIN 912 M-10 X 1,5 X 40</t>
  </si>
  <si>
    <t>001495.1</t>
  </si>
  <si>
    <t>PA.ALLEN S/C DIN 916 M-3 X 0,5 X 16</t>
  </si>
  <si>
    <t>001929.1</t>
  </si>
  <si>
    <t>PA.ALLEN CHATA DIN 7991 M-6 X 1,0 X 25</t>
  </si>
  <si>
    <t>001935.1</t>
  </si>
  <si>
    <t>PA.ALLEN CHATA DIN 7991 M-8 X 1,25 X 12</t>
  </si>
  <si>
    <t>002</t>
  </si>
  <si>
    <t>CHAPA 1500 X 1000 X 12,7 A36</t>
  </si>
  <si>
    <t>7208.26.10</t>
  </si>
  <si>
    <t>002007040</t>
  </si>
  <si>
    <t>(2 BR) VIGA I 3P - 1A ALMA - 6MT A.</t>
  </si>
  <si>
    <t>002165.1</t>
  </si>
  <si>
    <t>PO.SEXT.DIN 934 M-8 X 1,25</t>
  </si>
  <si>
    <t>7318.16.00</t>
  </si>
  <si>
    <t>002188</t>
  </si>
  <si>
    <t>CHAPA INOX 304 BQ 4,00X1220X3000 MM</t>
  </si>
  <si>
    <t>7219.23.00</t>
  </si>
  <si>
    <t>002346.1</t>
  </si>
  <si>
    <t>BARRA ROSCADA SAE 1020 5/8"- 11 UNC X 1MT</t>
  </si>
  <si>
    <t>002460</t>
  </si>
  <si>
    <t>CHAPA INOX 304 BQ 5,00X1500X2000 MM</t>
  </si>
  <si>
    <t>7219.22.00</t>
  </si>
  <si>
    <t>003074.1</t>
  </si>
  <si>
    <t>ARRUELA LISA A-994 5/16"</t>
  </si>
  <si>
    <t>7318.22.00</t>
  </si>
  <si>
    <t>00312</t>
  </si>
  <si>
    <t>ELETRODUTO PVC F 2"</t>
  </si>
  <si>
    <t>3917.23.00</t>
  </si>
  <si>
    <t>003137.1</t>
  </si>
  <si>
    <t>ARRUELA PRESSAO MEDIA 1/2"</t>
  </si>
  <si>
    <t>7318.21.00</t>
  </si>
  <si>
    <t>003139.1</t>
  </si>
  <si>
    <t>ARRUELA PRESSAO MEDIA 5/8"</t>
  </si>
  <si>
    <t>003147.1</t>
  </si>
  <si>
    <t>ARRUELA PRESSAO PESADA 5/16"</t>
  </si>
  <si>
    <t>003150.1</t>
  </si>
  <si>
    <t>ARRUELA PRESSAO PESADA 1/2"</t>
  </si>
  <si>
    <t>003152.1</t>
  </si>
  <si>
    <t>ARRUELA PRESSAO PESADA 5/8"</t>
  </si>
  <si>
    <t>003926</t>
  </si>
  <si>
    <t>CHAPA INOX 304L BF 1,50X1220X2000 MM</t>
  </si>
  <si>
    <t>7219.33.00</t>
  </si>
  <si>
    <t>004140.1</t>
  </si>
  <si>
    <t>PA.ALLEN C/C DIN 912 M-8 X 1,25 X 20 INOX 304</t>
  </si>
  <si>
    <t>005</t>
  </si>
  <si>
    <t>Chapa 4,25mm1200x3000</t>
  </si>
  <si>
    <t>005614.1</t>
  </si>
  <si>
    <t>ARRUELA LISA DIN 125 M-8 INOX 304</t>
  </si>
  <si>
    <t>005651.1</t>
  </si>
  <si>
    <t>ARRUELA PRESSAO DIN 127 M-8 INOX 304</t>
  </si>
  <si>
    <t>005804</t>
  </si>
  <si>
    <t>TERMINAL ISOL PINO  1,0-1,5           VM</t>
  </si>
  <si>
    <t>8535.90.90</t>
  </si>
  <si>
    <t>005820</t>
  </si>
  <si>
    <t>TERMINAL ISOL PINO  1,5-2,5           AZ</t>
  </si>
  <si>
    <t>006496</t>
  </si>
  <si>
    <t>CHAPA ALUMINIO 5052 3.00MM X 1250 X 3000MM</t>
  </si>
  <si>
    <t>00701919046</t>
  </si>
  <si>
    <t>DISCO FLAP 4.1/2P X 7/8P- 115 X 22 -GR40</t>
  </si>
  <si>
    <t>00741</t>
  </si>
  <si>
    <t>ROLO ESPUMA TIGRE 1341 9CM</t>
  </si>
  <si>
    <t>7891395000064</t>
  </si>
  <si>
    <t>9603.40.10</t>
  </si>
  <si>
    <t>00742</t>
  </si>
  <si>
    <t>ROLO ESPUMA TIGRE 1341 15CM</t>
  </si>
  <si>
    <t>7891395041562</t>
  </si>
  <si>
    <t>00775</t>
  </si>
  <si>
    <t>TRINCHA TIGRE 571  1/2"</t>
  </si>
  <si>
    <t>7891395003812</t>
  </si>
  <si>
    <t>9603.40.90</t>
  </si>
  <si>
    <t>00776</t>
  </si>
  <si>
    <t>TRINCHA TIGRE 571  3/4"</t>
  </si>
  <si>
    <t>7891395003829</t>
  </si>
  <si>
    <t>00778</t>
  </si>
  <si>
    <t>TRINCHA TIGRE 571 .1"1/2</t>
  </si>
  <si>
    <t>7891395003843</t>
  </si>
  <si>
    <t>00779</t>
  </si>
  <si>
    <t>TRINCHA TIGRE 571 .2"</t>
  </si>
  <si>
    <t>7891395003850</t>
  </si>
  <si>
    <t>00780</t>
  </si>
  <si>
    <t>TRINCHA TIGRE 571 .2"1/2</t>
  </si>
  <si>
    <t>7891395003867</t>
  </si>
  <si>
    <t>00802020015</t>
  </si>
  <si>
    <t>ELETRODO 2.50-MAGMA-EMBALAGEM 1KG</t>
  </si>
  <si>
    <t>8311.10.00</t>
  </si>
  <si>
    <t>008160</t>
  </si>
  <si>
    <t>BROCA SDS PLUS 16 X 240 X 300 HT</t>
  </si>
  <si>
    <t>8207.50.11</t>
  </si>
  <si>
    <t>00837</t>
  </si>
  <si>
    <t>ROLO ESPUMA TIGRE 1341 5CM</t>
  </si>
  <si>
    <t>7891395000057</t>
  </si>
  <si>
    <t>00838</t>
  </si>
  <si>
    <t>ROLO LA CARNEIRO TIGRE 1379 9CM</t>
  </si>
  <si>
    <t>7891395036872</t>
  </si>
  <si>
    <t>008428.1</t>
  </si>
  <si>
    <t>PO.QUADRADA M-8 X 1,25</t>
  </si>
  <si>
    <t>00845</t>
  </si>
  <si>
    <t>ROLO LA CARNEIRO TIGRE 1379 5CM</t>
  </si>
  <si>
    <t>7891395047618</t>
  </si>
  <si>
    <t>008453.1</t>
  </si>
  <si>
    <t>PA.SEXT.A-325 1/2"- 13 UNC X 1.1/2"</t>
  </si>
  <si>
    <t>01085</t>
  </si>
  <si>
    <t>LUVA PVC F 2"</t>
  </si>
  <si>
    <t>3917.40.90</t>
  </si>
  <si>
    <t>011024</t>
  </si>
  <si>
    <t>ARRUELA COFIX EMB R447             3/16"</t>
  </si>
  <si>
    <t>011385</t>
  </si>
  <si>
    <t>REBITE EMB R642 50 PC 4,0 X 14  5/32 414</t>
  </si>
  <si>
    <t>8308.20.00</t>
  </si>
  <si>
    <t>011390</t>
  </si>
  <si>
    <t>BROCA ACO RAP. DIN 338 15,00MM LENOX/TWILL</t>
  </si>
  <si>
    <t>01456</t>
  </si>
  <si>
    <t>CONECTOR SPLIT BOLT 035MM</t>
  </si>
  <si>
    <t>8536.90.90</t>
  </si>
  <si>
    <t>015884</t>
  </si>
  <si>
    <t>CHAVE FIXA 1.1/16 X 1.1/4" BELZER</t>
  </si>
  <si>
    <t>8204.11.00</t>
  </si>
  <si>
    <t>015987</t>
  </si>
  <si>
    <t>CHAVE COMBINADA 7/8" BELZER</t>
  </si>
  <si>
    <t>017910.1</t>
  </si>
  <si>
    <t>PO.SEXT.DIN 934 CL-10 M-8 X 1,25</t>
  </si>
  <si>
    <t>017934.1</t>
  </si>
  <si>
    <t>PO.SEXT. A-194 2H 1/2"- 13 UNC</t>
  </si>
  <si>
    <t>017935.1</t>
  </si>
  <si>
    <t>PO.SEXT. A-194 2H 5/8"- 11 UNC</t>
  </si>
  <si>
    <t>019.1194</t>
  </si>
  <si>
    <t>BLANK CORTE A LASER</t>
  </si>
  <si>
    <t>8207.30.00</t>
  </si>
  <si>
    <t>01993</t>
  </si>
  <si>
    <t>TOMADA EM BARRA C QUADRUPLA 2P+T 20A</t>
  </si>
  <si>
    <t>8536.69.90</t>
  </si>
  <si>
    <t>02157</t>
  </si>
  <si>
    <t>PARAFUSO ALLEN C/CHATA M4 X 30</t>
  </si>
  <si>
    <t>CT</t>
  </si>
  <si>
    <t>021620501</t>
  </si>
  <si>
    <t>BARRA QUADRADA ALUM 6351-T6 38.10 x 3000</t>
  </si>
  <si>
    <t>7604.29.19</t>
  </si>
  <si>
    <t>021620502</t>
  </si>
  <si>
    <t>CHAPA ALUM 5052-H34 3.00 x1500.00 x 3000</t>
  </si>
  <si>
    <t>023224101</t>
  </si>
  <si>
    <t>CHAPA ALUM 5052-H34 3.00 X 1250.00 X 3000</t>
  </si>
  <si>
    <t>023431</t>
  </si>
  <si>
    <t>RISCADOR PONTA WIDEA 1/4"</t>
  </si>
  <si>
    <t>8205.59.00</t>
  </si>
  <si>
    <t>026733.1</t>
  </si>
  <si>
    <t>PO.SEXT.DIN 934 M-3 X 0,5 ZB</t>
  </si>
  <si>
    <t>026739.1</t>
  </si>
  <si>
    <t>PO.SEXT.DIN 934 M-4 X 0,7 ZB</t>
  </si>
  <si>
    <t>026753.1</t>
  </si>
  <si>
    <t>PO.SEXT.DIN 934 M-6 X 1,0 ZP</t>
  </si>
  <si>
    <t>02679</t>
  </si>
  <si>
    <t>CURVA PVC F 2"</t>
  </si>
  <si>
    <t>029327.1</t>
  </si>
  <si>
    <t>PO.SEXT. GR-5 5/16"- 18 UNC ZB</t>
  </si>
  <si>
    <t>03021</t>
  </si>
  <si>
    <t>ALAVANCA ACO COSTA 1.5 MT</t>
  </si>
  <si>
    <t>7898658950050</t>
  </si>
  <si>
    <t>8205.51.00</t>
  </si>
  <si>
    <t>03094</t>
  </si>
  <si>
    <t>DISCO DESBASTE 4"1/2 X 7/8 TELSTAR</t>
  </si>
  <si>
    <t>7898444420422</t>
  </si>
  <si>
    <t>6804.22.11</t>
  </si>
  <si>
    <t>031079</t>
  </si>
  <si>
    <t>PF ALLEN CIL G M8X16 MA P-1,25 ACO</t>
  </si>
  <si>
    <t>031573.1</t>
  </si>
  <si>
    <t>ARRUELA LISA DIN 125 M-8 ZB</t>
  </si>
  <si>
    <t>035618.1</t>
  </si>
  <si>
    <t>ARRUELA PRESSAO DIN 127 M-3 ZB</t>
  </si>
  <si>
    <t>035640.1</t>
  </si>
  <si>
    <t>ARRUELA PRESSAO DIN 127 M-4 ZB</t>
  </si>
  <si>
    <t>035656.1</t>
  </si>
  <si>
    <t>ARRUELA PRESSAO DIN 127 M-8 ZB</t>
  </si>
  <si>
    <t>035692.1</t>
  </si>
  <si>
    <t>ARRUELA LISA DIN 125 M-3 ZB</t>
  </si>
  <si>
    <t>035710.1</t>
  </si>
  <si>
    <t>ARRUELA LISA DIN 125 M-4 ZB</t>
  </si>
  <si>
    <t>03782</t>
  </si>
  <si>
    <t>CORDA POLIPROPILENO (SEDA) 12MM</t>
  </si>
  <si>
    <t>7892432140255</t>
  </si>
  <si>
    <t>5607.49.00</t>
  </si>
  <si>
    <t>MT</t>
  </si>
  <si>
    <t>038888.1</t>
  </si>
  <si>
    <t>ARRUELA LISA F-436 1/2"</t>
  </si>
  <si>
    <t>038889.1</t>
  </si>
  <si>
    <t>ARRUELA LISA F-436 5/8"</t>
  </si>
  <si>
    <t>040345.1</t>
  </si>
  <si>
    <t>PO.SEXT.DIN 934 M-8 X 1,25 ZP</t>
  </si>
  <si>
    <t>040826.1</t>
  </si>
  <si>
    <t>ARRUELA LISA A-994 5/16" ZP</t>
  </si>
  <si>
    <t>047186.1</t>
  </si>
  <si>
    <t>PO.QUADRADA M-8 X 1,25 ZB</t>
  </si>
  <si>
    <t>048189.1</t>
  </si>
  <si>
    <t>ARRUELA PRESSAO DIN 127 M-8 ZP</t>
  </si>
  <si>
    <t>04E115561T</t>
  </si>
  <si>
    <t>FILTRO DE OLEO USAR 04E115561T</t>
  </si>
  <si>
    <t>8421.23.00</t>
  </si>
  <si>
    <t>051005.1</t>
  </si>
  <si>
    <t>PO.SEXT.A-563 5/16"- 18 UNC ZP</t>
  </si>
  <si>
    <t>053093.1</t>
  </si>
  <si>
    <t>ARRUELA PRESSAO DIN 127 M-6 ZP</t>
  </si>
  <si>
    <t>057605</t>
  </si>
  <si>
    <t>MARG-BOTAO CS-390 NA/P1-CB VD    NA PUSH</t>
  </si>
  <si>
    <t>8536.50.90</t>
  </si>
  <si>
    <t>0579581314</t>
  </si>
  <si>
    <t>DISCO FLAP REDSTRIPE 115MM G40 C.FIBRA</t>
  </si>
  <si>
    <t>4053479132310</t>
  </si>
  <si>
    <t>6805.10.00</t>
  </si>
  <si>
    <t>060940</t>
  </si>
  <si>
    <t>VELCRO COM 3 MT X 20 MM COR PRETA</t>
  </si>
  <si>
    <t>5806.32.00</t>
  </si>
  <si>
    <t>0669115302</t>
  </si>
  <si>
    <t>DISCO CORTE FIRECUT INOX 115X1,0X22</t>
  </si>
  <si>
    <t>4065746793865</t>
  </si>
  <si>
    <t>6804.22.19</t>
  </si>
  <si>
    <t>0694004020</t>
  </si>
  <si>
    <t>BROCA HSS ESCALONADA HELICOIDAL 4-20</t>
  </si>
  <si>
    <t>7891799476540</t>
  </si>
  <si>
    <t>071465 581</t>
  </si>
  <si>
    <t>TRENA METRICA NEW STANDARD 3M/16MM</t>
  </si>
  <si>
    <t>7891799513771</t>
  </si>
  <si>
    <t>9017.80.10</t>
  </si>
  <si>
    <t>08291</t>
  </si>
  <si>
    <t>ESMALTE BASE D`AGUA ACET.PRETO S.WILLIAMS 3.6L</t>
  </si>
  <si>
    <t>7891323087969</t>
  </si>
  <si>
    <t>3209.10.10</t>
  </si>
  <si>
    <t>GL</t>
  </si>
  <si>
    <t>0890130261</t>
  </si>
  <si>
    <t>REMOVEDOR DE FERRUGEM 5 L</t>
  </si>
  <si>
    <t>4053479069210</t>
  </si>
  <si>
    <t>3810.10.10</t>
  </si>
  <si>
    <t>08901495</t>
  </si>
  <si>
    <t>PROTETOR DE SUPERFICIES 5 L</t>
  </si>
  <si>
    <t>4050641998521</t>
  </si>
  <si>
    <t>3405.20.00</t>
  </si>
  <si>
    <t>0891701227</t>
  </si>
  <si>
    <t>PISTOLA PRIMER HVLP BICO 1.7MM-BASIC</t>
  </si>
  <si>
    <t>7891799509903</t>
  </si>
  <si>
    <t>8424.20.00</t>
  </si>
  <si>
    <t>0893900301</t>
  </si>
  <si>
    <t>PASTA DESENGRAXANTE P/ MAOS 1KG</t>
  </si>
  <si>
    <t>7891799539870</t>
  </si>
  <si>
    <t>3401.20.10</t>
  </si>
  <si>
    <t>0893901041</t>
  </si>
  <si>
    <t>ANTI RESP SOLDA BASE CO2 SPR 300ML/370G</t>
  </si>
  <si>
    <t>7891799450106</t>
  </si>
  <si>
    <t>3810.90.00</t>
  </si>
  <si>
    <t>0899301100</t>
  </si>
  <si>
    <t>PROTETOR AURICULAR DE SILICONE - LAVAVEL</t>
  </si>
  <si>
    <t>7891799167134</t>
  </si>
  <si>
    <t>4015.90.00</t>
  </si>
  <si>
    <t>0899402422</t>
  </si>
  <si>
    <t>LUVA POLIESTER PU PRETO 8</t>
  </si>
  <si>
    <t>4099618042928</t>
  </si>
  <si>
    <t>6116.93.00</t>
  </si>
  <si>
    <t>0899403108</t>
  </si>
  <si>
    <t>LUVA POLIEST NITRIL CINZA 8</t>
  </si>
  <si>
    <t>4056807828251</t>
  </si>
  <si>
    <t>0899500325</t>
  </si>
  <si>
    <t>EMBALA TUDO 100MMX120M</t>
  </si>
  <si>
    <t>7891799539825</t>
  </si>
  <si>
    <t>3920.99.90</t>
  </si>
  <si>
    <t>091010104</t>
  </si>
  <si>
    <t>HARPYA 101-46</t>
  </si>
  <si>
    <t>2710.19.32</t>
  </si>
  <si>
    <t>LT</t>
  </si>
  <si>
    <t>093249.1</t>
  </si>
  <si>
    <t>CHUMBADOR CB 12300 C/ PA.</t>
  </si>
  <si>
    <t>7318.19.00</t>
  </si>
  <si>
    <t>0984420212</t>
  </si>
  <si>
    <t>LUVA PETROMISTA PUNHO 20 TAM. 10</t>
  </si>
  <si>
    <t>4099618240485</t>
  </si>
  <si>
    <t>1</t>
  </si>
  <si>
    <t>PAINEL ANDAIME 1,5 X 1,0M NR18 ABNT 6494</t>
  </si>
  <si>
    <t>10.049</t>
  </si>
  <si>
    <t>CHAPA FQ. #2,25 X 1200 X 3000 MM</t>
  </si>
  <si>
    <t>7211.90.90</t>
  </si>
  <si>
    <t>10002</t>
  </si>
  <si>
    <t>LIXA FERRO 3M 80</t>
  </si>
  <si>
    <t>7891040030842</t>
  </si>
  <si>
    <t>100049219</t>
  </si>
  <si>
    <t>RQ103012 AGUA DESMINERAL</t>
  </si>
  <si>
    <t>07892948124466</t>
  </si>
  <si>
    <t>2853.90.90</t>
  </si>
  <si>
    <t>101014</t>
  </si>
  <si>
    <t>PORCA SX G M8-1,25 MA CTO</t>
  </si>
  <si>
    <t>CENTO</t>
  </si>
  <si>
    <t>102063301</t>
  </si>
  <si>
    <t>TALHA ELETRICA DE CORRENTE 2 TON X 5 METROS 220V TRIFASICO</t>
  </si>
  <si>
    <t>7899646135985</t>
  </si>
  <si>
    <t>8425.11.00</t>
  </si>
  <si>
    <t>1053366</t>
  </si>
  <si>
    <t>CHAPA LAMINADA A QUENTE</t>
  </si>
  <si>
    <t>10541</t>
  </si>
  <si>
    <t>ARRUELA LISA ZINCADA M 04</t>
  </si>
  <si>
    <t>10769</t>
  </si>
  <si>
    <t>SUVINIL ZARCAO GL 3,6L</t>
  </si>
  <si>
    <t>7891260028605</t>
  </si>
  <si>
    <t>3208.10.10</t>
  </si>
  <si>
    <t>10771</t>
  </si>
  <si>
    <t>SUVINIL AGUARRAS 5 LT</t>
  </si>
  <si>
    <t>7891260179765</t>
  </si>
  <si>
    <t>2710.12.30</t>
  </si>
  <si>
    <t>11727</t>
  </si>
  <si>
    <t>MACHO ACO RAPIDO MA 10 X 1,50-010A/(JG.1./2./3.)-00802940-ISO-529 OSG</t>
  </si>
  <si>
    <t>7895694553733</t>
  </si>
  <si>
    <t>8207.40.10</t>
  </si>
  <si>
    <t>JG</t>
  </si>
  <si>
    <t>1174955</t>
  </si>
  <si>
    <t>CHAPA ZINCADA</t>
  </si>
  <si>
    <t>7210.49.90</t>
  </si>
  <si>
    <t>12002952</t>
  </si>
  <si>
    <t>CHAPA ZINCADA CZC 1,25X1200X2000MM</t>
  </si>
  <si>
    <t>12003036</t>
  </si>
  <si>
    <t>CHAPA ZINCADA CZC 1,25X1200X3000MM</t>
  </si>
  <si>
    <t>1218120030-W</t>
  </si>
  <si>
    <t>CHP FQ 3,00 X 1200 X 3000 N11888</t>
  </si>
  <si>
    <t>1226</t>
  </si>
  <si>
    <t>Fita Dupla Face 20mm x 3,0 metros AZUL</t>
  </si>
  <si>
    <t>7908557605323</t>
  </si>
  <si>
    <t>3919.10.20</t>
  </si>
  <si>
    <t>12688</t>
  </si>
  <si>
    <t>DISCO FLAP STARRET 4"1/2 X 40</t>
  </si>
  <si>
    <t>7891265014092</t>
  </si>
  <si>
    <t>13</t>
  </si>
  <si>
    <t>SAPATA AJUSTAVEL</t>
  </si>
  <si>
    <t>1331120030-W</t>
  </si>
  <si>
    <t>CHP GR 6,30 X 1200 X 3000 N11889</t>
  </si>
  <si>
    <t>1363</t>
  </si>
  <si>
    <t>FIO P/METRO CABO PP 3 X 01,50MM</t>
  </si>
  <si>
    <t>8544.49.00</t>
  </si>
  <si>
    <t>1369138</t>
  </si>
  <si>
    <t>CHAPA LAMINADA A QUENTE D/O</t>
  </si>
  <si>
    <t>1380971</t>
  </si>
  <si>
    <t>CHAPA LAMINADA A QUENTE XADREZ</t>
  </si>
  <si>
    <t>14</t>
  </si>
  <si>
    <t>PAINEL ANDAIME 1,0 X 1,0M NR18 ABNT 6494</t>
  </si>
  <si>
    <t>1450150030-W</t>
  </si>
  <si>
    <t>CHP GR 8,00 X 1500 X 3000 N11889 A36</t>
  </si>
  <si>
    <t>1455</t>
  </si>
  <si>
    <t>FIO P/METRO CABO PP 4 X 02,50MM</t>
  </si>
  <si>
    <t>149294</t>
  </si>
  <si>
    <t>CHAVE SOQUETE 1/4" HEX. 6MM R42550606 GEDORE RED</t>
  </si>
  <si>
    <t>8207.90.00</t>
  </si>
  <si>
    <t>149323</t>
  </si>
  <si>
    <t>CATRACA REVERSIVEL 1/4" R40000027 GEDORE RED</t>
  </si>
  <si>
    <t>14967</t>
  </si>
  <si>
    <t>ADESIVO DE VOLTAGEM METAL 110V (C/ 16PCS) SINALIZE</t>
  </si>
  <si>
    <t>7607.19.10</t>
  </si>
  <si>
    <t>15</t>
  </si>
  <si>
    <t>PISO METALICO ANTIDERRAPANTE 1,0M</t>
  </si>
  <si>
    <t>15195</t>
  </si>
  <si>
    <t>ADESIVO DE VOLTAGEM METAL 220V (C/ 16PCS) SINALIZE</t>
  </si>
  <si>
    <t>1543B</t>
  </si>
  <si>
    <t>BICO DE CONTATO 0,8MM 28MM M6 - 116/24/240B BRB</t>
  </si>
  <si>
    <t>8515.90.00</t>
  </si>
  <si>
    <t>15679</t>
  </si>
  <si>
    <t>FITA ISOLANTE 3M IMPERIAL 18MM X 20MTS</t>
  </si>
  <si>
    <t>RL</t>
  </si>
  <si>
    <t>1575</t>
  </si>
  <si>
    <t>PORCA B M-04</t>
  </si>
  <si>
    <t>1578</t>
  </si>
  <si>
    <t>PORCA B M-08</t>
  </si>
  <si>
    <t>1598</t>
  </si>
  <si>
    <t>STECK PLUG 3P+T 32A 220V AZ N-4279</t>
  </si>
  <si>
    <t>8536.69.10</t>
  </si>
  <si>
    <t>178001012</t>
  </si>
  <si>
    <t>D. C. 14P X 1P NORTON CLASSIC AR302</t>
  </si>
  <si>
    <t>178001243</t>
  </si>
  <si>
    <t>D. C. 4.1/2X1,0 NORTON INOX CLASS AR102</t>
  </si>
  <si>
    <t>CX</t>
  </si>
  <si>
    <t>178316080</t>
  </si>
  <si>
    <t>D.L. FLAP 4.1/2P GR 80 NORTON CLASSIC</t>
  </si>
  <si>
    <t>PT</t>
  </si>
  <si>
    <t>1797B</t>
  </si>
  <si>
    <t>BOCAL MIG 24/240B 13MM - BRB</t>
  </si>
  <si>
    <t>1SB201511</t>
  </si>
  <si>
    <t>FILTRO COMBUSTIVEL</t>
  </si>
  <si>
    <t>2000000000002</t>
  </si>
  <si>
    <t>CPZ 1200 X 3000 X 0,8</t>
  </si>
  <si>
    <t>2000000000003</t>
  </si>
  <si>
    <t>CHAPA ZINCADA 1180X2770X0,8</t>
  </si>
  <si>
    <t>2000000000004</t>
  </si>
  <si>
    <t>CHAPA ZINCADA 1200X1565X0,8</t>
  </si>
  <si>
    <t>20013303004004</t>
  </si>
  <si>
    <t>CFD 2.00 X 1200 X 3000 MM ASTM A36</t>
  </si>
  <si>
    <t>T</t>
  </si>
  <si>
    <t>20014303004004</t>
  </si>
  <si>
    <t>CFD 3.00 X 1200 X 3000 MM ASTM A36</t>
  </si>
  <si>
    <t>20015803004024</t>
  </si>
  <si>
    <t>CFD 4,75 X 1200 X 3000 MM NBR6656 LNE 380</t>
  </si>
  <si>
    <t>2002010440</t>
  </si>
  <si>
    <t>CFD 3 X 1200 X 3000 SAE 1020</t>
  </si>
  <si>
    <t>2002010804</t>
  </si>
  <si>
    <t>CFD 2 X 1200 X 3000 SAE 1020</t>
  </si>
  <si>
    <t>200201144</t>
  </si>
  <si>
    <t>CGD 6,35 X 1200 X 3000 SAE 1020</t>
  </si>
  <si>
    <t>2002012003</t>
  </si>
  <si>
    <t>CFD 2 X 1200 X 3000 ASTM A572 - 50</t>
  </si>
  <si>
    <t>2002012015</t>
  </si>
  <si>
    <t>CFD 3 X 1200 X 3000 ASTM A575-50</t>
  </si>
  <si>
    <t>2002012037</t>
  </si>
  <si>
    <t>CFD 4,75 X 1200 X 3000 LNE 38</t>
  </si>
  <si>
    <t>2002012037-50</t>
  </si>
  <si>
    <t>CFD 4,75 X 1200 X 3000 ASTM A572-50</t>
  </si>
  <si>
    <t>2002012186</t>
  </si>
  <si>
    <t>CFD 3 X 1200 X 300 ASTM A572-50</t>
  </si>
  <si>
    <t>2002012206</t>
  </si>
  <si>
    <t>CFD 2 X 1200 X 3000 LNE 38</t>
  </si>
  <si>
    <t>2002012211</t>
  </si>
  <si>
    <t>CFD 3 X 1500 X 3000 SAE 1020</t>
  </si>
  <si>
    <t>2002020162</t>
  </si>
  <si>
    <t>CFF 1,5 X 1200 X 3000 SAE 1020</t>
  </si>
  <si>
    <t>2002021037</t>
  </si>
  <si>
    <t>CFF 1,50 X 1200 X 3000 SAE 1008</t>
  </si>
  <si>
    <t>2002042217</t>
  </si>
  <si>
    <t>CFQ 4 X 1500 X 3000 ASTM A36</t>
  </si>
  <si>
    <t>2002050815</t>
  </si>
  <si>
    <t>CGQ 6,35 X 1200 X 3000 ASTM A36</t>
  </si>
  <si>
    <t>2002061116</t>
  </si>
  <si>
    <t>CGD 6,35 X 1200 X 3000 ASTM A572 - 50</t>
  </si>
  <si>
    <t>2002061143</t>
  </si>
  <si>
    <t>CGD 6,35 X 1200 X 3000 ASTM A572 50</t>
  </si>
  <si>
    <t>200224</t>
  </si>
  <si>
    <t>BOB STRETCH ROLINHO ALPFILM 120MM X 60 MT</t>
  </si>
  <si>
    <t>7898541764504</t>
  </si>
  <si>
    <t>3920.10.99</t>
  </si>
  <si>
    <t>2005013</t>
  </si>
  <si>
    <t>HARDMIG325FLEX - Multi-processo 300A 220V Boxer</t>
  </si>
  <si>
    <t>7898965033071</t>
  </si>
  <si>
    <t>8515.39.00</t>
  </si>
  <si>
    <t>201</t>
  </si>
  <si>
    <t>COXIM  BORRACHA DE ESCAPAMENTOS</t>
  </si>
  <si>
    <t>4016.99.90</t>
  </si>
  <si>
    <t>201011</t>
  </si>
  <si>
    <t>ARRUELA LISA G M8 LG</t>
  </si>
  <si>
    <t>202926</t>
  </si>
  <si>
    <t>PAQUIMETRO 200MM/8 0,02MM UNIV S/ TITANIUM</t>
  </si>
  <si>
    <t>9017.30.20</t>
  </si>
  <si>
    <t>203009</t>
  </si>
  <si>
    <t>ARRUELA PRESS G M8</t>
  </si>
  <si>
    <t>20841</t>
  </si>
  <si>
    <t>TOMADA EM BARRA A DUPLA 2P+T 20A</t>
  </si>
  <si>
    <t>210-BMTH-WMKS</t>
  </si>
  <si>
    <t>Microcomputador Portatil Dell G15 5530</t>
  </si>
  <si>
    <t>8471.30.19</t>
  </si>
  <si>
    <t>21345</t>
  </si>
  <si>
    <t>MG.PLUG MACHO RETO 2P+T 20A CZ PLD2-3 15009</t>
  </si>
  <si>
    <t>21831</t>
  </si>
  <si>
    <t>Processador Intel Core i5-12400 Box (LGA 1700 / 6 Cores / 12 Threads / 4.4GHz / 18MB Cache)</t>
  </si>
  <si>
    <t>5032037237741</t>
  </si>
  <si>
    <t>8542.31.90</t>
  </si>
  <si>
    <t>22</t>
  </si>
  <si>
    <t>RODIZIO P.U</t>
  </si>
  <si>
    <t>234002111</t>
  </si>
  <si>
    <t>TRENA 10MT-33P STARRETT KTS1-10ME-S</t>
  </si>
  <si>
    <t>2521649</t>
  </si>
  <si>
    <t>CHAPA LAMINADA A FRIO</t>
  </si>
  <si>
    <t>2584</t>
  </si>
  <si>
    <t>FERRO 5/16 8MM CA-50 *</t>
  </si>
  <si>
    <t>27</t>
  </si>
  <si>
    <t>TRAVA DIAGONAL MISTA</t>
  </si>
  <si>
    <t>2714</t>
  </si>
  <si>
    <t>STECK TOM.EXT 3P+T 032A 220V AZ N-4209</t>
  </si>
  <si>
    <t>278495</t>
  </si>
  <si>
    <t>DISCO FLAP SMT 800 - 4" 115X22,23MM CO (GROSSO) INOX - KLINGSPOR</t>
  </si>
  <si>
    <t>4014855105830</t>
  </si>
  <si>
    <t>2790674</t>
  </si>
  <si>
    <t>CHAPA LAMINADA A FRIO 1</t>
  </si>
  <si>
    <t>2992000002-I</t>
  </si>
  <si>
    <t>VIGA W 150 X 13,0 - 12M</t>
  </si>
  <si>
    <t>300</t>
  </si>
  <si>
    <t>PLACA 5/8" A-36 15,87 L 200 C 300 CONF. DESENHO</t>
  </si>
  <si>
    <t>7325.99.10</t>
  </si>
  <si>
    <t>350500</t>
  </si>
  <si>
    <t>PO SEXT PESADA 1/2" UNC 2H - 13</t>
  </si>
  <si>
    <t>7898529716815</t>
  </si>
  <si>
    <t>350501</t>
  </si>
  <si>
    <t>PO SEXT PESADA 5/8" UNC 2H - 11</t>
  </si>
  <si>
    <t>7898529716822</t>
  </si>
  <si>
    <t>363101</t>
  </si>
  <si>
    <t>PAR ESTR SXT ASTM A325 1/2" X 1 1/2"</t>
  </si>
  <si>
    <t>7898529736653</t>
  </si>
  <si>
    <t>369658</t>
  </si>
  <si>
    <t>FONTE MSI MAG A650BN 650W 80 PLUS BRONZE PFC ATIVO COM CABO PRETO 3067ZP2B22CE0</t>
  </si>
  <si>
    <t>4719072849627</t>
  </si>
  <si>
    <t>8504.40.29</t>
  </si>
  <si>
    <t>380031</t>
  </si>
  <si>
    <t>BARRA ROSC ASTM A193 B7 5/8"X1 - 11</t>
  </si>
  <si>
    <t>7898529722540</t>
  </si>
  <si>
    <t>390001</t>
  </si>
  <si>
    <t>ARRUELA LISA ASTM F 436 Ã? 5/8"</t>
  </si>
  <si>
    <t>7898529738831</t>
  </si>
  <si>
    <t>3M0065</t>
  </si>
  <si>
    <t>FITA ADESIVA TRANSPARENTE 48mm X 45m - DUREX THREE BOND</t>
  </si>
  <si>
    <t>3919.10.10</t>
  </si>
  <si>
    <t>4</t>
  </si>
  <si>
    <t>GAIOLA GUARDA CORPO 1,5m</t>
  </si>
  <si>
    <t>4,800CRG10</t>
  </si>
  <si>
    <t>ESFERAS ACO CR 52100 DIAM 4,800MM</t>
  </si>
  <si>
    <t>8482.91.19</t>
  </si>
  <si>
    <t>4020007</t>
  </si>
  <si>
    <t>TUBO QUAD. F.F. 20 X 20  1.50 X 6000 MM (5.13 KG/BR)</t>
  </si>
  <si>
    <t>7306.61.00</t>
  </si>
  <si>
    <t>4020009</t>
  </si>
  <si>
    <t>TUBO QUAD. F.F. 25 X 25  1.20 X 6000 MM (5.43 KG/BR)</t>
  </si>
  <si>
    <t>4020013</t>
  </si>
  <si>
    <t>TUBO QUAD. F.F. 25 X 25  1,90 X 6000 MM (7,20 KG/BR)</t>
  </si>
  <si>
    <t>4020013-1</t>
  </si>
  <si>
    <t>TUBO QUAD.FF.25 X25 1,90 X 6000 MM ( 7,20 KG/BR)</t>
  </si>
  <si>
    <t>ME</t>
  </si>
  <si>
    <t>MP - Metais</t>
  </si>
  <si>
    <t>09 - Serviços</t>
  </si>
  <si>
    <t>4022009</t>
  </si>
  <si>
    <t>TUBO RED. F.F. 1.1/4  1.90 X 6000 MM (8.39 KG/BR)</t>
  </si>
  <si>
    <t>4022011</t>
  </si>
  <si>
    <t>TUBO RED. F.F. 1.1/4  1.90 X 6000 MM (9.90 KG/BR)</t>
  </si>
  <si>
    <t>4024017</t>
  </si>
  <si>
    <t>TUBO RET. F.F. 25 X 50  1.50 X 6000 MM (10.23 KG/BR)</t>
  </si>
  <si>
    <t>4024018</t>
  </si>
  <si>
    <t>TUBO RET. F.F. 25 X 50  1.90 X 6000 MM (12.60 KG/BR)</t>
  </si>
  <si>
    <t>4024020</t>
  </si>
  <si>
    <t>TUBO RET. F.F. 25 X 50  2.00 X 6000 MM (13.09 KG/BR)</t>
  </si>
  <si>
    <t>4024026</t>
  </si>
  <si>
    <t>TUBO RET. F.F. 30 X 50  2.00 X 6000 MM (14.10 KG/BR)</t>
  </si>
  <si>
    <t>4024030</t>
  </si>
  <si>
    <t>TUBO RET. F.F. 30 X 40  2.00 X 6000 MM ( 15.43KG/BR)</t>
  </si>
  <si>
    <t>4024041</t>
  </si>
  <si>
    <t>TUBO RET. F.F. 15 X 25  1.5 X 6000 MM (5.228 KG/BR)</t>
  </si>
  <si>
    <t>4024043</t>
  </si>
  <si>
    <t>TUBO RET. F.F. 20 X 30  0.75 X 6000 MM (3.426  KG/BR)</t>
  </si>
  <si>
    <t>4024048</t>
  </si>
  <si>
    <t>TUBO RET. F.F. 60 X 30  2,00 X 6000 MM (16,96 KG/BR)</t>
  </si>
  <si>
    <t>402428</t>
  </si>
  <si>
    <t>PLACA EXTERNA - BOXER OPTIARC 70/90/120 - 115X104</t>
  </si>
  <si>
    <t>3926.90.90</t>
  </si>
  <si>
    <t>4025006</t>
  </si>
  <si>
    <t>TUBO RET. F.Q. 25 X 50  2.65 X 6000 MM (17.35 KG/BR)</t>
  </si>
  <si>
    <t>4030003</t>
  </si>
  <si>
    <t>CHAPA DE ACO F.F. 0.60 X 1200 X 2000 MM (11.30KG/CH)</t>
  </si>
  <si>
    <t>7217.10.90</t>
  </si>
  <si>
    <t>4030004</t>
  </si>
  <si>
    <t>CHAPA DE ACO F.F. 0.75 X 1200 X 2000 MM (14.20KG/CH)</t>
  </si>
  <si>
    <t>4030007</t>
  </si>
  <si>
    <t>CHAPA DE ACO F.F. 0.90 X 1200 X 2000 MM (16.90KG/CH)</t>
  </si>
  <si>
    <t>4030010</t>
  </si>
  <si>
    <t>CHAPA DE ACO F.F. 1.20 X 1200 X 2000 MM (22.60KG/CH)</t>
  </si>
  <si>
    <t>4030012</t>
  </si>
  <si>
    <t>CHAPA DE ACO F.F. 1.50 X 1200 X 2000 MM (28.30 KG/CH)</t>
  </si>
  <si>
    <t>4030014</t>
  </si>
  <si>
    <t>CHAPA DE ACO F.F. 1.90 X1200 X 2000 MM (35.796 KG/CH)</t>
  </si>
  <si>
    <t>4030015</t>
  </si>
  <si>
    <t>CHAPA DE AÇO F.F 2,25 X 1200 X 3000 MM (65.00KG/CH)</t>
  </si>
  <si>
    <t>4030016</t>
  </si>
  <si>
    <t>CHAPA DE ACO F.F. 2.25 X 1200 X 2000  MM ( 44.00 KG )</t>
  </si>
  <si>
    <t>4030017</t>
  </si>
  <si>
    <t>CHAPA DE ACO F.F. 3.00 X 1200 X 2000 MM  (56 KG/CH)</t>
  </si>
  <si>
    <t>4030035</t>
  </si>
  <si>
    <t>CHAPA DE ACO F.F. 0.90 X 1200 X 3000 MM (20.00KG/CH)</t>
  </si>
  <si>
    <t>4031001</t>
  </si>
  <si>
    <t>CHAPA DE ACO F.Q. 2.25 X 1200 X 2000 MM (43.40KG/CH)</t>
  </si>
  <si>
    <t>4033003</t>
  </si>
  <si>
    <t>CHAPA DE INOX 304 2.00 X 1250 X 2000 MM ESCOVADA 2 LADOS (42 KG/CH)</t>
  </si>
  <si>
    <t>7219.34.00</t>
  </si>
  <si>
    <t>4033006</t>
  </si>
  <si>
    <t>CHAPA DE INOX 304 1.50 X 1250 X 2000 MM ESCOVADO 2 FACES (42 KG/CH)</t>
  </si>
  <si>
    <t>4034002</t>
  </si>
  <si>
    <t>CHAPA EXPANDIDA # 1,25 X 1000 X 2000 MM  MALHA 20 X 9 MM</t>
  </si>
  <si>
    <t>7314.50.00</t>
  </si>
  <si>
    <t>M</t>
  </si>
  <si>
    <t>4039007</t>
  </si>
  <si>
    <t>CHAPA DE ACO PERF 0.90 X 1000 X 2000 MM  (FURO 9.5 EC 12)</t>
  </si>
  <si>
    <t>410</t>
  </si>
  <si>
    <t>PLACA 5/8" A-36 15,87 L 190 C 410 SOM. PLACA C/ FUROS</t>
  </si>
  <si>
    <t>42040680</t>
  </si>
  <si>
    <t>Placa Mae Gigabyte H610M K DDR4, LGA 1700, M-ATX, Chipset Intel H610, H610M-K-DDR4</t>
  </si>
  <si>
    <t>4719331851675</t>
  </si>
  <si>
    <t>8473.30.41</t>
  </si>
  <si>
    <t>428</t>
  </si>
  <si>
    <t>CH MARGIRIUS 40108 A2E2Q MICRO INTER.15A</t>
  </si>
  <si>
    <t>43120059</t>
  </si>
  <si>
    <t>CFQ 12 X 1200 X 3000</t>
  </si>
  <si>
    <t>44865</t>
  </si>
  <si>
    <t>Gabinete Gamer Concordia Monster 4 fans ARGB</t>
  </si>
  <si>
    <t>7896595524891</t>
  </si>
  <si>
    <t>8473.30.11</t>
  </si>
  <si>
    <t>47140033</t>
  </si>
  <si>
    <t>CZ 14 X 1200 X 3000</t>
  </si>
  <si>
    <t>47180002</t>
  </si>
  <si>
    <t>CZ 18 X 1200 X 3000</t>
  </si>
  <si>
    <t>PÇ</t>
  </si>
  <si>
    <t>50012528</t>
  </si>
  <si>
    <t>Chapa Fina a Quente 2,00X1200X3000 USI-SAC-300</t>
  </si>
  <si>
    <t>7225.40.90</t>
  </si>
  <si>
    <t>TN</t>
  </si>
  <si>
    <t>50013674</t>
  </si>
  <si>
    <t>ARAME MIG 0,8MM 15KG - WHITE MARTINS PRO STAR</t>
  </si>
  <si>
    <t>7229.20.00</t>
  </si>
  <si>
    <t>507</t>
  </si>
  <si>
    <t>AREIA MEDIA LAV. JACAREI</t>
  </si>
  <si>
    <t>2505.90.00</t>
  </si>
  <si>
    <t>M3</t>
  </si>
  <si>
    <t>52249799</t>
  </si>
  <si>
    <t>BOB_ACO_2,00 X 222_CR02</t>
  </si>
  <si>
    <t>8708.99.90</t>
  </si>
  <si>
    <t>5237</t>
  </si>
  <si>
    <t>#72193300#KIT ACO</t>
  </si>
  <si>
    <t>5238</t>
  </si>
  <si>
    <t>#32141010#KIT COLA</t>
  </si>
  <si>
    <t>3214.10.10</t>
  </si>
  <si>
    <t>5239</t>
  </si>
  <si>
    <t>#54071011#KIT MANTA</t>
  </si>
  <si>
    <t>5407.10.11</t>
  </si>
  <si>
    <t>5252</t>
  </si>
  <si>
    <t>#0101500#70072100#KIT VIDROS COMPASS</t>
  </si>
  <si>
    <t>7007.21.00</t>
  </si>
  <si>
    <t>5361899465</t>
  </si>
  <si>
    <t>AVENTAL RASPA 1,00X0,60</t>
  </si>
  <si>
    <t>4065746803441</t>
  </si>
  <si>
    <t>4203.10.00</t>
  </si>
  <si>
    <t>560028</t>
  </si>
  <si>
    <t>APLICADOR UNIVERSAL 300 ML</t>
  </si>
  <si>
    <t>7898529735762</t>
  </si>
  <si>
    <t>560064</t>
  </si>
  <si>
    <t>CHUMBADOR QUIMICO WQI 44 300 ML</t>
  </si>
  <si>
    <t>7898529733393</t>
  </si>
  <si>
    <t>3506.10.90</t>
  </si>
  <si>
    <t>57-675CD21-556</t>
  </si>
  <si>
    <t>JEEP/COMPASS LONGITUDE T 005 PASSAGEIROS</t>
  </si>
  <si>
    <t>8703.22.10</t>
  </si>
  <si>
    <t>57-675CD21-556_210</t>
  </si>
  <si>
    <t>VERNICE METALLIZZATA</t>
  </si>
  <si>
    <t>57-675CD21-556_WS6</t>
  </si>
  <si>
    <t>19X7.5 POLISHED ALUMINUM WHEELS</t>
  </si>
  <si>
    <t>570020</t>
  </si>
  <si>
    <t>BROCA WALSYWA SDS-PLUS 19X200</t>
  </si>
  <si>
    <t>7898529710424</t>
  </si>
  <si>
    <t>6355854</t>
  </si>
  <si>
    <t>GASOLINA C COMUM</t>
  </si>
  <si>
    <t>2710.12.59</t>
  </si>
  <si>
    <t>L</t>
  </si>
  <si>
    <t>6355870</t>
  </si>
  <si>
    <t>ETANOL HIDRATADO COM</t>
  </si>
  <si>
    <t>2207.10.90</t>
  </si>
  <si>
    <t>6493</t>
  </si>
  <si>
    <t>PARAFUSO ALLEN C/C M4 X 25</t>
  </si>
  <si>
    <t>6538770</t>
  </si>
  <si>
    <t>MICROONDAS MIDEA MRA</t>
  </si>
  <si>
    <t>7898554875051</t>
  </si>
  <si>
    <t>8516.50.00</t>
  </si>
  <si>
    <t>6EA096301C</t>
  </si>
  <si>
    <t>SOLUCAO</t>
  </si>
  <si>
    <t>3402.90.90</t>
  </si>
  <si>
    <t>6EA096306A</t>
  </si>
  <si>
    <t>DESENGRIPANTE - 100ML</t>
  </si>
  <si>
    <t>6EA096306C</t>
  </si>
  <si>
    <t>GRAXA LIQUIDA - 100ML</t>
  </si>
  <si>
    <t>3824.99.41</t>
  </si>
  <si>
    <t>6EA096306E</t>
  </si>
  <si>
    <t>SILICONE - 100ML</t>
  </si>
  <si>
    <t>3910.00.12</t>
  </si>
  <si>
    <t>6EA096309A</t>
  </si>
  <si>
    <t>PROTETOR DE MOTORES - 200ML</t>
  </si>
  <si>
    <t>6EA096320</t>
  </si>
  <si>
    <t>ADITIVO</t>
  </si>
  <si>
    <t>3820.00.00</t>
  </si>
  <si>
    <t>6Q0820367B</t>
  </si>
  <si>
    <t>FILTRO POLEN JZZ819653</t>
  </si>
  <si>
    <t>8421.39.90</t>
  </si>
  <si>
    <t>7005005</t>
  </si>
  <si>
    <t>MASCARA AUT. BOXER - OPTIARC 90</t>
  </si>
  <si>
    <t>7898720900488</t>
  </si>
  <si>
    <t>6506.10.00</t>
  </si>
  <si>
    <t>77688</t>
  </si>
  <si>
    <t>GRAMPO TIPO C   8" MARCON</t>
  </si>
  <si>
    <t>7896590631464</t>
  </si>
  <si>
    <t>8205.70.00</t>
  </si>
  <si>
    <t>804051</t>
  </si>
  <si>
    <t>BROCA HSS A100 06,8</t>
  </si>
  <si>
    <t>81831</t>
  </si>
  <si>
    <t>MONITOR 23.8" HQ LED, WIDESCREEN, 75HZ, HDMI, VGA M24HQ</t>
  </si>
  <si>
    <t>8528.52.00</t>
  </si>
  <si>
    <t>83127</t>
  </si>
  <si>
    <t>GRAMPO TIPO C   4" MARCON</t>
  </si>
  <si>
    <t>7896590631440</t>
  </si>
  <si>
    <t>83133</t>
  </si>
  <si>
    <t>GRAMPO TIPO C   3" MARCON</t>
  </si>
  <si>
    <t>7896590631433</t>
  </si>
  <si>
    <t>879042</t>
  </si>
  <si>
    <t>MACHO MAN AC M08X1,25 C/2 ROCAST</t>
  </si>
  <si>
    <t>JOGO</t>
  </si>
  <si>
    <t>9</t>
  </si>
  <si>
    <t>ESCADA METALICA TIPO MARINHEIRO PARA ANDAIME TUBULAR 2M</t>
  </si>
  <si>
    <t>92</t>
  </si>
  <si>
    <t>TERM FEMEA PRE-ISOL 1,5MM VM 6,3</t>
  </si>
  <si>
    <t>921679</t>
  </si>
  <si>
    <t>MEMORIA RAM KINGSTON FURY BEAST 8GB 3200MTS DDR4 CL16 DIMM PRETO KF432C16BB8WP</t>
  </si>
  <si>
    <t>740617351903</t>
  </si>
  <si>
    <t>8473.30.42</t>
  </si>
  <si>
    <t>92712</t>
  </si>
  <si>
    <t>SMART TV LG 43" 4K TU801C</t>
  </si>
  <si>
    <t>7893299959097</t>
  </si>
  <si>
    <t>8528.72.00</t>
  </si>
  <si>
    <t>93</t>
  </si>
  <si>
    <t>TERM FEMEA PRE-ISOL 2,50MM AZ 6,3</t>
  </si>
  <si>
    <t>950</t>
  </si>
  <si>
    <t>Campainha Eletronica Audiovisual Amplificada - CTA-004-D</t>
  </si>
  <si>
    <t>7898465610048</t>
  </si>
  <si>
    <t>8517.69.00</t>
  </si>
  <si>
    <t>950514-01</t>
  </si>
  <si>
    <t>CHAPA  XADREZ 3MM 1200 X 3000</t>
  </si>
  <si>
    <t>9866109480</t>
  </si>
  <si>
    <t>BOB_ACO_1,50 X 279,00_ LAC340Y410T_GI60/60_MS50002</t>
  </si>
  <si>
    <t>7220.20.90</t>
  </si>
  <si>
    <t>99.87.000</t>
  </si>
  <si>
    <t>ET 1000 MULTIMETRO DIGITAL MINIPA</t>
  </si>
  <si>
    <t>9030.31.00</t>
  </si>
  <si>
    <t>PECA</t>
  </si>
  <si>
    <t>99.87.030</t>
  </si>
  <si>
    <t>ET 3200 ALICATE DIGITAL MINIPA</t>
  </si>
  <si>
    <t>9901008</t>
  </si>
  <si>
    <t>CHAPA 1045 1 1/4 X 65 X 155</t>
  </si>
  <si>
    <t>A-00663963-00</t>
  </si>
  <si>
    <t>BATTERY TRAY CPL</t>
  </si>
  <si>
    <t>A70039</t>
  </si>
  <si>
    <t>ABRACADEIRA F 14,5 F 140/159 6.1/4"</t>
  </si>
  <si>
    <t>BRAZILPC-BPC527117</t>
  </si>
  <si>
    <t>Kit Teclado e Mouse sem Fio Brazil PC BPC-5271/17 - ABNT2 - 1200DPI - Preto</t>
  </si>
  <si>
    <t>7898571460872</t>
  </si>
  <si>
    <t>8471.60.52</t>
  </si>
  <si>
    <t>C-07CCR</t>
  </si>
  <si>
    <t>LUVA RASPA P07 - ZANEL - CA 16074</t>
  </si>
  <si>
    <t>CFOP9999 (1)</t>
  </si>
  <si>
    <t>3,00X1205X3000</t>
  </si>
  <si>
    <t>7204.30.00</t>
  </si>
  <si>
    <t>CFOP9999 (2)</t>
  </si>
  <si>
    <t>4,25X1200X2000</t>
  </si>
  <si>
    <t>CFOP9999 (3)</t>
  </si>
  <si>
    <t>4,75X1200X2000</t>
  </si>
  <si>
    <t>CHPALU201015</t>
  </si>
  <si>
    <t>CHAPA DE ALUM 2000X1000X150mm</t>
  </si>
  <si>
    <t>7604.21.00</t>
  </si>
  <si>
    <t>DAC115-14</t>
  </si>
  <si>
    <t>DISCO CORTE INOX/FERRO 4 " - STARRETT - 115X1,0X22,23</t>
  </si>
  <si>
    <t>7891265148520</t>
  </si>
  <si>
    <t>E60008</t>
  </si>
  <si>
    <t>FITA POLIETILENO AUTO ADESIVA 30 X 05MM X 10MTS</t>
  </si>
  <si>
    <t>4008.21.00</t>
  </si>
  <si>
    <t>FITAKITSELOPET16</t>
  </si>
  <si>
    <t>Esticador Tensionador +  Alicate + Fita Arquear Pet + Grampo Largura:16 mm</t>
  </si>
  <si>
    <t>3915.90.00</t>
  </si>
  <si>
    <t>FXT24228-C</t>
  </si>
  <si>
    <t>CHP_ACO_2,50 X 1000 X 1200_EN10149-2_S355MC</t>
  </si>
  <si>
    <t>FXT24230</t>
  </si>
  <si>
    <t>FEMALE BRACKET</t>
  </si>
  <si>
    <t>FXT24230-C</t>
  </si>
  <si>
    <t>CHP_ACO_2,30 X 1000 X 1200_EN10149-2_S355MC</t>
  </si>
  <si>
    <t>FXT24274-A</t>
  </si>
  <si>
    <t>PATTE LH</t>
  </si>
  <si>
    <t>FXT24275-A</t>
  </si>
  <si>
    <t>PATTE RH</t>
  </si>
  <si>
    <t>G00045002</t>
  </si>
  <si>
    <t>0,02 - LUBRIFICANTE ESPECIAL PARA TELHADOS DESLIZANTES/INCLINAVEIS - G052142A2 -</t>
  </si>
  <si>
    <t>3403.99.00</t>
  </si>
  <si>
    <t>G40002</t>
  </si>
  <si>
    <t>MANG CRISTAL 004.8mm 3/16" X 1.0</t>
  </si>
  <si>
    <t>3917.39.00</t>
  </si>
  <si>
    <t>GS55553R6BRA</t>
  </si>
  <si>
    <t>OLEO MOTOR TAMBOR 5W40 NORMA 508</t>
  </si>
  <si>
    <t>JZZ129620M</t>
  </si>
  <si>
    <t>ELEMENTO</t>
  </si>
  <si>
    <t>8421.99.99</t>
  </si>
  <si>
    <t>L40004</t>
  </si>
  <si>
    <t>FILME STRECH MANUAL 500 X 0,025MM BB GD</t>
  </si>
  <si>
    <t>L40009</t>
  </si>
  <si>
    <t>FILME STRECH MANUAL 100 X 0,025MM BB PQ.</t>
  </si>
  <si>
    <t>M1-215</t>
  </si>
  <si>
    <t>DESENGRIPANTE STARRET M1 300ML/200GR MICRO OLEO</t>
  </si>
  <si>
    <t>7891265932150</t>
  </si>
  <si>
    <t>M10005</t>
  </si>
  <si>
    <t>MANG PU VACUO AR 152.4MM 6" PU-C</t>
  </si>
  <si>
    <t>MP0102</t>
  </si>
  <si>
    <t>TIR_ACO_1,16 X 110 X 1200_SAE 1070</t>
  </si>
  <si>
    <t>7211.14.00</t>
  </si>
  <si>
    <t>MP4312</t>
  </si>
  <si>
    <t>BOB_ACO_2,00 X 241_LAH340Y410T</t>
  </si>
  <si>
    <t>MP6521</t>
  </si>
  <si>
    <t>CHP_ ACO 2,25 X 1200 X 3000 _F.F_EEP_ NBR5915</t>
  </si>
  <si>
    <t>MP9699</t>
  </si>
  <si>
    <t>BOB_ACO_2,00 X 160_HR11</t>
  </si>
  <si>
    <t>N0138158</t>
  </si>
  <si>
    <t>ANEL</t>
  </si>
  <si>
    <t>7326.19.00</t>
  </si>
  <si>
    <t>N90288901</t>
  </si>
  <si>
    <t>BUJAO CARTER PARAFUSO</t>
  </si>
  <si>
    <t>OS454E25G-POS0000</t>
  </si>
  <si>
    <t>CHAPA CORTE A LASER</t>
  </si>
  <si>
    <t>PECB-0008</t>
  </si>
  <si>
    <t>Bico Plano Fibra Raytools Single 2.0 MM</t>
  </si>
  <si>
    <t>8466.93.20</t>
  </si>
  <si>
    <t>PECB-0012</t>
  </si>
  <si>
    <t>Bico Ceramica Fibra Raytools  D32MM</t>
  </si>
  <si>
    <t>6914.10.00</t>
  </si>
  <si>
    <t>PECL-0017</t>
  </si>
  <si>
    <t>Lente Protecao Inferior Fibra de Corte 27,9MMx4,1MM</t>
  </si>
  <si>
    <t>9001.90.10</t>
  </si>
  <si>
    <t>PED.717.</t>
  </si>
  <si>
    <t>CHAPA INOX 430 1,00X1250X3000-ESC.LASER-OFERTA</t>
  </si>
  <si>
    <t>PED.720</t>
  </si>
  <si>
    <t>CHAPA INOX 304 1,50X1040X3000-OFERTA</t>
  </si>
  <si>
    <t>PED.729</t>
  </si>
  <si>
    <t>CHAPA 304 1,00MMX1250X2000-V</t>
  </si>
  <si>
    <t>PR002100100018</t>
  </si>
  <si>
    <t>CHAPA PERFURADA ACO CARBONO 1,50X1000X2000 MM FURO REDONDO 4,76 EC 7,00 MM MARGEM 10/15 MM</t>
  </si>
  <si>
    <t>PRD00001</t>
  </si>
  <si>
    <t>CL - Corte a Laser (h)</t>
  </si>
  <si>
    <t>CL</t>
  </si>
  <si>
    <t>Mo - Mão de obra</t>
  </si>
  <si>
    <t>0000.00.00</t>
  </si>
  <si>
    <t>H</t>
  </si>
  <si>
    <t>PRD00002</t>
  </si>
  <si>
    <t>Peça teste</t>
  </si>
  <si>
    <t>04 - Produto Acabado</t>
  </si>
  <si>
    <t>PRD00003</t>
  </si>
  <si>
    <t>MP - Aço Carbono</t>
  </si>
  <si>
    <t>01 - Matéria Prima</t>
  </si>
  <si>
    <t>PRD00004</t>
  </si>
  <si>
    <t>MP - Aço Inox</t>
  </si>
  <si>
    <t>PRD00005</t>
  </si>
  <si>
    <t>MP - Alumínio</t>
  </si>
  <si>
    <t>7616.99.00</t>
  </si>
  <si>
    <t>PRD00006</t>
  </si>
  <si>
    <t>MP - Latão</t>
  </si>
  <si>
    <t>7403.11.00</t>
  </si>
  <si>
    <t>PRD00007</t>
  </si>
  <si>
    <t>Colar Pós-cirúrgico Bildsam n.º 01  VERMELHO</t>
  </si>
  <si>
    <t>PA - Colares Pós Cirurgicos</t>
  </si>
  <si>
    <t>7897599200170</t>
  </si>
  <si>
    <t>1UN</t>
  </si>
  <si>
    <t>Cor: Vermelho</t>
  </si>
  <si>
    <t>PRD00008</t>
  </si>
  <si>
    <t>Colar Pós-cirúrgico Bildsam n.º 02 VERMELHO</t>
  </si>
  <si>
    <t>7897599200187</t>
  </si>
  <si>
    <t>PRD00009</t>
  </si>
  <si>
    <t>Colar Pós-cirúrgico Bildsam n.º 03 VERMELHO</t>
  </si>
  <si>
    <t>7897599200194</t>
  </si>
  <si>
    <t>PRD00010</t>
  </si>
  <si>
    <t>Colar Pós-cirúrgico Bildsam n.º 04 VERMELHO</t>
  </si>
  <si>
    <t>7897599200200</t>
  </si>
  <si>
    <t>PRD00011</t>
  </si>
  <si>
    <t>Colar Pós-cirúrgico Bildsam n.º 05 VERMELHO</t>
  </si>
  <si>
    <t>7897599200217</t>
  </si>
  <si>
    <t>PRD00012</t>
  </si>
  <si>
    <t>Colar Pós-cirúrgico Bildsam n.º 06 VERMELHO</t>
  </si>
  <si>
    <t>7897599200224</t>
  </si>
  <si>
    <t>PRD00013</t>
  </si>
  <si>
    <t>Colar Pós-cirúrgico Bildsam n.º 07 VERMELHO</t>
  </si>
  <si>
    <t>7897599200231</t>
  </si>
  <si>
    <t>PRD00014</t>
  </si>
  <si>
    <t>Colar Pós-cirúrgico Bildsam n.º 08 VERMELHO</t>
  </si>
  <si>
    <t>7897599200248</t>
  </si>
  <si>
    <t>PRD00015</t>
  </si>
  <si>
    <t>Colar Pós-cirúrgico Bildsam n.º 09 VERMELHO</t>
  </si>
  <si>
    <t>7897599200255</t>
  </si>
  <si>
    <t>PRD00016</t>
  </si>
  <si>
    <t>Colar Pós-cirúrgico Bildsam n.º 10 VERMELHO</t>
  </si>
  <si>
    <t>7897599200262</t>
  </si>
  <si>
    <t>PRD00017</t>
  </si>
  <si>
    <t>Colar Pós-cirúrgico Bildsam n.º 01  AZUL</t>
  </si>
  <si>
    <t>7897599200279</t>
  </si>
  <si>
    <t>Cor: Azul</t>
  </si>
  <si>
    <t>PRD00018</t>
  </si>
  <si>
    <t>Colar Pós-cirúrgico Bildsam n.º 02 AZUL</t>
  </si>
  <si>
    <t>7897599200286</t>
  </si>
  <si>
    <t>PRD00019</t>
  </si>
  <si>
    <t>Colar Pós-cirúrgico Bildsam n.º 03 AZUL</t>
  </si>
  <si>
    <t>7897599200293</t>
  </si>
  <si>
    <t>PRD00020</t>
  </si>
  <si>
    <t>Colar Pós-cirúrgico Bildsam n.º 04 AZUL</t>
  </si>
  <si>
    <t>7897599200309</t>
  </si>
  <si>
    <t>PRD00021</t>
  </si>
  <si>
    <t>Colar Pós-cirúrgico Bildsam n.º 05 AZUL</t>
  </si>
  <si>
    <t>7897599200316</t>
  </si>
  <si>
    <t>PRD00022</t>
  </si>
  <si>
    <t>Colar Pós-cirúrgico Bildsam n.º 06 AZUL</t>
  </si>
  <si>
    <t>7897599200323</t>
  </si>
  <si>
    <t>PRD00023</t>
  </si>
  <si>
    <t>Colar Pós-cirúrgico Bildsam n.º 07 AZUL</t>
  </si>
  <si>
    <t>7897599200330</t>
  </si>
  <si>
    <t>PRD00024</t>
  </si>
  <si>
    <t>Colar Pós-cirúrgico Bildsam n.º 08 AZUL</t>
  </si>
  <si>
    <t>7897599200347</t>
  </si>
  <si>
    <t>PRD00025</t>
  </si>
  <si>
    <t>Colar Pós-cirúrgico Bildsam n.º 09 AZUL</t>
  </si>
  <si>
    <t>7897599200354</t>
  </si>
  <si>
    <t>PRD00026</t>
  </si>
  <si>
    <t>Colar Pós-cirúrgico Bildsam n.º 10 AZUL</t>
  </si>
  <si>
    <t>7897599200361</t>
  </si>
  <si>
    <t>PRD00027</t>
  </si>
  <si>
    <t>Focinheira Bildsam n.º 01 VERMELHA</t>
  </si>
  <si>
    <t>PA - Focinheiras</t>
  </si>
  <si>
    <t>7897599200163</t>
  </si>
  <si>
    <t>PRD00028</t>
  </si>
  <si>
    <t>Focinheira Bildsam n.º 01 AZUL</t>
  </si>
  <si>
    <t>7897599200415</t>
  </si>
  <si>
    <t>PRD00029</t>
  </si>
  <si>
    <t>Focinheira Bildsam n.º 02 AZUL</t>
  </si>
  <si>
    <t>7897599200422</t>
  </si>
  <si>
    <t>PRD00030</t>
  </si>
  <si>
    <t>Focinheira Bildsam n.º 02 VERMELHA</t>
  </si>
  <si>
    <t>7897599200378</t>
  </si>
  <si>
    <t>PRD00031</t>
  </si>
  <si>
    <t>Focinheira Bildsam n.º 03 VERMELHA</t>
  </si>
  <si>
    <t>7897599200385</t>
  </si>
  <si>
    <t>PRD00032</t>
  </si>
  <si>
    <t>Focinheira Bildsam n.º 03 AZUL</t>
  </si>
  <si>
    <t>7897599200439</t>
  </si>
  <si>
    <t>PRD00033</t>
  </si>
  <si>
    <t>Focinheira Bildsam n.º 04 VERMELHA</t>
  </si>
  <si>
    <t>7897599200392</t>
  </si>
  <si>
    <t>PRD00034</t>
  </si>
  <si>
    <t>Focinheira Bildsam n.º 05 VERMELHA</t>
  </si>
  <si>
    <t>7897599200408</t>
  </si>
  <si>
    <t>PRD00035</t>
  </si>
  <si>
    <t>Focinheira Bildsam n.º 05 AZUL</t>
  </si>
  <si>
    <t>7897599200453</t>
  </si>
  <si>
    <t>PRD00036</t>
  </si>
  <si>
    <t>Focinheira Bildsam n.º 04 AZUL</t>
  </si>
  <si>
    <t>7897599200446</t>
  </si>
  <si>
    <t>PRD00037</t>
  </si>
  <si>
    <t>Alimentador Tradicional (400ml) VERDE</t>
  </si>
  <si>
    <t>PA - Alimentadores</t>
  </si>
  <si>
    <t>7897599200460</t>
  </si>
  <si>
    <t>PRD00038</t>
  </si>
  <si>
    <t>Alimentador Tradicional (2000ml) VERDE</t>
  </si>
  <si>
    <t>7897599200477</t>
  </si>
  <si>
    <t>PRD00039</t>
  </si>
  <si>
    <t>Alimentador Tradicional (400ml) AZUL</t>
  </si>
  <si>
    <t>7897599200484</t>
  </si>
  <si>
    <t>PRD00040</t>
  </si>
  <si>
    <t>Alimentador Tradicional (400ml) VERMELHO</t>
  </si>
  <si>
    <t>7897599200507</t>
  </si>
  <si>
    <t>PRD00041</t>
  </si>
  <si>
    <t>Alimentador Tradicional (2000ml) AZUL</t>
  </si>
  <si>
    <t>7897599200491</t>
  </si>
  <si>
    <t>PRD00042</t>
  </si>
  <si>
    <t>Alimentador Tradicional (2000ml) AMARELO</t>
  </si>
  <si>
    <t>7897599200514</t>
  </si>
  <si>
    <t>PRD00043</t>
  </si>
  <si>
    <t>Colar Pós-cirúrgico Bildsam c/ Botão de Pressão n.º 01 VERMELHO</t>
  </si>
  <si>
    <t>7897599201009</t>
  </si>
  <si>
    <t>PRD00044</t>
  </si>
  <si>
    <t>Colar Pós-cirúrgico Bildsam c/ Botão de Pressão n.º 02 VERMELHO</t>
  </si>
  <si>
    <t>7897599201016</t>
  </si>
  <si>
    <t>PRD00045</t>
  </si>
  <si>
    <t>Colar Pós-cirúrgico Bildsam c/ Botão de Pressão n.º 03 VERMELHO</t>
  </si>
  <si>
    <t>7897599201023</t>
  </si>
  <si>
    <t>PRD00046</t>
  </si>
  <si>
    <t>Colar Pós-cirúrgico Bildsam c/ Botão de Pressão n.º 04 VERMELHO</t>
  </si>
  <si>
    <t>7897599201030</t>
  </si>
  <si>
    <t>PRD00047</t>
  </si>
  <si>
    <t>Colar Pós-cirúrgico Bildsam c/ Botão de Pressão n.º 05 VERMELHO</t>
  </si>
  <si>
    <t>7897599201047</t>
  </si>
  <si>
    <t>PRD00048</t>
  </si>
  <si>
    <t>Colar Pós-cirúrgico Bildsam c/ Botão de Pressão n.º 06 VERMELHO</t>
  </si>
  <si>
    <t>7897599201054</t>
  </si>
  <si>
    <t>PRD00049</t>
  </si>
  <si>
    <t>Colar Pós-cirúrgico Bildsam c/ Botão de Pressão n.º 07 VERMELHO</t>
  </si>
  <si>
    <t>7897599201061</t>
  </si>
  <si>
    <t>PRD00050</t>
  </si>
  <si>
    <t>Colar Pós-cirúrgico Bildsam c/ Botão de Pressão n.º 08 VERMELHO</t>
  </si>
  <si>
    <t>7897599201078</t>
  </si>
  <si>
    <t>PRD00051</t>
  </si>
  <si>
    <t>Colar Pós-cirúrgico Bildsam c/ Botão de Pressão n.º 09 VERMELHO</t>
  </si>
  <si>
    <t>7897599201085</t>
  </si>
  <si>
    <t>PRD00052</t>
  </si>
  <si>
    <t>Colar Pós-cirúrgico Bildsam c/ Botão de Pressão n.º 10 VERMELHO</t>
  </si>
  <si>
    <t>7897599201092</t>
  </si>
  <si>
    <t>PRD00053</t>
  </si>
  <si>
    <t>Colar Pós-cirúrgico Bildsam c/ Botão de Pressão n.º 01 AZUL</t>
  </si>
  <si>
    <t>7897599201108</t>
  </si>
  <si>
    <t>PRD00054</t>
  </si>
  <si>
    <t>Colar Pós-cirúrgico Bildsam c/ Botão de Pressão n.º 02 AZUL</t>
  </si>
  <si>
    <t>7897599201115</t>
  </si>
  <si>
    <t>PRD00055</t>
  </si>
  <si>
    <t>Colar Pós-cirúrgico Bildsam c/ Botão de Pressão n.º 03 AZUL</t>
  </si>
  <si>
    <t>7897599201122</t>
  </si>
  <si>
    <t>PRD00056</t>
  </si>
  <si>
    <t>Colar Pós-cirúrgico Bildsam c/ Botão de Pressão n.º 04 AZUL</t>
  </si>
  <si>
    <t>7897599201139</t>
  </si>
  <si>
    <t>PRD00057</t>
  </si>
  <si>
    <t>Colar Pós-cirúrgico Bildsam c/ Botão de Pressão n.º 05 AZUL</t>
  </si>
  <si>
    <t>7897599201146</t>
  </si>
  <si>
    <t>PRD00058</t>
  </si>
  <si>
    <t>Colar Pós-cirúrgico Bildsam c/ Botão de Pressão n.º 06 AZUL</t>
  </si>
  <si>
    <t>7897599201153</t>
  </si>
  <si>
    <t>PRD00059</t>
  </si>
  <si>
    <t>Colar Pós-cirúrgico Bildsam c/ Botão de Pressão n.º 07 AZUL</t>
  </si>
  <si>
    <t>7897599201160</t>
  </si>
  <si>
    <t>PRD00060</t>
  </si>
  <si>
    <t>Colar Pós-cirúrgico Bildsam c/ Botão de Pressão n.º 08 AZUL</t>
  </si>
  <si>
    <t>7897599201177</t>
  </si>
  <si>
    <t>PRD00061</t>
  </si>
  <si>
    <t>Colar Pós-cirúrgico Bildsam c/ Botão de Pressão n.º 09 AZUL</t>
  </si>
  <si>
    <t>7897599201184</t>
  </si>
  <si>
    <t>PRD00062</t>
  </si>
  <si>
    <t>Colar Pós-cirúrgico Bildsam c/ Botão de Pressão n.º 10 AZUL</t>
  </si>
  <si>
    <t>7897599201191</t>
  </si>
  <si>
    <t>PRD00063</t>
  </si>
  <si>
    <t>MP - Chapa Metálica em Aço Carbono 3000 x 1200 x 2mm</t>
  </si>
  <si>
    <t>Material: Metal</t>
  </si>
  <si>
    <t>PRD00065</t>
  </si>
  <si>
    <t>DO - Dobra</t>
  </si>
  <si>
    <t>PRD00066</t>
  </si>
  <si>
    <t>USI - Usinagem</t>
  </si>
  <si>
    <t>PRD00067</t>
  </si>
  <si>
    <t>PINT - Pintura</t>
  </si>
  <si>
    <t>M²</t>
  </si>
  <si>
    <t>PRD00068</t>
  </si>
  <si>
    <t>GALV - Galvanização Elétrolitica</t>
  </si>
  <si>
    <t>PRD00069</t>
  </si>
  <si>
    <t>GALV - Galvanização á Fogo / Zincagem a fogo</t>
  </si>
  <si>
    <t>PRD00070</t>
  </si>
  <si>
    <t>CAL - Calandragem</t>
  </si>
  <si>
    <t>PRD00071</t>
  </si>
  <si>
    <t>SOLM - Solda MIG (un.)</t>
  </si>
  <si>
    <t>PRD00072</t>
  </si>
  <si>
    <t>SOLT - Solda TIG (un.)</t>
  </si>
  <si>
    <t>PRD00073</t>
  </si>
  <si>
    <t>SOLP - Solda PROJEÇÃO (un.)</t>
  </si>
  <si>
    <t>PRD00074</t>
  </si>
  <si>
    <t>CAIXA M20 CONJUNTO</t>
  </si>
  <si>
    <t>CI</t>
  </si>
  <si>
    <t>PR - Componentes industriais</t>
  </si>
  <si>
    <t>7310.10.90</t>
  </si>
  <si>
    <t>Processo de Fabricação: MP + CL + DO</t>
  </si>
  <si>
    <t>PRD00075</t>
  </si>
  <si>
    <t>3181426 - TUBO ENTALHADO 25 X 25 # 2,0 X X 1500 MM ( ENT 2 LADO)</t>
  </si>
  <si>
    <t>Processo de Fabricação: CL</t>
  </si>
  <si>
    <t>PRD00076</t>
  </si>
  <si>
    <t>CORTE GRAV FONTANEZI - COMPRIMENTO 24mm</t>
  </si>
  <si>
    <t>7409.29.00</t>
  </si>
  <si>
    <t>PRD00077</t>
  </si>
  <si>
    <t>CORTE GRAV TOOLS - COMPRIMENTO 24mm</t>
  </si>
  <si>
    <t>PRD00078</t>
  </si>
  <si>
    <t>1300 X 207 X 4,75</t>
  </si>
  <si>
    <t>Material: AÇO CARBONO</t>
  </si>
  <si>
    <t>PRD00079</t>
  </si>
  <si>
    <t>3000X 207 X 4,7</t>
  </si>
  <si>
    <t>PRD00080</t>
  </si>
  <si>
    <t>3000X 207 X 4,75</t>
  </si>
  <si>
    <t>PRD00081</t>
  </si>
  <si>
    <t>CHURRASQUEIRA JEEP</t>
  </si>
  <si>
    <t>PRD00082</t>
  </si>
  <si>
    <t>MANCAL BARCO 1</t>
  </si>
  <si>
    <t>Material: AÇO CARBONO, Processo de Fabricação: CL, ESPESSURA: #6.35mm</t>
  </si>
  <si>
    <t>PRD00083</t>
  </si>
  <si>
    <t>SUPORTE PARA IÇAR</t>
  </si>
  <si>
    <t>PRD00084</t>
  </si>
  <si>
    <t>MANCAL BARCO 2.1</t>
  </si>
  <si>
    <t>PRD00085</t>
  </si>
  <si>
    <t>MANCAL 2.2</t>
  </si>
  <si>
    <t>PRD00086</t>
  </si>
  <si>
    <t>SP 90</t>
  </si>
  <si>
    <t>PRD00087</t>
  </si>
  <si>
    <t>TUBO QUAD.F.F.25 X 25 1,90 X 6000 MM ( 7,20 kg/BR)</t>
  </si>
  <si>
    <t>PRD00088</t>
  </si>
  <si>
    <t>PEÇA 3181473   2,25mm</t>
  </si>
  <si>
    <t>Material: AÇO CARBONO, ESPESSURA: #2.25mm, Processo de Fabricação: CL</t>
  </si>
  <si>
    <t>PRD00089</t>
  </si>
  <si>
    <t>PEÇA 3181416 TUBO 20 X 30</t>
  </si>
  <si>
    <t>PRD00091</t>
  </si>
  <si>
    <t>3181473</t>
  </si>
  <si>
    <t>Material: AÇO INOX, Processo de Fabricação: CL, ESPESSURA: #2.0mm</t>
  </si>
  <si>
    <t>PRD00092</t>
  </si>
  <si>
    <t>3181716 - ABRIDOR DE GARRAFA HEIENEKEN INOX ESCOVADO</t>
  </si>
  <si>
    <t>PRD00093</t>
  </si>
  <si>
    <t>PEÇA INOX #3,0mm x 1,0</t>
  </si>
  <si>
    <t>Material: AÇO INOX, Processo de Fabricação: CL, ESPESSURA: #3.0mm</t>
  </si>
  <si>
    <t>PRD00094</t>
  </si>
  <si>
    <t>QUADRO FURADO #4,75</t>
  </si>
  <si>
    <t>Material: AÇO CARBONO, Processo de Fabricação: CL, ESPESSURA: #4.75mm</t>
  </si>
  <si>
    <t>PRD00095</t>
  </si>
  <si>
    <t>QUADRO FURADO #4,75 PROJETO</t>
  </si>
  <si>
    <t>Processo de Fabricação: CAD</t>
  </si>
  <si>
    <t>PRD00096</t>
  </si>
  <si>
    <t>CHICANAS PROJETO</t>
  </si>
  <si>
    <t>PRD00097</t>
  </si>
  <si>
    <t>CHICANA</t>
  </si>
  <si>
    <t>Material: AÇO INOX, Processo de Fabricação: CL, ESPESSURA: #1.5mm</t>
  </si>
  <si>
    <t>PRD00098</t>
  </si>
  <si>
    <t>CHICANA HELICOIDAL</t>
  </si>
  <si>
    <t>PRD00099</t>
  </si>
  <si>
    <t>BASE 226 X 700 X 4,75</t>
  </si>
  <si>
    <t>PRD00100</t>
  </si>
  <si>
    <t>RETÂNGULO 1570 X 1200</t>
  </si>
  <si>
    <t>PRD00101</t>
  </si>
  <si>
    <t>0106_KP_008_000_CORTE</t>
  </si>
  <si>
    <t>Material: AÇO CARBONO, Processo de Fabricação: CL + DO, ESPESSURA: #1.0mm</t>
  </si>
  <si>
    <t>PRD00102</t>
  </si>
  <si>
    <t>BASE 3000 X 195 X 6,35mm</t>
  </si>
  <si>
    <t>Material: AÇO CARBONO, Processo de Fabricação: MP + CL, ESPESSURA: #6.35mm</t>
  </si>
  <si>
    <t>PRD00103</t>
  </si>
  <si>
    <t>PEÇA 1 - (FLAT - 17 - 18 - 19)</t>
  </si>
  <si>
    <t>Material: AÇO INOX, Processo de Fabricação: CL</t>
  </si>
  <si>
    <t>PRD00104</t>
  </si>
  <si>
    <t>PEÇA 2 - (7,25 - 9,5 - 10 - 11)</t>
  </si>
  <si>
    <t>PRD00105</t>
  </si>
  <si>
    <t>PEÇA 3 - (12 - 14 - 15 - 16)</t>
  </si>
  <si>
    <t>PRD00106</t>
  </si>
  <si>
    <t>SUPORTE ABA 8mm SOS</t>
  </si>
  <si>
    <t>Material: AÇO CARBONO, Processo de Fabricação: MP + CL + DO, ESPESSURA: #8.0mm</t>
  </si>
  <si>
    <t>PRD00107</t>
  </si>
  <si>
    <t>3181308</t>
  </si>
  <si>
    <t>Material: AÇO CARBONO, Processo de Fabricação: CL, ESPESSURA: #3.0mm</t>
  </si>
  <si>
    <t>PRD00108</t>
  </si>
  <si>
    <t>3181311</t>
  </si>
  <si>
    <t>Material: AÇO CARBONO, Processo de Fabricação: CL, ESPESSURA: #2.25mm</t>
  </si>
  <si>
    <t>PRD00109</t>
  </si>
  <si>
    <t>3181468</t>
  </si>
  <si>
    <t>PRD00110</t>
  </si>
  <si>
    <t>CAIXA P3</t>
  </si>
  <si>
    <t>Material: AÇO CARBONO, Processo de Fabricação: MP + CL + DO</t>
  </si>
  <si>
    <t>PRD00111</t>
  </si>
  <si>
    <t>CAIXA P4</t>
  </si>
  <si>
    <t>PRD00112</t>
  </si>
  <si>
    <t>CAIXA S600</t>
  </si>
  <si>
    <t>PRD00113</t>
  </si>
  <si>
    <t>CAIXA C100</t>
  </si>
  <si>
    <t>PRD00114</t>
  </si>
  <si>
    <t>DISCO Ø47 XØ33</t>
  </si>
  <si>
    <t>Material: AÇO CARBONO, Processo de Fabricação: CL, ESPESSURA: #12.7mm</t>
  </si>
  <si>
    <t>PRD00115</t>
  </si>
  <si>
    <t>DISCO Ø52 X 38 - 3 PÇS</t>
  </si>
  <si>
    <t>PRD00116</t>
  </si>
  <si>
    <t>DISCO Ø59 X 43 - 3 PÇS</t>
  </si>
  <si>
    <t>PRD00117</t>
  </si>
  <si>
    <t>PROTÓTIPO DISCOS #12,7mm</t>
  </si>
  <si>
    <t>Processo de Fabricação: CL + CAD</t>
  </si>
  <si>
    <t>PRD00118</t>
  </si>
  <si>
    <t>PEÇA 2</t>
  </si>
  <si>
    <t>Material: AÇO CARBONO, Processo de Fabricação: CL + DO, ESPESSURA: #2.0mm</t>
  </si>
  <si>
    <t>PRD00119</t>
  </si>
  <si>
    <t>PEÇA 3</t>
  </si>
  <si>
    <t>Material: AÇO CARBONO, Processo de Fabricação: CL + DO, ESPESSURA: #1.2mm</t>
  </si>
  <si>
    <t>PRD00120</t>
  </si>
  <si>
    <t>PEÇA 4</t>
  </si>
  <si>
    <t>PRD00121</t>
  </si>
  <si>
    <t>3181715</t>
  </si>
  <si>
    <t>PRD00122</t>
  </si>
  <si>
    <t>CAIXA LS/CAIXA M3 #1,2mm</t>
  </si>
  <si>
    <t>Material: AÇO CARBONO, Processo de Fabricação: MP + CL + DO, ESPESSURA: #1.2mm</t>
  </si>
  <si>
    <t>PRD00123</t>
  </si>
  <si>
    <t>BASE FRET TANG DREMEL</t>
  </si>
  <si>
    <t>Material: AÇO INOX, Processo de Fabricação: MP + CL, ESPESSURA: #2.0mm</t>
  </si>
  <si>
    <t>PRD00124</t>
  </si>
  <si>
    <t>TUBO 25 X 25 X 1,9 x 1445 x PASSO 50mm</t>
  </si>
  <si>
    <t>Material: AÇO CARBONO, Processo de Fabricação: CL</t>
  </si>
  <si>
    <t>PRD00125</t>
  </si>
  <si>
    <t>CEC5-160</t>
  </si>
  <si>
    <t>PRD00126</t>
  </si>
  <si>
    <t>CEC5-150</t>
  </si>
  <si>
    <t>PRD00127</t>
  </si>
  <si>
    <t>SAE A</t>
  </si>
  <si>
    <t>Material: AÇO CARBONO, Processo de Fabricação: MP+CL+DO, ESPESSURA: #6.35mm</t>
  </si>
  <si>
    <t>PRD00128</t>
  </si>
  <si>
    <t>SAE B</t>
  </si>
  <si>
    <t>PRD00129</t>
  </si>
  <si>
    <t>SOS</t>
  </si>
  <si>
    <t>PRD00130</t>
  </si>
  <si>
    <t>TOMADA DE FORÇA</t>
  </si>
  <si>
    <t>PRD00131</t>
  </si>
  <si>
    <t>CONJ PROTÓTIPO SOL LASER + GANCHO ANTI ROUBO</t>
  </si>
  <si>
    <t>PRD00132</t>
  </si>
  <si>
    <t>PEÇA 1 NEW HABIT</t>
  </si>
  <si>
    <t>Material: AÇO KORTEN, Processo de Fabricação: MP+CL+DO, ESPESSURA: #2.0mm</t>
  </si>
  <si>
    <t>PRD00133</t>
  </si>
  <si>
    <t>PEÇA 4 - NEW HABIT</t>
  </si>
  <si>
    <t>Material: AÇO KORTEN, Processo de Fabricação: MP + CL, ESPESSURA: #2.0mm</t>
  </si>
  <si>
    <t>PRD00134</t>
  </si>
  <si>
    <t>PEÇA 2 - NEW HABIT</t>
  </si>
  <si>
    <t>PRD00135</t>
  </si>
  <si>
    <t>PEÇA 3 - NEW HABIT</t>
  </si>
  <si>
    <t>PRD00136</t>
  </si>
  <si>
    <t>PEÇA 5 - NEW HABIT</t>
  </si>
  <si>
    <t>PRD00137</t>
  </si>
  <si>
    <t>PEÇA 6 - NEW HABIT</t>
  </si>
  <si>
    <t>PRD00138</t>
  </si>
  <si>
    <t>PEÇA 7 - NEW HABIT</t>
  </si>
  <si>
    <t>Material: AÇO KORTEN, Processo de Fabricação: MP + CL + DO, ESPESSURA: #2.0mm</t>
  </si>
  <si>
    <t>PRD00139</t>
  </si>
  <si>
    <t>PEÇA 8 - NEW HABIT</t>
  </si>
  <si>
    <t>PRD00140</t>
  </si>
  <si>
    <t>PEÇA 10 - NEW HABIT</t>
  </si>
  <si>
    <t>PRD00141</t>
  </si>
  <si>
    <t>PEÇA 11 - NEW HABIT</t>
  </si>
  <si>
    <t>7206.90.00</t>
  </si>
  <si>
    <t>PRD00142</t>
  </si>
  <si>
    <t>PEÇA 12 - NEW HABIT</t>
  </si>
  <si>
    <t>PRD00143</t>
  </si>
  <si>
    <t>PEÇA 13 - NEW HABIT</t>
  </si>
  <si>
    <t>PRD00144</t>
  </si>
  <si>
    <t>BASE 3000 X 193 X 6,35</t>
  </si>
  <si>
    <t>PRD00145</t>
  </si>
  <si>
    <t>COMPONENTES QUADRO FURADO #4,75mm</t>
  </si>
  <si>
    <t>PRD00146</t>
  </si>
  <si>
    <t>PROJ COMPONENTES QUADRO FURADO #4,75mm</t>
  </si>
  <si>
    <t>PRD00147</t>
  </si>
  <si>
    <t>COLUNA - 1000 X 120 X 1,0mm COM MATERIAL</t>
  </si>
  <si>
    <t>Material: AÇO CARBONO, Processo de Fabricação: MP + CL + DO, ESPESSURA: #1.0mm</t>
  </si>
  <si>
    <t>PRD00148</t>
  </si>
  <si>
    <t>COLUNA - 1000 X 120 X 1,0mm - SEM MATERIAL</t>
  </si>
  <si>
    <t>PRD00149</t>
  </si>
  <si>
    <t>PAINEL ARTÍSTICO - 725 x 1200</t>
  </si>
  <si>
    <t>Material: AÇO CARBONO, Processo de Fabricação: MP + CL, ESPESSURA: #2.0mm</t>
  </si>
  <si>
    <t>PRD00150</t>
  </si>
  <si>
    <t>PAINEL ARTISTICO - 2000 X 725</t>
  </si>
  <si>
    <t>PRD00151</t>
  </si>
  <si>
    <t>PAINEL ARTÍSTICO - 2000 X 340</t>
  </si>
  <si>
    <t>PRD00152</t>
  </si>
  <si>
    <t>TRAVA LINGUETA #2,0mm</t>
  </si>
  <si>
    <t>Material: AÇO CARBONO, Processo de Fabricação: MP + CL + DO, ESPESSURA: #2.0mm</t>
  </si>
  <si>
    <t>PRD00153</t>
  </si>
  <si>
    <t>COLUNA - 1000 X 120 X 0,8mm COM MATERIAL</t>
  </si>
  <si>
    <t>Processo de Fabricação: MP + CL + DO, ESPESSURA: #0.8mm</t>
  </si>
  <si>
    <t>PRD00154</t>
  </si>
  <si>
    <t>COLUNA - 1000 X 120 X 0,8mm - SEM MATERIAL</t>
  </si>
  <si>
    <t>Processo de Fabricação: CL + DO, ESPESSURA: #0.8mm</t>
  </si>
  <si>
    <t>PRD00155</t>
  </si>
  <si>
    <t>779-10.3</t>
  </si>
  <si>
    <t>PRD00156</t>
  </si>
  <si>
    <t>01 - FACA 210</t>
  </si>
  <si>
    <t>PRD00157</t>
  </si>
  <si>
    <t>02 - FACA 350</t>
  </si>
  <si>
    <t>PRD00158</t>
  </si>
  <si>
    <t>03 - FACA 350 C/ SUP</t>
  </si>
  <si>
    <t>PRD00159</t>
  </si>
  <si>
    <t>04 - FACA LISA 350</t>
  </si>
  <si>
    <t>PRD00160</t>
  </si>
  <si>
    <t>05 - FACA LISA 210</t>
  </si>
  <si>
    <t>PRD00161</t>
  </si>
  <si>
    <t>RESERVATÓRIO 350 X 290</t>
  </si>
  <si>
    <t>PRD00162</t>
  </si>
  <si>
    <t>RESERVATÓRIO 310 X 219</t>
  </si>
  <si>
    <t>PRD00163</t>
  </si>
  <si>
    <t>RESERVATÓRIO 345 X 523</t>
  </si>
  <si>
    <t>PRD00164</t>
  </si>
  <si>
    <t>3181310</t>
  </si>
  <si>
    <t>PRD00165</t>
  </si>
  <si>
    <t>3181495</t>
  </si>
  <si>
    <t>PRD00166</t>
  </si>
  <si>
    <t>1900372 TUBO RET 20 X 30 X 405mm C/ RASGO</t>
  </si>
  <si>
    <t>PRD00167</t>
  </si>
  <si>
    <t>RETÂNGULO 144 X 120</t>
  </si>
  <si>
    <t>PRD00168</t>
  </si>
  <si>
    <t>PEÇA 1 - 1140 X 130 X 1,2</t>
  </si>
  <si>
    <t>Material: AÇO CARBONO, Processo de Fabricação: MP + CL, ESPESSURA: #1.2mm</t>
  </si>
  <si>
    <t>PRD00169</t>
  </si>
  <si>
    <t>PEÇA 2 - 1500 X 126 X 1,2</t>
  </si>
  <si>
    <t>Material: AÇO CARBONO, ESPESSURA: #1.2mm</t>
  </si>
  <si>
    <t>PRD00170</t>
  </si>
  <si>
    <t>RETÂNGULO 148 X 70 C/ RASGO</t>
  </si>
  <si>
    <t>PRD00171</t>
  </si>
  <si>
    <t>RETÂNGULO 70 X 74</t>
  </si>
  <si>
    <t>PRD00172</t>
  </si>
  <si>
    <t>RETÂNGULO 471 X 70</t>
  </si>
  <si>
    <t>PRD00173</t>
  </si>
  <si>
    <t>RETÂNGULO 258 X 100 X C/ RASGO</t>
  </si>
  <si>
    <t>PRD00174</t>
  </si>
  <si>
    <t>RETÂNGULO 129 X 100</t>
  </si>
  <si>
    <t>PRD00175</t>
  </si>
  <si>
    <t>RETÂNGULO 816 X 100</t>
  </si>
  <si>
    <t>PRD00176</t>
  </si>
  <si>
    <t>SUPORTE IMPRESSORA</t>
  </si>
  <si>
    <t>PRD00177</t>
  </si>
  <si>
    <t>BASE 400 X 120 X 4,75</t>
  </si>
  <si>
    <t>PRD00178</t>
  </si>
  <si>
    <t>BASE 200 X 120 X 4,75</t>
  </si>
  <si>
    <t>PRD00179</t>
  </si>
  <si>
    <t>COLUNA 3000 X 70 X 4,75</t>
  </si>
  <si>
    <t>PRD00180</t>
  </si>
  <si>
    <t>257.00-000-005-03  - 257-5.3</t>
  </si>
  <si>
    <t>PRD00181</t>
  </si>
  <si>
    <t>257.00-000-010-03 - 257-10.3</t>
  </si>
  <si>
    <t>PRD00182</t>
  </si>
  <si>
    <t>267.00-010-000-03 - 267-10.3</t>
  </si>
  <si>
    <t>PRD00183</t>
  </si>
  <si>
    <t>267.00-020-000-03 - 267-20.3</t>
  </si>
  <si>
    <t>PRD00184</t>
  </si>
  <si>
    <t>267.00-030-000-03 - 267-30.3</t>
  </si>
  <si>
    <t>PRD00185</t>
  </si>
  <si>
    <t>267.00-040-000-03 - 267-40.3</t>
  </si>
  <si>
    <t>PRD00186</t>
  </si>
  <si>
    <t>507.01-000-000-03 - 507.3</t>
  </si>
  <si>
    <t>Material: ALUMÍNIO, Processo de Fabricação: CL, ESPESSURA: #3.0mm</t>
  </si>
  <si>
    <t>PRD00187</t>
  </si>
  <si>
    <t>721.01-000-000-03 - 721.44</t>
  </si>
  <si>
    <t>Material: AÇO CARBONO, Processo de Fabricação: CL + DO, ESPESSURA: #3.0mm</t>
  </si>
  <si>
    <t>PRD00188</t>
  </si>
  <si>
    <t>801.05-010-011-03 - 801-10-10-11.44</t>
  </si>
  <si>
    <t>Material: AÇO CARBONO, Processo de Fabricação: CL + DO, ESPESSURA: #4.75mm</t>
  </si>
  <si>
    <t>PRD00189</t>
  </si>
  <si>
    <t>802.05-020-011-03  -   802-20-10-10-10.44</t>
  </si>
  <si>
    <t>PRD00190</t>
  </si>
  <si>
    <t>FURAÇÃO TUBO #4,75</t>
  </si>
  <si>
    <t>PRD00191</t>
  </si>
  <si>
    <t>MANCAL 145</t>
  </si>
  <si>
    <t>Material: AÇO CARBONO, Processo de Fabricação: MP + CL + DO, ESPESSURA: #6.35mm</t>
  </si>
  <si>
    <t>PRD00192</t>
  </si>
  <si>
    <t>MANCAL 260</t>
  </si>
  <si>
    <t>PRD00193</t>
  </si>
  <si>
    <t>MANCAL 320</t>
  </si>
  <si>
    <t>PRD00194</t>
  </si>
  <si>
    <t>MANCAL 700</t>
  </si>
  <si>
    <t>PRD00195</t>
  </si>
  <si>
    <t>PEÇA 1 CHAPA DE 6,35mm furo de 15mm - C/ MATERIAL</t>
  </si>
  <si>
    <t>PRD00196</t>
  </si>
  <si>
    <t>PEÇA 2 - CHAPA DE 6,35mm - ch 6 x 100 x 100 com furo - C/ MATERIAL</t>
  </si>
  <si>
    <t>PRD00197</t>
  </si>
  <si>
    <t>PEÇA 3 - CHAPA DE 6,35mm - chapa 6mm com furo oblongo - C/ MATERIAL</t>
  </si>
  <si>
    <t>PRD00198</t>
  </si>
  <si>
    <t>PEÇA 4 - CHAPA DE 6,35mm - chapa 6mm com furo - C/ MATERIAL</t>
  </si>
  <si>
    <t>PRD00199</t>
  </si>
  <si>
    <t>PEÇA 5 - CHAPA DE 6,35mm - chapa 6mm com oblongo - C/ MATERIAL</t>
  </si>
  <si>
    <t>PRD00200</t>
  </si>
  <si>
    <t>PEÇA 1 CHAPA DE 6,35mm furo de 15mm - S/ MATERIAL</t>
  </si>
  <si>
    <t>PRD00201</t>
  </si>
  <si>
    <t>PEÇA 2 - CHAPA DE 6,35mm - ch 6 x 100 x 100 com furo - S/ MATERIAL</t>
  </si>
  <si>
    <t>PRD00202</t>
  </si>
  <si>
    <t>PEÇA 3 - CHAPA DE 6,35mm - chapa 6mm com furo oblongo - S/ MATERIAL</t>
  </si>
  <si>
    <t>PRD00203</t>
  </si>
  <si>
    <t>PEÇA 4 - CHAPA DE 6,35mm - chapa 6mm com furo - S/ MATERIAL</t>
  </si>
  <si>
    <t>PRD00204</t>
  </si>
  <si>
    <t>PEÇA 5 - CHAPA DE 6,35mm - chapa 6mm com oblongo - S/MATERIAL</t>
  </si>
  <si>
    <t>PRD00205</t>
  </si>
  <si>
    <t>PEÇA 6 - 1,5 X 400 X 500 - C/ MATERIAL</t>
  </si>
  <si>
    <t>Material: AÇO CARBONO, Processo de Fabricação: MP + CL + DO, ESPESSURA: #1.5mm</t>
  </si>
  <si>
    <t>PRD00206</t>
  </si>
  <si>
    <t>PEÇA 6 - 1,5 X 400 X 500 - S/ MATERIAL</t>
  </si>
  <si>
    <t>Material: AÇO CARBONO, Processo de Fabricação: CL + DO, ESPESSURA: #1.5mm</t>
  </si>
  <si>
    <t>PRD00207</t>
  </si>
  <si>
    <t>PEÇA 7 1,5 X 400 X 750 - C/ MATERIAL</t>
  </si>
  <si>
    <t>PRD00208</t>
  </si>
  <si>
    <t>PEÇA 7 1,5 X 400 X 750 - S/ MATERIAL</t>
  </si>
  <si>
    <t>PRD00209</t>
  </si>
  <si>
    <t>PEÇA 8 1,5 X 400 X 920 - C/ MATERIAL</t>
  </si>
  <si>
    <t>PRD00210</t>
  </si>
  <si>
    <t>PEÇA 8 1,5 X 400 X 920 - S/ MATERIAL</t>
  </si>
  <si>
    <t>PRD00211</t>
  </si>
  <si>
    <t>PEÇA 9 1,5 X 400 X 1085 - C/ MATERIAL</t>
  </si>
  <si>
    <t>PRD00212</t>
  </si>
  <si>
    <t>PEÇA 9 1,5 X 400 X 1085 - S/ MATERIAL</t>
  </si>
  <si>
    <t>PRD00213</t>
  </si>
  <si>
    <t>PEÇA 10 1,5 X 400 X 1250 - C/ MATERIAL</t>
  </si>
  <si>
    <t>PRD00214</t>
  </si>
  <si>
    <t>PEÇA 10 1,5 X 400 X 1250 - S/ MATERIAL</t>
  </si>
  <si>
    <t>PRD00215</t>
  </si>
  <si>
    <t>PEÇA 11 1,5 X 400 X 1418 - C/ MATERIAL</t>
  </si>
  <si>
    <t>PRD00216</t>
  </si>
  <si>
    <t>PEÇA 11 1,5 X 400 X 1418 - S/ MATERIAL</t>
  </si>
  <si>
    <t>PRD00217</t>
  </si>
  <si>
    <t>PEÇA 12 1,5 X 400 X 1584 - C/ MATERIAL</t>
  </si>
  <si>
    <t>PRD00218</t>
  </si>
  <si>
    <t>PEÇA 12 1,5 X 400 X 1584 - S/ MATERIAL</t>
  </si>
  <si>
    <t>PRD00219</t>
  </si>
  <si>
    <t>PEÇA 13 1,5 X 200 X 400 - C/ MATERIAL</t>
  </si>
  <si>
    <t>PRD00220</t>
  </si>
  <si>
    <t>PEÇA 13 1,5 X 200 X 400 - S/ MATERIAL</t>
  </si>
  <si>
    <t>PRD00221</t>
  </si>
  <si>
    <t>ESCORREDOR DE MACARRÃO Ø130</t>
  </si>
  <si>
    <t>Material: AÇO INOX, Processo de Fabricação: CL, ESPESSURA: #0.7mm</t>
  </si>
  <si>
    <t>PRD00222</t>
  </si>
  <si>
    <t>ECEC5 - EMENDA COLUNA</t>
  </si>
  <si>
    <t>PRD00223</t>
  </si>
  <si>
    <t>BASE 600 228</t>
  </si>
  <si>
    <t>PRD00224</t>
  </si>
  <si>
    <t>3181611</t>
  </si>
  <si>
    <t>Material: AÇO CARBONO, Processo de Fabricação: CL, ESPESSURA: #0.7mm</t>
  </si>
  <si>
    <t>PRD00225</t>
  </si>
  <si>
    <t>RETÂNGULO 115 X 40 X 4,75</t>
  </si>
  <si>
    <t>PRD00226</t>
  </si>
  <si>
    <t>RETÂNGULO 100 X 40 X 4,75</t>
  </si>
  <si>
    <t>PRD00227</t>
  </si>
  <si>
    <t>BANDEJA PARA FOGÃO INOX #0,8</t>
  </si>
  <si>
    <t>PRD00228</t>
  </si>
  <si>
    <t>260.00-000-005-03 - 260-5.3</t>
  </si>
  <si>
    <t>PRD00229</t>
  </si>
  <si>
    <t>260.00-000-010-03 - 260-10.3</t>
  </si>
  <si>
    <t>PRD00230</t>
  </si>
  <si>
    <t>262.00-000-010-03 - 262-10.3</t>
  </si>
  <si>
    <t>PRD00231</t>
  </si>
  <si>
    <t>262.00-000-020-03 - 262-20.3</t>
  </si>
  <si>
    <t>PRD00232</t>
  </si>
  <si>
    <t>262.00-000-030-03 - 262-30.3</t>
  </si>
  <si>
    <t>PRD00233</t>
  </si>
  <si>
    <t>262.00-000-040-03 - 262-40.3</t>
  </si>
  <si>
    <t>PRD00234</t>
  </si>
  <si>
    <t>262.00-000-050-03 - 262 -50.3</t>
  </si>
  <si>
    <t>PRD00235</t>
  </si>
  <si>
    <t>281.00-000-000-03 - 281.44</t>
  </si>
  <si>
    <t>PRD00237</t>
  </si>
  <si>
    <t>265.00-020-000-03 - 265-20.3</t>
  </si>
  <si>
    <t>PRD00238</t>
  </si>
  <si>
    <t>suporte dreme</t>
  </si>
  <si>
    <t>AUT</t>
  </si>
  <si>
    <t>PR - Peças Automotivas</t>
  </si>
  <si>
    <t>Material: AÇO INOX, Processo de Fabricação: MP + CL + DO, ESPESSURA: #2.0mm</t>
  </si>
  <si>
    <t>PRD00239</t>
  </si>
  <si>
    <t>CHICANA CORTADA - Ø8,75</t>
  </si>
  <si>
    <t>Material: AÇO CARBONO, Processo de Fabricação: CL, ESPESSURA: #1.5mm</t>
  </si>
  <si>
    <t>PRD00240</t>
  </si>
  <si>
    <t>CHICANA #2,0mm - Ø252</t>
  </si>
  <si>
    <t>Material: AÇO CARBONO, Processo de Fabricação: CL, ESPESSURA: #2.0mm</t>
  </si>
  <si>
    <t>PRD00241</t>
  </si>
  <si>
    <t>3181762</t>
  </si>
  <si>
    <t>PRD00242</t>
  </si>
  <si>
    <t>3181761</t>
  </si>
  <si>
    <t>PRD00243</t>
  </si>
  <si>
    <t>3181409</t>
  </si>
  <si>
    <t>PRD00244</t>
  </si>
  <si>
    <t>BASE 80 X 120 X 6,35</t>
  </si>
  <si>
    <t>PRD00245</t>
  </si>
  <si>
    <t>3181309 BRAÇO LASER   # 2,25 MM X 170 MM</t>
  </si>
  <si>
    <t>PRD00246</t>
  </si>
  <si>
    <t>197-20.3  - 197.00-020-000-03</t>
  </si>
  <si>
    <t>PRD00247</t>
  </si>
  <si>
    <t>256-5.3  -  256.00-000-005-03</t>
  </si>
  <si>
    <t>PRD00248</t>
  </si>
  <si>
    <t>271.3  -  271.00-000-000-03</t>
  </si>
  <si>
    <t>PRD00249</t>
  </si>
  <si>
    <t>515.3  -  515.01-000-000-03</t>
  </si>
  <si>
    <t>PRD00250</t>
  </si>
  <si>
    <t>621.44  -  621.01-000-000-03</t>
  </si>
  <si>
    <t>PRD00251</t>
  </si>
  <si>
    <t>656.3  -  656.01-000-000-03</t>
  </si>
  <si>
    <t>PRD00252</t>
  </si>
  <si>
    <t>661.3  -</t>
  </si>
  <si>
    <t>PRD00253</t>
  </si>
  <si>
    <t>661.3 - 661.01-000-000-03</t>
  </si>
  <si>
    <t>PRD00254</t>
  </si>
  <si>
    <t>662.3  -  662.01-000-000-03</t>
  </si>
  <si>
    <t>PRD00255</t>
  </si>
  <si>
    <t>664.3  -  664.01-000-000-03</t>
  </si>
  <si>
    <t>PRD00256</t>
  </si>
  <si>
    <t>673-10.3  -  673.01-010-000-03</t>
  </si>
  <si>
    <t>PRD00257</t>
  </si>
  <si>
    <t>673-40.3  -  673.01-040-000-03</t>
  </si>
  <si>
    <t>PRD00258</t>
  </si>
  <si>
    <t>722.44  -  722.01-000-000-03</t>
  </si>
  <si>
    <t>PRD00259</t>
  </si>
  <si>
    <t>732-10.3  -  732.02-010-000-03</t>
  </si>
  <si>
    <t>PRD00260</t>
  </si>
  <si>
    <t>732-20.3  -  732.02-020-000-03</t>
  </si>
  <si>
    <t>PRD00261</t>
  </si>
  <si>
    <t>826-10-10.3  -  826.00-010-000-03</t>
  </si>
  <si>
    <t>PRD00262</t>
  </si>
  <si>
    <t>FP-POL-132793-00A-0-C</t>
  </si>
  <si>
    <t>Material: AÇO INOX, Processo de Fabricação: CL + DO, ESPESSURA: #4.0mm</t>
  </si>
  <si>
    <t>PRD00263</t>
  </si>
  <si>
    <t>FP-POL-132793-00C-0-C (01)</t>
  </si>
  <si>
    <t>Material: AÇO INOX, Processo de Fabricação: CL, ESPESSURA: #5.0mm</t>
  </si>
  <si>
    <t>PRD00264</t>
  </si>
  <si>
    <t>FP-POL-132793-00C-0-C (02)</t>
  </si>
  <si>
    <t>PRD00265</t>
  </si>
  <si>
    <t>FP-POL-132793-01A-0-C</t>
  </si>
  <si>
    <t>PRD00266</t>
  </si>
  <si>
    <t>FP-POL-132793-01C-0-C</t>
  </si>
  <si>
    <t>PRD00267</t>
  </si>
  <si>
    <t>FP-POL-132793-01B-0-C</t>
  </si>
  <si>
    <t>PRD00268</t>
  </si>
  <si>
    <t>FP-POL-132793-01E-0-C</t>
  </si>
  <si>
    <t>PRD00269</t>
  </si>
  <si>
    <t>FP-POL-132793-01F-0-C</t>
  </si>
  <si>
    <t>Material: AÇO INOX, Processo de Fabricação: CL + DO, ESPESSURA: #2.0mm</t>
  </si>
  <si>
    <t>PRD00270</t>
  </si>
  <si>
    <t>FP-POL-132793-01H-0-C</t>
  </si>
  <si>
    <t>PRD00271</t>
  </si>
  <si>
    <t>FP-POL-132793-02C-0-C</t>
  </si>
  <si>
    <t>Material: AÇO INOX, Processo de Fabricação: CL, ESPESSURA: #1.0mm</t>
  </si>
  <si>
    <t>PRD00272</t>
  </si>
  <si>
    <t>FP-POL-132793-02B-0-C</t>
  </si>
  <si>
    <t>PRD00273</t>
  </si>
  <si>
    <t>RETÂNGULO 180 X 130 X 6,35</t>
  </si>
  <si>
    <t>PRD00274</t>
  </si>
  <si>
    <t>SUPORTE PARA IÇAR - 2 PÇS</t>
  </si>
  <si>
    <t>PRD00275</t>
  </si>
  <si>
    <t>SUPORTE PARA IÇAR - 10 PÇS</t>
  </si>
  <si>
    <t>PRD00276</t>
  </si>
  <si>
    <t>CAIXA P6</t>
  </si>
  <si>
    <t>PRD00277</t>
  </si>
  <si>
    <t>CAIXA 13</t>
  </si>
  <si>
    <t>PRD00278</t>
  </si>
  <si>
    <t>CAIXA I3</t>
  </si>
  <si>
    <t>PRD00279</t>
  </si>
  <si>
    <t>EOL-00026</t>
  </si>
  <si>
    <t>PRD00280</t>
  </si>
  <si>
    <t>1792-187-005 - COM MATERIAL</t>
  </si>
  <si>
    <t>PRD00281</t>
  </si>
  <si>
    <t>1792-187-005 - SEM MATERIAL</t>
  </si>
  <si>
    <t>PRD00282</t>
  </si>
  <si>
    <t>Peça 03 -01</t>
  </si>
  <si>
    <t>Material: LATÃO, Processo de Fabricação: CL, ESPESSURA: #2.0mm</t>
  </si>
  <si>
    <t>PRD00283</t>
  </si>
  <si>
    <t>Peça 03 -02</t>
  </si>
  <si>
    <t>PRD00284</t>
  </si>
  <si>
    <t>Peça 03 -03</t>
  </si>
  <si>
    <t>PRD00285</t>
  </si>
  <si>
    <t>Peça 03 -04</t>
  </si>
  <si>
    <t>PRD00286</t>
  </si>
  <si>
    <t>Peça 03 -05</t>
  </si>
  <si>
    <t>PRD00287</t>
  </si>
  <si>
    <t>Peça 04</t>
  </si>
  <si>
    <t>Material: LATÃO, Processo de Fabricação: CL + DO, ESPESSURA: #2.0mm</t>
  </si>
  <si>
    <t>PRD00288</t>
  </si>
  <si>
    <t>Peça 01</t>
  </si>
  <si>
    <t>Material: LATÃO, Processo de Fabricação: CL, ESPESSURA: #3.0mm</t>
  </si>
  <si>
    <t>PRD00289</t>
  </si>
  <si>
    <t>129266</t>
  </si>
  <si>
    <t>Material: LATÃO, Processo de Fabricação: CL + DO, ESPESSURA: #3.0mm</t>
  </si>
  <si>
    <t>PRD00290</t>
  </si>
  <si>
    <t>129265-01</t>
  </si>
  <si>
    <t>PRD00291</t>
  </si>
  <si>
    <t>129265-02</t>
  </si>
  <si>
    <t>PRD00292</t>
  </si>
  <si>
    <t>129265-03</t>
  </si>
  <si>
    <t>PRD00293</t>
  </si>
  <si>
    <t>129265-04</t>
  </si>
  <si>
    <t>PRD00294</t>
  </si>
  <si>
    <t>129246</t>
  </si>
  <si>
    <t>PRD00295</t>
  </si>
  <si>
    <t>129242</t>
  </si>
  <si>
    <t>PRD00296</t>
  </si>
  <si>
    <t>01 - PG VAREJO BISCOITOS - 2000x800x500</t>
  </si>
  <si>
    <t>Material: AÇO CARBONO, Processo de Fabricação: CL, ESPESSURA: #0.8mm</t>
  </si>
  <si>
    <t>PRD00297</t>
  </si>
  <si>
    <t>02 - PG VAREJO BISCOITOS - 1400x1000x450</t>
  </si>
  <si>
    <t>PRD00298</t>
  </si>
  <si>
    <t>03 - PG VAREJO BISCOITOS - 1750x800x400</t>
  </si>
  <si>
    <t>PRD00299</t>
  </si>
  <si>
    <t>04 - PG VAREJO BISCOITOS - 1400x800x400</t>
  </si>
  <si>
    <t>PRD00300</t>
  </si>
  <si>
    <t>05 - PG VAREJO BISCOITOS - 1750x1000x500</t>
  </si>
  <si>
    <t>PRD00301</t>
  </si>
  <si>
    <t>06 - PG VAREJO BISCOITOS - 1500x1000x500</t>
  </si>
  <si>
    <t>PRD00302</t>
  </si>
  <si>
    <t>07A - PG VAREJO BISCOITOS - 2000x1000x500</t>
  </si>
  <si>
    <t>PRD00303</t>
  </si>
  <si>
    <t>07B - PG VAREJO BISCOITOS - 2100x1000x500</t>
  </si>
  <si>
    <t>PRD00304</t>
  </si>
  <si>
    <t>08 - PG VAREJO BISCOITOS - 1500x1400x600</t>
  </si>
  <si>
    <t>PRD00305</t>
  </si>
  <si>
    <t>09 - PG VAREJO BISCOITOS - 1650x1100x450</t>
  </si>
  <si>
    <t>PRD00306</t>
  </si>
  <si>
    <t>10 - PG VAREJO BISCOITOS - 2200x1100x450</t>
  </si>
  <si>
    <t>PRD00307</t>
  </si>
  <si>
    <t>11 - PG VAREJO BISCOITOS - 2200x1200x700</t>
  </si>
  <si>
    <t>PRD00308</t>
  </si>
  <si>
    <t>13 - PG VAREJO BISCOITOS - 1800x1050x500</t>
  </si>
  <si>
    <t>PRD00309</t>
  </si>
  <si>
    <t>14 - PG VAREJO BISCOITOS - 1800x1050x700</t>
  </si>
  <si>
    <t>PRD00310</t>
  </si>
  <si>
    <t>15 - PG VAREJO BISCOITOS - 1800x1300x450</t>
  </si>
  <si>
    <t>PRD00311</t>
  </si>
  <si>
    <t>16 - PG VAREJO BISCOITOS - 1900x1000x800</t>
  </si>
  <si>
    <t>PRD00312</t>
  </si>
  <si>
    <t>17 - PG VAREJO BISCOITOS - 2100x1300x500</t>
  </si>
  <si>
    <t>PRD00313</t>
  </si>
  <si>
    <t>18 - PG VAREJO BISCOITOS - 1900x1300x500</t>
  </si>
  <si>
    <t>PRD00314</t>
  </si>
  <si>
    <t>21 - PG VAREJO BISCOITOS - 1950x1100x500</t>
  </si>
  <si>
    <t>PRD00315</t>
  </si>
  <si>
    <t>22 - PG VAREJO BISCOITOS - 2000x1000x400</t>
  </si>
  <si>
    <t>PRD00316</t>
  </si>
  <si>
    <t>24 - PG VAREJO BISCOITOS - 2100x1500x500</t>
  </si>
  <si>
    <t>PRD00317</t>
  </si>
  <si>
    <t>26 - PG VAREJO BISCOITOS - 2500x1250x500</t>
  </si>
  <si>
    <t>PRD00318</t>
  </si>
  <si>
    <t>12 - PG VAREJO BISCOITOS - 1700x1200x700</t>
  </si>
  <si>
    <t>PRD00319</t>
  </si>
  <si>
    <t>19 - PG VAREJO BISCOITOS - 1950x1000x650</t>
  </si>
  <si>
    <t>PRD00320</t>
  </si>
  <si>
    <t>20 - PG VAREJO BISCOITOS - 2100x1000x650</t>
  </si>
  <si>
    <t>PRD00321</t>
  </si>
  <si>
    <t>23 - PG VAREJO BISCOITOS - 2000x1100x600</t>
  </si>
  <si>
    <t>PRD00322</t>
  </si>
  <si>
    <t>25 - PG VAREJO BISCOITOS - 2400x850x500</t>
  </si>
  <si>
    <t>PRD00323</t>
  </si>
  <si>
    <t>PECA A - 2500 X 100</t>
  </si>
  <si>
    <t>PRD00324</t>
  </si>
  <si>
    <t>PEÇA B - 700 X 120</t>
  </si>
  <si>
    <t>PRD00325</t>
  </si>
  <si>
    <t>PEÇA C - 116 X 104</t>
  </si>
  <si>
    <t>PRD00326</t>
  </si>
  <si>
    <t>PEÇA D - 2500 X 140</t>
  </si>
  <si>
    <t>PRD00327</t>
  </si>
  <si>
    <t>PEÇA E - 2500 X 160</t>
  </si>
  <si>
    <t>PRD00328</t>
  </si>
  <si>
    <t>PEÇA F - 700 X 100</t>
  </si>
  <si>
    <t>PRD00329</t>
  </si>
  <si>
    <t>PEÇA J - 1000 X 500</t>
  </si>
  <si>
    <t>PRD00330</t>
  </si>
  <si>
    <t>PEÇA M - 143 X 540</t>
  </si>
  <si>
    <t>PRD00331</t>
  </si>
  <si>
    <t>185.26982 - 01</t>
  </si>
  <si>
    <t>PRD00332</t>
  </si>
  <si>
    <t>185.26982 - 02</t>
  </si>
  <si>
    <t>PRD00333</t>
  </si>
  <si>
    <t>185.26982 - 03</t>
  </si>
  <si>
    <t>PRD00334</t>
  </si>
  <si>
    <t>185.26982 - 04.1</t>
  </si>
  <si>
    <t>PRD00335</t>
  </si>
  <si>
    <t>185.26982 - 04.2</t>
  </si>
  <si>
    <t>PRD00336</t>
  </si>
  <si>
    <t>185.26982 - 05</t>
  </si>
  <si>
    <t>Material: AÇO INOX, Processo de Fabricação: CL + DO, ESPESSURA: #3.0mm</t>
  </si>
  <si>
    <t>PRD00337</t>
  </si>
  <si>
    <t>185.26982 - 06</t>
  </si>
  <si>
    <t>PRD00338</t>
  </si>
  <si>
    <t>185.26982 - 07.1</t>
  </si>
  <si>
    <t>PRD00339</t>
  </si>
  <si>
    <t>185.26982 - 07.2</t>
  </si>
  <si>
    <t>PRD00340</t>
  </si>
  <si>
    <t>185.26982 - 08</t>
  </si>
  <si>
    <t>PRD00341</t>
  </si>
  <si>
    <t>185.26982 - 09</t>
  </si>
  <si>
    <t>PRD00342</t>
  </si>
  <si>
    <t>1B</t>
  </si>
  <si>
    <t>Material: AÇO CARBONO, Processo de Fabricação: MP + CL + DO, ESPESSURA: #0.8mm</t>
  </si>
  <si>
    <t>PRD00343</t>
  </si>
  <si>
    <t>4B</t>
  </si>
  <si>
    <t>PRD00344</t>
  </si>
  <si>
    <t>5B</t>
  </si>
  <si>
    <t>PRD00345</t>
  </si>
  <si>
    <t>10B</t>
  </si>
  <si>
    <t>PRD00346</t>
  </si>
  <si>
    <t>1G</t>
  </si>
  <si>
    <t>PRD00347</t>
  </si>
  <si>
    <t>4G</t>
  </si>
  <si>
    <t>PRD00348</t>
  </si>
  <si>
    <t>BASE 3000 X 150 X 6,35</t>
  </si>
  <si>
    <t>PRD00349</t>
  </si>
  <si>
    <t>MANCAL 900</t>
  </si>
  <si>
    <t>PRD00350</t>
  </si>
  <si>
    <t>RZK-00001-1_EXTENSOR DO CONTRAVENTOS</t>
  </si>
  <si>
    <t>Material: AÇO CARBONO, Processo de Fabricação: CL + DO, ESPESSURA: #2.25mm</t>
  </si>
  <si>
    <t>PRD00351</t>
  </si>
  <si>
    <t>RZK-00003-1_SUPORTE DOS CONTRAVENTOS</t>
  </si>
  <si>
    <t>PRD00352</t>
  </si>
  <si>
    <t>BA-01</t>
  </si>
  <si>
    <t>PRD00353</t>
  </si>
  <si>
    <t>BA-02</t>
  </si>
  <si>
    <t>PRD00354</t>
  </si>
  <si>
    <t>BA-03</t>
  </si>
  <si>
    <t>PRD00355</t>
  </si>
  <si>
    <t>BA-07</t>
  </si>
  <si>
    <t>PRD00356</t>
  </si>
  <si>
    <t>BA-07A</t>
  </si>
  <si>
    <t>PRD00357</t>
  </si>
  <si>
    <t>3181710_Laser Base_MAT0010_DISPLAY DE CHÃO HOT WHEEL</t>
  </si>
  <si>
    <t>PRD00358</t>
  </si>
  <si>
    <t>BASE ESPOLETA</t>
  </si>
  <si>
    <t>Material: LATÃO, Processo de Fabricação: CL + DO, ESPESSURA: #1.0mm</t>
  </si>
  <si>
    <t>PRD00359</t>
  </si>
  <si>
    <t>CAIXA ESPOLETA</t>
  </si>
  <si>
    <t>Material: LATÃO</t>
  </si>
  <si>
    <t>PRD00360</t>
  </si>
  <si>
    <t>FECHAMENTO BASE</t>
  </si>
  <si>
    <t>Material: LATÃO, Processo de Fabricação: CL, ESPESSURA: #1.0mm</t>
  </si>
  <si>
    <t>PRD00361</t>
  </si>
  <si>
    <t>BANDEJA MAIOR</t>
  </si>
  <si>
    <t>PRD00362</t>
  </si>
  <si>
    <t>BANDEJA MENOR</t>
  </si>
  <si>
    <t>PRD00363</t>
  </si>
  <si>
    <t>FRETE NTC - PIRES DO RIO</t>
  </si>
  <si>
    <t>PRD00364</t>
  </si>
  <si>
    <t>BASE 3000 X 120 X 6,35</t>
  </si>
  <si>
    <t>PRD00365</t>
  </si>
  <si>
    <t>MANCAL 248</t>
  </si>
  <si>
    <t>PRD00366</t>
  </si>
  <si>
    <t>MANCAL 90 X 80</t>
  </si>
  <si>
    <t>PRD00367</t>
  </si>
  <si>
    <t>3BBR2124075D6000_060</t>
  </si>
  <si>
    <t>Material: AÇO CARBONO, Processo de Fabricação: CL + DO, ESPESSURA: #6.35mm</t>
  </si>
  <si>
    <t>PRD00368</t>
  </si>
  <si>
    <t>3BBR2124075D6000_064</t>
  </si>
  <si>
    <t>Material: AÇO CARBONO, Processo de Fabricação: CL, ESPESSURA: #1.0mm</t>
  </si>
  <si>
    <t>PRD00369</t>
  </si>
  <si>
    <t>3BBR2124075D6000_067</t>
  </si>
  <si>
    <t>Material: AÇO CARBONO, ESPESSURA: #9.5mm</t>
  </si>
  <si>
    <t>PRD00370</t>
  </si>
  <si>
    <t>3BBR2124075D6000_102</t>
  </si>
  <si>
    <t>PRD00371</t>
  </si>
  <si>
    <t>3BBR2124075D6000_114</t>
  </si>
  <si>
    <t>PRD00372</t>
  </si>
  <si>
    <t>3180964</t>
  </si>
  <si>
    <t>PRD00373</t>
  </si>
  <si>
    <t>FURAÇÃO TUBO #4,75 - 2 UN</t>
  </si>
  <si>
    <t>PRD00374</t>
  </si>
  <si>
    <t>CAIXA P1</t>
  </si>
  <si>
    <t>PRD00375</t>
  </si>
  <si>
    <t>BANDEJA MAIOR  - 9UN</t>
  </si>
  <si>
    <t>PRD00376</t>
  </si>
  <si>
    <t>BANDEJA MENOR - 9UN</t>
  </si>
  <si>
    <t>PRD00377</t>
  </si>
  <si>
    <t>BASE 1495 X 272</t>
  </si>
  <si>
    <t>PRD00378</t>
  </si>
  <si>
    <t>BASE 900 X 250</t>
  </si>
  <si>
    <t>PRD00379</t>
  </si>
  <si>
    <t>BASE 3000 X 490</t>
  </si>
  <si>
    <t>PRD00380</t>
  </si>
  <si>
    <t>TANQUE-P02 - COM MATERIAL</t>
  </si>
  <si>
    <t>Material: AÇO INOX, Processo de Fabricação: MP + CL + DO, ESPESSURA: #1.5mm</t>
  </si>
  <si>
    <t>PRD00381</t>
  </si>
  <si>
    <t>TANQUE-P03 - COM MATERIAL</t>
  </si>
  <si>
    <t>PRD00382</t>
  </si>
  <si>
    <t>TANQUE-P04 - COM MATERIAL</t>
  </si>
  <si>
    <t>PRD00383</t>
  </si>
  <si>
    <t>TANQUE-P06 - COM MATERIAL</t>
  </si>
  <si>
    <t>PRD00384</t>
  </si>
  <si>
    <t>TANQUE-P07 - COM MATERIAL</t>
  </si>
  <si>
    <t>PRD00385</t>
  </si>
  <si>
    <t>TANQUE-P02 - SEM MATERIAL</t>
  </si>
  <si>
    <t>Material: AÇO INOX, Processo de Fabricação: CL + DO, ESPESSURA: #1.5mm</t>
  </si>
  <si>
    <t>PRD00386</t>
  </si>
  <si>
    <t>TANQUE-P03 - SEM MATERIAL</t>
  </si>
  <si>
    <t>PRD00387</t>
  </si>
  <si>
    <t>TANQUE-P04 - SEM MATERIAL</t>
  </si>
  <si>
    <t>PRD00388</t>
  </si>
  <si>
    <t>TANQUE-P06 - SEM MATERIAL</t>
  </si>
  <si>
    <t>PRD00389</t>
  </si>
  <si>
    <t>TANQUE-P07 - SEM MATERIAL</t>
  </si>
  <si>
    <t>PRD00390</t>
  </si>
  <si>
    <t>BASE 500 X 500</t>
  </si>
  <si>
    <t>PRD00391</t>
  </si>
  <si>
    <t>BASE 3000 X 50 X 4,75</t>
  </si>
  <si>
    <t>Material: AÇO CARBONO, Processo de Fabricação: MP + CL, ESPESSURA: #4.75mm</t>
  </si>
  <si>
    <t>PRD00392</t>
  </si>
  <si>
    <t>TB coluna - P&amp;G0343P08-02</t>
  </si>
  <si>
    <t>PRD00393</t>
  </si>
  <si>
    <t>MANCAL 290 X 120 X 110</t>
  </si>
  <si>
    <t>PRD00394</t>
  </si>
  <si>
    <t>MANCAL 90 X 84 X 80</t>
  </si>
  <si>
    <t>PRD00395</t>
  </si>
  <si>
    <t>119471</t>
  </si>
  <si>
    <t>PRD00396</t>
  </si>
  <si>
    <t>BRKT - 0027</t>
  </si>
  <si>
    <t>PRD00397</t>
  </si>
  <si>
    <t>BRKT - 0028</t>
  </si>
  <si>
    <t>PRD00398</t>
  </si>
  <si>
    <t>BRKT - 0026</t>
  </si>
  <si>
    <t>PRD00399</t>
  </si>
  <si>
    <t>PERFIL U 250 X 1200 X 50</t>
  </si>
  <si>
    <t>PRD00400</t>
  </si>
  <si>
    <t>RETÂNGULO 450 X 150</t>
  </si>
  <si>
    <t>PRD00401</t>
  </si>
  <si>
    <t>2898.00-010-040-03  -  2898-10-40.3</t>
  </si>
  <si>
    <t>PRD00402</t>
  </si>
  <si>
    <t>2898.00-040-190-03  -  2898-40-10-90.3</t>
  </si>
  <si>
    <t>PRD00403</t>
  </si>
  <si>
    <t>2898.00-040-050.3  -  2898-40-50.44</t>
  </si>
  <si>
    <t>PRD00404</t>
  </si>
  <si>
    <t>2898.00-040-062-03  -  2898-40-60-20.3</t>
  </si>
  <si>
    <t>PRD00405</t>
  </si>
  <si>
    <t>2898.00-040-072-03  -  2898-40-70-20.3</t>
  </si>
  <si>
    <t>Material: AÇO CARBONO, Processo de Fabricação: CL, ESPESSURA: #9.5mm</t>
  </si>
  <si>
    <t>PRD00406</t>
  </si>
  <si>
    <t>2898.00-040-073-03  -  2898-40-70-30.3</t>
  </si>
  <si>
    <t>PRD00407</t>
  </si>
  <si>
    <t>2898.00-040-900-03  -  2898-40-900.3</t>
  </si>
  <si>
    <t>PRD00408</t>
  </si>
  <si>
    <t>697-10.44</t>
  </si>
  <si>
    <t>PRD00409</t>
  </si>
  <si>
    <t>697-20.3</t>
  </si>
  <si>
    <t>PRD00410</t>
  </si>
  <si>
    <t>REGULADOR DA TAMPA P #4,75mm</t>
  </si>
  <si>
    <t>PRD00411</t>
  </si>
  <si>
    <t>REGULADOR DA TAMPA #4,75mm</t>
  </si>
  <si>
    <t>PRD00412</t>
  </si>
  <si>
    <t>ARRUELA 99 #4,75</t>
  </si>
  <si>
    <t>PRD00413</t>
  </si>
  <si>
    <t>ARRUELA 49 #4,75</t>
  </si>
  <si>
    <t>PRD00414</t>
  </si>
  <si>
    <t>CILINDRO RASPADOR PECA 3 #4,75</t>
  </si>
  <si>
    <t>PRD00415</t>
  </si>
  <si>
    <t>CILINDRO RASPADOR PECA 2 #4,75</t>
  </si>
  <si>
    <t>PRD00416</t>
  </si>
  <si>
    <t>CILINDRO RASPADOR PECA 1 #4,75</t>
  </si>
  <si>
    <t>PRD00417</t>
  </si>
  <si>
    <t>QUADRO FURADO CILINDRO#4,75mm</t>
  </si>
  <si>
    <t>PRD00418</t>
  </si>
  <si>
    <t>CILINDRO ESTICADOR - 1 #10,0mm</t>
  </si>
  <si>
    <t>PRD00419</t>
  </si>
  <si>
    <t>CILINDRO ESTICADOR - 2 #10,0mm</t>
  </si>
  <si>
    <t>PRD00420</t>
  </si>
  <si>
    <t>CILINDRO ESTICADOR - 3 #10,0mm</t>
  </si>
  <si>
    <t>PRD00421</t>
  </si>
  <si>
    <t>CAD REAJUSTE DIVISÓRIA #4,75mm</t>
  </si>
  <si>
    <t>PRD00422</t>
  </si>
  <si>
    <t>CAD DESENVOVLIMENTO CILINDRO</t>
  </si>
  <si>
    <t>PRD00423</t>
  </si>
  <si>
    <t>BASE 3000 X 210 X 4,75</t>
  </si>
  <si>
    <t>PRD00424</t>
  </si>
  <si>
    <t>BASE 2300 X 210 X 4,75</t>
  </si>
  <si>
    <t>PRD00425</t>
  </si>
  <si>
    <t>BASE 1200 X 207 X 4,75</t>
  </si>
  <si>
    <t>PRD00426</t>
  </si>
  <si>
    <t>BASE 3000 X 150 X6,35</t>
  </si>
  <si>
    <t>PRD00427</t>
  </si>
  <si>
    <t>BASE 900 X 248 X 6,35</t>
  </si>
  <si>
    <t>PRD00428</t>
  </si>
  <si>
    <t>MANCAL 248 X 6,35</t>
  </si>
  <si>
    <t>PRD00429</t>
  </si>
  <si>
    <t>BASE 1000 X 248 X 6,35</t>
  </si>
  <si>
    <t>PRD00430</t>
  </si>
  <si>
    <t>BASE 1300 X 415 X 6,35</t>
  </si>
  <si>
    <t>PRD00431</t>
  </si>
  <si>
    <t>CHAPA GELADEIRA SOL</t>
  </si>
  <si>
    <t>Material: AÇO CARBONO, Processo de Fabricação: CL, ESPESSURA: #0.9mm</t>
  </si>
  <si>
    <t>PRD00432</t>
  </si>
  <si>
    <t>CHAPA GONDOLA SOL</t>
  </si>
  <si>
    <t>PRD00433</t>
  </si>
  <si>
    <t>FAIXADA IGREJA THALLYS</t>
  </si>
  <si>
    <t>PRD00434</t>
  </si>
  <si>
    <t>SA - 3077 - COM MATERIAL</t>
  </si>
  <si>
    <t>Material: AÇO INOX, Processo de Fabricação: MP + CL + DO, ESPESSURA: #3.0mm</t>
  </si>
  <si>
    <t>PRD00435</t>
  </si>
  <si>
    <t>SA - 3077 - SEM MATERIAL</t>
  </si>
  <si>
    <t>PRD00436</t>
  </si>
  <si>
    <t>AS - 3073 - COM MATERIAL</t>
  </si>
  <si>
    <t>PRD00437</t>
  </si>
  <si>
    <t>AS - 3073 - SEM MATERIAL</t>
  </si>
  <si>
    <t>PRD00438</t>
  </si>
  <si>
    <t>AS - 3072 - COM MATERIAL</t>
  </si>
  <si>
    <t>Material: AÇO INOX, Processo de Fabricação: MP + CL, ESPESSURA: #3.0mm</t>
  </si>
  <si>
    <t>PRD00439</t>
  </si>
  <si>
    <t>AS - 3072 - SEM MATERIAL</t>
  </si>
  <si>
    <t>PRD00440</t>
  </si>
  <si>
    <t>AS - 3075 - COM MATERIAL</t>
  </si>
  <si>
    <t>PRD00441</t>
  </si>
  <si>
    <t>AS - 3075 - SEM MATERIAL</t>
  </si>
  <si>
    <t>PRD00442</t>
  </si>
  <si>
    <t>AS - 3074 - COM MATERIAL</t>
  </si>
  <si>
    <t>PRD00443</t>
  </si>
  <si>
    <t>AS - 3074 - SEM MATERIAL</t>
  </si>
  <si>
    <t>PRD00444</t>
  </si>
  <si>
    <t>MANCAL 125 X 6,35</t>
  </si>
  <si>
    <t>PRD00445</t>
  </si>
  <si>
    <t>PORTA ALMOFADA</t>
  </si>
  <si>
    <t>Material: AÇO INOX, Processo de Fabricação: CL + DO, ESPESSURA: #0.8mm</t>
  </si>
  <si>
    <t>PRD00446</t>
  </si>
  <si>
    <t>PORTA ALMOFADA - TAMPA</t>
  </si>
  <si>
    <t>Material: AÇO INOX, Processo de Fabricação: CL, ESPESSURA: #0.6mm</t>
  </si>
  <si>
    <t>PRD00447</t>
  </si>
  <si>
    <t>PORTA ALMOFADA - BASE</t>
  </si>
  <si>
    <t>PRD00448</t>
  </si>
  <si>
    <t>3181787 - TUBO ENTALHADO 25X25 # 2,0 X 1600 MM ( ENT 2 LADO ) (1)</t>
  </si>
  <si>
    <t>PRD00449</t>
  </si>
  <si>
    <t>3181788 - TUBO ENTALHADO 25X25 # 2,0 X 1700 MM ( ENT 2 LADO )</t>
  </si>
  <si>
    <t>PRD00450</t>
  </si>
  <si>
    <t>3181789 - TUBO ENTALHADO 25X25 # 2,0 X 2500 MM ( ENT 2 LADO )</t>
  </si>
  <si>
    <t>PRD00451</t>
  </si>
  <si>
    <t>CAIXA P6 - 50 UN</t>
  </si>
  <si>
    <t>PRD00452</t>
  </si>
  <si>
    <t>Ø44 X Ø121 X 4,75</t>
  </si>
  <si>
    <t>PRD00453</t>
  </si>
  <si>
    <t>Ø64 X 31 X 4,75</t>
  </si>
  <si>
    <t>PRD00454</t>
  </si>
  <si>
    <t>Ø190 X Ø44 X 4,0 INOX</t>
  </si>
  <si>
    <t>PRD00455</t>
  </si>
  <si>
    <t>Ø121 X Ø8 X 4,0 INOX</t>
  </si>
  <si>
    <t>PRD00456</t>
  </si>
  <si>
    <t>RÉGUA INOX #5,0mm</t>
  </si>
  <si>
    <t>PRD00457</t>
  </si>
  <si>
    <t>PEÇA 1 - INOX #1,21 - COM MATERIAL</t>
  </si>
  <si>
    <t>PRD00458</t>
  </si>
  <si>
    <t>PEÇA 1 - INOX #1,2 - SEM MATERIAL</t>
  </si>
  <si>
    <t>PRD00459</t>
  </si>
  <si>
    <t>PEÇA 2 - INOX #1,2 - COM MATERIAL</t>
  </si>
  <si>
    <t>PRD00460</t>
  </si>
  <si>
    <t>PEÇA 2 - INOX #1,2 - SEM MATERIAL</t>
  </si>
  <si>
    <t>PRD00461</t>
  </si>
  <si>
    <t>PEÇA 3 - INOX #0,38 - COM MATERIAL</t>
  </si>
  <si>
    <t>PRD00462</t>
  </si>
  <si>
    <t>PEÇA 3 - INOX #0,38 - SEM MATERIAL</t>
  </si>
  <si>
    <t>PRD00463</t>
  </si>
  <si>
    <t>PEÇA 4 - INOX #0,38 - COM MATERIAL</t>
  </si>
  <si>
    <t>PRD00464</t>
  </si>
  <si>
    <t>PEÇA 4 - INOX #0,38 - SEM MATERIAL</t>
  </si>
  <si>
    <t>PRD00465</t>
  </si>
  <si>
    <t>BASE 1000 X 396 X 4,75</t>
  </si>
  <si>
    <t>PRD00466</t>
  </si>
  <si>
    <t>110-00292389_02A_LA641963S_1 - COM MATERIAL</t>
  </si>
  <si>
    <t>Material: AÇO CARBONO, Processo de Fabricação: MP + CL + DO, ESPESSURA: #6.0mm</t>
  </si>
  <si>
    <t>PRD00467</t>
  </si>
  <si>
    <t>110-00292389_02A_LA641963S_1 - SEM MATERIAL</t>
  </si>
  <si>
    <t>Material: AÇO CARBONO, Processo de Fabricação: CL + DO, ESPESSURA: #6.0mm</t>
  </si>
  <si>
    <t>PRD00468</t>
  </si>
  <si>
    <t>CAIXA P1 - 10UN</t>
  </si>
  <si>
    <t>PRD00469</t>
  </si>
  <si>
    <t>BASE 1000 X 210 X 4,75</t>
  </si>
  <si>
    <t>Material: AÇO CARBONO, Processo de Fabricação: MP + CL + DO, ESPESSURA: #4.75mm</t>
  </si>
  <si>
    <t>PRD00470</t>
  </si>
  <si>
    <t>Proj FAIXADA IGREJA 2000 X 543</t>
  </si>
  <si>
    <t>PRD00471</t>
  </si>
  <si>
    <t>RETÂNGULO 330 X 250 X 3,0</t>
  </si>
  <si>
    <t>PRD00472</t>
  </si>
  <si>
    <t>650 X 120 X 3,0</t>
  </si>
  <si>
    <t>PRD00473</t>
  </si>
  <si>
    <t>575 X 40 X 4,75</t>
  </si>
  <si>
    <t>PRD00474</t>
  </si>
  <si>
    <t>RETÂNGULO 800 X 200 X 3,0mm</t>
  </si>
  <si>
    <t>Material: AÇO CARBONO, Processo de Fabricação: MP + CL, ESPESSURA: #3.0mm</t>
  </si>
  <si>
    <t>PRD00475</t>
  </si>
  <si>
    <t>PERFIL "U" 3000 X 250 X 50 X 50</t>
  </si>
  <si>
    <t>PRD00476</t>
  </si>
  <si>
    <t>DISCO Ø60,33 #3,0mm</t>
  </si>
  <si>
    <t>PRD00477</t>
  </si>
  <si>
    <t>DISCO 76,2 #3,0mm</t>
  </si>
  <si>
    <t>PRD00478</t>
  </si>
  <si>
    <t>RETÂNGULO 19 X 19 X 3,0</t>
  </si>
  <si>
    <t>PRD00479</t>
  </si>
  <si>
    <t>RETÂNGULO 45 X 19,05 X 4,75</t>
  </si>
  <si>
    <t>PRD00480</t>
  </si>
  <si>
    <t>RETÂNGULO 46 X 25 X 4,75</t>
  </si>
  <si>
    <t>PRD00481</t>
  </si>
  <si>
    <t>RETÂNGULO 90 X 44,4 X 6,35</t>
  </si>
  <si>
    <t>PRD00482</t>
  </si>
  <si>
    <t>CHICANA CORTADA - 1154 X 865</t>
  </si>
  <si>
    <t>PRD00483</t>
  </si>
  <si>
    <t>793 -10-10.44</t>
  </si>
  <si>
    <t>PRD00484</t>
  </si>
  <si>
    <t>795-10-10.44</t>
  </si>
  <si>
    <t>PRD00485</t>
  </si>
  <si>
    <t>793-10-10.9</t>
  </si>
  <si>
    <t>Material: AÇO CARBONO, Processo de Fabricação: DO, ESPESSURA: #2.0mm</t>
  </si>
  <si>
    <t>PRD00486</t>
  </si>
  <si>
    <t>795-10-10.13</t>
  </si>
  <si>
    <t>PRD00487</t>
  </si>
  <si>
    <t>793-10-10.9 - TRY OUT</t>
  </si>
  <si>
    <t>Material: AÇO CARBONO, Processo de Fabricação: CAD + DO, ESPESSURA: #2.0mm</t>
  </si>
  <si>
    <t>PRD00488</t>
  </si>
  <si>
    <t>795-10-10.13 - TRY OUT</t>
  </si>
  <si>
    <t>PRD00489</t>
  </si>
  <si>
    <t>BASE 200 X 200 X 45 6,35</t>
  </si>
  <si>
    <t>PRD00490</t>
  </si>
  <si>
    <t>F620614 - Ø7 X Ø13 X 3,0mm</t>
  </si>
  <si>
    <t>Material: AÇO CARBONO, Processo de Fabricação: MP + CL</t>
  </si>
  <si>
    <t>PRD00491</t>
  </si>
  <si>
    <t>RESERVATÓRIO CAIXA SONDA</t>
  </si>
  <si>
    <t>Material: AÇO CARBONO, Processo de Fabricação: MP + CL + DO, ESPESSURA: #3.0mm</t>
  </si>
  <si>
    <t>PRD00492</t>
  </si>
  <si>
    <t>TIRA 847 X 30 X 1,0</t>
  </si>
  <si>
    <t>PRD00493</t>
  </si>
  <si>
    <t>TIRA 628 X 30 X 1,0</t>
  </si>
  <si>
    <t>PRD00494</t>
  </si>
  <si>
    <t>DISCO Ø270 X 32,5</t>
  </si>
  <si>
    <t>PRD00495</t>
  </si>
  <si>
    <t>DISCO Ø200</t>
  </si>
  <si>
    <t>PRD00496</t>
  </si>
  <si>
    <t>BASE 3000 X 207 X 4,75</t>
  </si>
  <si>
    <t>PRD00497</t>
  </si>
  <si>
    <t>BASE 1300 X 207 X 4,75</t>
  </si>
  <si>
    <t>PRD00498</t>
  </si>
  <si>
    <t>Coluna de remonte de copinho de 1400</t>
  </si>
  <si>
    <t>PRD00499</t>
  </si>
  <si>
    <t>CONJ PROTÓTIPO BOCA ROSA + BASE FRONT - 2 LATER + 2 FRONTAL+2 TAMPO</t>
  </si>
  <si>
    <t>PRD00500</t>
  </si>
  <si>
    <t>BANDEJA TAPI - 1</t>
  </si>
  <si>
    <t>PRD00501</t>
  </si>
  <si>
    <t>BANDEJA TAPI - 2</t>
  </si>
  <si>
    <t>PRD00502</t>
  </si>
  <si>
    <t>BANDEJA TAPI - 3</t>
  </si>
  <si>
    <t>PRD00503</t>
  </si>
  <si>
    <t>BANDEJA TAPI - 4</t>
  </si>
  <si>
    <t>PRD00504</t>
  </si>
  <si>
    <t>BANDEJA DADI</t>
  </si>
  <si>
    <t>PRD00505</t>
  </si>
  <si>
    <t>ANEL EXTERNO CHICANA</t>
  </si>
  <si>
    <t>PRD00506</t>
  </si>
  <si>
    <t>FORMA 690 X 100</t>
  </si>
  <si>
    <t>PRD00507</t>
  </si>
  <si>
    <t>FORMA 109 X 100</t>
  </si>
  <si>
    <t>PRD00508</t>
  </si>
  <si>
    <t>FORMA X 108 X 100</t>
  </si>
  <si>
    <t>PRD00509</t>
  </si>
  <si>
    <t>FORMA 218 X 100 C RASGO</t>
  </si>
  <si>
    <t>PRD00510</t>
  </si>
  <si>
    <t>3180903</t>
  </si>
  <si>
    <t>PRD00511</t>
  </si>
  <si>
    <t>PROTOT NEW ILHA PAMPERS - TUBOS 1163x50x25x1,5mm</t>
  </si>
  <si>
    <t>PRD00512</t>
  </si>
  <si>
    <t>3181514_CHECKSTAND MODULAR CHAPA</t>
  </si>
  <si>
    <t>Material: AÇO CARBONO, ESPESSURA: #0.9mm</t>
  </si>
  <si>
    <t>PRD00513</t>
  </si>
  <si>
    <t>3181750_Chapa Base Pampers # 0,9mm</t>
  </si>
  <si>
    <t>PRD00514</t>
  </si>
  <si>
    <t>275-10.44 - 3UN</t>
  </si>
  <si>
    <t>PRD00515</t>
  </si>
  <si>
    <t>275-20.44 - 3UN</t>
  </si>
  <si>
    <t>PRD00516</t>
  </si>
  <si>
    <t>275.44 - 3UN</t>
  </si>
  <si>
    <t>PRD00517</t>
  </si>
  <si>
    <t>259.00-000-005-03 - 259-5.3</t>
  </si>
  <si>
    <t>PRD00518</t>
  </si>
  <si>
    <t>259.00-000-010-03 - 259-10.3</t>
  </si>
  <si>
    <t>PRD00519</t>
  </si>
  <si>
    <t>259.00-000-015-03 - 259-15.3</t>
  </si>
  <si>
    <t>PRD00520</t>
  </si>
  <si>
    <t>271.00-000-000-03 - 271.3</t>
  </si>
  <si>
    <t>PRD00521</t>
  </si>
  <si>
    <t>600.02-020-000-03 - 600-20.44</t>
  </si>
  <si>
    <t>PRD00522</t>
  </si>
  <si>
    <t>623.02-030-000-03 - 623-30.3</t>
  </si>
  <si>
    <t>PRD00523</t>
  </si>
  <si>
    <t>623.02-020-000-03 - 623-20.3</t>
  </si>
  <si>
    <t>PRD00524</t>
  </si>
  <si>
    <t>652.01-000-000-03 + 652.3</t>
  </si>
  <si>
    <t>PRD00525</t>
  </si>
  <si>
    <t>663.01-000-000-03 - 663.3</t>
  </si>
  <si>
    <t>PRD00526</t>
  </si>
  <si>
    <t>729.01-010-010-03 - 729-10-10.3</t>
  </si>
  <si>
    <t>PRD00527</t>
  </si>
  <si>
    <t>729.01-010-020-03 - 729-10-20.44</t>
  </si>
  <si>
    <t>PRD00528</t>
  </si>
  <si>
    <t>729.01-010-030-03 - 729-10-30.3</t>
  </si>
  <si>
    <t>PRD00529</t>
  </si>
  <si>
    <t>729.01-020-010-03 - 729-20-10.44</t>
  </si>
  <si>
    <t>PRD00530</t>
  </si>
  <si>
    <t>729.01-032-010-03 - 729-32-10.44</t>
  </si>
  <si>
    <t>PRD00531</t>
  </si>
  <si>
    <t>729.01-032-030-03 - 729-32-30.3</t>
  </si>
  <si>
    <t>PRD00532</t>
  </si>
  <si>
    <t>729.01-035-010-03 - 729-35-10.44</t>
  </si>
  <si>
    <t>PRD00533</t>
  </si>
  <si>
    <t>729.01-230-000-03 - 729-230.03</t>
  </si>
  <si>
    <t>PRD00534</t>
  </si>
  <si>
    <t>744.02-010-000-03 - 744-10.3</t>
  </si>
  <si>
    <t>PRD00535</t>
  </si>
  <si>
    <t>745.02-010-000-03 - 745-10.3</t>
  </si>
  <si>
    <t>PRD00536</t>
  </si>
  <si>
    <t>748.03-010-000-03 - 748-10.44</t>
  </si>
  <si>
    <t>PRD00537</t>
  </si>
  <si>
    <t>774.01-003-000-03 - 774.44</t>
  </si>
  <si>
    <t>PRD00538</t>
  </si>
  <si>
    <t>820.00-010-010-03 - 820-10.44</t>
  </si>
  <si>
    <t>PRD00539</t>
  </si>
  <si>
    <t>822.00-010-010-03 - 822-10-10.3</t>
  </si>
  <si>
    <t>PRD00540</t>
  </si>
  <si>
    <t>823.00-010-000-03 - 823-10.3</t>
  </si>
  <si>
    <t>PRD00541</t>
  </si>
  <si>
    <t>824.00-010-010-03 - 824-10-10.3</t>
  </si>
  <si>
    <t>PRD00542</t>
  </si>
  <si>
    <t>825.00-010-000-03 - 825-10.44</t>
  </si>
  <si>
    <t>PRD00543</t>
  </si>
  <si>
    <t>3181792 _BRAÇO LASER # 2,25MM ESPECIAL TNA - (LOTE PROTÓTIPO 128 UN)</t>
  </si>
  <si>
    <t>PRD00544</t>
  </si>
  <si>
    <t>ABSOLUTO CENTRAL - TOOLS</t>
  </si>
  <si>
    <t>PRD00545</t>
  </si>
  <si>
    <t>BASE 1200 X 207 X  4,75 - 1UN</t>
  </si>
  <si>
    <t>PRD00546</t>
  </si>
  <si>
    <t>BASE 650 X 225 X 4,75</t>
  </si>
  <si>
    <t>PRD00547</t>
  </si>
  <si>
    <t>BASE 700 X 200 X 4,75 - 1 UN</t>
  </si>
  <si>
    <t>PRD00548</t>
  </si>
  <si>
    <t>BASE 190 X 150 X 6,35</t>
  </si>
  <si>
    <t>PRD00549</t>
  </si>
  <si>
    <t>BASE 180 X 100 X 6,35</t>
  </si>
  <si>
    <t>PRD00550</t>
  </si>
  <si>
    <t>MOLDURA 454 X 40</t>
  </si>
  <si>
    <t>PRD00551</t>
  </si>
  <si>
    <t>MOLDURA 626 X 40</t>
  </si>
  <si>
    <t>PRD00552</t>
  </si>
  <si>
    <t>TIRA DOBRADA 950 X 15 X 19</t>
  </si>
  <si>
    <t>PRD00553</t>
  </si>
  <si>
    <t>TAMPA Ø98</t>
  </si>
  <si>
    <t>PRD00554</t>
  </si>
  <si>
    <t>ABSOLUTO CENTRAL 36 X 24  - FONTANEZI</t>
  </si>
  <si>
    <t>PRD00555</t>
  </si>
  <si>
    <t>ABSOLUTO CENTRAL 36 X 24  - TOOLS</t>
  </si>
  <si>
    <t>PRD00556</t>
  </si>
  <si>
    <t>ABSOLUTO CENTRAL 24 X 16  - FONTANEZI</t>
  </si>
  <si>
    <t>PRD00557</t>
  </si>
  <si>
    <t>ABSOLUTO CENTRAL 24 X 16  - TOOLS</t>
  </si>
  <si>
    <t>PRD00558</t>
  </si>
  <si>
    <t>SHIME 46 X 20 X 0,5 - 1900 X 302 (1CH)</t>
  </si>
  <si>
    <t>PRD00559</t>
  </si>
  <si>
    <t>SHIME 46 X 20 X 1,0 - 1900 X 302 (1CH)</t>
  </si>
  <si>
    <t>PRD00560</t>
  </si>
  <si>
    <t>SHIME 46 X 20 X 2,0 - 950 X 302 (1CH)</t>
  </si>
  <si>
    <t>PRD00561</t>
  </si>
  <si>
    <t>SHIME 60 X 20 X 0,5 - 3000 X 302 (2CH)</t>
  </si>
  <si>
    <t>PRD00562</t>
  </si>
  <si>
    <t>SHIME 60 X 20 X 1,0 - 3000 X 302 (2CH)</t>
  </si>
  <si>
    <t>PRD00563</t>
  </si>
  <si>
    <t>SHIME 60 X 20 X 2,0 - 3000 X 302 (1CH)</t>
  </si>
  <si>
    <t>PRD00564</t>
  </si>
  <si>
    <t>CHICANAS LASER</t>
  </si>
  <si>
    <t>PRD00565</t>
  </si>
  <si>
    <t>3181314 Tubo entalhado 25x25 #1,9 x  1900mm (Pret a Porter )(1L)</t>
  </si>
  <si>
    <t>PRD00566</t>
  </si>
  <si>
    <t>Dispositivo para colar embalagem implantes convencional - 1UN</t>
  </si>
  <si>
    <t>PRD00567</t>
  </si>
  <si>
    <t>Dispositivo para colar embalagem implantes zigomatico - 1UN</t>
  </si>
  <si>
    <t>PRD00568</t>
  </si>
  <si>
    <t>BASE 136 X 181 X 6,35</t>
  </si>
  <si>
    <t>PRD00569</t>
  </si>
  <si>
    <t>BASE 138 X 168 X 6,35</t>
  </si>
  <si>
    <t>PRD00570</t>
  </si>
  <si>
    <t>BASE 180 X 150 X 6,35</t>
  </si>
  <si>
    <t>PRD00571</t>
  </si>
  <si>
    <t>BASE 600 X 224 X 4,75</t>
  </si>
  <si>
    <t>PRD00572</t>
  </si>
  <si>
    <t>BASE 700 X 333 X 6,35</t>
  </si>
  <si>
    <t>PRD00573</t>
  </si>
  <si>
    <t>BASE 900 X 270 X 6,35</t>
  </si>
  <si>
    <t>PRD00574</t>
  </si>
  <si>
    <t>BASE 2200 X 210 X 4,75</t>
  </si>
  <si>
    <t>PRD00575</t>
  </si>
  <si>
    <t>BASE 2930 X 210 X 4,75</t>
  </si>
  <si>
    <t>PRD00576</t>
  </si>
  <si>
    <t>MANCAL 275 X 90 X 6,35</t>
  </si>
  <si>
    <t>PRD00577</t>
  </si>
  <si>
    <t>MANCAL 333 X 120 X 6,35 4 CHANFROS</t>
  </si>
  <si>
    <t>PRD00578</t>
  </si>
  <si>
    <t>MANCAL 458 X 120 X 6,35</t>
  </si>
  <si>
    <t>PRD00579</t>
  </si>
  <si>
    <t>MANCAL 498 X 120 X 6,35</t>
  </si>
  <si>
    <t>PRD00580</t>
  </si>
  <si>
    <t>CONJ ARRUELAS  RETRABALHO</t>
  </si>
  <si>
    <t>PRD00581</t>
  </si>
  <si>
    <t>BASE PEDAL #3,0mm</t>
  </si>
  <si>
    <t>PRD00582</t>
  </si>
  <si>
    <t>SUPORTE PARA TV</t>
  </si>
  <si>
    <t>PRD00583</t>
  </si>
  <si>
    <t>SUPORTE PEDAL 1+1</t>
  </si>
  <si>
    <t>PRD00584</t>
  </si>
  <si>
    <t>SUPORTE PEQUENO #3,0mm</t>
  </si>
  <si>
    <t>PRD00585</t>
  </si>
  <si>
    <t>SUPORTE TV BASE #3,0mm</t>
  </si>
  <si>
    <t>PRD00586</t>
  </si>
  <si>
    <t>SUPORTE U #3,0mm</t>
  </si>
  <si>
    <t>PRD00587</t>
  </si>
  <si>
    <t>SUPORTE PEDAL 1+1 #3,0mm</t>
  </si>
  <si>
    <t>PRD00588</t>
  </si>
  <si>
    <t>BASE PEDAL - #3,0MM</t>
  </si>
  <si>
    <t>PRD00589</t>
  </si>
  <si>
    <t>SUPORTE PARA TV #3,0mm</t>
  </si>
  <si>
    <t>PRD00590</t>
  </si>
  <si>
    <t>CPCI_01.00.01_SANTEK_300 -200 #3,0mm - 1UN</t>
  </si>
  <si>
    <t>PRD00591</t>
  </si>
  <si>
    <t>CPCI_01.00.02_SANTEK_400-200 #3,0mm - 2 UN</t>
  </si>
  <si>
    <t>PRD00592</t>
  </si>
  <si>
    <t>CPCI_01.01.01_SANTEK #1,5mm - 1UN</t>
  </si>
  <si>
    <t>PRD00593</t>
  </si>
  <si>
    <t>CPCI_01.01.02_SANTEK #1,5mm - 2 UN</t>
  </si>
  <si>
    <t>PRD00594</t>
  </si>
  <si>
    <t>CPCI_01.02.01_SANTEK #1,5mm - 1UN</t>
  </si>
  <si>
    <t>PRD00595</t>
  </si>
  <si>
    <t>LA8439105</t>
  </si>
  <si>
    <t>PRD00596</t>
  </si>
  <si>
    <t>MANCAL 204 X 162 X 38,6</t>
  </si>
  <si>
    <t>PRD00597</t>
  </si>
  <si>
    <t>MANCAL 204 X 162 X 190 X 6,35</t>
  </si>
  <si>
    <t>PRD00598</t>
  </si>
  <si>
    <t>MANCAL 205 X 255 X 209 X 6,35</t>
  </si>
  <si>
    <t>PRD00599</t>
  </si>
  <si>
    <t>MANCAL 468 X 120 X 6,35</t>
  </si>
  <si>
    <t>PRD00600</t>
  </si>
  <si>
    <t>MANCAL 508 X 120 X 6,35</t>
  </si>
  <si>
    <t>PRD00601</t>
  </si>
  <si>
    <t>BASE 1500 X 403 X 4,75</t>
  </si>
  <si>
    <t>PRD00602</t>
  </si>
  <si>
    <t>BASE 2200 X 212 X 4,75</t>
  </si>
  <si>
    <t>PRD00603</t>
  </si>
  <si>
    <t>BASE 2980 X 212 X 4,75</t>
  </si>
  <si>
    <t>PRD00604</t>
  </si>
  <si>
    <t>RETÂNGULO CORTADO INOX #2,0</t>
  </si>
  <si>
    <t>PRD00605</t>
  </si>
  <si>
    <t>110-00941984_01A_LA872393S_1</t>
  </si>
  <si>
    <t>PRD00606</t>
  </si>
  <si>
    <t>110-00941997_01A_LA872410S_1</t>
  </si>
  <si>
    <t>PRD00607</t>
  </si>
  <si>
    <t>110-00941998_01A_LA872411S_1</t>
  </si>
  <si>
    <t>PRD00608</t>
  </si>
  <si>
    <t>110-00941999_01A_LA872461S_1</t>
  </si>
  <si>
    <t>PRD00609</t>
  </si>
  <si>
    <t>110-00942000_01A_LA872609S_1</t>
  </si>
  <si>
    <t>PRD00610</t>
  </si>
  <si>
    <t>110-00942003_01A_LA872612S_1</t>
  </si>
  <si>
    <t>PRD00611</t>
  </si>
  <si>
    <t>110-00942004_01A_LA872613S_1</t>
  </si>
  <si>
    <t>PRD00612</t>
  </si>
  <si>
    <t>110-00942005_01A_LA872614S_1</t>
  </si>
  <si>
    <t>PRD00613</t>
  </si>
  <si>
    <t>110-00942007_01A_LA872616S_1</t>
  </si>
  <si>
    <t>PRD00614</t>
  </si>
  <si>
    <t>110-00942008_01A_LA872632S_1</t>
  </si>
  <si>
    <t>PRD00615</t>
  </si>
  <si>
    <t>110-00942009_01A_LA872633S_1</t>
  </si>
  <si>
    <t>PRD00616</t>
  </si>
  <si>
    <t>275.44</t>
  </si>
  <si>
    <t>PRD00617</t>
  </si>
  <si>
    <t>MANCAL 12,7mm</t>
  </si>
  <si>
    <t>PRD00618</t>
  </si>
  <si>
    <t>275.44 - 4 UN</t>
  </si>
  <si>
    <t>PRD00619</t>
  </si>
  <si>
    <t>PLANEJAMENTO DE CORTE 3,18</t>
  </si>
  <si>
    <t>PRD00620</t>
  </si>
  <si>
    <t>PLANEJAMENTO DE CORTE 6,35</t>
  </si>
  <si>
    <t>PRD00621</t>
  </si>
  <si>
    <t>PLANEJAMENTO DE CORTE 8,0</t>
  </si>
  <si>
    <t>PRD00622</t>
  </si>
  <si>
    <t>PLANEJAMENTO DE CORTE 9,5</t>
  </si>
  <si>
    <t>PRD00623</t>
  </si>
  <si>
    <t>623-30.44 - SOMENTE DOBRA</t>
  </si>
  <si>
    <t>PRD00624</t>
  </si>
  <si>
    <t>3181518_kit apoio lateral</t>
  </si>
  <si>
    <t>PRD00625</t>
  </si>
  <si>
    <t>3181519_kit apoio lateral retangular</t>
  </si>
  <si>
    <t>PRD00626</t>
  </si>
  <si>
    <t>SHOP WALL + HORIZON #3,0mm</t>
  </si>
  <si>
    <t>PRD00627</t>
  </si>
  <si>
    <t>STAGE #3,0mm</t>
  </si>
  <si>
    <t>PRD00628</t>
  </si>
  <si>
    <t>SUPORTE L CANTOENIRA #3,0mm</t>
  </si>
  <si>
    <t>PRD00629</t>
  </si>
  <si>
    <t>SUPORTE TRIANGULAR LD #2,0mm</t>
  </si>
  <si>
    <t>PRD00630</t>
  </si>
  <si>
    <t>SUPORTE TRIANGULAR LE #2,0mm</t>
  </si>
  <si>
    <t>PRD00631</t>
  </si>
  <si>
    <t>3181518_kit apoio lateral CORTE + DOBRA</t>
  </si>
  <si>
    <t>PRD00632</t>
  </si>
  <si>
    <t>3181519_kit apoio lateral retangular - CORTE + DOBRA</t>
  </si>
  <si>
    <t>PRD00633</t>
  </si>
  <si>
    <t>3181518_kit apoio lateral - DOBRA</t>
  </si>
  <si>
    <t>PRD00634</t>
  </si>
  <si>
    <t>3181519_kit apoio lateral retangular - DOBRA</t>
  </si>
  <si>
    <t>PRD00635</t>
  </si>
  <si>
    <t>Chapa inox 304 #1,00 x 100 x 125,60 mm com furos 1,00 mm</t>
  </si>
  <si>
    <t>PRD00636</t>
  </si>
  <si>
    <t>Disco inox 304 #1,00 x redondo 40,00 com furos 1,00 mm</t>
  </si>
  <si>
    <t>PRD00637</t>
  </si>
  <si>
    <t>3181793</t>
  </si>
  <si>
    <t>PRD00638</t>
  </si>
  <si>
    <t>MANCAL 50X50 FURO 25,4-ESP10-100X</t>
  </si>
  <si>
    <t>PRD00639</t>
  </si>
  <si>
    <t>MANCAL 80X65 FURO 25,4-ESP 12,7-100X</t>
  </si>
  <si>
    <t>PRD00640</t>
  </si>
  <si>
    <t>PISTAO ITEM 1 - PECA  1 - ESP 5 - 1000X</t>
  </si>
  <si>
    <t>PRD00641</t>
  </si>
  <si>
    <t>PISTAO ITEM 1 - PECA  2 - ESP 5 - 500X</t>
  </si>
  <si>
    <t>PRD00642</t>
  </si>
  <si>
    <t>PISTAO ITEM 2 - PECA  1 - ESP 5 - 1000X</t>
  </si>
  <si>
    <t>PRD00643</t>
  </si>
  <si>
    <t>PISTAO ITEM 2 - PECA  2 - ESP 5 - 500X</t>
  </si>
  <si>
    <t>PRD00644</t>
  </si>
  <si>
    <t>MANCAL 80X65 FURO 32-ESP 12,7-100X</t>
  </si>
  <si>
    <t>PRD00645</t>
  </si>
  <si>
    <t>3181520_Tubo 25x25mm # 1,20mm entalhe 2 lados passo 40</t>
  </si>
  <si>
    <t>PRD00646</t>
  </si>
  <si>
    <t>3181517_kit base</t>
  </si>
  <si>
    <t>PRD00647</t>
  </si>
  <si>
    <t>RZK-00024-1_BASE DA FLANGE</t>
  </si>
  <si>
    <t>PRD00648</t>
  </si>
  <si>
    <t>RZK-00025-1_APOIO DA FLANGE</t>
  </si>
  <si>
    <t>PRD00649</t>
  </si>
  <si>
    <t>BASE 2200 X 90 X 6,35</t>
  </si>
  <si>
    <t>PRD00650</t>
  </si>
  <si>
    <t>PISTAO ITEM 1 - DOBRADO-500X</t>
  </si>
  <si>
    <t>PRD00651</t>
  </si>
  <si>
    <t>PISTAO ITEM 2 - DOBRADO-500X</t>
  </si>
  <si>
    <t>PRD00652</t>
  </si>
  <si>
    <t>BASE 700 X 345 X 6,35</t>
  </si>
  <si>
    <t>PRD00653</t>
  </si>
  <si>
    <t>BASE 3000 X 200 X 6,35</t>
  </si>
  <si>
    <t>PRD00654</t>
  </si>
  <si>
    <t>MANCAL 248 X 90 X 6,35</t>
  </si>
  <si>
    <t>PRD00655</t>
  </si>
  <si>
    <t>MANCAL 343 X 120 X 6,35 CH  30mm</t>
  </si>
  <si>
    <t>PRD00656</t>
  </si>
  <si>
    <t>MANCAL 470 X 120 X 6,35 CH 30mm</t>
  </si>
  <si>
    <t>PRD00657</t>
  </si>
  <si>
    <t>BASE 700 X 171 X 126 X 6,35</t>
  </si>
  <si>
    <t>PRD00658</t>
  </si>
  <si>
    <t>BASE 345 X 235 X 6,35</t>
  </si>
  <si>
    <t>PRD00659</t>
  </si>
  <si>
    <t>BASE 500 X 350 X 100 X 6,35,</t>
  </si>
  <si>
    <t>PRD00660</t>
  </si>
  <si>
    <t>BASE 2950 X 210 X 4,75</t>
  </si>
  <si>
    <t>PRD00661</t>
  </si>
  <si>
    <t>107600 Tubo Ø1 ¼ esp. 1.9mm comp. 2450mm com entalhes para montante invertido (3180102)</t>
  </si>
  <si>
    <t>PRD00662</t>
  </si>
  <si>
    <t>BASE 210 X 91 X 60</t>
  </si>
  <si>
    <t>PRD00663</t>
  </si>
  <si>
    <t>BASE PLACA ESPECIFICAÇOES HYUNDAI GDSI 2.0 #6,35m</t>
  </si>
  <si>
    <t>PRD00664</t>
  </si>
  <si>
    <t>PLACA SUPERIOR ESPECIFICAÇÕES HYUNDAI GDSI 2.0 #2,0mm</t>
  </si>
  <si>
    <t>PRD00665</t>
  </si>
  <si>
    <t>TUBO 50 X 50 OBLONGO MESA CONSULTOR HYUNDAI</t>
  </si>
  <si>
    <t>PRD00666</t>
  </si>
  <si>
    <t>TUBO 50 X 50 FUROS QUADRADOS MESA CONSULTOR HYUNDAI</t>
  </si>
  <si>
    <t>PRD00667</t>
  </si>
  <si>
    <t>TRIÂNGULO PEQUENO</t>
  </si>
  <si>
    <t>PRD00668</t>
  </si>
  <si>
    <t>TRIÂNGULO GRANDE</t>
  </si>
  <si>
    <t>PRD00669</t>
  </si>
  <si>
    <t>TRIÂNGULO GRANDE LE</t>
  </si>
  <si>
    <t>PRD00670</t>
  </si>
  <si>
    <t>TRIÂNGULO PEQUENO LD</t>
  </si>
  <si>
    <t>PRD00671</t>
  </si>
  <si>
    <t>TRIÂNGULO PEQUENO LE</t>
  </si>
  <si>
    <t>PRD00672</t>
  </si>
  <si>
    <t>TRIÂNGULO GRANDE LD</t>
  </si>
  <si>
    <t>PRD00673</t>
  </si>
  <si>
    <t>SAPATA 140 X 80 X 3,0</t>
  </si>
  <si>
    <t>PRD00674</t>
  </si>
  <si>
    <t>FLANGE 80 X 80 X 2,0</t>
  </si>
  <si>
    <t>PRD00675</t>
  </si>
  <si>
    <t>CHAPA 110 X 94 X 2,0mm</t>
  </si>
  <si>
    <t>PRD00676</t>
  </si>
  <si>
    <t>CHAPA 150 X 30 X 1,0</t>
  </si>
  <si>
    <t>PRD00677</t>
  </si>
  <si>
    <t>RM991024</t>
  </si>
  <si>
    <t>PRD00678</t>
  </si>
  <si>
    <t>3181610</t>
  </si>
  <si>
    <t>PRD00679</t>
  </si>
  <si>
    <t>3181795</t>
  </si>
  <si>
    <t>PRD00680</t>
  </si>
  <si>
    <t>31817897</t>
  </si>
  <si>
    <t>PRD00681</t>
  </si>
  <si>
    <t>SUPORTE-1 #3,0mm</t>
  </si>
  <si>
    <t>PRD00682</t>
  </si>
  <si>
    <t>SUPORTE-2 #3,0mm</t>
  </si>
  <si>
    <t>PRD00683</t>
  </si>
  <si>
    <t>SUPORTE-3-2X #3,0 mm</t>
  </si>
  <si>
    <t>PRD00684</t>
  </si>
  <si>
    <t>SUPORTE-4 #4,75 mm</t>
  </si>
  <si>
    <t>PRD00685</t>
  </si>
  <si>
    <t>SUPORTE-5 #3,0mm</t>
  </si>
  <si>
    <t>PRD00686</t>
  </si>
  <si>
    <t>182.00-020-000-03 - 182.44</t>
  </si>
  <si>
    <t>PRD00687</t>
  </si>
  <si>
    <t>258.00-000-005-03 - 258-5.3</t>
  </si>
  <si>
    <t>PRD00688</t>
  </si>
  <si>
    <t>258.00-000-010-03 - 258-10.3</t>
  </si>
  <si>
    <t>PRD00689</t>
  </si>
  <si>
    <t>258.00-000-015-03 - 258-15.3</t>
  </si>
  <si>
    <t>PRD00690</t>
  </si>
  <si>
    <t>263.00-040-000-03 - 263-40.3</t>
  </si>
  <si>
    <t>PRD00691</t>
  </si>
  <si>
    <t>514.04-000-000-03 - 514.3</t>
  </si>
  <si>
    <t>PRD00692</t>
  </si>
  <si>
    <t>566.05-040-000-03 - 566-40.3</t>
  </si>
  <si>
    <t>PRD00693</t>
  </si>
  <si>
    <t>655.01-000-000-03 - 655.3</t>
  </si>
  <si>
    <t>PRD00694</t>
  </si>
  <si>
    <t>656.01-000-000-03 - 656.3</t>
  </si>
  <si>
    <t>PRD00695</t>
  </si>
  <si>
    <t>664.01-000-000-03  - 664.3</t>
  </si>
  <si>
    <t>PRD00696</t>
  </si>
  <si>
    <t>666.01-000-000-03 - 666.3</t>
  </si>
  <si>
    <t>PRD00697</t>
  </si>
  <si>
    <t>703.04-109-000-03 - 703-109.3</t>
  </si>
  <si>
    <t>PRD00698</t>
  </si>
  <si>
    <t>730.01-010-000 - 730-10.3</t>
  </si>
  <si>
    <t>PRD00699</t>
  </si>
  <si>
    <t>791.01-010-020-03 - 791-10-10-20.3</t>
  </si>
  <si>
    <t>PRD00700</t>
  </si>
  <si>
    <t>791.01-010-090-03 - 791-10-90.44</t>
  </si>
  <si>
    <t>PRD00701</t>
  </si>
  <si>
    <t>791.01-020-010-03 - 791-20-10.3</t>
  </si>
  <si>
    <t>PRD00702</t>
  </si>
  <si>
    <t>CFD 2,65 X 1200 X 3000 ASTM A572-50</t>
  </si>
  <si>
    <t>PRD00703</t>
  </si>
  <si>
    <t>BASE 270 X 68 X 4,75 - COM MATERIAL</t>
  </si>
  <si>
    <t>PRD00704</t>
  </si>
  <si>
    <t>BASE 270 X 68 X 4,75 - SEM MATERIAL</t>
  </si>
  <si>
    <t>PRD00705</t>
  </si>
  <si>
    <t>QUADRADO 135 X 135 X 9,5 - COM MATERIAL</t>
  </si>
  <si>
    <t>PRD00706</t>
  </si>
  <si>
    <t>QUADRADO 135 X 135 X 9,5 - SEM MATERIAL</t>
  </si>
  <si>
    <t>PRD00707</t>
  </si>
  <si>
    <t>BASE 270 X 68 X 4,75</t>
  </si>
  <si>
    <t>PRD00708</t>
  </si>
  <si>
    <t>QUADRADO 135 X 135 X 9,5</t>
  </si>
  <si>
    <t>PRD00709</t>
  </si>
  <si>
    <t>BA - 05</t>
  </si>
  <si>
    <t>PRD00710</t>
  </si>
  <si>
    <t>BASE 500 X 227 X 6,35</t>
  </si>
  <si>
    <t>PRD00711</t>
  </si>
  <si>
    <t>BASE 1450 X 215 X 4,75</t>
  </si>
  <si>
    <t>PRD00712</t>
  </si>
  <si>
    <t>BASE 2000 X 202 X 4,75</t>
  </si>
  <si>
    <t>PRD00713</t>
  </si>
  <si>
    <t>BASE 2900 X 580 X 4,75</t>
  </si>
  <si>
    <t>PRD00714</t>
  </si>
  <si>
    <t>3181525_CHECKSTAND MODULAR CHAPA Fechamento Base</t>
  </si>
  <si>
    <t>PRD00715</t>
  </si>
  <si>
    <t>LINGUETA GAVETA #0,8mm</t>
  </si>
  <si>
    <t>PRD00716</t>
  </si>
  <si>
    <t>CHAPA DOBRADA</t>
  </si>
  <si>
    <t>PRD00717</t>
  </si>
  <si>
    <t>SERVIÇO DOBRA LUCATON</t>
  </si>
  <si>
    <t>PRD00718</t>
  </si>
  <si>
    <t>SERVIÇO ARRUELA TITANIUM</t>
  </si>
  <si>
    <t>PRD00719</t>
  </si>
  <si>
    <t>OS765_141_DOBRADICA_SUPERIOR - COM MATERIAL</t>
  </si>
  <si>
    <t>PRD00720</t>
  </si>
  <si>
    <t>OS765_143_DOBRADICA_INFERIOR</t>
  </si>
  <si>
    <t>PRD00721</t>
  </si>
  <si>
    <t>OS765_144_CALCO_AJUSTE</t>
  </si>
  <si>
    <t>PRD00722</t>
  </si>
  <si>
    <t>OS765_145_CALCO_AJUSTE</t>
  </si>
  <si>
    <t>PRD00723</t>
  </si>
  <si>
    <t>OS765_146_CALCO_AJUSTE</t>
  </si>
  <si>
    <t>PRD00724</t>
  </si>
  <si>
    <t>OS765_147_CALCO_AJUSTE</t>
  </si>
  <si>
    <t>PRD00725</t>
  </si>
  <si>
    <t>OS765_148_CALCO_AJUSTE</t>
  </si>
  <si>
    <t>PRD00726</t>
  </si>
  <si>
    <t>OS765_149_CALCO_AJUSTE</t>
  </si>
  <si>
    <t>PRD00727</t>
  </si>
  <si>
    <t>OS765_150_CALCO_AJUSTE</t>
  </si>
  <si>
    <t>PRD00728</t>
  </si>
  <si>
    <t>OS765_151_CALCO_AJUSTE</t>
  </si>
  <si>
    <t>PRD00729</t>
  </si>
  <si>
    <t>OS765_152_SUPORTE_DO_DERIVADOR</t>
  </si>
  <si>
    <t>PRD00730</t>
  </si>
  <si>
    <t>OS765_153_CALCO_AJUSTE</t>
  </si>
  <si>
    <t>PRD00731</t>
  </si>
  <si>
    <t>OS765_154_PROTECAO_RETALHO</t>
  </si>
  <si>
    <t>PRD00732</t>
  </si>
  <si>
    <t>OS765_155_PROTECAO_RETALHO</t>
  </si>
  <si>
    <t>PRD00733</t>
  </si>
  <si>
    <t>OS765_156_PROTECAO_RETALHO</t>
  </si>
  <si>
    <t>PRD00734</t>
  </si>
  <si>
    <t>OS765_157_PROTECAO_RETALHO</t>
  </si>
  <si>
    <t>PRD00735</t>
  </si>
  <si>
    <t>OS765_158_CALCO_AJUSTE</t>
  </si>
  <si>
    <t>PRD00736</t>
  </si>
  <si>
    <t>OS765_159_CALCO_AJUSTE</t>
  </si>
  <si>
    <t>PRD00737</t>
  </si>
  <si>
    <t>OS765_160_CALCO_DE_AJUSTE</t>
  </si>
  <si>
    <t>PRD00738</t>
  </si>
  <si>
    <t>OS765_161_COMPLEMENTO_CALHA</t>
  </si>
  <si>
    <t>PRD00739</t>
  </si>
  <si>
    <t>OS765_162_CALHA</t>
  </si>
  <si>
    <t>PRD00740</t>
  </si>
  <si>
    <t>OS765_163_COMPLEMENTO_CALHA</t>
  </si>
  <si>
    <t>PRD00741</t>
  </si>
  <si>
    <t>OS765_164_CALHA</t>
  </si>
  <si>
    <t>PRD00742</t>
  </si>
  <si>
    <t>OS765_165_SUPORTE_PAINEL</t>
  </si>
  <si>
    <t>PRD00743</t>
  </si>
  <si>
    <t>OS765_166_CALCO_AJUSTE</t>
  </si>
  <si>
    <t>PRD00744</t>
  </si>
  <si>
    <t>OS765_167_CALCO_AJUSTE</t>
  </si>
  <si>
    <t>PRD00745</t>
  </si>
  <si>
    <t>OS765_168_SUPORTE_PAINEL</t>
  </si>
  <si>
    <t>PRD00746</t>
  </si>
  <si>
    <t>OS764_122_DOBRADICA_SUPERIOR</t>
  </si>
  <si>
    <t>PRD00747</t>
  </si>
  <si>
    <t>OS764_124_DOBRADICA_INFERIOR</t>
  </si>
  <si>
    <t>PRD00748</t>
  </si>
  <si>
    <t>OS764_125_SUPORTE_DO_DERIVADOR</t>
  </si>
  <si>
    <t>PRD00749</t>
  </si>
  <si>
    <t>OS764_126_CALHA</t>
  </si>
  <si>
    <t>PRD00750</t>
  </si>
  <si>
    <t>OS764_127_CALHA</t>
  </si>
  <si>
    <t>PRD00751</t>
  </si>
  <si>
    <t>OS764_128_EXTENSAO_CALHA</t>
  </si>
  <si>
    <t>PRD00752</t>
  </si>
  <si>
    <t>OS764_129_EXTENSAO_CALHA</t>
  </si>
  <si>
    <t>PRD00753</t>
  </si>
  <si>
    <t>OS764_130_CALHA</t>
  </si>
  <si>
    <t>PRD00754</t>
  </si>
  <si>
    <t>OS764_131_EXTENSAO_CALHA</t>
  </si>
  <si>
    <t>PRD00755</t>
  </si>
  <si>
    <t>OS764_135_CALHA</t>
  </si>
  <si>
    <t>PRD00756</t>
  </si>
  <si>
    <t>OS755_150_CALCO_AJUSTE</t>
  </si>
  <si>
    <t>PRD00757</t>
  </si>
  <si>
    <t>OS755_151_CALCO_AJUSTE</t>
  </si>
  <si>
    <t>PRD00758</t>
  </si>
  <si>
    <t>OS755_152_CALCO_AJUSTE</t>
  </si>
  <si>
    <t>PRD00759</t>
  </si>
  <si>
    <t>OS755_153_CALCO_AJUSTE</t>
  </si>
  <si>
    <t>PRD00760</t>
  </si>
  <si>
    <t>OS755_154_CALCO_AJUSTE</t>
  </si>
  <si>
    <t>PRD00761</t>
  </si>
  <si>
    <t>OS755_155_CALCO_AJUSTE</t>
  </si>
  <si>
    <t>PRD00762</t>
  </si>
  <si>
    <t>OS755_156_CALCO_AJUSTE</t>
  </si>
  <si>
    <t>PRD00763</t>
  </si>
  <si>
    <t>OS755_157_CALCO_AJUSTE</t>
  </si>
  <si>
    <t>PRD00764</t>
  </si>
  <si>
    <t>OS755_158_CALCO_AJUSTE</t>
  </si>
  <si>
    <t>PRD00765</t>
  </si>
  <si>
    <t>OS755_159_CALHA</t>
  </si>
  <si>
    <t>PRD00766</t>
  </si>
  <si>
    <t>OS755_160_CALHA</t>
  </si>
  <si>
    <t>PRD00767</t>
  </si>
  <si>
    <t>OS755_161_CALHA</t>
  </si>
  <si>
    <t>PRD00768</t>
  </si>
  <si>
    <t>OS755_162_PROTECAO</t>
  </si>
  <si>
    <t>PRD00769</t>
  </si>
  <si>
    <t>OS755_163_PROTECAO</t>
  </si>
  <si>
    <t>PRD00770</t>
  </si>
  <si>
    <t>OS755_164_CALCO_AJUSTE</t>
  </si>
  <si>
    <t>PRD00771</t>
  </si>
  <si>
    <t>OS755_165_CALCO_AJUSTE</t>
  </si>
  <si>
    <t>PRD00772</t>
  </si>
  <si>
    <t>OS755_166_CALCO_AJUSTE</t>
  </si>
  <si>
    <t>PRD00773</t>
  </si>
  <si>
    <t>OS755_167_CALCO_AJUSTE</t>
  </si>
  <si>
    <t>PRD00774</t>
  </si>
  <si>
    <t>OS755_168_CALCO_AJUSTE</t>
  </si>
  <si>
    <t>PRD00775</t>
  </si>
  <si>
    <t>OS755_169_CALCO_AJUSTE</t>
  </si>
  <si>
    <t>PRD00776</t>
  </si>
  <si>
    <t>OS755_170_CALCO_AJUSTE</t>
  </si>
  <si>
    <t>PRD00777</t>
  </si>
  <si>
    <t>OS755_171_CALCO_AJUSTE</t>
  </si>
  <si>
    <t>PRD00778</t>
  </si>
  <si>
    <t>OS755_172_CALCO_AJUSTE</t>
  </si>
  <si>
    <t>PRD00779</t>
  </si>
  <si>
    <t>OS755_173_CALCO_AJUSTE</t>
  </si>
  <si>
    <t>PRD00780</t>
  </si>
  <si>
    <t>OS755_174_CALCO_AJUSTE</t>
  </si>
  <si>
    <t>PRD00781</t>
  </si>
  <si>
    <t>OS755_175_CALCO_AJUSTE</t>
  </si>
  <si>
    <t>PRD00782</t>
  </si>
  <si>
    <t>OS755_176_CALCO_AJUSTE</t>
  </si>
  <si>
    <t>PRD00783</t>
  </si>
  <si>
    <t>OS755_177_CALCO_AJUSTE</t>
  </si>
  <si>
    <t>PRD00784</t>
  </si>
  <si>
    <t>OS755_178_CALCO_AJUSTE</t>
  </si>
  <si>
    <t>PRD00785</t>
  </si>
  <si>
    <t>OS755_132_SUPORTE_MANOMETRO</t>
  </si>
  <si>
    <t>PRD00786</t>
  </si>
  <si>
    <t>chapa 800 x 500 x 4,75 - UNIMAQ</t>
  </si>
  <si>
    <t>PRD00787</t>
  </si>
  <si>
    <t>chapa de acabamento - 4x</t>
  </si>
  <si>
    <t>PRD00788</t>
  </si>
  <si>
    <t>chapa de fixacao do bloco -300</t>
  </si>
  <si>
    <t>PRD00789</t>
  </si>
  <si>
    <t>chapa de fixacao do bloco -1000</t>
  </si>
  <si>
    <t>PRD00790</t>
  </si>
  <si>
    <t>chapa de uniao - 295-2x</t>
  </si>
  <si>
    <t>PRD00791</t>
  </si>
  <si>
    <t>chapa de uniao - 995-2x</t>
  </si>
  <si>
    <t>PRD00792</t>
  </si>
  <si>
    <t>chapa lateral dir 2X</t>
  </si>
  <si>
    <t>PRD00793</t>
  </si>
  <si>
    <t>chapa lateral ESQ 2X</t>
  </si>
  <si>
    <t>PRD00794</t>
  </si>
  <si>
    <t>DISCO 4 FUROS #3,0mm</t>
  </si>
  <si>
    <t>PRD00795</t>
  </si>
  <si>
    <t>3181601_Prateleira oculos bcl (PP)_corte laser</t>
  </si>
  <si>
    <t>PRD00796</t>
  </si>
  <si>
    <t>Boca Rosa 1Bay_corte laser ch # 1,20mm_1</t>
  </si>
  <si>
    <t>PRD00797</t>
  </si>
  <si>
    <t>Boca Rosa 1Bay_corte laser ch # 1,20mm_2</t>
  </si>
  <si>
    <t>PRD00798</t>
  </si>
  <si>
    <t>1097281 - EXPOSITOR DE CHAO FYS GIRATORIO 31102024 chapa laser</t>
  </si>
  <si>
    <t>PRD00799</t>
  </si>
  <si>
    <t>BASE 170 X 150 X 6,35</t>
  </si>
  <si>
    <t>PRD00800</t>
  </si>
  <si>
    <t>BASE 700 X 213 X 6,35</t>
  </si>
  <si>
    <t>PRD00801</t>
  </si>
  <si>
    <t>BASE 800 X 335 X 6,35</t>
  </si>
  <si>
    <t>PRD00802</t>
  </si>
  <si>
    <t>MANCAL 520 X 120 X 6,35</t>
  </si>
  <si>
    <t>PRD00803</t>
  </si>
  <si>
    <t>PADRÃO PLANO - PILAR 150 X 60 X 2,25</t>
  </si>
  <si>
    <t>PRD00804</t>
  </si>
  <si>
    <t>DISCO 29 CM</t>
  </si>
  <si>
    <t>PRD00805</t>
  </si>
  <si>
    <t>OS_738__CORTE_LASER_2D_EXPESSURA_2_8mm__28102024_catpart</t>
  </si>
  <si>
    <t>PRD00806</t>
  </si>
  <si>
    <t>BASE 600 X 226 X 4,75</t>
  </si>
  <si>
    <t>PRD00807</t>
  </si>
  <si>
    <t>BASE 200 X 150 X 4,75</t>
  </si>
  <si>
    <t>PRD00808</t>
  </si>
  <si>
    <t>3181703</t>
  </si>
  <si>
    <t>PRD00809</t>
  </si>
  <si>
    <t>3181704</t>
  </si>
  <si>
    <t>PRD00810</t>
  </si>
  <si>
    <t>3181510</t>
  </si>
  <si>
    <t>PRD00811</t>
  </si>
  <si>
    <t>3181650_Braço Terminais 5 Marcas_chapa 3mm</t>
  </si>
  <si>
    <t>PRD00812</t>
  </si>
  <si>
    <t>044-POKA-YOKE-PINO SEG</t>
  </si>
  <si>
    <t>PRD00813</t>
  </si>
  <si>
    <t>124-PLACA DE AJUSTE</t>
  </si>
  <si>
    <t>PRD00814</t>
  </si>
  <si>
    <t>125-PLACA DE AJUSTE</t>
  </si>
  <si>
    <t>PRD00815</t>
  </si>
  <si>
    <t>143-PLACA DE AJUSTE</t>
  </si>
  <si>
    <t>PRD00816</t>
  </si>
  <si>
    <t>145-PLACA DE AJUSTE</t>
  </si>
  <si>
    <t>PRD00817</t>
  </si>
  <si>
    <t>3181716 - ABRIDOR HNK - AÇO INOX #2,0mm</t>
  </si>
  <si>
    <t>PRD00818</t>
  </si>
  <si>
    <t>BASE 1495 X 207 X 4,75</t>
  </si>
  <si>
    <t>PRD00819</t>
  </si>
  <si>
    <t>BASE 2995 X 207 X 4,75</t>
  </si>
  <si>
    <t>PRD00820</t>
  </si>
  <si>
    <t>CHAPA DOBRADA 605 X 330 X 3,0</t>
  </si>
  <si>
    <t>PRD00821</t>
  </si>
  <si>
    <t>CHAPA 680 X 100 X 3,0</t>
  </si>
  <si>
    <t>PRD00822</t>
  </si>
  <si>
    <t>3181522_Chapa # 2,25mm _ 800173 Expositor torre calçados (PP)</t>
  </si>
  <si>
    <t>PRD00823</t>
  </si>
  <si>
    <t>3181709_NEW ILHA PAMPERS - tubo cremalheira 50x25mm # 1,5mm</t>
  </si>
  <si>
    <t>PRD00824</t>
  </si>
  <si>
    <t>BASE 250X 195 X 6,35</t>
  </si>
  <si>
    <t>PRD00825</t>
  </si>
  <si>
    <t>BASE 250 X 195 X 6,35</t>
  </si>
  <si>
    <t>PRD00826</t>
  </si>
  <si>
    <t>3181521_Chapa 1,20mm Boca Rosa Bay A_1 A_2 C_1</t>
  </si>
  <si>
    <t>PRD00827</t>
  </si>
  <si>
    <t>BASE 1750 X 463 X 4,75</t>
  </si>
  <si>
    <t>PRD00828</t>
  </si>
  <si>
    <t>SUPORTE LANTERNA #2,0mm</t>
  </si>
  <si>
    <t>PRD00830</t>
  </si>
  <si>
    <t>CONJUNTO SOLDADO #6,35</t>
  </si>
  <si>
    <t>PRD00832</t>
  </si>
  <si>
    <t>CHAPA #3,0mm DOBRADA  - PEÇA 7</t>
  </si>
  <si>
    <t>PRD00833</t>
  </si>
  <si>
    <t>TRAPÉZIO 87 X 34,5 X 3,0 - PEÇA 6</t>
  </si>
  <si>
    <t>PRD00834</t>
  </si>
  <si>
    <t>TRIÂNGULO 145 X 145 X 6,35 - PEÇA 5</t>
  </si>
  <si>
    <t>PRD00835</t>
  </si>
  <si>
    <t>CHAPA DOBRADA 83,5 X 81 X 235 X 5,0 - PEÇA 4</t>
  </si>
  <si>
    <t>PRD00836</t>
  </si>
  <si>
    <t>CHAPA DOBRADA 136 X 86,5 X 34 X 5,0 - PEÇA 3</t>
  </si>
  <si>
    <t>PRD00837</t>
  </si>
  <si>
    <t>CHAPA DOBRADA 112,5 X 46 X 70 X 8,0 - PEÇA 2</t>
  </si>
  <si>
    <t>PRD00838</t>
  </si>
  <si>
    <t>CHAPA  DOBRADA 138 X 46 X 70 X 8,0 - PEÇA 1</t>
  </si>
  <si>
    <t>PRD00839</t>
  </si>
  <si>
    <t>CONJUNTO SOLDADO #6,35 - 1 - PEÇA 9.1 (NÃO INCLUSO SOLDA NAS RÉGUAS)</t>
  </si>
  <si>
    <t>PRD00840</t>
  </si>
  <si>
    <t>FLANGE Ø1513 X 9,5</t>
  </si>
  <si>
    <t>PRD00841</t>
  </si>
  <si>
    <t>FLANGE Ø1513 X 9,5 - SEM MATERIAL</t>
  </si>
  <si>
    <t>PRD00842</t>
  </si>
  <si>
    <t>CHAPA ALUMINIO LAVRADO #2,5mm 830 mm - PEÇA 8.1 + SUPORTE "L" PEÇA 7 (6X)</t>
  </si>
  <si>
    <t>PRD00843</t>
  </si>
  <si>
    <t>CHAPA ALUMINIO LAVRADO #2,5mm 750 mm - PEÇA 10.1 - SUPORTE "L" PEÇA 7 (6X)</t>
  </si>
  <si>
    <t>PRD00844</t>
  </si>
  <si>
    <t>CHAPA ( U ) 300 X 85 X 85 X6,35</t>
  </si>
  <si>
    <t>PRD00845</t>
  </si>
  <si>
    <t>CHAPA ( U ) 300 X 85 X 85 X 6,35</t>
  </si>
  <si>
    <t>PRD00846</t>
  </si>
  <si>
    <t>FLANGE Ø1513 X 6,35</t>
  </si>
  <si>
    <t>PRD00847</t>
  </si>
  <si>
    <t>FLANGE Ø1400 X 6,35</t>
  </si>
  <si>
    <t>PRD00848</t>
  </si>
  <si>
    <t>CONJ PEDIDO DE PROTÓTIPOS #0,9 #1,5 #2,25 #3,0</t>
  </si>
  <si>
    <t>PRD00849</t>
  </si>
  <si>
    <t>Tubos 30x 60 Projeto Lindt</t>
  </si>
  <si>
    <t>PRD00850</t>
  </si>
  <si>
    <t>3181515_Chapa 1,20 mm Boca Rosa S_1-S_2-S_3-B2-B_1-B_2-B_3-C2</t>
  </si>
  <si>
    <t>PRD00851</t>
  </si>
  <si>
    <t>Bandeja FRAM Camarim 121124_chapa # 1,20mm_Laser</t>
  </si>
  <si>
    <t>PRD00852</t>
  </si>
  <si>
    <t>014-PLACA DE AJUSTE</t>
  </si>
  <si>
    <t>PRD00853</t>
  </si>
  <si>
    <t>054-SUPORTE SENSOR</t>
  </si>
  <si>
    <t>PRD00854</t>
  </si>
  <si>
    <t>059-SUPORTE SENSOR</t>
  </si>
  <si>
    <t>PRD00855</t>
  </si>
  <si>
    <t>090-PLACA DE AJUSTE</t>
  </si>
  <si>
    <t>PRD00856</t>
  </si>
  <si>
    <t>091-PLACA DE AJUSTE</t>
  </si>
  <si>
    <t>PRD00857</t>
  </si>
  <si>
    <t>092-PLACA DE AJUSTE</t>
  </si>
  <si>
    <t>PRD00858</t>
  </si>
  <si>
    <t>093-PLACA DE AJUSTE</t>
  </si>
  <si>
    <t>PRD00859</t>
  </si>
  <si>
    <t>094-PLACA DE AJUSTE</t>
  </si>
  <si>
    <t>PRD00860</t>
  </si>
  <si>
    <t>095-PLACA DE AJUSTE</t>
  </si>
  <si>
    <t>PRD00861</t>
  </si>
  <si>
    <t>096-PLACA DE AJUSTE.</t>
  </si>
  <si>
    <t>PRD00862</t>
  </si>
  <si>
    <t>097-PLACA DE AJUSTE</t>
  </si>
  <si>
    <t>PRD00863</t>
  </si>
  <si>
    <t>098-PLACA DE AJUSTE</t>
  </si>
  <si>
    <t>PRD00864</t>
  </si>
  <si>
    <t>151-PLACA DE AJUSTE</t>
  </si>
  <si>
    <t>PRD00865</t>
  </si>
  <si>
    <t>015_SUPORTE DERIVADOR</t>
  </si>
  <si>
    <t>PRD00866</t>
  </si>
  <si>
    <t>016_SUPORTE SENSOR.</t>
  </si>
  <si>
    <t>PRD00867</t>
  </si>
  <si>
    <t>017_POKA-YOKE-PINO SEG.</t>
  </si>
  <si>
    <t>PRD00868</t>
  </si>
  <si>
    <t>030_ARRUELA_PINO SEGURANÇA_</t>
  </si>
  <si>
    <t>PRD00869</t>
  </si>
  <si>
    <t>082_PLACA DE AJUSTE. #6,35 / 5,5</t>
  </si>
  <si>
    <t>PRD00870</t>
  </si>
  <si>
    <t>122_SUPORTE SENSOR</t>
  </si>
  <si>
    <t>PRD00871</t>
  </si>
  <si>
    <t>123_POKA-YOKE-PINO SEG</t>
  </si>
  <si>
    <t>PRD00872</t>
  </si>
  <si>
    <t>137_PLACA DE AJUSTE</t>
  </si>
  <si>
    <t>PRD00873</t>
  </si>
  <si>
    <t>139_PLACA DE AJUSTE</t>
  </si>
  <si>
    <t>PRD00874</t>
  </si>
  <si>
    <t>021-PLACA DE AJUSTE</t>
  </si>
  <si>
    <t>PRD00875</t>
  </si>
  <si>
    <t>028-PLACA DE AJUSTE</t>
  </si>
  <si>
    <t>PRD00876</t>
  </si>
  <si>
    <t>059-PLACA_DE_AJUSTE</t>
  </si>
  <si>
    <t>PRD00877</t>
  </si>
  <si>
    <t>077-SUPORTE RELOGIO</t>
  </si>
  <si>
    <t>PRD00878</t>
  </si>
  <si>
    <t>776.01.020-000-03 - 776-20.3</t>
  </si>
  <si>
    <t>PRD00879</t>
  </si>
  <si>
    <t>776.01-030-000-03 - 776-30.3</t>
  </si>
  <si>
    <t>PRD00880</t>
  </si>
  <si>
    <t>blank prateleira 0,9mm</t>
  </si>
  <si>
    <t>PRD00881</t>
  </si>
  <si>
    <t>chapa bandeja base e central ¿¿¿ 1,50  - 1UN</t>
  </si>
  <si>
    <t>PRD00882</t>
  </si>
  <si>
    <t>GRADE 896 X 60 X 0,9mm</t>
  </si>
  <si>
    <t>PRD00883</t>
  </si>
  <si>
    <t>CAD LEGAS SAULO GRADE 896x60x0.9mm_1</t>
  </si>
  <si>
    <t>PRD00884</t>
  </si>
  <si>
    <t>chapa bandeja base e central 1,50  - 1UN</t>
  </si>
  <si>
    <t>PRD00885</t>
  </si>
  <si>
    <t>1000 X 50 X 1</t>
  </si>
  <si>
    <t>PRD00886</t>
  </si>
  <si>
    <t>1070 X 50 X 1,0</t>
  </si>
  <si>
    <t>PRD00887</t>
  </si>
  <si>
    <t>720 X 50 X 1,0</t>
  </si>
  <si>
    <t>PRD00888</t>
  </si>
  <si>
    <t>680 X 50 X 1,0</t>
  </si>
  <si>
    <t>PRD00889</t>
  </si>
  <si>
    <t>1180 X 50 X 1,0</t>
  </si>
  <si>
    <t>PRD00890</t>
  </si>
  <si>
    <t>880 X 50 X 1,0</t>
  </si>
  <si>
    <t>PRD00891</t>
  </si>
  <si>
    <t>940 X 50 X 1,0</t>
  </si>
  <si>
    <t>PRD00892</t>
  </si>
  <si>
    <t>BASE 3000 X 190 X 6,35 - NT HIDRÁULICAS</t>
  </si>
  <si>
    <t>PRD00894</t>
  </si>
  <si>
    <t>CHAPA ALUMINIO LAVRADO #2,5mm 750 mm - SEM MATERIAL</t>
  </si>
  <si>
    <t>PRD00895</t>
  </si>
  <si>
    <t>corte laser tanque carolina do sul + Corte laser sup camera</t>
  </si>
  <si>
    <t>PRD00896</t>
  </si>
  <si>
    <t>CORTE INOX #2,0mm INSTAL PRIME</t>
  </si>
  <si>
    <t>PRD00897</t>
  </si>
  <si>
    <t>OS758_080_CALCO</t>
  </si>
  <si>
    <t>PRD00898</t>
  </si>
  <si>
    <t>OS758_082_SUPORTE_MANOMETRO</t>
  </si>
  <si>
    <t>PRD00899</t>
  </si>
  <si>
    <t>OS758_083_CALHA</t>
  </si>
  <si>
    <t>PRD00900</t>
  </si>
  <si>
    <t>OS758_084_CALHA</t>
  </si>
  <si>
    <t>PRD00901</t>
  </si>
  <si>
    <t>OS758_085_CALHA</t>
  </si>
  <si>
    <t>PRD00902</t>
  </si>
  <si>
    <t>OS758_086_PROTECAO_RETALHO</t>
  </si>
  <si>
    <t>PRD00903</t>
  </si>
  <si>
    <t>OS758_087_PROTECAO_RETALHO</t>
  </si>
  <si>
    <t>PRD00904</t>
  </si>
  <si>
    <t>OS758_088_CALHA</t>
  </si>
  <si>
    <t>PRD00905</t>
  </si>
  <si>
    <t>OS758_090_SUPORTE_MANOMETRO</t>
  </si>
  <si>
    <t>PRD00906</t>
  </si>
  <si>
    <t>OS759_065_CALHA</t>
  </si>
  <si>
    <t>PRD00907</t>
  </si>
  <si>
    <t>OS759_066_EXTENSAO_CALHA</t>
  </si>
  <si>
    <t>PRD00908</t>
  </si>
  <si>
    <t>OS759_067_SUPORTE_MANOMETRO</t>
  </si>
  <si>
    <t>PRD00909</t>
  </si>
  <si>
    <t>OS759_069_CALHA</t>
  </si>
  <si>
    <t>PRD00910</t>
  </si>
  <si>
    <t>OS759_070_EXTENSAO_CALHA</t>
  </si>
  <si>
    <t>PRD00911</t>
  </si>
  <si>
    <t>OS759_071_CALHA</t>
  </si>
  <si>
    <t>PRD00912</t>
  </si>
  <si>
    <t>OS759_072_PROTECAO</t>
  </si>
  <si>
    <t>PRD00913</t>
  </si>
  <si>
    <t>OS759_073_PROTECAO</t>
  </si>
  <si>
    <t>PRD00914</t>
  </si>
  <si>
    <t>3181510_chapa # 0,9 mm Perfil direito e esquerdo (1097448 - TERMINAL 5 MARCAS OTHERS) - 1</t>
  </si>
  <si>
    <t>PRD00915</t>
  </si>
  <si>
    <t>3181510_chapa # 0,9 mm Perfil direito e esquerdo (1097448 - TERMINAL 5 MARCAS OTHERS) - 2</t>
  </si>
  <si>
    <t>PRD00916</t>
  </si>
  <si>
    <t>OS759_074_PROTECAO</t>
  </si>
  <si>
    <t>PRD00917</t>
  </si>
  <si>
    <t>OS759_075_PROTECAO</t>
  </si>
  <si>
    <t>PRD00918</t>
  </si>
  <si>
    <t>OS759_076_CALCO_AJUSTE</t>
  </si>
  <si>
    <t>PRD00919</t>
  </si>
  <si>
    <t>OS759_077_CALCO_AJUSTE</t>
  </si>
  <si>
    <t>PRD00920</t>
  </si>
  <si>
    <t>OS759_078_CALCO_AJUSTE</t>
  </si>
  <si>
    <t>PRD00921</t>
  </si>
  <si>
    <t>OS759_079_CALCO_AJUSTE</t>
  </si>
  <si>
    <t>PRD00922</t>
  </si>
  <si>
    <t>OS759_080_CALCO</t>
  </si>
  <si>
    <t>PRD00923</t>
  </si>
  <si>
    <t>OS759_081_CALCO_AJUSTE</t>
  </si>
  <si>
    <t>PRD00924</t>
  </si>
  <si>
    <t>OS759_082_CALCO_AJUSTE</t>
  </si>
  <si>
    <t>PRD00925</t>
  </si>
  <si>
    <t>OS759_083_CALCO_AJUSTE</t>
  </si>
  <si>
    <t>PRD00926</t>
  </si>
  <si>
    <t>OS759_084_CALCO_AJUSTE</t>
  </si>
  <si>
    <t>PRD00927</t>
  </si>
  <si>
    <t>OS759_085_SUPORTE_MANOMETRO</t>
  </si>
  <si>
    <t>PRD00928</t>
  </si>
  <si>
    <t>BASE 1500 X 207 X 4,75</t>
  </si>
  <si>
    <t>PRD00929</t>
  </si>
  <si>
    <t>BASE 3000 X 474 X 4,75</t>
  </si>
  <si>
    <t>PRD00930</t>
  </si>
  <si>
    <t>MANCAL 620 X 120 X 4,75</t>
  </si>
  <si>
    <t>PRD00932</t>
  </si>
  <si>
    <t>CONJ BRAÇOS PRATELEIRA + TESTEIRA #3,0mm</t>
  </si>
  <si>
    <t>PRD00933</t>
  </si>
  <si>
    <t>3181808_Braço Chapa 1,20 mm Boca Rosa 1 Bay S_1</t>
  </si>
  <si>
    <t>PRD00934</t>
  </si>
  <si>
    <t>MANCAL 85X70 FURO 25,7-ESP 12,7-100X</t>
  </si>
  <si>
    <t>PRD00935</t>
  </si>
  <si>
    <t>MANCAL 85X70 FURO 32-ESP 12,7-100X</t>
  </si>
  <si>
    <t>PRD00936</t>
  </si>
  <si>
    <t>BASE 1754 X 240 X 4,75</t>
  </si>
  <si>
    <t>PRD00937</t>
  </si>
  <si>
    <t>BASE 1854 X 240 X 4,75</t>
  </si>
  <si>
    <t>PRD00938</t>
  </si>
  <si>
    <t>BASE 1954 X 240 X 4,75</t>
  </si>
  <si>
    <t>PRD00939</t>
  </si>
  <si>
    <t>CANTONEIRA 30 X 20 X 385</t>
  </si>
  <si>
    <t>PRD00940</t>
  </si>
  <si>
    <t>CANTONEIRA 30 X 20 X 750</t>
  </si>
  <si>
    <t>PRD00941</t>
  </si>
  <si>
    <t>CANTONEIRA 35 X 28 X 697</t>
  </si>
  <si>
    <t>PRD00942</t>
  </si>
  <si>
    <t>CANTONEIRA 37 X 35 X 800</t>
  </si>
  <si>
    <t>PRD00943</t>
  </si>
  <si>
    <t>CHAPA DOBRADA 113 X 40 X 40 X 0,6</t>
  </si>
  <si>
    <t>PRD00944</t>
  </si>
  <si>
    <t>BASE 1400 X 412 X 4,75</t>
  </si>
  <si>
    <t>PRD00945</t>
  </si>
  <si>
    <t>CHAPA DOBRADA 1113 X 40 X 40 X 0,6</t>
  </si>
  <si>
    <t>PRD00946</t>
  </si>
  <si>
    <t>Base do disjuntor - 3mm 4x</t>
  </si>
  <si>
    <t>PRD00947</t>
  </si>
  <si>
    <t>Fixacao - 3mm 2x</t>
  </si>
  <si>
    <t>PRD00948</t>
  </si>
  <si>
    <t>Trava lateral painel - 3mm 19x</t>
  </si>
  <si>
    <t>PRD00949</t>
  </si>
  <si>
    <t>3181523_Canal Testeira Trade G</t>
  </si>
  <si>
    <t>PRD00950</t>
  </si>
  <si>
    <t>TUBO ESPECIAL QUADRADO INT 103 v1</t>
  </si>
  <si>
    <t>PRD00951</t>
  </si>
  <si>
    <t>Chapa de Ferro Cobertura do Meteor</t>
  </si>
  <si>
    <t>PRD00952</t>
  </si>
  <si>
    <t>PEÇA GALVANIZADA #2,0mm - INSTALL PRIME</t>
  </si>
  <si>
    <t>PRD00953</t>
  </si>
  <si>
    <t>BASE 1830 X 488 X 4,75</t>
  </si>
  <si>
    <t>PRD00954</t>
  </si>
  <si>
    <t>BASE 3000 X 488 X 4,75</t>
  </si>
  <si>
    <t>PRD00955</t>
  </si>
  <si>
    <t>PROJETO THALLYS PECA 1</t>
  </si>
  <si>
    <t>PRD00956</t>
  </si>
  <si>
    <t>PROJETO THALLYS PECA 2</t>
  </si>
  <si>
    <t>PRD00957</t>
  </si>
  <si>
    <t>LDT001_000 - QUIOSQUE LINDT - GABARITO LEGAS - HEAD PICK MIX</t>
  </si>
  <si>
    <t>PRD00958</t>
  </si>
  <si>
    <t>CHAPA #1,5mm LEGAS</t>
  </si>
  <si>
    <t>PRD00959</t>
  </si>
  <si>
    <t>TRIANG 400 X 400 X 3,0</t>
  </si>
  <si>
    <t>PRD00960</t>
  </si>
  <si>
    <t>CHAPA 150 X 40 X 3,0</t>
  </si>
  <si>
    <t>PRD00961</t>
  </si>
  <si>
    <t>SUPORTE PARA IÇAR #6,35</t>
  </si>
  <si>
    <t>PRD00962</t>
  </si>
  <si>
    <t>PECA 13 - Chapa de Ferro Cobertura do Meteor - #2,5mm JÁ INCLUSO SUPORTES SOLDADOS</t>
  </si>
  <si>
    <t>PRD00963</t>
  </si>
  <si>
    <t>Peças 6mm + Plasma 10mm</t>
  </si>
  <si>
    <t>PRD00964</t>
  </si>
  <si>
    <t>3181807_P&amp;G0002M01_01_ch base cabeceira_laser</t>
  </si>
  <si>
    <t>PRD00965</t>
  </si>
  <si>
    <t>3181449_P&amp;G0373 TERMINAL GPVOH PEQUENO_Base Central_271124</t>
  </si>
  <si>
    <t>PRD00966</t>
  </si>
  <si>
    <t>3181448_P&amp;G0373 TERMINAL GPVOH PEQUENO_Base Lateral_271124</t>
  </si>
  <si>
    <t>PRD00967</t>
  </si>
  <si>
    <t>13226 - 16025  ALV 110 - 152,4 X 230 X 9,5 16X</t>
  </si>
  <si>
    <t>PRD00968</t>
  </si>
  <si>
    <t>13226 - 16025  ALV150 - 100 X 38,1 X 6,35 28X (CHECAR)</t>
  </si>
  <si>
    <t>PRD00969</t>
  </si>
  <si>
    <t>13226 - 16025  ALV 160 - 1000 X 38,1 X 6,35 (DOIS FUROS) 28X</t>
  </si>
  <si>
    <t>PRD00970</t>
  </si>
  <si>
    <t>LA874008S_02</t>
  </si>
  <si>
    <t>PRD00971</t>
  </si>
  <si>
    <t>13226 - ALV 120 - 180 X 139,7 X 9,5 14X</t>
  </si>
  <si>
    <t>PRD00972</t>
  </si>
  <si>
    <t>13226 - 16025  ALV150 - 100 X 38,1 X 6,35 36X</t>
  </si>
  <si>
    <t>PRD00973</t>
  </si>
  <si>
    <t>13226 - 16025  ALV 160 - 1000 X 38,1 X 6,35 (DOIS FUROS) 36X</t>
  </si>
  <si>
    <t>PRD00974</t>
  </si>
  <si>
    <t>LA874008S_02 - TAMPA 40 X 40 14X</t>
  </si>
  <si>
    <t>PRD00975</t>
  </si>
  <si>
    <t>TUBO 35 X35 X ROXO + TUBO 35 X 35 ROSA</t>
  </si>
  <si>
    <t>PRD00976</t>
  </si>
  <si>
    <t>TUBO 35 X 35 - AMARELO</t>
  </si>
  <si>
    <t>PRD00977</t>
  </si>
  <si>
    <t>TUBO 35 X 35 - VERDE ESCURO</t>
  </si>
  <si>
    <t>PRD00978</t>
  </si>
  <si>
    <t>TUBO 35 X 35 - ROSA (4 FUROS)</t>
  </si>
  <si>
    <t>PRD00979</t>
  </si>
  <si>
    <t>TUBO 40 X 40 - CIMA RIPADO - FUROS 3 LADOS</t>
  </si>
  <si>
    <t>PRD00980</t>
  </si>
  <si>
    <t>TUBO 40 X 40 - BAIXO RIPADO - FUROS 2 LADOS</t>
  </si>
  <si>
    <t>PRD00981</t>
  </si>
  <si>
    <t>TUBO 40 X 40 - CIMA FECHADO - FUROS 3 LADOS</t>
  </si>
  <si>
    <t>PRD00982</t>
  </si>
  <si>
    <t>TUBO 40 X 40 - BAICO FECHADO - FUROS 2 LADOS</t>
  </si>
  <si>
    <t>PRD00983</t>
  </si>
  <si>
    <t>TUBO 40 X 40 - CIMA RECORTE - FUROS 3 LADOS</t>
  </si>
  <si>
    <t>PRD00984</t>
  </si>
  <si>
    <t>TUBO 40 X 40 - BAIXO RECORTE - FUROS 2 LADOS</t>
  </si>
  <si>
    <t>PRD00985</t>
  </si>
  <si>
    <t>TUBO 40 X 40 - CIMA TV - FUROS 2 LADOS</t>
  </si>
  <si>
    <t>PRD00986</t>
  </si>
  <si>
    <t>TUBO 40 X 40 - INLAY - FUROS 2 LADOS</t>
  </si>
  <si>
    <t>PRD00987</t>
  </si>
  <si>
    <t>TUBO 40 X 40 - INLAY TV - FUROS 2 LADOS</t>
  </si>
  <si>
    <t>PRD00988</t>
  </si>
  <si>
    <t>TUBO 40 X 40 - BAIXO FECHADO - FUROS 2 LADOS</t>
  </si>
  <si>
    <t>PRD00989</t>
  </si>
  <si>
    <t>CONJ cavalete metálico</t>
  </si>
  <si>
    <t>PRD00990</t>
  </si>
  <si>
    <t>Laser_Chapa 1,20mm Boca Rosa Bay  C2</t>
  </si>
  <si>
    <t>PRD00991</t>
  </si>
  <si>
    <t>PECA 11 'T'- 5 FUROS 14mm - 290mm x 130mm x 6,35mm</t>
  </si>
  <si>
    <t>PRD00992</t>
  </si>
  <si>
    <t>BASE 1000 X 270 X 6,35</t>
  </si>
  <si>
    <t>PRD00993</t>
  </si>
  <si>
    <t>BASE 1400 X 410 X 4,75</t>
  </si>
  <si>
    <t>PRD00994</t>
  </si>
  <si>
    <t>BASE 1750 X 502 X 4,75</t>
  </si>
  <si>
    <t>PRD00995</t>
  </si>
  <si>
    <t>BASE 3000 X 502 X 4,75</t>
  </si>
  <si>
    <t>PRD00996</t>
  </si>
  <si>
    <t>BASE 2000 X 90 X 6,35</t>
  </si>
  <si>
    <t>PRD00997</t>
  </si>
  <si>
    <t>CAIXA 5 #3,0mm LE + LD</t>
  </si>
  <si>
    <t>PRD00998</t>
  </si>
  <si>
    <t>BASE MAGRÃO #8,0mm - 1</t>
  </si>
  <si>
    <t>PRD00999</t>
  </si>
  <si>
    <t>BASE MAGRÃO - #8,0mm - 2</t>
  </si>
  <si>
    <t>PRD01000</t>
  </si>
  <si>
    <t>BASE MAGRÃO - #8,0mm - 1</t>
  </si>
  <si>
    <t>PRD01001</t>
  </si>
  <si>
    <t>PLACA DOBRADA #4,75</t>
  </si>
  <si>
    <t>PRD01002</t>
  </si>
  <si>
    <t>3181528_Terminais 5 Marcas Atacadão Others</t>
  </si>
  <si>
    <t>PRD01003</t>
  </si>
  <si>
    <t>3181526 - P&amp;G0424 TERMINAL 5 MARCAS - REDE FORT KOCK_Base Lateral</t>
  </si>
  <si>
    <t>PRD01004</t>
  </si>
  <si>
    <t>3181527_P&amp;G0424 TERMINAL 5 MARCAS - REDE FORT KOCK_Base Central</t>
  </si>
  <si>
    <t>PRD01005</t>
  </si>
  <si>
    <t>0090896 #1,5mm</t>
  </si>
  <si>
    <t>PRD01006</t>
  </si>
  <si>
    <t>BASE 620 X 500 X 6,35</t>
  </si>
  <si>
    <t>PRD01007</t>
  </si>
  <si>
    <t>BASE 3000 X 387 X 4,75</t>
  </si>
  <si>
    <t>PRD01008</t>
  </si>
  <si>
    <t>BLANK PA 3963</t>
  </si>
  <si>
    <t>PRD01009</t>
  </si>
  <si>
    <t>Prototipo PA 9316 OP 20_BLANK</t>
  </si>
  <si>
    <t>PRD01010</t>
  </si>
  <si>
    <t>ALP-SO0552-5X5 BASICO 2021 M01 REV1(1)_Ferro Trefilado_131224</t>
  </si>
  <si>
    <t>PRD01011</t>
  </si>
  <si>
    <t>SUPORTE SOLDADO #9,5mm - SAMUEL TECNIKAS</t>
  </si>
  <si>
    <t>PRD01012</t>
  </si>
  <si>
    <t>CHAPA 40 X 36 X 9,5 M6 - PECA 26</t>
  </si>
  <si>
    <t>PRD01013</t>
  </si>
  <si>
    <t>CHAPA 70 X 55 X 9,5 M6 - PECA 36</t>
  </si>
  <si>
    <t>PRD01014</t>
  </si>
  <si>
    <t>CHAPA 80 X 60 X 9,5 M8 - PECA 39</t>
  </si>
  <si>
    <t>PRD01015</t>
  </si>
  <si>
    <t>CHAPA 80 X 60 X 9,5 M8 + PINO 8 - PECA 21</t>
  </si>
  <si>
    <t>PRD01016</t>
  </si>
  <si>
    <t>CHAPA 95 X 76 X 9,5 11mm - PECA 22</t>
  </si>
  <si>
    <t>PRD01017</t>
  </si>
  <si>
    <t>CHAPA 90,4 X 76 X 9,5 16mm</t>
  </si>
  <si>
    <t>PRD01018</t>
  </si>
  <si>
    <t>CHAPA 95 X 76 X 9,5 10,5mm</t>
  </si>
  <si>
    <t>PRD01019</t>
  </si>
  <si>
    <t>CHAPA 95 X 31,75 X 9,5</t>
  </si>
  <si>
    <t>PRD01020</t>
  </si>
  <si>
    <t>CHAPA 95 X 158 X 9,5 10,5mm</t>
  </si>
  <si>
    <t>PRD01021</t>
  </si>
  <si>
    <t>CHAPA 60 X 50,8 X 9,5 20mm</t>
  </si>
  <si>
    <t>PRD01022</t>
  </si>
  <si>
    <t>CHAPA 60 X 50,8 X 9,5 20mm - 1</t>
  </si>
  <si>
    <t>PRD01023</t>
  </si>
  <si>
    <t>CHAPA 60 X 50,8 X 9,5 20mm - 2</t>
  </si>
  <si>
    <t>PRD01024</t>
  </si>
  <si>
    <t>SUPORTE 220X220 #8,0mm - 8X</t>
  </si>
  <si>
    <t>PRD01025</t>
  </si>
  <si>
    <t>SUPORTE 228 X 80 X 8,0 - 2X</t>
  </si>
  <si>
    <t>PRD01026</t>
  </si>
  <si>
    <t>SUPORTE 228 X 80 X 8,0 - 2</t>
  </si>
  <si>
    <t>PRD01027</t>
  </si>
  <si>
    <t>SUPORTE 228 X 80 X 8,0 - 1</t>
  </si>
  <si>
    <t>PRD01028</t>
  </si>
  <si>
    <t>DOBRA 74 X 65 X 65 SANTEK</t>
  </si>
  <si>
    <t>PRD01029</t>
  </si>
  <si>
    <t>3181529_Chapa Perfurada # 1.20 - 462x149mm</t>
  </si>
  <si>
    <t>PRD01030</t>
  </si>
  <si>
    <t>3181530_Chapa Perfurada # 1.20 - 462x75mm</t>
  </si>
  <si>
    <t>PRD01031</t>
  </si>
  <si>
    <t>02.03.002.01-01 Base</t>
  </si>
  <si>
    <t>PRD01032</t>
  </si>
  <si>
    <t>02.03.015.01-02 Dosador Direito</t>
  </si>
  <si>
    <t>PRD01033</t>
  </si>
  <si>
    <t>02.03.015.02-01 Dosador Esquerdo</t>
  </si>
  <si>
    <t>PRD01034</t>
  </si>
  <si>
    <t>02.03.015.06-00 Espaçador</t>
  </si>
  <si>
    <t>PRD01035</t>
  </si>
  <si>
    <t>02.03.106.00-00 Espaçador Eixo</t>
  </si>
  <si>
    <t>PRD01036</t>
  </si>
  <si>
    <t>02.03.015.07-00 Alavanca Misturador</t>
  </si>
  <si>
    <t>PRD01037</t>
  </si>
  <si>
    <t>02.03.103.00-01 Cubo</t>
  </si>
  <si>
    <t>PRD01038</t>
  </si>
  <si>
    <t>02.03.104.00-00 Aleta Teste 2 INOX</t>
  </si>
  <si>
    <t>PRD01039</t>
  </si>
  <si>
    <t>02.03.002.02-01 Arco</t>
  </si>
  <si>
    <t>PRD01040</t>
  </si>
  <si>
    <t>BASE 1400 X 412 X 6,35</t>
  </si>
  <si>
    <t>PRD01041</t>
  </si>
  <si>
    <t>PLACA 3 EIXO  #4,75 - APENAS O CORTE</t>
  </si>
  <si>
    <t>PRD01042</t>
  </si>
  <si>
    <t>CORTE COMPLEMENTO PROJ ALONGAMENTO LD</t>
  </si>
  <si>
    <t>PRD01043</t>
  </si>
  <si>
    <t>02.03.015.03-00 Misturador</t>
  </si>
  <si>
    <t>PRD01044</t>
  </si>
  <si>
    <t>CHAPELONA CHICANA LASER</t>
  </si>
  <si>
    <t>PRD01045</t>
  </si>
  <si>
    <t>02.03.002.02-01 Arco - SOMENTE O CORTE</t>
  </si>
  <si>
    <t>PRD01046</t>
  </si>
  <si>
    <t>3181807_P&amp;G0002M01_01_ch base cabeceira_laser - 1 CONJ</t>
  </si>
  <si>
    <t>PRD01047</t>
  </si>
  <si>
    <t>PROJ INSTAL PRIME #2,0mm</t>
  </si>
  <si>
    <t>PRD01048</t>
  </si>
  <si>
    <t>3181533_Tubo 25x25x2035mm # 1,90 entalhe 1 lado</t>
  </si>
  <si>
    <t>PRD01049</t>
  </si>
  <si>
    <t>3181534_Tubo 25x25x2035mm # 1,90 entalhe 1 lado</t>
  </si>
  <si>
    <t>PRD01050</t>
  </si>
  <si>
    <t>3181535_Tubo 25x25x1875mm # 1,90 entalhe 1 lado</t>
  </si>
  <si>
    <t>PRD01051</t>
  </si>
  <si>
    <t>BASE 600 X 226X 4,75</t>
  </si>
  <si>
    <t>PRD01052</t>
  </si>
  <si>
    <t>BASE 1000 X 200 X 6,35</t>
  </si>
  <si>
    <t>PRD01053</t>
  </si>
  <si>
    <t>MANCAL 190 X 150 X 4,75</t>
  </si>
  <si>
    <t>PRD01054</t>
  </si>
  <si>
    <t>ARRUELA Ø25 X Ø8,5 X 4,75</t>
  </si>
  <si>
    <t>PRD01055</t>
  </si>
  <si>
    <t>BASE 2000 X 454 X 4,75</t>
  </si>
  <si>
    <t>PRD01056</t>
  </si>
  <si>
    <t>CHAPA FIXAÇÃO BLOCO L800 #3,0mm</t>
  </si>
  <si>
    <t>PRD01057</t>
  </si>
  <si>
    <t>CHAPA DE UNIÃO L800 #3,0mm</t>
  </si>
  <si>
    <t>PRD01058</t>
  </si>
  <si>
    <t>DOBRA ALUMÍNIO + CHAPA #1,2</t>
  </si>
  <si>
    <t>PRD01059</t>
  </si>
  <si>
    <t>BASE 800 X 207 X 4,75</t>
  </si>
  <si>
    <t>PRD01060</t>
  </si>
  <si>
    <t>BASE 1500 X 412 X 4,75</t>
  </si>
  <si>
    <t>PRD01061</t>
  </si>
  <si>
    <t>BASE 3000 X 504 X 4,75</t>
  </si>
  <si>
    <t>PRD01062</t>
  </si>
  <si>
    <t>Suporte de fixacao 2,65mm</t>
  </si>
  <si>
    <t>PRD01063</t>
  </si>
  <si>
    <t>MANCAL 210 X 128 X 8,0</t>
  </si>
  <si>
    <t>PRD01064</t>
  </si>
  <si>
    <t>TIRA 1008 X 100 X 8,0</t>
  </si>
  <si>
    <t>PRD01065</t>
  </si>
  <si>
    <t>519 x 129 x 2</t>
  </si>
  <si>
    <t>PRD01066</t>
  </si>
  <si>
    <t>519,2 x 109 x 2</t>
  </si>
  <si>
    <t>PRD01067</t>
  </si>
  <si>
    <t>1130 x 109 x 2</t>
  </si>
  <si>
    <t>PRD01068</t>
  </si>
  <si>
    <t>1130 x 129 x 2</t>
  </si>
  <si>
    <t>PRD01069</t>
  </si>
  <si>
    <t>519,2 x 49 x 2</t>
  </si>
  <si>
    <t>PRD01070</t>
  </si>
  <si>
    <t>1130 x 49 x 2</t>
  </si>
  <si>
    <t>PRD01071</t>
  </si>
  <si>
    <t>MANCAL 89 X 96 X 2,0</t>
  </si>
  <si>
    <t>PRD01072</t>
  </si>
  <si>
    <t>DOBRA ALUMÍNIO</t>
  </si>
  <si>
    <t>PRD01073</t>
  </si>
  <si>
    <t>LOGO REALPONTO REGISTRADO_rev 01</t>
  </si>
  <si>
    <t>PRD01074</t>
  </si>
  <si>
    <t>TIRAS LOGO REALPONTO REGISTRADO_rev 01</t>
  </si>
  <si>
    <t>PRD01075</t>
  </si>
  <si>
    <t>CHAPA #2,0mm 3000 x 1200</t>
  </si>
  <si>
    <t>PRD01076</t>
  </si>
  <si>
    <t>MP + CORTE + DOBRA #6,35 + #3,0mm - VETTORE</t>
  </si>
  <si>
    <t>PRD01077</t>
  </si>
  <si>
    <t>BASE 800 X 338 X 6,35</t>
  </si>
  <si>
    <t>PRD01078</t>
  </si>
  <si>
    <t>MANCAL 345 X 120 X 6,35</t>
  </si>
  <si>
    <t>PRD01079</t>
  </si>
  <si>
    <t>MANCAL 465 X 120 X 6,35</t>
  </si>
  <si>
    <t>PRD01080</t>
  </si>
  <si>
    <t>BASE 1400 X 414 X 4,75</t>
  </si>
  <si>
    <t>PRD01081</t>
  </si>
  <si>
    <t>BASE 1000 X 207 X 4,75</t>
  </si>
  <si>
    <t>PRD01082</t>
  </si>
  <si>
    <t>TAMPAO 40,8x39,5#2mm</t>
  </si>
  <si>
    <t>PRD01083</t>
  </si>
  <si>
    <t>MANCAL 508 X 100 X 6,35</t>
  </si>
  <si>
    <t>PRD01084</t>
  </si>
  <si>
    <t>BASE 3000  212 x 4,75</t>
  </si>
  <si>
    <t>PRD01085</t>
  </si>
  <si>
    <t>16 PC - BRACO DOWNY C&amp;C 370x117 #3mm</t>
  </si>
  <si>
    <t>PRD01086</t>
  </si>
  <si>
    <t>16 PC - BRACO DOWNY C&amp;C 510x119#3mm</t>
  </si>
  <si>
    <t>PRD01087</t>
  </si>
  <si>
    <t>10 PC - BANDEJA P&amp;G438 DOWNY C&amp;C 730x600 #0,75mm</t>
  </si>
  <si>
    <t>PRD01088</t>
  </si>
  <si>
    <t>10 PC - BANDEJA P&amp;G438 DOWNY C&amp;C 940x600 #0,75mm</t>
  </si>
  <si>
    <t>PRD01089</t>
  </si>
  <si>
    <t>2 PC - BASE_P_G438_DOWNY_C_C_1050X1000__0,9mm</t>
  </si>
  <si>
    <t>PRD01090</t>
  </si>
  <si>
    <t>2 PC - BASE_P_G438_DOWNY_C_C_2005X159__0,9mm</t>
  </si>
  <si>
    <t>PRD01091</t>
  </si>
  <si>
    <t>10 PC - TUBO P&amp;G438 DOWNY C&amp;C 1LADO 1350x50x25x #1,9mm.</t>
  </si>
  <si>
    <t>PRD01092</t>
  </si>
  <si>
    <t>CHAPA #6,35 - MANCAL</t>
  </si>
  <si>
    <t>PRD01093</t>
  </si>
  <si>
    <t>CHICANA 138 FUROS DE '16,5</t>
  </si>
  <si>
    <t>PRD01094</t>
  </si>
  <si>
    <t>CHAPA DOBRADA 30 X 20 X 650</t>
  </si>
  <si>
    <t>PRD01095</t>
  </si>
  <si>
    <t>BANDEJA 500 X 500 X 1,0</t>
  </si>
  <si>
    <t>PRD01096</t>
  </si>
  <si>
    <t>CAIXA 6 - SOS HIDRÁULICA</t>
  </si>
  <si>
    <t>PRD01097</t>
  </si>
  <si>
    <t>1920-240-065</t>
  </si>
  <si>
    <t>PRD01098</t>
  </si>
  <si>
    <t>1920-240-066</t>
  </si>
  <si>
    <t>PRD01099</t>
  </si>
  <si>
    <t>1920-240-067</t>
  </si>
  <si>
    <t>PRD01100</t>
  </si>
  <si>
    <t>1920-240-068</t>
  </si>
  <si>
    <t>PRD01101</t>
  </si>
  <si>
    <t>1920-912-001</t>
  </si>
  <si>
    <t>PRD01102</t>
  </si>
  <si>
    <t>1920-1020-012</t>
  </si>
  <si>
    <t>PRD01103</t>
  </si>
  <si>
    <t>1920-1020-014</t>
  </si>
  <si>
    <t>PRD01104</t>
  </si>
  <si>
    <t>BOCA ROSA 1 Bay__140125_corte laser ch # 0,90mm_Shelf1</t>
  </si>
  <si>
    <t>PRD01105</t>
  </si>
  <si>
    <t>CHAPA DOBRADA #6,35 - LOGO DAMBROZ</t>
  </si>
  <si>
    <t>PRD01106</t>
  </si>
  <si>
    <t>CHAPA DOBRADA #6,35 - LOGO TRES EIXO  X 1370</t>
  </si>
  <si>
    <t>PRD01107</t>
  </si>
  <si>
    <t>BASE 3000 X 200 X 6,35 - FURO 23mm</t>
  </si>
  <si>
    <t>PRD01108</t>
  </si>
  <si>
    <t>3181790</t>
  </si>
  <si>
    <t>PRD01109</t>
  </si>
  <si>
    <t>3181791</t>
  </si>
  <si>
    <t>PRD01110</t>
  </si>
  <si>
    <t>passagem ar 2mm 10x</t>
  </si>
  <si>
    <t>PRD01111</t>
  </si>
  <si>
    <t>3181809_Laser_Chapa 1,20mm Boca Rosa Bay  C2</t>
  </si>
  <si>
    <t>PRD01112</t>
  </si>
  <si>
    <t>CONJ - 7520</t>
  </si>
  <si>
    <t>PRD01113</t>
  </si>
  <si>
    <t>CONJ - 7778</t>
  </si>
  <si>
    <t>PRD01114</t>
  </si>
  <si>
    <t>CONJ - 8002 15UN</t>
  </si>
  <si>
    <t>PRD01115</t>
  </si>
  <si>
    <t>7520</t>
  </si>
  <si>
    <t>PRD01116</t>
  </si>
  <si>
    <t>7521</t>
  </si>
  <si>
    <t>PRD01117</t>
  </si>
  <si>
    <t>7522</t>
  </si>
  <si>
    <t>PRD01118</t>
  </si>
  <si>
    <t>7523</t>
  </si>
  <si>
    <t>PRD01119</t>
  </si>
  <si>
    <t>7524</t>
  </si>
  <si>
    <t>PRD01120</t>
  </si>
  <si>
    <t>7525</t>
  </si>
  <si>
    <t>PRD01121</t>
  </si>
  <si>
    <t>7526</t>
  </si>
  <si>
    <t>PRD01122</t>
  </si>
  <si>
    <t>7527</t>
  </si>
  <si>
    <t>PRD01123</t>
  </si>
  <si>
    <t>7778</t>
  </si>
  <si>
    <t>PRD01124</t>
  </si>
  <si>
    <t>7779</t>
  </si>
  <si>
    <t>PRD01125</t>
  </si>
  <si>
    <t>7780</t>
  </si>
  <si>
    <t>PRD01126</t>
  </si>
  <si>
    <t>7781</t>
  </si>
  <si>
    <t>PRD01127</t>
  </si>
  <si>
    <t>7782</t>
  </si>
  <si>
    <t>PRD01128</t>
  </si>
  <si>
    <t>7783</t>
  </si>
  <si>
    <t>PRD01129</t>
  </si>
  <si>
    <t>8002</t>
  </si>
  <si>
    <t>PRD01130</t>
  </si>
  <si>
    <t>8003</t>
  </si>
  <si>
    <t>PRD01131</t>
  </si>
  <si>
    <t>8004</t>
  </si>
  <si>
    <t>PRD01132</t>
  </si>
  <si>
    <t>8005</t>
  </si>
  <si>
    <t>PRD01133</t>
  </si>
  <si>
    <t>8006</t>
  </si>
  <si>
    <t>PRD01134</t>
  </si>
  <si>
    <t>8007</t>
  </si>
  <si>
    <t>PRD01135</t>
  </si>
  <si>
    <t>8008</t>
  </si>
  <si>
    <t>PRD01136</t>
  </si>
  <si>
    <t>Mont, Cofre MegaBus - Chapas de 1,2mm</t>
  </si>
  <si>
    <t>PRD01137</t>
  </si>
  <si>
    <t>_ Placa de obturação _ cofre _ 30 peças _ chapa galvanizada 1_2mm</t>
  </si>
  <si>
    <t>PRD01138</t>
  </si>
  <si>
    <t>PUNÇÃO DOBRADEIRA</t>
  </si>
  <si>
    <t>PRD01139</t>
  </si>
  <si>
    <t>TIRA ALUMÍNIO 1300 x 40 X 3,0</t>
  </si>
  <si>
    <t>PRD01140</t>
  </si>
  <si>
    <t>BASE 3000 X 200 X 6,35 FURO 24</t>
  </si>
  <si>
    <t>PRD01141</t>
  </si>
  <si>
    <t>BASE 600 X 200 X 6,35</t>
  </si>
  <si>
    <t>PRD01142</t>
  </si>
  <si>
    <t>FRAME</t>
  </si>
  <si>
    <t>PRD01143</t>
  </si>
  <si>
    <t>PORTA</t>
  </si>
  <si>
    <t>PRD01144</t>
  </si>
  <si>
    <t>TAMPA S</t>
  </si>
  <si>
    <t>PRD01145</t>
  </si>
  <si>
    <t>TAMPA INF</t>
  </si>
  <si>
    <t>PRD01146</t>
  </si>
  <si>
    <t>BANDEJA</t>
  </si>
  <si>
    <t>PRD01147</t>
  </si>
  <si>
    <t>REFORÇO</t>
  </si>
  <si>
    <t>PRD01148</t>
  </si>
  <si>
    <t>TAMPA</t>
  </si>
  <si>
    <t>PRD01149</t>
  </si>
  <si>
    <t>TRAVAS - 1</t>
  </si>
  <si>
    <t>PRD01150</t>
  </si>
  <si>
    <t>TRAVAS - 2</t>
  </si>
  <si>
    <t>PRD01151</t>
  </si>
  <si>
    <t>GARRAS - 1</t>
  </si>
  <si>
    <t>PRD01152</t>
  </si>
  <si>
    <t>GARRAS - 2</t>
  </si>
  <si>
    <t>PRD01153</t>
  </si>
  <si>
    <t>ALAVANCA</t>
  </si>
  <si>
    <t>PRD01154</t>
  </si>
  <si>
    <t>FXT24228-C - CORTE + DOBRA</t>
  </si>
  <si>
    <t>PRD01155</t>
  </si>
  <si>
    <t>FXT24228-C - DOBRA</t>
  </si>
  <si>
    <t>PRD01156</t>
  </si>
  <si>
    <t>OS_764__LINHA_DO_BLANK__22012025</t>
  </si>
  <si>
    <t>PRD01157</t>
  </si>
  <si>
    <t>CHAPA LISA 200 X 125 X 3,0</t>
  </si>
  <si>
    <t>PRD01158</t>
  </si>
  <si>
    <t>CHAPA 1400 X 270 X 50 X 3,0mm</t>
  </si>
  <si>
    <t>PRD01159</t>
  </si>
  <si>
    <t>PECA 21 - 500mm x 75mm x 55mm - esp 5mm - LOTE 100 PC</t>
  </si>
  <si>
    <t>PRD01160</t>
  </si>
  <si>
    <t>PECA 22 - 148mm x 80mm x 6,35mm</t>
  </si>
  <si>
    <t>PRD01161</t>
  </si>
  <si>
    <t>PECA 23 - 1009mm x 26mm x 85,5mm - esp 4,5mm - LOTE 200 PÇS</t>
  </si>
  <si>
    <t>PRD01162</t>
  </si>
  <si>
    <t>PECA 24 - 1009mm x 60mm x 110mm - esp 4mm</t>
  </si>
  <si>
    <t>PRD01163</t>
  </si>
  <si>
    <t>BASE 2210 X 402 X 4,75</t>
  </si>
  <si>
    <t>PRD01164</t>
  </si>
  <si>
    <t>BASE 3000 X 402 X 4,75</t>
  </si>
  <si>
    <t>PRD01165</t>
  </si>
  <si>
    <t>BASE 3000 X 482 X 4,75</t>
  </si>
  <si>
    <t>PRD01166</t>
  </si>
  <si>
    <t>BASE 570 X 185 X 6,35</t>
  </si>
  <si>
    <t>PRD01167</t>
  </si>
  <si>
    <t>BASE 700 X 90 X 6,35</t>
  </si>
  <si>
    <t>PRD01168</t>
  </si>
  <si>
    <t>CHAPA 500 X 90 X X 6,35</t>
  </si>
  <si>
    <t>PRD01169</t>
  </si>
  <si>
    <t>INC-DP-0151 - SUPORTE DE TETO PARA PONTE</t>
  </si>
  <si>
    <t>PRD01170</t>
  </si>
  <si>
    <t>INC-DP-0152 - SUPORTE DE APOIO PARA PONTE</t>
  </si>
  <si>
    <t>PRD01171</t>
  </si>
  <si>
    <t>INC-DP-0153</t>
  </si>
  <si>
    <t>PRD01172</t>
  </si>
  <si>
    <t>INC-PR-010824010001-003-00 - ESTRUTURA LATERAL DIREITA</t>
  </si>
  <si>
    <t>PRD01173</t>
  </si>
  <si>
    <t>INC-PR-010824010001-004-00 - ESTRUTURA LATERAL ESQUERDA</t>
  </si>
  <si>
    <t>PRD01174</t>
  </si>
  <si>
    <t>INC-PR-010824010001-005-00 - SUPORTE FRONTAL SUP</t>
  </si>
  <si>
    <t>PRD01175</t>
  </si>
  <si>
    <t>INC-PR-010824010001-005-00 - SUPORTE FRONTAL INF</t>
  </si>
  <si>
    <t>PRD01176</t>
  </si>
  <si>
    <t>INC-PR-010824010001-006-00 - SUPORTE FRONTAL CENTRAL</t>
  </si>
  <si>
    <t>PRD01177</t>
  </si>
  <si>
    <t>INC-PR-010824010001-007-01 - SUPORTE DO SNUBBER</t>
  </si>
  <si>
    <t>PRD01178</t>
  </si>
  <si>
    <t>INC-PR-010824010001-008-00 - SUPORTE DAS BARRAS CENTRAIS</t>
  </si>
  <si>
    <t>PRD01179</t>
  </si>
  <si>
    <t>INC-PR-010824010001-009-00 - DIVISÃO DAS RESISTÊNCIAS</t>
  </si>
  <si>
    <t>PRD01180</t>
  </si>
  <si>
    <t>INC-PR-010824010001-026-00 - ESTRUTURA FRONTAL E TRASEIRA</t>
  </si>
  <si>
    <t>PRD01181</t>
  </si>
  <si>
    <t>INC-PR-010824010001-027-00 - ESTRUTURA LATERAL DIREITA E ESQUERDA</t>
  </si>
  <si>
    <t>PRD01182</t>
  </si>
  <si>
    <t>INC-PR-010824010001-030-00 - SUPORTE CARRO DIREITO</t>
  </si>
  <si>
    <t>PRD01183</t>
  </si>
  <si>
    <t>INC-PR-010824010001-032-00 - SUPORTE DO CARRO ESQUERDO</t>
  </si>
  <si>
    <t>PRD01184</t>
  </si>
  <si>
    <t>INC-PR-010824010001-033-00 - SUPORTE DOS RODÍZIOS</t>
  </si>
  <si>
    <t>PRD01185</t>
  </si>
  <si>
    <t>INC-DP-0153 - REFORÇO DO SUPORTE DE APOIO PARA PONTE</t>
  </si>
  <si>
    <t>PRD01186</t>
  </si>
  <si>
    <t>BASE 500 X 500 X 6,35 - 1</t>
  </si>
  <si>
    <t>PRD01187</t>
  </si>
  <si>
    <t>BASE 500 X 500 X 6,35 - 2</t>
  </si>
  <si>
    <t>PRD01188</t>
  </si>
  <si>
    <t>BASE 1300 X 207 X 4,75 FURO 20mm</t>
  </si>
  <si>
    <t>PRD01189</t>
  </si>
  <si>
    <t>chapa #4,75 - TMN</t>
  </si>
  <si>
    <t>PRD01190</t>
  </si>
  <si>
    <t>SUPORTE PATOLA - 1 #8,0mm</t>
  </si>
  <si>
    <t>PRD01191</t>
  </si>
  <si>
    <t>SUPORTE PATOLA - 2 BASE #12,7</t>
  </si>
  <si>
    <t>PRD01192</t>
  </si>
  <si>
    <t>SUPORTE PATOLA - 3 NERVURA #6,35</t>
  </si>
  <si>
    <t>PRD01193</t>
  </si>
  <si>
    <t>FORTSOLDA PECA1- #4,75</t>
  </si>
  <si>
    <t>PRD01194</t>
  </si>
  <si>
    <t>FORTSOLDA PECA 2 - #4,75</t>
  </si>
  <si>
    <t>PRD01195</t>
  </si>
  <si>
    <t>FORTSOLDA PECA 3 #4,75</t>
  </si>
  <si>
    <t>PRD01196</t>
  </si>
  <si>
    <t>FORTSOLDA PECA 4- #6,35</t>
  </si>
  <si>
    <t>PRD01197</t>
  </si>
  <si>
    <t>FORTSOLDA PECA 5 - #6,35</t>
  </si>
  <si>
    <t>PRD01198</t>
  </si>
  <si>
    <t>3181529_Chapa Perfurada # 1.20 - 462x149mm - OBSOLETO</t>
  </si>
  <si>
    <t>PRD01199</t>
  </si>
  <si>
    <t>3181530_Chapa Perfurada # 1.20 - 462x75mm - OBSOLETO</t>
  </si>
  <si>
    <t>PRD01200</t>
  </si>
  <si>
    <t>FXT24228-C RH  - CORTE + DOBRA</t>
  </si>
  <si>
    <t>PRD01201</t>
  </si>
  <si>
    <t>FXT24228-C LH - CORTE + DOBRA</t>
  </si>
  <si>
    <t>PRD01202</t>
  </si>
  <si>
    <t>RÉGUAS INOX #3,5mm</t>
  </si>
  <si>
    <t>PRD01203</t>
  </si>
  <si>
    <t>CONJ PROTÓTIPO CHAPAS #0,9mm #1,2mm #2,25mm</t>
  </si>
  <si>
    <t>PRD01204</t>
  </si>
  <si>
    <t>CONJ 9001 E 9002 - 4UN</t>
  </si>
  <si>
    <t>PRD01205</t>
  </si>
  <si>
    <t>BASE 2000 X 200 X 6,35</t>
  </si>
  <si>
    <t>PRD01206</t>
  </si>
  <si>
    <t>BASE 500 X 280 X 6,35</t>
  </si>
  <si>
    <t>PRD01207</t>
  </si>
  <si>
    <t>BASE CHANFRADA 195 X 250 X 6,35</t>
  </si>
  <si>
    <t>PRD01208</t>
  </si>
  <si>
    <t>BASE 1000 X 272 X 6,35</t>
  </si>
  <si>
    <t>PRD01209</t>
  </si>
  <si>
    <t>BASE 620 X 185 X 6,35</t>
  </si>
  <si>
    <t>PRD01210</t>
  </si>
  <si>
    <t>3181540 + 3181541 - PROTÓTIPO</t>
  </si>
  <si>
    <t>PRD01211</t>
  </si>
  <si>
    <t>3181540 - 48 PÇS + 3181541 - 6 PÇS</t>
  </si>
  <si>
    <t>PRD01212</t>
  </si>
  <si>
    <t>503.03-000-000-03 - 503.3</t>
  </si>
  <si>
    <t>PRD01213</t>
  </si>
  <si>
    <t>664.01-000-000-03 - 664.3</t>
  </si>
  <si>
    <t>PRD01214</t>
  </si>
  <si>
    <t>CHAPA DOBRADA #6,35 -  LOGO RODOCEG</t>
  </si>
  <si>
    <t>PRD01215</t>
  </si>
  <si>
    <t>SERVIÇO  CORTE + DOBRA #0,8mm</t>
  </si>
  <si>
    <t>PRD01216</t>
  </si>
  <si>
    <t>3181537 + 3181538 + 3181539</t>
  </si>
  <si>
    <t>PRD01217</t>
  </si>
  <si>
    <t>ALONGADOR UNIMAQ PECA1 - 8 #3,0</t>
  </si>
  <si>
    <t>PRD01218</t>
  </si>
  <si>
    <t>ALONGADOR UNIMAQ PECA2 - 8 #4,75</t>
  </si>
  <si>
    <t>PRD01219</t>
  </si>
  <si>
    <t>ALONGADOR UNIMAQ PECA3 - 8 #4,75</t>
  </si>
  <si>
    <t>PRD01220</t>
  </si>
  <si>
    <t>ALONGADOR UNIMAQ PECA 4 - 16 #4,75</t>
  </si>
  <si>
    <t>PRD01221</t>
  </si>
  <si>
    <t>PROJ UNIMAQ</t>
  </si>
  <si>
    <t>PRD01222</t>
  </si>
  <si>
    <t>DOC-20250130-WA0006. (1) #4,75 - COM MATERIAL</t>
  </si>
  <si>
    <t>PRD01223</t>
  </si>
  <si>
    <t>DOC-20250130-WA0006. (1) #4,75 - SEM MATERIAL</t>
  </si>
  <si>
    <t>PRD01224</t>
  </si>
  <si>
    <t>CHAPA 645 X 1160 X 1,2</t>
  </si>
  <si>
    <t>PRD01225</t>
  </si>
  <si>
    <t>CHAPA 642 X 1157 X 1,2</t>
  </si>
  <si>
    <t>PRD01226</t>
  </si>
  <si>
    <t>CHAPA 1060 X 645 X 1,2</t>
  </si>
  <si>
    <t>PRD01227</t>
  </si>
  <si>
    <t>CHAPA 1057 X 642 X 1,2</t>
  </si>
  <si>
    <t>PRD01228</t>
  </si>
  <si>
    <t>CHAPA 1010 X 645 X 1,2</t>
  </si>
  <si>
    <t>PRD01229</t>
  </si>
  <si>
    <t>CHAPA 1007 X 642 X 1,2</t>
  </si>
  <si>
    <t>PRD01230</t>
  </si>
  <si>
    <t>CHAPA 2792 X 771 X 1,2</t>
  </si>
  <si>
    <t>PRD01231</t>
  </si>
  <si>
    <t>CHAPA 2795 X 774 X 1,2</t>
  </si>
  <si>
    <t>PRD01232</t>
  </si>
  <si>
    <t>CHAPA 2620 X 612 X 1,2</t>
  </si>
  <si>
    <t>PRD01233</t>
  </si>
  <si>
    <t>CHAPA 2617 X 599 X 1,2</t>
  </si>
  <si>
    <t>PRD01234</t>
  </si>
  <si>
    <t>CHAPA 1290 X 263 X 1,2</t>
  </si>
  <si>
    <t>PRD01235</t>
  </si>
  <si>
    <t>CHAPA 1287 X 260 X 1,2</t>
  </si>
  <si>
    <t>PRD01236</t>
  </si>
  <si>
    <t>CHAPA 1797 X 147 X 1,2</t>
  </si>
  <si>
    <t>PRD01237</t>
  </si>
  <si>
    <t>PROTÓTIPO ILHA DA BELEZA #0,9mm</t>
  </si>
  <si>
    <t>PRD01238</t>
  </si>
  <si>
    <t>CONJ GARRAS BUSWAY</t>
  </si>
  <si>
    <t>PRD01239</t>
  </si>
  <si>
    <t>BASE 620 X 160 X 6,35</t>
  </si>
  <si>
    <t>PRD01240</t>
  </si>
  <si>
    <t>3181543_P&amp;G0451_ILHA DE BELEZA - FY2425_Montante 50x30mm-entalhe 1 lado</t>
  </si>
  <si>
    <t>PRD01241</t>
  </si>
  <si>
    <t>CHAPA 130 X 100 X 8,0</t>
  </si>
  <si>
    <t>PRD01242</t>
  </si>
  <si>
    <t>CHAPA 175 X 100 X 8,0</t>
  </si>
  <si>
    <t>PRD01243</t>
  </si>
  <si>
    <t>CHAPA 200 X 100 X 8,0</t>
  </si>
  <si>
    <t>PRD01244</t>
  </si>
  <si>
    <t>CHAPA 290 X 100 X 8,0</t>
  </si>
  <si>
    <t>PRD01245</t>
  </si>
  <si>
    <t>MANCAL 112 X 100 X 8,0</t>
  </si>
  <si>
    <t>PRD01246</t>
  </si>
  <si>
    <t>MANCAL 142 X 100 X 8,0</t>
  </si>
  <si>
    <t>PRD01247</t>
  </si>
  <si>
    <t>chapas 0,9mm</t>
  </si>
  <si>
    <t>PRD01248</t>
  </si>
  <si>
    <t>Braços FRAM Camarim _chapa # 1,20mm Laser + chapa #0,9mm</t>
  </si>
  <si>
    <t>PRD01249</t>
  </si>
  <si>
    <t>BASE 1200 X 412 X 6,35</t>
  </si>
  <si>
    <t>PRD01250</t>
  </si>
  <si>
    <t>3181550 + 3181551 + Bandeja FRAM Camarim 121124 + Shelf1 FRAM Camarim 121124 - PROTÓTIPO</t>
  </si>
  <si>
    <t>PRD01251</t>
  </si>
  <si>
    <t>Puxador pinça + 3799</t>
  </si>
  <si>
    <t>PRD01252</t>
  </si>
  <si>
    <t>PP-MPA(027)</t>
  </si>
  <si>
    <t>PRD01253</t>
  </si>
  <si>
    <t>PP-MPA(028)</t>
  </si>
  <si>
    <t>PRD01254</t>
  </si>
  <si>
    <t>PP-MPA(029)</t>
  </si>
  <si>
    <t>PRD01255</t>
  </si>
  <si>
    <t>PP-MPA(037)</t>
  </si>
  <si>
    <t>PRD01256</t>
  </si>
  <si>
    <t>PP-MPA(051)</t>
  </si>
  <si>
    <t>PRD01257</t>
  </si>
  <si>
    <t>PP-MPA(052)</t>
  </si>
  <si>
    <t>PRD01258</t>
  </si>
  <si>
    <t>PP-MPA(053)</t>
  </si>
  <si>
    <t>PRD01259</t>
  </si>
  <si>
    <t>PP-MPA(054)</t>
  </si>
  <si>
    <t>PRD01260</t>
  </si>
  <si>
    <t>PP-MPA(060)</t>
  </si>
  <si>
    <t>PRD01261</t>
  </si>
  <si>
    <t>PP-MPA(061)</t>
  </si>
  <si>
    <t>PRD01262</t>
  </si>
  <si>
    <t>PP-MPA(062)</t>
  </si>
  <si>
    <t>PRD01263</t>
  </si>
  <si>
    <t>PP-MPA(063)</t>
  </si>
  <si>
    <t>PRD01264</t>
  </si>
  <si>
    <t>PP-MPA(064)</t>
  </si>
  <si>
    <t>PRD01265</t>
  </si>
  <si>
    <t>PP-MPA(067)</t>
  </si>
  <si>
    <t>PRD01266</t>
  </si>
  <si>
    <t>PP-MPA(068)</t>
  </si>
  <si>
    <t>PRD01267</t>
  </si>
  <si>
    <t>PP-MPA(072)</t>
  </si>
  <si>
    <t>PRD01268</t>
  </si>
  <si>
    <t>GABARITO BOCA ROSA #3,0mm</t>
  </si>
  <si>
    <t>PRD01269</t>
  </si>
  <si>
    <t>20000 PCs - 3799</t>
  </si>
  <si>
    <t>PRD01270</t>
  </si>
  <si>
    <t>1650 PCs - 302</t>
  </si>
  <si>
    <t>PRD01271</t>
  </si>
  <si>
    <t>1650 PCs - 0005</t>
  </si>
  <si>
    <t>PRD01272</t>
  </si>
  <si>
    <t>EX01 rev Rex MesaChapa 20210325_Chapa # 3mm</t>
  </si>
  <si>
    <t>PRD01273</t>
  </si>
  <si>
    <t>EXEC Rex Chapa Poltrona 20250124_Braço # 3mm</t>
  </si>
  <si>
    <t>PRD01274</t>
  </si>
  <si>
    <t>BASE 500 X 200 X 6,35</t>
  </si>
  <si>
    <t>PRD01275</t>
  </si>
  <si>
    <t>CANTONEIRA 370 X 40 X 40 X 0,5</t>
  </si>
  <si>
    <t>PRD01276</t>
  </si>
  <si>
    <t>CANTONEIRA 1440 X 40 X 40 X 0,5</t>
  </si>
  <si>
    <t>PRD01277</t>
  </si>
  <si>
    <t>CHAPA U 1440  X 80 X 40 X 0,5</t>
  </si>
  <si>
    <t>PRD01278</t>
  </si>
  <si>
    <t>MB - STAGE - DVA JOINVILLE - 2727 X 137 X 3,0</t>
  </si>
  <si>
    <t>PRD01279</t>
  </si>
  <si>
    <t>SHOP WALL - DVA JOINVILLE - 2174 X 137 X 3,0</t>
  </si>
  <si>
    <t>PRD01280</t>
  </si>
  <si>
    <t>MB - WELCOME DVA JOINVILLE - 767 X 137 X 3,0</t>
  </si>
  <si>
    <t>PRD01281</t>
  </si>
  <si>
    <t>BLANK ORÇAMENTO PA1933</t>
  </si>
  <si>
    <t>PRD01282</t>
  </si>
  <si>
    <t>BLANK ORÇAMENTO PA1935 #2,0mm</t>
  </si>
  <si>
    <t>PRD01283</t>
  </si>
  <si>
    <t>CANTONEIRA 610 X 20 X 35</t>
  </si>
  <si>
    <t>PRD01284</t>
  </si>
  <si>
    <t>APOIO DO ISOLADOR 30X</t>
  </si>
  <si>
    <t>PRD01285</t>
  </si>
  <si>
    <t>COLUNA DE APOIO 2X</t>
  </si>
  <si>
    <t>PRD01286</t>
  </si>
  <si>
    <t>TRAVA LATERAL 12X</t>
  </si>
  <si>
    <t>PRD01287</t>
  </si>
  <si>
    <t>PROTOTIPO DOBRADO - #2,0mm</t>
  </si>
  <si>
    <t>PRD01288</t>
  </si>
  <si>
    <t>CHAPA DOBRADA 1200 X 300 X 3,0</t>
  </si>
  <si>
    <t>PRD01289</t>
  </si>
  <si>
    <t>JEEP VENDEDOR SILENCIOSO #6,35 165 X30 X 6,35</t>
  </si>
  <si>
    <t>PRD01290</t>
  </si>
  <si>
    <t>RÉGUA 35 X 36 ASPIRAS</t>
  </si>
  <si>
    <t>PRD01291</t>
  </si>
  <si>
    <t>KIT 5 - 1 CHAPA 1000 X 75 X 35 X 4,75</t>
  </si>
  <si>
    <t>PRD01292</t>
  </si>
  <si>
    <t>KIT 5 - 2 CHAPA 3000 X 60 X 35 X4,75</t>
  </si>
  <si>
    <t>PRD01293</t>
  </si>
  <si>
    <t>KIT 5 - 3  70 X 70 X 70 X 4,75</t>
  </si>
  <si>
    <t>PRD01294</t>
  </si>
  <si>
    <t>KIT5 - 4  CHAPA 70 X 75 X 40 X 4,75</t>
  </si>
  <si>
    <t>PRD01295</t>
  </si>
  <si>
    <t>0409_PONTA_DE_G+öNDOLA_LED chapa + Chapa # 1,20  940x220mm 120225 - PROTÓTIPO</t>
  </si>
  <si>
    <t>PRD01296</t>
  </si>
  <si>
    <t>Chapa # 1,20  940x220mm 120225</t>
  </si>
  <si>
    <t>PRD01297</t>
  </si>
  <si>
    <t>BASE 500 X 214 X 4,75</t>
  </si>
  <si>
    <t>PRD01298</t>
  </si>
  <si>
    <t>BASE 600 X 250 X 6,35</t>
  </si>
  <si>
    <t>PRD01299</t>
  </si>
  <si>
    <t>MANCAL 195 X 100 X 4,75</t>
  </si>
  <si>
    <t>PRD01300</t>
  </si>
  <si>
    <t>MANCAL 234 X 100 X 4,75</t>
  </si>
  <si>
    <t>PRD01301</t>
  </si>
  <si>
    <t>RETANGULO 180 X 150 X 6,35</t>
  </si>
  <si>
    <t>PRD01302</t>
  </si>
  <si>
    <t>CHAPA 500 X 75 X 6,35 - 5 PÇS</t>
  </si>
  <si>
    <t>PRD01303</t>
  </si>
  <si>
    <t>TRIÂNGULO #6,35 - 6 PÇS</t>
  </si>
  <si>
    <t>PRD01304</t>
  </si>
  <si>
    <t>PROTÓTIPO SUPORTE DOBRADO #2,0mm</t>
  </si>
  <si>
    <t>PRD01305</t>
  </si>
  <si>
    <t>CAD - PROTÓTIPO SUPORTE DOBRADO #2,0mm</t>
  </si>
  <si>
    <t>PRD01306</t>
  </si>
  <si>
    <t>3181815_Chapa # 1,20  940x220mm</t>
  </si>
  <si>
    <t>PRD01307</t>
  </si>
  <si>
    <t>CAIXA DE RESDUOS MONTADA</t>
  </si>
  <si>
    <t>PRD01308</t>
  </si>
  <si>
    <t>CHAPA CURVADA</t>
  </si>
  <si>
    <t>PRD01309</t>
  </si>
  <si>
    <t>CHAPA DIRECIONAL 2</t>
  </si>
  <si>
    <t>PRD01310</t>
  </si>
  <si>
    <t>CHAPA DIRECIONAL MAIOR LE + LD</t>
  </si>
  <si>
    <t>PRD01311</t>
  </si>
  <si>
    <t>CHAPA DIRECIONAL LE + LD</t>
  </si>
  <si>
    <t>PRD01312</t>
  </si>
  <si>
    <t>CHAPA LATERAL MAIOR LE + LD</t>
  </si>
  <si>
    <t>PRD01313</t>
  </si>
  <si>
    <t>CHAPA LATERAL LE + LD</t>
  </si>
  <si>
    <t>PRD01314</t>
  </si>
  <si>
    <t>ESTICADOR</t>
  </si>
  <si>
    <t>PRD01315</t>
  </si>
  <si>
    <t>PROTEÇÃO DAS CORRENTES</t>
  </si>
  <si>
    <t>PRD01316</t>
  </si>
  <si>
    <t>SUPORTE DO MOTOREDUTOR</t>
  </si>
  <si>
    <t>PRD01317</t>
  </si>
  <si>
    <t>SUPORTE DO PAPEL LE + LD</t>
  </si>
  <si>
    <t>PRD01318</t>
  </si>
  <si>
    <t>SUPORTE MANUAL</t>
  </si>
  <si>
    <t>PRD01319</t>
  </si>
  <si>
    <t>PP-MCA(001)</t>
  </si>
  <si>
    <t>PRD01320</t>
  </si>
  <si>
    <t>PP-MCA(003)</t>
  </si>
  <si>
    <t>PRD01321</t>
  </si>
  <si>
    <t>BASE 700 X 500X 6,35</t>
  </si>
  <si>
    <t>PRD01322</t>
  </si>
  <si>
    <t>BASE 1300 x 500 x 6,35</t>
  </si>
  <si>
    <t>PRD01323</t>
  </si>
  <si>
    <t>PROTOTIPO DOBRADO - #3,0mm</t>
  </si>
  <si>
    <t>PRD01324</t>
  </si>
  <si>
    <t>3181805_Blank_Prateleira(wall_Bay)[1] #0,9mm</t>
  </si>
  <si>
    <t>PRD01325</t>
  </si>
  <si>
    <t>3181796_Blank_encaixe_Torre_1_e_3[1] #2,25mm</t>
  </si>
  <si>
    <t>PRD01326</t>
  </si>
  <si>
    <t>3181797_Blank_encaixe_Torre_2[1] #2,25mm</t>
  </si>
  <si>
    <t>PRD01327</t>
  </si>
  <si>
    <t>3181800_Trava_Fivela[1]</t>
  </si>
  <si>
    <t>PRD01328</t>
  </si>
  <si>
    <t>3181803_braço_prateleira_(wall_bay)[1]</t>
  </si>
  <si>
    <t>PRD01329</t>
  </si>
  <si>
    <t>3181804_braço_testeira_(wall_bay)[1]</t>
  </si>
  <si>
    <t>PRD01330</t>
  </si>
  <si>
    <t>CHAPA DOBRADA #3,0mm</t>
  </si>
  <si>
    <t>PRD01331</t>
  </si>
  <si>
    <t>Anel Sup.Flange 4mm 17.02.25</t>
  </si>
  <si>
    <t>PRD01332</t>
  </si>
  <si>
    <t>Flange Ajust,Valvula 4mm</t>
  </si>
  <si>
    <t>PRD01333</t>
  </si>
  <si>
    <t>Flange p Bocal 4mm</t>
  </si>
  <si>
    <t>PRD01334</t>
  </si>
  <si>
    <t>Flange p Bocal Diam.213 Int #4,0mm</t>
  </si>
  <si>
    <t>PRD01335</t>
  </si>
  <si>
    <t>Flange p Bocal Fixo #4,0mm</t>
  </si>
  <si>
    <t>PRD01336</t>
  </si>
  <si>
    <t>Suporte Guia #3,0mm</t>
  </si>
  <si>
    <t>PRD01337</t>
  </si>
  <si>
    <t>dm10258 #3,0mm</t>
  </si>
  <si>
    <t>PRD01338</t>
  </si>
  <si>
    <t>dm10259 #3,0mm</t>
  </si>
  <si>
    <t>PRD01339</t>
  </si>
  <si>
    <t>dm10261_a #3,0mm</t>
  </si>
  <si>
    <t>PRD01340</t>
  </si>
  <si>
    <t>DM10260</t>
  </si>
  <si>
    <t>PRD01341</t>
  </si>
  <si>
    <t>DM10262</t>
  </si>
  <si>
    <t>PRD01342</t>
  </si>
  <si>
    <t>MASCARA 689 #4,75</t>
  </si>
  <si>
    <t>PRD01343</t>
  </si>
  <si>
    <t>RETÂNGULO 180 X 678,5 X 3,0</t>
  </si>
  <si>
    <t>PRD01344</t>
  </si>
  <si>
    <t>RETÂNGULO 848 X 110 X 3,0</t>
  </si>
  <si>
    <t>PRD01345</t>
  </si>
  <si>
    <t>Padrão-Plano - 02.03.103.00-02 Cubo - 1UN</t>
  </si>
  <si>
    <t>PRD01346</t>
  </si>
  <si>
    <t>SUPORTE PARA MESA P6 #2,0mm</t>
  </si>
  <si>
    <t>PRD01347</t>
  </si>
  <si>
    <t>KIT 5-5 - 75 X 75 X 200 X 6,35</t>
  </si>
  <si>
    <t>PRD01348</t>
  </si>
  <si>
    <t>KIT 6-1 - 700 X 600 X 3,18</t>
  </si>
  <si>
    <t>PRD01349</t>
  </si>
  <si>
    <t>KIT 6-2 - 3000 X 250 X 3,18</t>
  </si>
  <si>
    <t>PRD01350</t>
  </si>
  <si>
    <t>KIT 6-3 CANTONEIRA 25 X 25 X 1500 X 3,18</t>
  </si>
  <si>
    <t>PRD01351</t>
  </si>
  <si>
    <t>3181813_Braços FRAM Camarim _chapa # 1,50mm Laser - 1UN</t>
  </si>
  <si>
    <t>PRD01352</t>
  </si>
  <si>
    <t>CORTE CHAPA #9,5mm</t>
  </si>
  <si>
    <t>PRD01353</t>
  </si>
  <si>
    <t>CHAPA 364 X 182 X 3,0mm - 4UN</t>
  </si>
  <si>
    <t>PRD01354</t>
  </si>
  <si>
    <t>BASE 650 X 232 X 4,75</t>
  </si>
  <si>
    <t>PRD01355</t>
  </si>
  <si>
    <t>BASE 700 X 200 X 6,35</t>
  </si>
  <si>
    <t>7206.10.00</t>
  </si>
  <si>
    <t>PRD01356</t>
  </si>
  <si>
    <t>BASE 995 X 207 X 4,75</t>
  </si>
  <si>
    <t>PRD01357</t>
  </si>
  <si>
    <t>3181799 + 3181801 + 3181802</t>
  </si>
  <si>
    <t>PRD01358</t>
  </si>
  <si>
    <t>RACK METÁLICO VW - RAD 1475 - 2700 X 1600 X 1250 - 6 UN</t>
  </si>
  <si>
    <t>PRD01359</t>
  </si>
  <si>
    <t>3181798_Tubo Cremalheira 30x60x1330mm # 1,90mm - 16 UN</t>
  </si>
  <si>
    <t>PRD01360</t>
  </si>
  <si>
    <t>adaptador 55 x 36 x 1,2mm</t>
  </si>
  <si>
    <t>PRD01361</t>
  </si>
  <si>
    <t>MB - WELCOME DVA JOINVILLE - 1 -  2727 X 137 X 3,0</t>
  </si>
  <si>
    <t>PRD01362</t>
  </si>
  <si>
    <t>MB - WELCOME DVA JOINVILLE - 3 -  2727 X 137 X 3,0</t>
  </si>
  <si>
    <t>PRD01363</t>
  </si>
  <si>
    <t>CHAPA 210 X 91 X 60 X 3,0mm</t>
  </si>
  <si>
    <t>PRD01364</t>
  </si>
  <si>
    <t>PERFIL ENRIJECIDO 10 X 40 X 60</t>
  </si>
  <si>
    <t>PRD01365</t>
  </si>
  <si>
    <t>CORTE CHAPA #6,35mm</t>
  </si>
  <si>
    <t>PRD01366</t>
  </si>
  <si>
    <t>CG - P045 - CHAPA DE RETORNO LE + LD</t>
  </si>
  <si>
    <t>PRD01367</t>
  </si>
  <si>
    <t>CG - P046 - CAIXA INTERMEDIARIA  X 2000</t>
  </si>
  <si>
    <t>PRD01368</t>
  </si>
  <si>
    <t>CG - P046 - CAIXA INTERMEDIARIA  X 3000</t>
  </si>
  <si>
    <t>PRD01369</t>
  </si>
  <si>
    <t>CG - P048 - CAIXA DE ACIONAMENTO LE + LD</t>
  </si>
  <si>
    <t>PRD01370</t>
  </si>
  <si>
    <t>CG - P049 - FECHAMENTO INFERIOR 1566 #3,0mm</t>
  </si>
  <si>
    <t>PRD01371</t>
  </si>
  <si>
    <t>CG - P050 - FECHAMENTO INFERIOR 3000</t>
  </si>
  <si>
    <t>PRD01372</t>
  </si>
  <si>
    <t>CG - P054 - FECHAMENTO DO RETORNO</t>
  </si>
  <si>
    <t>PRD01373</t>
  </si>
  <si>
    <t>CG - P089 - FECHAMENTO INFERIOR</t>
  </si>
  <si>
    <t>PRD01374</t>
  </si>
  <si>
    <t>CG - P095.01 - FECHAMENTO FRONTAL</t>
  </si>
  <si>
    <t>PRD01375</t>
  </si>
  <si>
    <t>CG - P106 - ARRASTADOR</t>
  </si>
  <si>
    <t>PRD01376</t>
  </si>
  <si>
    <t>CG - P123 - GUIA DA CURVA</t>
  </si>
  <si>
    <t>PRD01377</t>
  </si>
  <si>
    <t>CG - P151 - BASE DO OLHAL P100 - 1 - 851 X 130 X 6,35</t>
  </si>
  <si>
    <t>PRD01378</t>
  </si>
  <si>
    <t>CG - P151 - BASE DO OLHAL P100 - 2 - 300 X 100 X 6,35</t>
  </si>
  <si>
    <t>PRD01379</t>
  </si>
  <si>
    <t>CG - P151 - BASE DO OLHAL P100 - 3 - 559 X 130 X 6,35</t>
  </si>
  <si>
    <t>PRD01380</t>
  </si>
  <si>
    <t>CG - P151 - BASE DO OLHAL P100 - 4 - 195 X 76 X 6,35</t>
  </si>
  <si>
    <t>PRD01381</t>
  </si>
  <si>
    <t>CG - P123 - GUIA DA CURVA #6,35</t>
  </si>
  <si>
    <t>PRD01382</t>
  </si>
  <si>
    <t>CG - P132 - CHAPA DO RETORNO</t>
  </si>
  <si>
    <t>PRD01383</t>
  </si>
  <si>
    <t>CG - P093 - CORPO DO FUNIL FL1</t>
  </si>
  <si>
    <t>PRD01384</t>
  </si>
  <si>
    <t>RACK METÁLICO VW - RAD 1475 - 2700 X 1600 X 1250 - 18 UN</t>
  </si>
  <si>
    <t>PRD01385</t>
  </si>
  <si>
    <t>BASE 1200 X 227 X 4,75</t>
  </si>
  <si>
    <t>PRD01386</t>
  </si>
  <si>
    <t>3181816_Cremalheira 30x50mm  Terminal Downy C&amp;C - 12UN</t>
  </si>
  <si>
    <t>PRD01387</t>
  </si>
  <si>
    <t>3181818_Braço 510mm # 3mm_Terminal Downy C&amp;C</t>
  </si>
  <si>
    <t>PRD01388</t>
  </si>
  <si>
    <t>3181817_Braço 370mm # 3mm_Terminal Downy C&amp;C</t>
  </si>
  <si>
    <t>PRD01389</t>
  </si>
  <si>
    <t>1230 + 1232 + 1236 #1,2mm</t>
  </si>
  <si>
    <t>PRD01390</t>
  </si>
  <si>
    <t>BASE 150 X 150 X 9,5</t>
  </si>
  <si>
    <t>PRD01391</t>
  </si>
  <si>
    <t>BASE 1750 X 466 X 4,75</t>
  </si>
  <si>
    <t>PRD01392</t>
  </si>
  <si>
    <t>Chapa de 1,5 mm Perfurada EC25 + Prateleira Chapa de 1,5mm + AMB0280_RACK BRAHMA REV 00 chapa 0,75mm</t>
  </si>
  <si>
    <t>PRD01393</t>
  </si>
  <si>
    <t>CAIXA DE CINTA COMPLETA 1070 X 200 X 2,0 - 10 UN</t>
  </si>
  <si>
    <t>PRD01394</t>
  </si>
  <si>
    <t>CAIXA DE CINTA PARCIAL 1070 X 200 X 2,0 - 10 UN</t>
  </si>
  <si>
    <t>PRD01395</t>
  </si>
  <si>
    <t>_ Cobertura desenvolvimento (CONJ 3 PÇS)  _ parte superior - 2500 X 445 X 150 X 2,0mm</t>
  </si>
  <si>
    <t>PRD01396</t>
  </si>
  <si>
    <t>_ Cobertura desenvolvimento(CONJ 3 PÇS)  _ mata junta 2500 x 90 x 2,0mm</t>
  </si>
  <si>
    <t>PRD01397</t>
  </si>
  <si>
    <t>_ Cobertura desenvolvimento _ parte inferior 2500 x 20 x 2,0mm</t>
  </si>
  <si>
    <t>PRD01398</t>
  </si>
  <si>
    <t>4220GER-CPDT-01</t>
  </si>
  <si>
    <t>PRD01399</t>
  </si>
  <si>
    <t>3181819 + 3181820 #0,9mm</t>
  </si>
  <si>
    <t>PRD01400</t>
  </si>
  <si>
    <t>_ Cobertura desenvolvimento _ parte superior - 2500 x 200 x 285 x 2,0 mm</t>
  </si>
  <si>
    <t>PRD01401</t>
  </si>
  <si>
    <t>_ Cobertura desenvolvimento _ mata junta 2500 X 90 X 2,0mm</t>
  </si>
  <si>
    <t>PRD01402</t>
  </si>
  <si>
    <t>_ Cobertura desenvolvimento _ parte inferior - 2500 x 20 x 2,0mm</t>
  </si>
  <si>
    <t>PRD01403</t>
  </si>
  <si>
    <t>PECA 21 - 500mm x 75mm x 55mm - esp 5mm - LOTE 100 PÇS</t>
  </si>
  <si>
    <t>PRD01404</t>
  </si>
  <si>
    <t>PECA 23 - 1009mm x 26mm x 85,5mm - esp 4,5mm - LOTE 50 PÇS</t>
  </si>
  <si>
    <t>PRD01405</t>
  </si>
  <si>
    <t>107608 Tubo Ø1 ¼ esp. 1.9mm comp. 2950mm com entalhes para montante invertido(1)</t>
  </si>
  <si>
    <t>PRD01406</t>
  </si>
  <si>
    <t>ESTRUTURA METÁLICA - MB-CONSULTING - STA - MACEIÓ #3,0mm</t>
  </si>
  <si>
    <t>PRD01407</t>
  </si>
  <si>
    <t>ESTRUTURA METÁLICA - MB-HANDOVER - STA - MACEIÓ #3,0mm</t>
  </si>
  <si>
    <t>PRD01408</t>
  </si>
  <si>
    <t>ESTRUTURA METÁLICA - MB-HORIZON + SHOP AREA - STA - MACEIÓ</t>
  </si>
  <si>
    <t>PRD01409</t>
  </si>
  <si>
    <t>ESTRUTURA METÁLICA - MB-HOSPITALITY - STA - MACEIÓ - 1</t>
  </si>
  <si>
    <t>PRD01410</t>
  </si>
  <si>
    <t>ESTRUTURA METÁLICA - MB-STAGE - Maceio #3,0mm</t>
  </si>
  <si>
    <t>PRD01411</t>
  </si>
  <si>
    <t>CHAPA 341 X 296 X 3,0mm</t>
  </si>
  <si>
    <t>PRD01412</t>
  </si>
  <si>
    <t>LOTE PROTÓTIPO FLANGES A + B + 3 - ILHA OFF UNFILTERED</t>
  </si>
  <si>
    <t>PRD01413</t>
  </si>
  <si>
    <t>3181787_TUBO ENTALHADO 25X25 # 2,0 X 1600 MM ( ENT 2 LADO ) - 6 UN</t>
  </si>
  <si>
    <t>PRD01414</t>
  </si>
  <si>
    <t>LOGO LINDT #2,0mm</t>
  </si>
  <si>
    <t>PRD01415</t>
  </si>
  <si>
    <t>SIMBOLO LOGO LINDT #0,9mm</t>
  </si>
  <si>
    <t>PRD01416</t>
  </si>
  <si>
    <t>MANCAL 200  X 100 X 100 X 6,35</t>
  </si>
  <si>
    <t>PRD01417</t>
  </si>
  <si>
    <t>MANCAL 75 X 60 X 9,5 D30,3 (2X)</t>
  </si>
  <si>
    <t>PRD01418</t>
  </si>
  <si>
    <t>MANCAL 60 X 30 X 9,5</t>
  </si>
  <si>
    <t>PRD01419</t>
  </si>
  <si>
    <t>MANCAL 75 X 60 X 12,7 D25,2 (2X)</t>
  </si>
  <si>
    <t>PRD01420</t>
  </si>
  <si>
    <t>MANCAL 60 X 25 X 12,7</t>
  </si>
  <si>
    <t>PRD01421</t>
  </si>
  <si>
    <t>3181816_Cremalheira 30x50mm  Terminal Downy C&amp;C - 114 UN</t>
  </si>
  <si>
    <t>PRD01422</t>
  </si>
  <si>
    <t>3181819_P&amp;G0438_TERMINAL DOWNY C&amp;C 2.0 - PFMOT - chapa Base # 0.9mm</t>
  </si>
  <si>
    <t>PRD01423</t>
  </si>
  <si>
    <t>3181820_P&amp;G0438_TERMINAL DOWNY C&amp;C 2.0 - PFMOT - cinta Base # 0.9mm</t>
  </si>
  <si>
    <t>PRD01424</t>
  </si>
  <si>
    <t>MANCAL 155 X 120 X 100 X 6,35</t>
  </si>
  <si>
    <t>PRD01425</t>
  </si>
  <si>
    <t>MANCAL 155 X 120 X 100 X 6,35 CH 90mm</t>
  </si>
  <si>
    <t>PRD01426</t>
  </si>
  <si>
    <t>MANCAL 160 X 155 X 120 X 6,35</t>
  </si>
  <si>
    <t>PRD01427</t>
  </si>
  <si>
    <t>MANCAL 300 X 160 X 50 X 6,35</t>
  </si>
  <si>
    <t>PRD01428</t>
  </si>
  <si>
    <t>MANCAL 1000 X 68 X 30 X 4,75</t>
  </si>
  <si>
    <t>PRD01429</t>
  </si>
  <si>
    <t>MANCAL 1000 X 100 X 80 X 4,75</t>
  </si>
  <si>
    <t>PRD01430</t>
  </si>
  <si>
    <t>MANCAL ANGULAR 320 X 300 X 200 x 6,35</t>
  </si>
  <si>
    <t>PRD01431</t>
  </si>
  <si>
    <t>BASE 700 X 175 X 4,75</t>
  </si>
  <si>
    <t>PRD01432</t>
  </si>
  <si>
    <t>BASE 1000 X 260 X 6,35</t>
  </si>
  <si>
    <t>PRD01433</t>
  </si>
  <si>
    <t>MANCAL 250 X 90 X 6,35</t>
  </si>
  <si>
    <t>PRD01434</t>
  </si>
  <si>
    <t>BASE INFERIOR 250 X 200 X 9,5mm</t>
  </si>
  <si>
    <t>PRD01435</t>
  </si>
  <si>
    <t>PLACA SUPERIOR 306 X 211 X 2,0mm</t>
  </si>
  <si>
    <t>PRD01436</t>
  </si>
  <si>
    <t>DETALHE PLACA INFERIOR 211 X 35 X 4,75mm</t>
  </si>
  <si>
    <t>PRD01437</t>
  </si>
  <si>
    <t>BOMBONS</t>
  </si>
  <si>
    <t>PRD01438</t>
  </si>
  <si>
    <t>PRESENTES</t>
  </si>
  <si>
    <t>PRD01439</t>
  </si>
  <si>
    <t>TABLETES</t>
  </si>
  <si>
    <t>PRD01440</t>
  </si>
  <si>
    <t>TRUFAS</t>
  </si>
  <si>
    <t>PRD01441</t>
  </si>
  <si>
    <t>PERFIL U FURADO 43,6 X 10 X 10 X 0,8</t>
  </si>
  <si>
    <t>PRD01442</t>
  </si>
  <si>
    <t>PERFIL L 240 X 38 X 10 X 0,8 C RASGO</t>
  </si>
  <si>
    <t>PRD01443</t>
  </si>
  <si>
    <t>PERFIL L 240 X 38 X 10 X 0,8 C RASGO + ALIVIO</t>
  </si>
  <si>
    <t>PRD01444</t>
  </si>
  <si>
    <t>708 X 130 X 12,7</t>
  </si>
  <si>
    <t>PRD01445</t>
  </si>
  <si>
    <t>1417 X 130 X 12,7</t>
  </si>
  <si>
    <t>PRD01446</t>
  </si>
  <si>
    <t>708 X 330 X 12,7</t>
  </si>
  <si>
    <t>PRD01447</t>
  </si>
  <si>
    <t>1417 X 330 X 12,7</t>
  </si>
  <si>
    <t>PRD01448</t>
  </si>
  <si>
    <t>MANCAL 610 X 130 X 4,75</t>
  </si>
  <si>
    <t>PRD01449</t>
  </si>
  <si>
    <t>BASE 250 X 150 X 6,35</t>
  </si>
  <si>
    <t>PRD01450</t>
  </si>
  <si>
    <t>BASE 600 X 190 X 6,35</t>
  </si>
  <si>
    <t>PRD01451</t>
  </si>
  <si>
    <t>CHAPA U 170 X 70 X 70 X 6,35</t>
  </si>
  <si>
    <t>PRD01452</t>
  </si>
  <si>
    <t>CHAPA L 170 X 80 X 6,35</t>
  </si>
  <si>
    <t>PRD01453</t>
  </si>
  <si>
    <t>CHAPA 1000 X 250 X 3,0mm</t>
  </si>
  <si>
    <t>PRD01454</t>
  </si>
  <si>
    <t>CHAPA 100 X 100 X 12,7</t>
  </si>
  <si>
    <t>PRD01455</t>
  </si>
  <si>
    <t>DISCO 120 X #12,7mm</t>
  </si>
  <si>
    <t>PRD01456</t>
  </si>
  <si>
    <t>CHAPA 600 X 135 X 1,2mm</t>
  </si>
  <si>
    <t>PRD01457</t>
  </si>
  <si>
    <t>3181604_chapa # 0,9mm_corte laser</t>
  </si>
  <si>
    <t>PRD01458</t>
  </si>
  <si>
    <t>Bandeja BLZ na Web Chapa _Braço laser LD .pdf</t>
  </si>
  <si>
    <t>PRD01459</t>
  </si>
  <si>
    <t>ESTRUTURA METÁLICA - MB-HOSPITALITY - STA - MACEIÓ - 2</t>
  </si>
  <si>
    <t>PRD01460</t>
  </si>
  <si>
    <t>CHAPA 48 X 56 X 12,7</t>
  </si>
  <si>
    <t>PRD01461</t>
  </si>
  <si>
    <t>CHAPA 100 X 100 X 6,35</t>
  </si>
  <si>
    <t>PRD01462</t>
  </si>
  <si>
    <t>CHAPA "U" - 143,6 X 65 X 65 X 6,35</t>
  </si>
  <si>
    <t>PRD01463</t>
  </si>
  <si>
    <t>PECA 25 - SUPORTE BOTAO #2,0mm</t>
  </si>
  <si>
    <t>PRD01464</t>
  </si>
  <si>
    <t>CHAPA 100 X 20 X 6,35</t>
  </si>
  <si>
    <t>PRD01465</t>
  </si>
  <si>
    <t>FUNDO COFRE DERIVACAO</t>
  </si>
  <si>
    <t>PRD01466</t>
  </si>
  <si>
    <t>TAMPA COFRE DERIVACAO</t>
  </si>
  <si>
    <t>PRD01467</t>
  </si>
  <si>
    <t>FRONTAL COFRE DERIVACAO</t>
  </si>
  <si>
    <t>PRD01468</t>
  </si>
  <si>
    <t>TRASEIRA DERIVACAO</t>
  </si>
  <si>
    <t>PRD01469</t>
  </si>
  <si>
    <t>SUPORTE DISJUNTOR COFRE DERIVACAO</t>
  </si>
  <si>
    <t>PRD01470</t>
  </si>
  <si>
    <t>LATERAL SUPORTE DISJUNTOR COFRE DERIVACAO - 4 PCS</t>
  </si>
  <si>
    <t>PRD01471</t>
  </si>
  <si>
    <t>CANTONEIRA SUPORTE DISJUNTOR COFRE DERIVACAO - 4 PCS</t>
  </si>
  <si>
    <t>PRD01472</t>
  </si>
  <si>
    <t>_ Chapa corta fogo</t>
  </si>
  <si>
    <t>PRD01473</t>
  </si>
  <si>
    <t>ALIMENTACAO FLANGELADA 300mm #1,2mm</t>
  </si>
  <si>
    <t>PRD01474</t>
  </si>
  <si>
    <t>CHAPA RETA 280 X 156 X 1,2mm</t>
  </si>
  <si>
    <t>PRD01475</t>
  </si>
  <si>
    <t>PERFIL ENRIJECIDO 18,5  X 20 X 122,5 X 1,2</t>
  </si>
  <si>
    <t>PRD01476</t>
  </si>
  <si>
    <t>PERFIL L 167 X 25,5 X 25,5</t>
  </si>
  <si>
    <t>PRD01477</t>
  </si>
  <si>
    <t>PERFIL U 898 X 170 X 20 X 1,2</t>
  </si>
  <si>
    <t>PRD01478</t>
  </si>
  <si>
    <t>PERFIL ENRIJECIDO 18,5 X 20 X 102,5 X 983</t>
  </si>
  <si>
    <t>PRD01479</t>
  </si>
  <si>
    <t>CHAPA DOBRADA 677,5 X 212,5  X 1,2</t>
  </si>
  <si>
    <t>PRD01480</t>
  </si>
  <si>
    <t>PERFIL ENRIJECIDO 18,5 X 18,5 X 99 X 284,5 LE + LD</t>
  </si>
  <si>
    <t>PRD01481</t>
  </si>
  <si>
    <t>CHAPA DOBRADA 552,5 X 107,5 X 1,2</t>
  </si>
  <si>
    <t>PRD01482</t>
  </si>
  <si>
    <t>PERFIL ENRIJECIDO 18,5 X 18,5 X 759 2+2</t>
  </si>
  <si>
    <t>PRD01483</t>
  </si>
  <si>
    <t>CHAPA DOBRADA 235 X 235 X 20</t>
  </si>
  <si>
    <t>PRD01484</t>
  </si>
  <si>
    <t>CHAPA DOBRADA 318 X 318  X 1,2</t>
  </si>
  <si>
    <t>PRD01485</t>
  </si>
  <si>
    <t>CHAPA DOBRADA 172 X 172 X 1,2</t>
  </si>
  <si>
    <t>PRD01486</t>
  </si>
  <si>
    <t>CHAPA DOBRADA 698 X 235 X 1,2 LE + LD</t>
  </si>
  <si>
    <t>PRD01487</t>
  </si>
  <si>
    <t>CHAPA DOBRADA 959 X 318 X 1,2</t>
  </si>
  <si>
    <t>PRD01488</t>
  </si>
  <si>
    <t>CHAPA DOBRADA 805 X 172 X 1,2</t>
  </si>
  <si>
    <t>PRD01489</t>
  </si>
  <si>
    <t>PERFIL U 20 X 20 X 170 X 800</t>
  </si>
  <si>
    <t>PRD01490</t>
  </si>
  <si>
    <t>PERFIL U 1800 X 20 X 20 X 1,2</t>
  </si>
  <si>
    <t>PRD01491</t>
  </si>
  <si>
    <t>PERFIL ENRIJECIDO 1970 X 18,5 X 20 X 102,5</t>
  </si>
  <si>
    <t>PRD01492</t>
  </si>
  <si>
    <t>PERFIL U 12 X 12 X 107,5</t>
  </si>
  <si>
    <t>PRD01493</t>
  </si>
  <si>
    <t>PERFIL U 20 X 20 X 170 X 200</t>
  </si>
  <si>
    <t>PRD01494</t>
  </si>
  <si>
    <t>PERFIL U 17 X 17 X 102</t>
  </si>
  <si>
    <t>PRD01495</t>
  </si>
  <si>
    <t>PERFIL U 10 X 10 X 75</t>
  </si>
  <si>
    <t>PRD01496</t>
  </si>
  <si>
    <t>CHAPA DOBRADA #1,0mm</t>
  </si>
  <si>
    <t>PRD01497</t>
  </si>
  <si>
    <t>RACK F BR x 25 42 V - MOLD P CHOQUE - 2FC.853.101.A_B - 1500x1000x1300mm 21PCs</t>
  </si>
  <si>
    <t>PRD01498</t>
  </si>
  <si>
    <t>RACK F BR 25 37 - GRADE INFERIOR V.2FC.805.677_A - 1500x1000x1350mm 9PCs</t>
  </si>
  <si>
    <t>PRD01499</t>
  </si>
  <si>
    <t>RACK F BR 25 39 - PLACA DEGRAU ESQ_DIR - 2FC.853.537_8 - 1000x2200x1350mm 28PCs</t>
  </si>
  <si>
    <t>PRD01500</t>
  </si>
  <si>
    <t>RACK F BR 25 37 - GRADE INFERIOR - V.2FC.807.963 - 1200x1000x1300mm 88PCs</t>
  </si>
  <si>
    <t>PRD01501</t>
  </si>
  <si>
    <t>RACK F BR 25 46 - COBERT PISO - 1500x1600x1300mm 12PCs</t>
  </si>
  <si>
    <t>PRD01502</t>
  </si>
  <si>
    <t>RACK F ML 25 24 - CAPA LIMPADOR - 23K.853.619 - 1000x2200x1350mm 28PCs</t>
  </si>
  <si>
    <t>PRD01503</t>
  </si>
  <si>
    <t>RESERVATÓRIO - 660100105</t>
  </si>
  <si>
    <t>PRD01504</t>
  </si>
  <si>
    <t>RESERVATORIO MKS</t>
  </si>
  <si>
    <t>PRD01505</t>
  </si>
  <si>
    <t>SH 10 100</t>
  </si>
  <si>
    <t>PRD01506</t>
  </si>
  <si>
    <t>SH 300 - 1 BANDEJA 608 X 543 X 2,0</t>
  </si>
  <si>
    <t>PRD01507</t>
  </si>
  <si>
    <t>SH 300 - 2 CHAPA FECHADA 2362 X 125 X 3,0</t>
  </si>
  <si>
    <t>PRD01508</t>
  </si>
  <si>
    <t>SH 100 - 5 CHAPA 156 X 76 X 2,0mm</t>
  </si>
  <si>
    <t>PRD01509</t>
  </si>
  <si>
    <t>SH 100 - 6 CHAPA 156 X 96 X 2,0mm</t>
  </si>
  <si>
    <t>PRD01510</t>
  </si>
  <si>
    <t>SH 100 - 12 CHAPA 886,9 X 59 X 4,75</t>
  </si>
  <si>
    <t>PRD01511</t>
  </si>
  <si>
    <t>SH 100 -4 CHAPA 1257 X 960 X 3,0</t>
  </si>
  <si>
    <t>PRD01512</t>
  </si>
  <si>
    <t>SH 100 - 1 CHAPA CORTADA EM L 1460 X 125 X 3,0</t>
  </si>
  <si>
    <t>PRD01513</t>
  </si>
  <si>
    <t>SH 100 - 13 CHAPA INOX 334 X 10 X 10 X 7,5</t>
  </si>
  <si>
    <t>PRD01514</t>
  </si>
  <si>
    <t>SH 100 - 8 CHAPA RETA 38 X 53 X 3,0</t>
  </si>
  <si>
    <t>PRD01515</t>
  </si>
  <si>
    <t>SH 100 - 7 CHAPA RETA 160 X 160 X 4,75</t>
  </si>
  <si>
    <t>PRD01516</t>
  </si>
  <si>
    <t>SH 100 -2 CHAPA RETA 1257 X 119,5 X 3,0 (1 FURO)</t>
  </si>
  <si>
    <t>PRD01517</t>
  </si>
  <si>
    <t>SH 100- 3 CHAPA RETA 1257 X 119,5 X 3,0 (2 FUROS)</t>
  </si>
  <si>
    <t>PRD01518</t>
  </si>
  <si>
    <t>SH 100 - 9 CHAPA RETA 1257 X 1352 X 2,0</t>
  </si>
  <si>
    <t>PRD01519</t>
  </si>
  <si>
    <t>SH 100 - 11 CHAPA RETA 2495 X 200 X 4,75</t>
  </si>
  <si>
    <t>PRD01520</t>
  </si>
  <si>
    <t>SH 100 - 10 CHAPA RETA 1257 X 1454 X 2,0</t>
  </si>
  <si>
    <t>PRD01521</t>
  </si>
  <si>
    <t>CORTE INOX #5,0 + #2,0mm</t>
  </si>
  <si>
    <t>PRD01522</t>
  </si>
  <si>
    <t>CHAPA 1474 X 1271 X 1,2</t>
  </si>
  <si>
    <t>PRD01523</t>
  </si>
  <si>
    <t>CHAPA 1225 X 1173 X 1,2</t>
  </si>
  <si>
    <t>PRD01524</t>
  </si>
  <si>
    <t>CHAPA 2680 X 1060 X 1,2</t>
  </si>
  <si>
    <t>PRD01525</t>
  </si>
  <si>
    <t>CHAPA 2671 X 1051 X 1,2</t>
  </si>
  <si>
    <t>PRD01526</t>
  </si>
  <si>
    <t>CHAPA 1234 X 1180 X 1,2</t>
  </si>
  <si>
    <t>PRD01527</t>
  </si>
  <si>
    <t>CHAPA 1483 X 1280 X 1,2</t>
  </si>
  <si>
    <t>PRD01528</t>
  </si>
  <si>
    <t>CHAPA 2400 X 630 X 1,2</t>
  </si>
  <si>
    <t>PRD01529</t>
  </si>
  <si>
    <t>CHAPA 2391 X 621 X 1,2</t>
  </si>
  <si>
    <t>PRD01530</t>
  </si>
  <si>
    <t>P&amp;G0462_TERMINAL GPVOH C&amp;C W2 PFMOT FY2425 basemenor</t>
  </si>
  <si>
    <t>PRD01531</t>
  </si>
  <si>
    <t>P&amp;G0462_TERMINAL GPVOH C&amp;C W2 PFMOT FY2425 meio</t>
  </si>
  <si>
    <t>PRD01532</t>
  </si>
  <si>
    <t>FLANGE 100 X 64 X 6,35</t>
  </si>
  <si>
    <t>PRD01533</t>
  </si>
  <si>
    <t>CHAPA INOX #2,0mm</t>
  </si>
  <si>
    <t>PRD01534</t>
  </si>
  <si>
    <t>MB-HO 60 310 CHAPAS METÁLICAS</t>
  </si>
  <si>
    <t>PRD01535</t>
  </si>
  <si>
    <t>MB-HO 60 332 CHAPAS METÁLICAS</t>
  </si>
  <si>
    <t>PRD01536</t>
  </si>
  <si>
    <t>MB-HO 60 331 CHAPAS METÁLICAS</t>
  </si>
  <si>
    <t>PRD01537</t>
  </si>
  <si>
    <t>MB-HO 60 121 CHAPAS METÁLICAS - 1</t>
  </si>
  <si>
    <t>PRD01538</t>
  </si>
  <si>
    <t>24.01.12 - MB-HO 60 121 CHAPAS METÁLICAS - 2</t>
  </si>
  <si>
    <t>PRD01539</t>
  </si>
  <si>
    <t>24.01.12 - MB-HO 60 121 CHAPAS METÁLICAS - 3</t>
  </si>
  <si>
    <t>PRD01540</t>
  </si>
  <si>
    <t>MB-HO 60 113 CHAPAS METÁLICAS - 1</t>
  </si>
  <si>
    <t>PRD01541</t>
  </si>
  <si>
    <t>MB-HO 60 113 CHAPAS METÁLICAS - 2</t>
  </si>
  <si>
    <t>PRD01542</t>
  </si>
  <si>
    <t>MB-HO 60 113 CHAPAS METÁLICAS - 3</t>
  </si>
  <si>
    <t>PRD01543</t>
  </si>
  <si>
    <t>MB-HO 60 113 CHAPAS METÁLICAS - 4</t>
  </si>
  <si>
    <t>PRD01544</t>
  </si>
  <si>
    <t>MB-HO 60 113 CHAPAS METÁLICAS - 5</t>
  </si>
  <si>
    <t>PRD01545</t>
  </si>
  <si>
    <t>24.01.12 - MB-HO 60 111 CHAPA METÁLICA - 1</t>
  </si>
  <si>
    <t>PRD01546</t>
  </si>
  <si>
    <t>24.01.12 - MB-HO 60 111 CHAPA METÁLICA - 2</t>
  </si>
  <si>
    <t>PRD01547</t>
  </si>
  <si>
    <t>24.01.12 - MB-HO 60 111 CHAPA METÁLICA - 3</t>
  </si>
  <si>
    <t>PRD01548</t>
  </si>
  <si>
    <t>24.01.12 - MB-HO 60 112 CHAPA METÁLICA - 1</t>
  </si>
  <si>
    <t>PRD01549</t>
  </si>
  <si>
    <t>24.01.12 - MB-HO 60 112 CHAPA METÁLICA - 2</t>
  </si>
  <si>
    <t>PRD01550</t>
  </si>
  <si>
    <t>24.01.12 - MB-HO 60 112 CHAPA METÁLICA - 3</t>
  </si>
  <si>
    <t>PRD01551</t>
  </si>
  <si>
    <t>22.02.08 - MB-HO 60 410 CHAPAS METÁLICAS - 1</t>
  </si>
  <si>
    <t>PRD01552</t>
  </si>
  <si>
    <t>22.02.08 - MB-HO 60 410 CHAPAS METÁLICAS - 2</t>
  </si>
  <si>
    <t>PRD01553</t>
  </si>
  <si>
    <t>22.02.08 - MB-HO 60 410 CHAPAS METÁLICAS - 3</t>
  </si>
  <si>
    <t>PRD01554</t>
  </si>
  <si>
    <t>21.10.06 - MB-HO 60 210 CHAPAS METÁLICAS - 1</t>
  </si>
  <si>
    <t>PRD01555</t>
  </si>
  <si>
    <t>21.10.06 - MB-HO 60 210 CHAPAS METÁLICAS - 2</t>
  </si>
  <si>
    <t>PRD01556</t>
  </si>
  <si>
    <t>21.10.06 - MB-HO 60 210 CHAPAS METÁLICAS - 3</t>
  </si>
  <si>
    <t>PRD01557</t>
  </si>
  <si>
    <t>21.10.06 - MB-HO 60 220 CHAPAS METÁLICAS - 1</t>
  </si>
  <si>
    <t>PRD01558</t>
  </si>
  <si>
    <t>21.10.06 - MB-HO 60 220 CHAPAS METÁLICAS - 2</t>
  </si>
  <si>
    <t>PRD01559</t>
  </si>
  <si>
    <t>21.10.06 - MB-HO 60 220 CHAPAS METÁLICAS - 3</t>
  </si>
  <si>
    <t>PRD01560</t>
  </si>
  <si>
    <t>FLANGE 600 - 1 #4,75</t>
  </si>
  <si>
    <t>PRD01561</t>
  </si>
  <si>
    <t>FLANGE 300 - 1 #4,75</t>
  </si>
  <si>
    <t>PRD01562</t>
  </si>
  <si>
    <t>FLANGE 400 - 1 #4,75</t>
  </si>
  <si>
    <t>PRD01563</t>
  </si>
  <si>
    <t>FLANGE 600 - 2 #4,75</t>
  </si>
  <si>
    <t>PRD01564</t>
  </si>
  <si>
    <t>FLANGE 300 - 2 #4,75</t>
  </si>
  <si>
    <t>PRD01565</t>
  </si>
  <si>
    <t>FLANGE 400 - 2 #4,75</t>
  </si>
  <si>
    <t>PRD01566</t>
  </si>
  <si>
    <t>22.11.08 - MB-HO 60 320 CHAPAS METÁLICAS</t>
  </si>
  <si>
    <t>PRD01567</t>
  </si>
  <si>
    <t>4 - PONTA DE GÔNDOLA UNFILTERED chapa 1,2mm</t>
  </si>
  <si>
    <t>PRD01568</t>
  </si>
  <si>
    <t>CORTE CHAPA #9,5mm - VETTORE</t>
  </si>
  <si>
    <t>PRD01569</t>
  </si>
  <si>
    <t>4 - PONTA DE GÔNDOLA UNFILTERED chapa perfurada</t>
  </si>
  <si>
    <t>PRD01570</t>
  </si>
  <si>
    <t>CHAPA U #3,0mm</t>
  </si>
  <si>
    <t>PRD01571</t>
  </si>
  <si>
    <t>SERVIÇO DOBRA ALUMINIOS #6,35</t>
  </si>
  <si>
    <t>PRD01572</t>
  </si>
  <si>
    <t>SERVIÇO RETRABALHO PERFIS DOBRADOS</t>
  </si>
  <si>
    <t>PRD01573</t>
  </si>
  <si>
    <t>PP-MPA(077)</t>
  </si>
  <si>
    <t>PRD01574</t>
  </si>
  <si>
    <t>PP-MPA(078)</t>
  </si>
  <si>
    <t>PRD01575</t>
  </si>
  <si>
    <t>CHAPA DOBRADA #6,35</t>
  </si>
  <si>
    <t>PRD01576</t>
  </si>
  <si>
    <t>CHAPA 550 X 75 X 8,0mm</t>
  </si>
  <si>
    <t>PRD01577</t>
  </si>
  <si>
    <t>1474 x 1271 x 1,2</t>
  </si>
  <si>
    <t>PRD01578</t>
  </si>
  <si>
    <t>1225 X 1173 X 1,2</t>
  </si>
  <si>
    <t>PRD01579</t>
  </si>
  <si>
    <t>2660 X 750 X 1,2</t>
  </si>
  <si>
    <t>PRD01580</t>
  </si>
  <si>
    <t>2655 X 747 X 1,2 X 7,9</t>
  </si>
  <si>
    <t>PRD01581</t>
  </si>
  <si>
    <t>1180 X 1234 X 1,2</t>
  </si>
  <si>
    <t>PRD01582</t>
  </si>
  <si>
    <t>1483 X 1280 X 1,2</t>
  </si>
  <si>
    <t>PRD01583</t>
  </si>
  <si>
    <t>2400 X 630 X 1,2 X 7,9</t>
  </si>
  <si>
    <t>PRD01584</t>
  </si>
  <si>
    <t>2395 X 625 X 1,2</t>
  </si>
  <si>
    <t>PRD01585</t>
  </si>
  <si>
    <t>TUBO ALFA 30 X 30 ENTALHE 1 LADO</t>
  </si>
  <si>
    <t>PRD01586</t>
  </si>
  <si>
    <t>EST1522506101-A4 CHAPA 1321 X 117,4 X 6,35</t>
  </si>
  <si>
    <t>PRD01587</t>
  </si>
  <si>
    <t>SERVICO #6,35 + #9,5</t>
  </si>
  <si>
    <t>PRD01588</t>
  </si>
  <si>
    <t>DISCO 120mm INOX #4,75</t>
  </si>
  <si>
    <t>PRD01589</t>
  </si>
  <si>
    <t>JP - M02 - CHAPA U  2094 X 484 X 2,0mm</t>
  </si>
  <si>
    <t>PRD01590</t>
  </si>
  <si>
    <t>JP - M02 - CHAPA U  2094 X 764 X 2,0mm</t>
  </si>
  <si>
    <t>PRD01591</t>
  </si>
  <si>
    <t>JP - MO7B - CHAPA DOBRADA 1876 X 554 X 2,0</t>
  </si>
  <si>
    <t>PRD01592</t>
  </si>
  <si>
    <t>JP - MJR01 - CHAPA DOBRADA U 1484 X 300 X 2,0</t>
  </si>
  <si>
    <t>PRD01593</t>
  </si>
  <si>
    <t>JP - MJR01 - CHAPA RETA 1500 X 370 X 2,0</t>
  </si>
  <si>
    <t>PRD01594</t>
  </si>
  <si>
    <t>JP - MJR01 - CHAPA DE ACO DOBRADA U 434 X 300 X 2,0mm</t>
  </si>
  <si>
    <t>PRD01595</t>
  </si>
  <si>
    <t>JP - MO7B - CHAPA DOBRADA 200 X 150 X 2,0</t>
  </si>
  <si>
    <t>PRD01596</t>
  </si>
  <si>
    <t>CANTONEIRA #4,75mm</t>
  </si>
  <si>
    <t>PRD01597</t>
  </si>
  <si>
    <t>CHAPA DOBRADA 300 X 85 X 85 X 6,35</t>
  </si>
  <si>
    <t>PRD01598</t>
  </si>
  <si>
    <t>3181830_Tubo Lateral Estrutura Superior P&amp;G0421P06-01 20x20 # 0.9mm</t>
  </si>
  <si>
    <t>PRD01599</t>
  </si>
  <si>
    <t>COLUNA 1740 X 140 X 30 X 4,75</t>
  </si>
  <si>
    <t>PRD01600</t>
  </si>
  <si>
    <t>MANCAL ANGULAR 1002 X 170 X 30 X 3,0</t>
  </si>
  <si>
    <t>PRD01601</t>
  </si>
  <si>
    <t>MANCAL ANGULAR 1002 X 120 X 50 X 25 X 3,0</t>
  </si>
  <si>
    <t>PRD01602</t>
  </si>
  <si>
    <t>MANCAL CHANFRADO 300 X 250 X 150 X 100 X 6,35</t>
  </si>
  <si>
    <t>PRD01603</t>
  </si>
  <si>
    <t>CANTONEIRA 80 X 100 X 80 X 174 3,0mm</t>
  </si>
  <si>
    <t>PRD01604</t>
  </si>
  <si>
    <t>CANTONEIRA 100 X 80 X 80 X 154  3,0mm</t>
  </si>
  <si>
    <t>PRD01605</t>
  </si>
  <si>
    <t>PERFIL L 940 X 80 X 85 X 3,18 - LOGO TRES EIXOS</t>
  </si>
  <si>
    <t>PRD01606</t>
  </si>
  <si>
    <t>DISCO 680 X 410 X 9,5mm</t>
  </si>
  <si>
    <t>PRD01607</t>
  </si>
  <si>
    <t>DISCO 1200 X 410 X 3,0mm</t>
  </si>
  <si>
    <t>PRD01608</t>
  </si>
  <si>
    <t>DISCO 340 X 205 X 9,5</t>
  </si>
  <si>
    <t>PRD01609</t>
  </si>
  <si>
    <t>DISCO 597 X 205 X 3,0</t>
  </si>
  <si>
    <t>PRD01610</t>
  </si>
  <si>
    <t>730.01-010-000-03 + 730-10.3</t>
  </si>
  <si>
    <t>PRD01611</t>
  </si>
  <si>
    <t>DISCO 205 X 79 X 3,0</t>
  </si>
  <si>
    <t>PRD01612</t>
  </si>
  <si>
    <t>DISCO 205 X 103 X 9,5</t>
  </si>
  <si>
    <t>PRD01613</t>
  </si>
  <si>
    <t>SUPORTE DE MOINHO- ORLANDO-REV</t>
  </si>
  <si>
    <t>PRD01614</t>
  </si>
  <si>
    <t>CHAPA DOBRADA 3000 X 749 X 4,75</t>
  </si>
  <si>
    <t>PRD01615</t>
  </si>
  <si>
    <t>CHAPA L  3000 X 842 X 4,75</t>
  </si>
  <si>
    <t>PRD01616</t>
  </si>
  <si>
    <t>TUBO 1960 X 80 X 120</t>
  </si>
  <si>
    <t>PRD01617</t>
  </si>
  <si>
    <t>SERVIÇO #9,5mm + CHAPA #12,7mm</t>
  </si>
  <si>
    <t>PRD01618</t>
  </si>
  <si>
    <t>1730468-1.2</t>
  </si>
  <si>
    <t>PRD01619</t>
  </si>
  <si>
    <t>3181836_Tubo cremalheira (PP) 25X25 2240MM</t>
  </si>
  <si>
    <t>PRD01620</t>
  </si>
  <si>
    <t>CONJ REGUAS INOX MONTADO</t>
  </si>
  <si>
    <t>PRD01621</t>
  </si>
  <si>
    <t>BASE 3000 X 405 X 4,75</t>
  </si>
  <si>
    <t>PRD01622</t>
  </si>
  <si>
    <t>DISCO 60mm x 3,0mm</t>
  </si>
  <si>
    <t>PRD01623</t>
  </si>
  <si>
    <t>CORPO 2mm 2x</t>
  </si>
  <si>
    <t>PRD01624</t>
  </si>
  <si>
    <t>TAMPA FRONTAL 2mm 2x</t>
  </si>
  <si>
    <t>PRD01625</t>
  </si>
  <si>
    <t>TAMPA LATERAL DIR 2mm 2x</t>
  </si>
  <si>
    <t>PRD01626</t>
  </si>
  <si>
    <t>TAMPA LATERAL ESQ 2mm 2x</t>
  </si>
  <si>
    <t>PRD01627</t>
  </si>
  <si>
    <t>TAMPAS LATERAIS 2mm 4x</t>
  </si>
  <si>
    <t>PRD01628</t>
  </si>
  <si>
    <t>CHAPA DOBRADA 900 X 235 X 20 1+1</t>
  </si>
  <si>
    <t>PRD01629</t>
  </si>
  <si>
    <t>CHAPA DOBRADA 983 X 318 X 20</t>
  </si>
  <si>
    <t>PRD01630</t>
  </si>
  <si>
    <t>CHAPA DOBRADA 837 X 172 X 20</t>
  </si>
  <si>
    <t>PRD01631</t>
  </si>
  <si>
    <t>_ Trecho reto de 320mm _ amostra CHAPA DOBRADA 120 X 30 X 16,2</t>
  </si>
  <si>
    <t>PRD01632</t>
  </si>
  <si>
    <t>_ Trecho reto de 320mm _ amostra PERFIL U 75 X 15 X 15 X 420</t>
  </si>
  <si>
    <t>PRD01633</t>
  </si>
  <si>
    <t>_ lateral de emenda PERFIL U 16,5 X 75 X 160</t>
  </si>
  <si>
    <t>PRD01634</t>
  </si>
  <si>
    <t>SUPORTE CONJUNTO - CHAPA PERFIL U 132 X 10 X 10 X 45</t>
  </si>
  <si>
    <t>PRD01635</t>
  </si>
  <si>
    <t>_ Tampa da emenda CHAPA DOBRADA 120 X 16,5 X 30 X 360</t>
  </si>
  <si>
    <t>PRD01636</t>
  </si>
  <si>
    <t>_ lateral de emenda PERFIL U 16,5 X 75 X 160 - 80UN</t>
  </si>
  <si>
    <t>PRD01637</t>
  </si>
  <si>
    <t>SUPORTE CONJUNTO - CHAPA PERFIL U 132 X 10 X 10 X 45 - 960UN</t>
  </si>
  <si>
    <t>PRD01638</t>
  </si>
  <si>
    <t>_ Tampa da emenda CHAPA DOBRADA 120 X 16,5 X 30 X 360 - 80UN</t>
  </si>
  <si>
    <t>PRD01639</t>
  </si>
  <si>
    <t>COTOVELO HORIZONTAL - CHAPA DOBRADA 120 X 30 X 16,5 X 760</t>
  </si>
  <si>
    <t>PRD01640</t>
  </si>
  <si>
    <t>COTOVELO HORIZONTAL - CHAPA DOBRADA 75 X 15 X 960</t>
  </si>
  <si>
    <t>PRD01641</t>
  </si>
  <si>
    <t>COTOVELO HORIZONTAL - CHAPA DOBRADA 75 X 15 X 720</t>
  </si>
  <si>
    <t>PRD01642</t>
  </si>
  <si>
    <t>_ Trecho reto de 3000mm - PERFIL U 15 X 75 X 2850</t>
  </si>
  <si>
    <t>PRD01643</t>
  </si>
  <si>
    <t>_ Trecho reto de 3000mm - CHAPA DOBRADA 120 X 30 X 16,5 X 2650</t>
  </si>
  <si>
    <t>PRD01644</t>
  </si>
  <si>
    <t>_ Trecho reto de 1000mm - CHAPA DOBRADA 120 X 30 X 16,2 X 640</t>
  </si>
  <si>
    <t>PRD01645</t>
  </si>
  <si>
    <t>_ Trecho reto de 1000mm - CHAPA DOBRADA 15 X 75 X 840</t>
  </si>
  <si>
    <t>PRD01646</t>
  </si>
  <si>
    <t>CAIXA 40 LITROS #3,0mm</t>
  </si>
  <si>
    <t>PRD01647</t>
  </si>
  <si>
    <t>BASE 900 X 191 X 4,75</t>
  </si>
  <si>
    <t>PRD01648</t>
  </si>
  <si>
    <t>CHAPA 400 X 50 X 6,35</t>
  </si>
  <si>
    <t>PRD01649</t>
  </si>
  <si>
    <t>Blank 001765</t>
  </si>
  <si>
    <t>PRD01650</t>
  </si>
  <si>
    <t>Blank 004215P04R2</t>
  </si>
  <si>
    <t>PRD01651</t>
  </si>
  <si>
    <t>Blank 024998</t>
  </si>
  <si>
    <t>PRD01652</t>
  </si>
  <si>
    <t>Blank 024999</t>
  </si>
  <si>
    <t>PRD01653</t>
  </si>
  <si>
    <t>Blank 025000</t>
  </si>
  <si>
    <t>PRD01654</t>
  </si>
  <si>
    <t>Blank 025011</t>
  </si>
  <si>
    <t>PRD01655</t>
  </si>
  <si>
    <t>Blank 025033</t>
  </si>
  <si>
    <t>PRD01656</t>
  </si>
  <si>
    <t>Blank 025034</t>
  </si>
  <si>
    <t>PRD01657</t>
  </si>
  <si>
    <t>Blank 025035</t>
  </si>
  <si>
    <t>PRD01658</t>
  </si>
  <si>
    <t>Blank 025036</t>
  </si>
  <si>
    <t>PRD01659</t>
  </si>
  <si>
    <t>Blank 024456</t>
  </si>
  <si>
    <t>PRD01660</t>
  </si>
  <si>
    <t>CHAPA DOBRADA #6,35 - LOGO TRES EIXO - 1350 mm</t>
  </si>
  <si>
    <t>PRD01661</t>
  </si>
  <si>
    <t>CHAPA DOBRADA LOGO HULK #6,35mm x 1070mm</t>
  </si>
  <si>
    <t>PRD01662</t>
  </si>
  <si>
    <t>SERVIÇO CONJ COBRE #6,35mm CORTE + FURAÇÃO + DOBRA</t>
  </si>
  <si>
    <t>PRD01663</t>
  </si>
  <si>
    <t>CONJ CORTE Letra caixa_fachada_ + TIRAS 70mm x 3000 #1,2mm</t>
  </si>
  <si>
    <t>PRD01664</t>
  </si>
  <si>
    <t>CHAPA PROT DOBRADA #1,8mm</t>
  </si>
  <si>
    <t>PRD01665</t>
  </si>
  <si>
    <t>CHAPA PROT DOBRADA #1,2mm</t>
  </si>
  <si>
    <t>PRD01666</t>
  </si>
  <si>
    <t>CHAPA PROT DOBRADA #1,8mm LE + LD</t>
  </si>
  <si>
    <t>PRD01667</t>
  </si>
  <si>
    <t>CHAPA PROT DOBRADA #1,2mm LE</t>
  </si>
  <si>
    <t>PRD01668</t>
  </si>
  <si>
    <t>CHAPA RECORTADA 2040 X 598 X 1,2mm</t>
  </si>
  <si>
    <t>PRD01669</t>
  </si>
  <si>
    <t>CHAPA RECORTADA 2040 X 568 X 1,2mm</t>
  </si>
  <si>
    <t>PRD01670</t>
  </si>
  <si>
    <t>ANEL 368mm X 342 X 354 X 8,0mm</t>
  </si>
  <si>
    <t>PRD01671</t>
  </si>
  <si>
    <t>ANEL 368mm x 354 X 322 X 8,0mm</t>
  </si>
  <si>
    <t>PRD01672</t>
  </si>
  <si>
    <t>CHAPA 8,0mm</t>
  </si>
  <si>
    <t>PRD01673</t>
  </si>
  <si>
    <t>CHAPA 12,7mm</t>
  </si>
  <si>
    <t>PRD01674</t>
  </si>
  <si>
    <t>CHAPA 50 X 32 X 6,35</t>
  </si>
  <si>
    <t>PRD01675</t>
  </si>
  <si>
    <t>SUPORTE 750 X 50 X 500 - SOS</t>
  </si>
  <si>
    <t>PRD01676</t>
  </si>
  <si>
    <t>PERFIL U 150 X 40 X 40 X 2200 X 4,75</t>
  </si>
  <si>
    <t>PRD01677</t>
  </si>
  <si>
    <t>PERFIL U 160 X 50 X 50 X 6,35</t>
  </si>
  <si>
    <t>PRD01678</t>
  </si>
  <si>
    <t>PERFIL U 68 X 20 X 20 X 1000 X 4,75</t>
  </si>
  <si>
    <t>PRD01679</t>
  </si>
  <si>
    <t>PERFIL U 100 X 80 X 100 X 700 X 4,75</t>
  </si>
  <si>
    <t>PRD01680</t>
  </si>
  <si>
    <t>PERFIL U 20 X 20 X 68 X 700 X 4,75</t>
  </si>
  <si>
    <t>PRD01681</t>
  </si>
  <si>
    <t>PERFIL U 105 X 125 X 125 X 900 X 6,35</t>
  </si>
  <si>
    <t>PRD01682</t>
  </si>
  <si>
    <t>MANCAL 260 X 110 X 110 X 120 X 6,35</t>
  </si>
  <si>
    <t>PRD01683</t>
  </si>
  <si>
    <t>PERFIL U 160 X 50 X 50 X 300 X 6,35</t>
  </si>
  <si>
    <t>PRD01684</t>
  </si>
  <si>
    <t>PERFIL U 160 X 50 X 50 X 350 x 6,35</t>
  </si>
  <si>
    <t>PRD01685</t>
  </si>
  <si>
    <t>PERFIL U 80 X 100 X 100 X 4,75 X 1000</t>
  </si>
  <si>
    <t>PRD01686</t>
  </si>
  <si>
    <t>CHAPA RETA 350 X 75 X 4,75</t>
  </si>
  <si>
    <t>PRD01687</t>
  </si>
  <si>
    <t>PERFIL U FURADO 2930 X 40 X 150 X 40 X 4,75</t>
  </si>
  <si>
    <t>PRD01688</t>
  </si>
  <si>
    <t>PERFIL U 260 X 110 X 110 X 120 X 6,35</t>
  </si>
  <si>
    <t>PRD01689</t>
  </si>
  <si>
    <t>3181890_Dy CROSS Lagunitas_chapa bandeja  # 1.20mm</t>
  </si>
  <si>
    <t>PRD01690</t>
  </si>
  <si>
    <t>3181891_Dy CROSS Lagunitas_chapa expandida  9x20mm</t>
  </si>
  <si>
    <t>PRD01691</t>
  </si>
  <si>
    <t>3181892_Dy CROSS Lagunitas_chapa expandida  9x20mm</t>
  </si>
  <si>
    <t>PRD01692</t>
  </si>
  <si>
    <t>3181537_P&amp;G0451 ILHA DE BELEZA - FY2425_Montante 50x30mm-entalhe 1 lado_E</t>
  </si>
  <si>
    <t>PRD01693</t>
  </si>
  <si>
    <t>3181538_P&amp;G0451 ILHA DE BELEZA - FY2425_Montante 50x30mm-entalhe 1 lado_D</t>
  </si>
  <si>
    <t>PRD01694</t>
  </si>
  <si>
    <t>3181539_P&amp;G0451 ILHA DE BELEZA - FY2425_Montante 50x30mm-entalhe 2 lados</t>
  </si>
  <si>
    <t>PRD01695</t>
  </si>
  <si>
    <t>TAMPA INOX #0,8mm</t>
  </si>
  <si>
    <t>PRD01696</t>
  </si>
  <si>
    <t>CORPO INOX #0,8mm</t>
  </si>
  <si>
    <t>PRD01697</t>
  </si>
  <si>
    <t>BASE INOX #0,8mm</t>
  </si>
  <si>
    <t>PRD01698</t>
  </si>
  <si>
    <t>PERFIL INOX #0,8mm</t>
  </si>
  <si>
    <t>PRD01699</t>
  </si>
  <si>
    <t>Base-Link - CONJ ALUMINIO SOLDADO - 5UN</t>
  </si>
  <si>
    <t>PRD01700</t>
  </si>
  <si>
    <t>Hip-Link - PECA DOBRADA #3,0mm - 5UN</t>
  </si>
  <si>
    <t>PRD01701</t>
  </si>
  <si>
    <t>PERFIL 20 X 150 X 3000 X 2,0 (INOX)</t>
  </si>
  <si>
    <t>PRD01702</t>
  </si>
  <si>
    <t>PERFIL 20 X 150 X 3000 X 2,65 (AÇO CARBONO)</t>
  </si>
  <si>
    <t>PRD01703</t>
  </si>
  <si>
    <t>PERFIL 20 X 150 X 2000 X 2,0 (INOX)</t>
  </si>
  <si>
    <t>PRD01704</t>
  </si>
  <si>
    <t>PERFIL 20 X 150 X 2000 X 2,65 (AÇO CARBONO)</t>
  </si>
  <si>
    <t>PRD01705</t>
  </si>
  <si>
    <t>PERFIL 20 X 150 X 1000 X 2,0 (INOX)</t>
  </si>
  <si>
    <t>PRD01706</t>
  </si>
  <si>
    <t>PERFIL 20 X 150 X 1000 X 2,65 (AÇO CARBONO)</t>
  </si>
  <si>
    <t>PRD01707</t>
  </si>
  <si>
    <t>PERFIL 20 X 150 X 500 X 2,0 (INOX)</t>
  </si>
  <si>
    <t>PRD01708</t>
  </si>
  <si>
    <t>PERFIL 20 X 150 X 500 X 2,65 (AÇO CARBONO)</t>
  </si>
  <si>
    <t>PRD01709</t>
  </si>
  <si>
    <t>CHAPA GALVANIZADA C ZINCO 3000 X 1200 X 0,8mm</t>
  </si>
  <si>
    <t>PRD01710</t>
  </si>
  <si>
    <t>CHAPA 250 X 250 X 12,7mm</t>
  </si>
  <si>
    <t>PRD01711</t>
  </si>
  <si>
    <t>CHAPA 120 X 100 X 9,5</t>
  </si>
  <si>
    <t>PRD01712</t>
  </si>
  <si>
    <t>CHAPA DOBRADA 20 X 20 X 200 X 600</t>
  </si>
  <si>
    <t>PRD01713</t>
  </si>
  <si>
    <t>CHAPA DOBRADA 20 X 20 X 800 X 2,0mm</t>
  </si>
  <si>
    <t>PRD01714</t>
  </si>
  <si>
    <t>CHAPA RETA 280 X 240 X 6,35</t>
  </si>
  <si>
    <t>PRD01715</t>
  </si>
  <si>
    <t>CHAPA CORTADA #8,0mm</t>
  </si>
  <si>
    <t>PRD01716</t>
  </si>
  <si>
    <t>PECA - 1  150 X 140 X 6,35</t>
  </si>
  <si>
    <t>PRD01717</t>
  </si>
  <si>
    <t>PECA 2 - 116 X 86 X 6,35</t>
  </si>
  <si>
    <t>PRD01718</t>
  </si>
  <si>
    <t>PECA 3 - 350 X 200 X 12,7</t>
  </si>
  <si>
    <t>PRD01719</t>
  </si>
  <si>
    <t>CHAPA 3000 X 38 X 4,75</t>
  </si>
  <si>
    <t>PRD01720</t>
  </si>
  <si>
    <t>_Luminoso AMSTEL_corte laser chapa # 2,25mm</t>
  </si>
  <si>
    <t>PRD01721</t>
  </si>
  <si>
    <t>_Flange AMSTEL_corte laser chapa # 2,25mm</t>
  </si>
  <si>
    <t>PRD01722</t>
  </si>
  <si>
    <t>CHAPA 1319 X 117 X 6,35</t>
  </si>
  <si>
    <t>PRD01723</t>
  </si>
  <si>
    <t>PEÇA 07 -  3MM 6X</t>
  </si>
  <si>
    <t>PRD01724</t>
  </si>
  <si>
    <t>PEÇA 06 - 4,7MM 12X</t>
  </si>
  <si>
    <t>PRD01725</t>
  </si>
  <si>
    <t>PEÇA 02 - 6,4MM 1X</t>
  </si>
  <si>
    <t>PRD01726</t>
  </si>
  <si>
    <t>PEÇA 03 - 6,4MM 12X</t>
  </si>
  <si>
    <t>PRD01727</t>
  </si>
  <si>
    <t>PEÇA 04 - 6,4MM 6X</t>
  </si>
  <si>
    <t>PRD01728</t>
  </si>
  <si>
    <t>PEÇA 05-1 - 6,4MM 6X</t>
  </si>
  <si>
    <t>PRD01729</t>
  </si>
  <si>
    <t>3181561_chapa quadro Eisenbahn # 1,20mm</t>
  </si>
  <si>
    <t>PRD01730</t>
  </si>
  <si>
    <t>MANCAL 150 X 140 X 8,0mm</t>
  </si>
  <si>
    <t>PRD01731</t>
  </si>
  <si>
    <t>RETRABALHO CONJ FLANGE + LUMINOSO #2,25mm</t>
  </si>
  <si>
    <t>PRD01732</t>
  </si>
  <si>
    <t>PERFIL L #3,0mm - RIBATEC</t>
  </si>
  <si>
    <t>PRD01733</t>
  </si>
  <si>
    <t>CHAPA FURADA 50 X 50 X 6,35</t>
  </si>
  <si>
    <t>PRD01734</t>
  </si>
  <si>
    <t>CHAPA FURADA 120 X 76 X 6,35</t>
  </si>
  <si>
    <t>PRD01735</t>
  </si>
  <si>
    <t>3181544_P&amp;G0451_ILHA DE BELEZA - FY2425_Base Venus # 0,9mm</t>
  </si>
  <si>
    <t>PRD01736</t>
  </si>
  <si>
    <t>3181546_P&amp;G0451_ILHA DE BELEZA - FY2425_Base Pantene Menor # 0,9mm</t>
  </si>
  <si>
    <t>PRD01737</t>
  </si>
  <si>
    <t>MANCAL 120 X 120 X 125 X 6,35</t>
  </si>
  <si>
    <t>PRD01738</t>
  </si>
  <si>
    <t>MANCAL 100 X 120 X 125 X 6,35</t>
  </si>
  <si>
    <t>PRD01739</t>
  </si>
  <si>
    <t>PERFIL U 60 X 60 X 100 X 700 X 6,35</t>
  </si>
  <si>
    <t>PRD01740</t>
  </si>
  <si>
    <t>MANCAL 120 X 120 X 260 X 6,35</t>
  </si>
  <si>
    <t>PRD01741</t>
  </si>
  <si>
    <t>CORTE INOX - GILMAR</t>
  </si>
  <si>
    <t>PRD01742</t>
  </si>
  <si>
    <t>CORTE CHAPA #3,0mm</t>
  </si>
  <si>
    <t>PRD01743</t>
  </si>
  <si>
    <t>CHAPA 750 X 11 X 1,5   - ALUMINIO LISO</t>
  </si>
  <si>
    <t>PRD01744</t>
  </si>
  <si>
    <t>CHAPA 1050 X 11 X 1,5 - ALUMINIO LISO</t>
  </si>
  <si>
    <t>PRD01745</t>
  </si>
  <si>
    <t>CHAPA 1300 X 18 X 1,5 - ALUMINIO LISO</t>
  </si>
  <si>
    <t>PRD01746</t>
  </si>
  <si>
    <t>CHAPA 1300 X  24 X 1,5  - ALUMINIO LISO</t>
  </si>
  <si>
    <t>PRD01747</t>
  </si>
  <si>
    <t>CANTONEIRA 1260 X 50 X 33 X 3,0mm</t>
  </si>
  <si>
    <t>PRD01748</t>
  </si>
  <si>
    <t>F ML X 25 79 - Para Choque parte Metálica CDE</t>
  </si>
  <si>
    <t>PRD01749</t>
  </si>
  <si>
    <t>F ML X 25 69 ¿¿¿ Cobertura Para Lama</t>
  </si>
  <si>
    <t>PRD01750</t>
  </si>
  <si>
    <t>NFB ¿¿¿ RAD0436 - GRADE FRONTAL NFB</t>
  </si>
  <si>
    <t>PRD01751</t>
  </si>
  <si>
    <t>000-00-01  - CONJ SOLDADO JA INCLUSO BASE #16mm</t>
  </si>
  <si>
    <t>PRD01752</t>
  </si>
  <si>
    <t>BASE 410  X 150 X 12,7mm</t>
  </si>
  <si>
    <t>PRD01753</t>
  </si>
  <si>
    <t>CHAPA 410 X 190 X 16,0</t>
  </si>
  <si>
    <t>PRD01754</t>
  </si>
  <si>
    <t>CHAPA 1950  X 24 X 1,5 - ALUMINIO LISO</t>
  </si>
  <si>
    <t>PRD01755</t>
  </si>
  <si>
    <t>3181542_P&amp;G0451_ILHA DE BELEZA - FY2425_Base Ponta Pantene # 0,9mm</t>
  </si>
  <si>
    <t>PRD01756</t>
  </si>
  <si>
    <t>3181545_P&amp;G0451_ILHA DE BELEZA - FY2425_Base Always # 0,9mm</t>
  </si>
  <si>
    <t>PRD01757</t>
  </si>
  <si>
    <t>2855-10-60.44 REV1 (1)</t>
  </si>
  <si>
    <t>PRD01758</t>
  </si>
  <si>
    <t>2855-10-70.44 (1)</t>
  </si>
  <si>
    <t>PRD01759</t>
  </si>
  <si>
    <t>2855-10-80.3 (1)</t>
  </si>
  <si>
    <t>PRD01760</t>
  </si>
  <si>
    <t>2856-40-20.44 REV1 (1)</t>
  </si>
  <si>
    <t>PRD01761</t>
  </si>
  <si>
    <t>2856-40-30.44 (1)</t>
  </si>
  <si>
    <t>PRD01762</t>
  </si>
  <si>
    <t>CHAPA 150 X 150 X 8,0mm</t>
  </si>
  <si>
    <t>PRD01763</t>
  </si>
  <si>
    <t>CHAPA 230 X 100 X 6,35</t>
  </si>
  <si>
    <t>PRD01764</t>
  </si>
  <si>
    <t>corpo tanque 2mm 1x</t>
  </si>
  <si>
    <t>PRD01765</t>
  </si>
  <si>
    <t>lateral furada 2mm 1x</t>
  </si>
  <si>
    <t>PRD01766</t>
  </si>
  <si>
    <t>lateral lisa 2mm 1x</t>
  </si>
  <si>
    <t>PRD01767</t>
  </si>
  <si>
    <t>pe 2mm 4x</t>
  </si>
  <si>
    <t>PRD01768</t>
  </si>
  <si>
    <t>pescoco 2mm 1x</t>
  </si>
  <si>
    <t>PRD01769</t>
  </si>
  <si>
    <t>protecao regua de nivel 2mm 1x</t>
  </si>
  <si>
    <t>PRD01770</t>
  </si>
  <si>
    <t>suporte placa instalprime 2mm 1x</t>
  </si>
  <si>
    <t>PRD01771</t>
  </si>
  <si>
    <t>tampa boca 2mm 1x</t>
  </si>
  <si>
    <t>PRD01772</t>
  </si>
  <si>
    <t>trava pé front 2mm 2x</t>
  </si>
  <si>
    <t>PRD01773</t>
  </si>
  <si>
    <t>trava pé lat 2mm 2x</t>
  </si>
  <si>
    <t>PRD01774</t>
  </si>
  <si>
    <t>flange boca 5mm 4x</t>
  </si>
  <si>
    <t>PRD01775</t>
  </si>
  <si>
    <t>CHAPA DOBRADA 860 X 902 X 80 X 40</t>
  </si>
  <si>
    <t>PRD01776</t>
  </si>
  <si>
    <t>CHAPA FURADA 24 X 15 X 0,8</t>
  </si>
  <si>
    <t>PRD01777</t>
  </si>
  <si>
    <t>ENRIJERCEDORES W410X46,1</t>
  </si>
  <si>
    <t>PRD01778</t>
  </si>
  <si>
    <t>ENRIJERCEDORES W310X32,7</t>
  </si>
  <si>
    <t>PRD01779</t>
  </si>
  <si>
    <t>ENRIJERCEDORES W200X22,5</t>
  </si>
  <si>
    <t>PRD01780</t>
  </si>
  <si>
    <t>CHAPA MFC 01 A36 1/4" X 60 X 240</t>
  </si>
  <si>
    <t>PRD01781</t>
  </si>
  <si>
    <t>CHAPA MFC 02 A36 1/4" 60 X 190</t>
  </si>
  <si>
    <t>PRD01782</t>
  </si>
  <si>
    <t>CHAPA MFC 03 A36 1/4" 60 X 110</t>
  </si>
  <si>
    <t>PRD01783</t>
  </si>
  <si>
    <t>CHAPA MFC 04 A36 1/4"60 X 60</t>
  </si>
  <si>
    <t>PRD01784</t>
  </si>
  <si>
    <t>CHAPA MFC 05 A36 1/4" 60 X 150</t>
  </si>
  <si>
    <t>PRD01785</t>
  </si>
  <si>
    <t>MISULA T6, T7 ,T8, T9, T10 X 1/2"</t>
  </si>
  <si>
    <t>PRD01786</t>
  </si>
  <si>
    <t>SUPORTE DE TERSA A36 1/4" X 140 X 140</t>
  </si>
  <si>
    <t>PRD01787</t>
  </si>
  <si>
    <t>SUPORTE DE TERSA 02 A36 1/4" X 100 X 140</t>
  </si>
  <si>
    <t>PRD01788</t>
  </si>
  <si>
    <t>NERVURA SUPORTE DE TERSA</t>
  </si>
  <si>
    <t>PRD01789</t>
  </si>
  <si>
    <t>REFORCO TESOURAS</t>
  </si>
  <si>
    <t>PRD01790</t>
  </si>
  <si>
    <t>REFORCO TESOURAS A36 3/8" X 140  2020</t>
  </si>
  <si>
    <t>PRD01791</t>
  </si>
  <si>
    <t>CHAPA LATERAL TESOURAS A36 1/2" X 140 X 410</t>
  </si>
  <si>
    <t>PRD01792</t>
  </si>
  <si>
    <t>CHAPA DE FECHAMENTO BASE TESOURA A36 1/2" 160 X 400</t>
  </si>
  <si>
    <t>PRD01793</t>
  </si>
  <si>
    <t>CHAPA DE FECHAMENTO W200 X 22,5 A36 3/8" X 100 X 200</t>
  </si>
  <si>
    <t>PRD01794</t>
  </si>
  <si>
    <t>CANTONEIRA 640 X 60 X 60 X 4,75</t>
  </si>
  <si>
    <t>PRD01795</t>
  </si>
  <si>
    <t>CHAPA FURADA 130 X 50 X 4,75</t>
  </si>
  <si>
    <t>PRD01796</t>
  </si>
  <si>
    <t>CONJ DOBRADO - 3 PÇS</t>
  </si>
  <si>
    <t>PRD01797</t>
  </si>
  <si>
    <t>CONJ CHAPA DOBRADA + DISCO #12,7</t>
  </si>
  <si>
    <t>PRD01798</t>
  </si>
  <si>
    <t>CAIXA M3 - #1,2mm</t>
  </si>
  <si>
    <t>PRD01799</t>
  </si>
  <si>
    <t>3181547_P&amp;G0451_ILHA DE BELEZA - FY2425_Piso Base VENUS P&amp;G0451MP23-00 # 0,6mm</t>
  </si>
  <si>
    <t>PRD01800</t>
  </si>
  <si>
    <t>3181548_P&amp;G0451_ILHA DE BELEZA - FY2425_Piso Acabamento Pantene P&amp;G0451P110-00 # 0,6mm</t>
  </si>
  <si>
    <t>PRD01801</t>
  </si>
  <si>
    <t>3181549_P&amp;G0451_ILHA DE BELEZA - FY2425_Piso Acabamento ALWAYS  P&amp;G0451P75-00 # 0,6mm</t>
  </si>
  <si>
    <t>PRD01802</t>
  </si>
  <si>
    <t>3181552 LD _P&amp;G0451_ILHA DE BELEZA - FY2425_Piso Acabamento Pantene P&amp;G0451P107-00 # 0,6mm</t>
  </si>
  <si>
    <t>PRD01803</t>
  </si>
  <si>
    <t>3181552 LE _P&amp;G0451_ILHA DE BELEZA - FY2425_Piso Acabamento Pantene P&amp;G0451P107-00 # 0,6mm</t>
  </si>
  <si>
    <t>PRD01804</t>
  </si>
  <si>
    <t>3181811_Mão Francesa P Cremalheira 40cm #1,9mm</t>
  </si>
  <si>
    <t>PRD01805</t>
  </si>
  <si>
    <t>3181541_P&amp;G0451 ILHA DE BELEZA - FY2425_Glorifier 3 mascaras #0,75mm</t>
  </si>
  <si>
    <t>PRD01806</t>
  </si>
  <si>
    <t>CHAPA FURADA 30 X 15 X 1,0mm - ALUMINIO LISO</t>
  </si>
  <si>
    <t>PRD01807</t>
  </si>
  <si>
    <t>CHAPA FURADA 50 X 15 X 1,0mm - ALUMINIO LISO</t>
  </si>
  <si>
    <t>PRD01808</t>
  </si>
  <si>
    <t>CHAPA FURADA 60 X 15 X 1,0mm - ALUMINIO LISO</t>
  </si>
  <si>
    <t>PRD01809</t>
  </si>
  <si>
    <t>CHAPA 400 X 150 X 12,7</t>
  </si>
  <si>
    <t>PRD01810</t>
  </si>
  <si>
    <t>CHAPA FURADA INOX #2,0mm - 300 x 300</t>
  </si>
  <si>
    <t>PRD01811</t>
  </si>
  <si>
    <t>CHAPA 60 X 60 X 4,75</t>
  </si>
  <si>
    <t>PRD01812</t>
  </si>
  <si>
    <t>QUADRO 550 X 380 X 2,0mm</t>
  </si>
  <si>
    <t>PRD01813</t>
  </si>
  <si>
    <t>CORTADOR DE DOCE</t>
  </si>
  <si>
    <t>PRD01814</t>
  </si>
  <si>
    <t>CORTADOR DE PASTEL #2,5mm</t>
  </si>
  <si>
    <t>PRD01815</t>
  </si>
  <si>
    <t>TIRA 50mm - ALUMINIO</t>
  </si>
  <si>
    <t>PRD01816</t>
  </si>
  <si>
    <t>01-Perfil de fechamento Inferior e Superior_</t>
  </si>
  <si>
    <t>PRD01817</t>
  </si>
  <si>
    <t>01-Suporte Intermediario - 1250A_ #2,0mm</t>
  </si>
  <si>
    <t>PRD01818</t>
  </si>
  <si>
    <t>01-Tampa de Superio e Inferior - 1250A</t>
  </si>
  <si>
    <t>PRD01819</t>
  </si>
  <si>
    <t>01-Tampa de Superio e Inferior - 2000A</t>
  </si>
  <si>
    <t>PRD01820</t>
  </si>
  <si>
    <t>01-Tampa de Superio e Inferior - 3000A_</t>
  </si>
  <si>
    <t>PRD01821</t>
  </si>
  <si>
    <t>01-Tampa Trecho Reto Ventilado 1600A a 2500A- 3000_</t>
  </si>
  <si>
    <t>PRD01822</t>
  </si>
  <si>
    <t>01-Tampa Trecho Reto Ventilado 3000A a 3500A - 3000_</t>
  </si>
  <si>
    <t>PRD01823</t>
  </si>
  <si>
    <t>02-Perfil Lateral - 3000 - 1250A_</t>
  </si>
  <si>
    <t>PRD01824</t>
  </si>
  <si>
    <t>02-Perfil Lateral A - 1250A</t>
  </si>
  <si>
    <t>PRD01825</t>
  </si>
  <si>
    <t>02-Perfil Lateral_</t>
  </si>
  <si>
    <t>PRD01826</t>
  </si>
  <si>
    <t>03-Perfil Lateral B - 1250A</t>
  </si>
  <si>
    <t>PRD01827</t>
  </si>
  <si>
    <t>01-Tampa Trecho Reto Ventilado - 630A a 1600A_</t>
  </si>
  <si>
    <t>PRD01828</t>
  </si>
  <si>
    <t>TIRA 1258 X 65 X 3,0mm</t>
  </si>
  <si>
    <t>PRD01829</t>
  </si>
  <si>
    <t>CORTA FOGO #2,0mm</t>
  </si>
  <si>
    <t>PRD01830</t>
  </si>
  <si>
    <t>FRETE TUBA</t>
  </si>
  <si>
    <t>PRD01831</t>
  </si>
  <si>
    <t>DISCO Ø258 X Ø55mm x 9,5mm</t>
  </si>
  <si>
    <t>PRD01832</t>
  </si>
  <si>
    <t>DISCO Ø188 X Ø45mm x 9,5mm</t>
  </si>
  <si>
    <t>PRD01833</t>
  </si>
  <si>
    <t>DISCO Ø250 X Ø55mm x 12,7mm</t>
  </si>
  <si>
    <t>PRD01834</t>
  </si>
  <si>
    <t>DISCO Ø70mm x Ø18mm x 9,5mm</t>
  </si>
  <si>
    <t>PRD01835</t>
  </si>
  <si>
    <t>MANCAL FURADO #12,7mm</t>
  </si>
  <si>
    <t>PRD01836</t>
  </si>
  <si>
    <t>MANCAL #12,7mm - 1</t>
  </si>
  <si>
    <t>PRD01837</t>
  </si>
  <si>
    <t>ARRUELA MENOR #4,75(2x)</t>
  </si>
  <si>
    <t>PRD01838</t>
  </si>
  <si>
    <t>ARRUELA MANCAL #6,35mm (2x)</t>
  </si>
  <si>
    <t>PRD01839</t>
  </si>
  <si>
    <t>3181570_P&amp;G0462_TERMINAL GPVOH C&amp;C W2 PFMOT FY2425 basemenor</t>
  </si>
  <si>
    <t>PRD01840</t>
  </si>
  <si>
    <t>3181571_P&amp;G0462_TERMINAL GPVOH C&amp;C W2 PFMOT FY2425 meio</t>
  </si>
  <si>
    <t>PRD01841</t>
  </si>
  <si>
    <t>KIT CILINDRO COMPLETO LE + LD #4,75mm</t>
  </si>
  <si>
    <t>PRD01842</t>
  </si>
  <si>
    <t>KIT DIVISORIA COMPLETO #4,75mm</t>
  </si>
  <si>
    <t>PRD01843</t>
  </si>
  <si>
    <t>CHAPA DOBRADA #3,0mm - vettore</t>
  </si>
  <si>
    <t>PRD01844</t>
  </si>
  <si>
    <t>CHAPA 1500 X 207 X 4,75</t>
  </si>
  <si>
    <t>PRD01845</t>
  </si>
  <si>
    <t>CHAPA DOBRADA "L" 13,5 X 1595,5 X 13,5 X 2,0mm</t>
  </si>
  <si>
    <t>PRD01846</t>
  </si>
  <si>
    <t>BASE CARRO CREMALHEIRA #12,7mm</t>
  </si>
  <si>
    <t>PRD01847</t>
  </si>
  <si>
    <t>BANDEJA DOBRADA INOX</t>
  </si>
  <si>
    <t>PRD01848</t>
  </si>
  <si>
    <t>CHAPA 250 X 200 X 12,7mm</t>
  </si>
  <si>
    <t>PRD01849</t>
  </si>
  <si>
    <t>CHAPA 250 X 200 X 8,0mm</t>
  </si>
  <si>
    <t>PRD01850</t>
  </si>
  <si>
    <t>CHAPA PROT DOBRADA #1,2mm LD</t>
  </si>
  <si>
    <t>PRD01851</t>
  </si>
  <si>
    <t>SERVBIÇO CORTE + DOBRA CHAPAS #1,0 + #8,0mm</t>
  </si>
  <si>
    <t>PRD01852</t>
  </si>
  <si>
    <t>TAMPA LISA 3mm 10x</t>
  </si>
  <si>
    <t>PRD01853</t>
  </si>
  <si>
    <t>CONJ MOLDURAS + CHAPAS #3,0mm</t>
  </si>
  <si>
    <t>PRD01854</t>
  </si>
  <si>
    <t>CHAPA PERFURADA 810 X 405</t>
  </si>
  <si>
    <t>PRD01855</t>
  </si>
  <si>
    <t>01-Suporte Intermediario - 1600A_ barra 180 e 160mm</t>
  </si>
  <si>
    <t>PRD01856</t>
  </si>
  <si>
    <t>CE-75-60 - esp 4,75 - 40 peças</t>
  </si>
  <si>
    <t>PRD01857</t>
  </si>
  <si>
    <t>CE-85-40-espessura 3,18 - 40 peças</t>
  </si>
  <si>
    <t>PRD01858</t>
  </si>
  <si>
    <t>CF-75-318 ESP;3,18 - 360pçs</t>
  </si>
  <si>
    <t>PRD01859</t>
  </si>
  <si>
    <t>CF-75-475-espessura 4,76 - 150 peças</t>
  </si>
  <si>
    <t>PRD01860</t>
  </si>
  <si>
    <t>CHAPA DE EMENDA ESP;4,75 - 40pçs</t>
  </si>
  <si>
    <t>PRD01861</t>
  </si>
  <si>
    <t>CP-75-265 ESP;2,65 - 180pçs</t>
  </si>
  <si>
    <t>PRD01862</t>
  </si>
  <si>
    <t>CR-75-100-200 - espessura 2,0 - 16 peças</t>
  </si>
  <si>
    <t>PRD01863</t>
  </si>
  <si>
    <t>CR-75-100-265 ESP;2,65 - 180pçs</t>
  </si>
  <si>
    <t>PRD01864</t>
  </si>
  <si>
    <t>PI-3511.25-0110 ESP;4,75 - 04pçs</t>
  </si>
  <si>
    <t>PRD01865</t>
  </si>
  <si>
    <t>PI-3511.25-0220 ESP;2,0 - 04pçs</t>
  </si>
  <si>
    <t>PRD01866</t>
  </si>
  <si>
    <t>PI-3511.25-0230 ESP;2,0 - 08pçs</t>
  </si>
  <si>
    <t>PRD01867</t>
  </si>
  <si>
    <t>PI-3511.25-0270 ESP;4,75 - 08pçs</t>
  </si>
  <si>
    <t>PRD01868</t>
  </si>
  <si>
    <t>PI-3511.25-0310 ESP;2,0 - 04pçs</t>
  </si>
  <si>
    <t>PRD01869</t>
  </si>
  <si>
    <t>PI-3511.25-0320 ESP;2,0 - 08pçs</t>
  </si>
  <si>
    <t>PRD01870</t>
  </si>
  <si>
    <t>PI-3511.25-0610 ESP;2,0 - 04pçs</t>
  </si>
  <si>
    <t>PRD01871</t>
  </si>
  <si>
    <t>PI-3511.25-0620 ESP;2,0 - 04pçs</t>
  </si>
  <si>
    <t>PRD01872</t>
  </si>
  <si>
    <t>PI-3511.25-0630 ESP;2,0 - 04pçs</t>
  </si>
  <si>
    <t>PRD01873</t>
  </si>
  <si>
    <t>PI-3534.25-1111 ESP; 2,0 - 30pçs</t>
  </si>
  <si>
    <t>PRD01874</t>
  </si>
  <si>
    <t>PI-3534.25-1200 ESP; 4,76 - 90pçs</t>
  </si>
  <si>
    <t>PRD01875</t>
  </si>
  <si>
    <t>PI-3534.25-1300 ESP;4,75 - 90pçs</t>
  </si>
  <si>
    <t>PRD01876</t>
  </si>
  <si>
    <t>PI-3534.25-CPE.1 ESP;3,18 - 20pçs</t>
  </si>
  <si>
    <t>PRD01877</t>
  </si>
  <si>
    <t>PI-3534.25-CPE.2 ESP;3,18 - 20pçs</t>
  </si>
  <si>
    <t>PRD01878</t>
  </si>
  <si>
    <t>PI-3511.25-0210 ESP;4,75 - 04pçs</t>
  </si>
  <si>
    <t>PRD01879</t>
  </si>
  <si>
    <t>RUFO DE PAREDE ITEM 01- DIVIDIDO EM 3 PECAS</t>
  </si>
  <si>
    <t>PRD01880</t>
  </si>
  <si>
    <t>RUFO DE PAREDE ITEM 02</t>
  </si>
  <si>
    <t>PRD01881</t>
  </si>
  <si>
    <t>RUFO DE PAREDE ITEM 03 - DIVIDIDO EM 2 PECAS</t>
  </si>
  <si>
    <t>PRD01882</t>
  </si>
  <si>
    <t>RUFO DE PAREDE ITEM 04 - DIVIDIDO EM 4 PECAS</t>
  </si>
  <si>
    <t>PRD01883</t>
  </si>
  <si>
    <t>RUFO DE PAREDE ITEM 05 - DIVIDIDO EM 3 PECAS</t>
  </si>
  <si>
    <t>PRD01884</t>
  </si>
  <si>
    <t>RUFO DE PAREDE ITEM 06 - DIVIDIDO EM 2 PECAS</t>
  </si>
  <si>
    <t>PRD01885</t>
  </si>
  <si>
    <t>RUFO DE PAREDE ITEM 07 - 47m linear - DIVIDIDO EM 17 PECAS</t>
  </si>
  <si>
    <t>PRD01886</t>
  </si>
  <si>
    <t>RUFO DE PAREDE ITEM 08 - DIVIDIDO EM 3 PECAS</t>
  </si>
  <si>
    <t>PRD01887</t>
  </si>
  <si>
    <t>RUFO DE PAREDE ITEM 09 - DIVIDIDO EM 3 PECAS</t>
  </si>
  <si>
    <t>PRD01888</t>
  </si>
  <si>
    <t>RUFO DE PAREDE ITEM 10 - DIVIDIDO EM 6 PECAS</t>
  </si>
  <si>
    <t>PRD01889</t>
  </si>
  <si>
    <t>RUFO DE PAREDE ITEM 11 - DIVIDIDO EM 2 PECAS</t>
  </si>
  <si>
    <t>PRD01890</t>
  </si>
  <si>
    <t>RUFO DE PAREDE ITEM 12 - DIVIDIDO EM 3 PECAS</t>
  </si>
  <si>
    <t>PRD01891</t>
  </si>
  <si>
    <t>RUFO DE PAREDE ITEM 13 DIREITA - DIVIDIDO EM 3 PECAS</t>
  </si>
  <si>
    <t>PRD01892</t>
  </si>
  <si>
    <t>RUFO DE PAREDE ITEM 14 ESQUERDA - DIVIDIDO EM 3 PECAS</t>
  </si>
  <si>
    <t>PRD01893</t>
  </si>
  <si>
    <t>RUFO DE PAREDE ITEM 15 - DIVIDIDO EM 3 PECAS</t>
  </si>
  <si>
    <t>PRD01894</t>
  </si>
  <si>
    <t>RUFO DE PAREDE ITEM 16 - DIVIDIDO EM 3 PECAS</t>
  </si>
  <si>
    <t>PRD01895</t>
  </si>
  <si>
    <t>RUFO DE PAREDE ITEM 17 - 106M linear - DIVIDIDO EM 43 PECAS</t>
  </si>
  <si>
    <t>PRD01896</t>
  </si>
  <si>
    <t>RUFO DE PAREDE ITEM 18 - 100m linear - DIVIDIDO EM 40 PECAS</t>
  </si>
  <si>
    <t>PRD01897</t>
  </si>
  <si>
    <t>RUFO DE PAREDE ITEM 19 - 4m linear - DIVIDIDO EM 2 PECAS</t>
  </si>
  <si>
    <t>PRD01898</t>
  </si>
  <si>
    <t>RUFO DE PAREDE ITEM 20 - 30m linear - DIVIDIDO EM 12 PECAS</t>
  </si>
  <si>
    <t>PRD01899</t>
  </si>
  <si>
    <t>CONJ - Cofre 630A HAIRAM CHAVE ABB</t>
  </si>
  <si>
    <t>PRD01900</t>
  </si>
  <si>
    <t>CHAPA DOBRADA 45 X 75 X 4,75</t>
  </si>
  <si>
    <t>PRD01901</t>
  </si>
  <si>
    <t>Faca Laser Glorifier vacuum #0,9mm</t>
  </si>
  <si>
    <t>PRD01902</t>
  </si>
  <si>
    <t>01-Suporte Intermediario - 1600A_ barra 160mm _ perfi para barra 180mm #2,0mm</t>
  </si>
  <si>
    <t>PRD01903</t>
  </si>
  <si>
    <t>BASE 3000 X 226 X 8,0</t>
  </si>
  <si>
    <t>PRD01904</t>
  </si>
  <si>
    <t>CJ MOLDE #2,0mm - 1UN</t>
  </si>
  <si>
    <t>PRD01905</t>
  </si>
  <si>
    <t>3181572_P&amp;G0462P129-00 Braço prateleira 300 # 3mm</t>
  </si>
  <si>
    <t>PRD01906</t>
  </si>
  <si>
    <t>3181573_P&amp;G0462P103-00 Braço prateleira lateral # 3mm</t>
  </si>
  <si>
    <t>PRD01907</t>
  </si>
  <si>
    <t>3181574_P&amp;G0462M01-00P&amp;G0462P293-00 comunicação GILLETTE # 0.9mm</t>
  </si>
  <si>
    <t>PRD01908</t>
  </si>
  <si>
    <t>SUPORTE DA CHAVE F003 #3.0mm</t>
  </si>
  <si>
    <t>PRD01909</t>
  </si>
  <si>
    <t>SUPORTE DO ACRILICO A F008 #3.0mm</t>
  </si>
  <si>
    <t>PRD01910</t>
  </si>
  <si>
    <t>SUPORTE DO ACRILICO B F009 #3.0mm</t>
  </si>
  <si>
    <t>PRD01911</t>
  </si>
  <si>
    <t>SUPORTE OBLONGADO F007#3,0mm</t>
  </si>
  <si>
    <t>PRD01912</t>
  </si>
  <si>
    <t>SUPORTE SUPERIOR DA CHAVE F002 #3,0mm</t>
  </si>
  <si>
    <t>PRD01913</t>
  </si>
  <si>
    <t>TAMPA DE PROTEÇÃO F001 #3,0mm</t>
  </si>
  <si>
    <t>PRD01914</t>
  </si>
  <si>
    <t>CHAPA DOBRADA #3,0mm - 1 pç</t>
  </si>
  <si>
    <t>PRD01915</t>
  </si>
  <si>
    <t>053_Chapa de Proteção da Extratora_os2933_a-Model (1)</t>
  </si>
  <si>
    <t>PRD01916</t>
  </si>
  <si>
    <t>OS_2934_POS_184_Placa_de_Proteção-Model</t>
  </si>
  <si>
    <t>PRD01917</t>
  </si>
  <si>
    <t>OS_2934_POS_185_Placa_de_Proteção-Model</t>
  </si>
  <si>
    <t>PRD01918</t>
  </si>
  <si>
    <t>OS_2935_POS_184_Placa_de_Proteção-Model</t>
  </si>
  <si>
    <t>PRD01919</t>
  </si>
  <si>
    <t>OS_2935_POS_185_Placa_de_Proteção-Model</t>
  </si>
  <si>
    <t>PRD01920</t>
  </si>
  <si>
    <t>CHAPA DOBRADA "L" 13,5 X 1595,5 X 13,5 X 2,0mm - INOX</t>
  </si>
  <si>
    <t>PRD01921</t>
  </si>
  <si>
    <t>Yopp - Chapa Perfurada EC25</t>
  </si>
  <si>
    <t>PRD01922</t>
  </si>
  <si>
    <t>Yopp - Prateleira chapa metalica</t>
  </si>
  <si>
    <t>PRD01923</t>
  </si>
  <si>
    <t>ADESIVO DENZA-R00 #0,5mm</t>
  </si>
  <si>
    <t>PRD01924</t>
  </si>
  <si>
    <t>CHAPA FURADA INOX 1650 X 1115 X 0,5mm</t>
  </si>
  <si>
    <t>PRD01925</t>
  </si>
  <si>
    <t>CHAPA INOX FURADA 950 X 1115 X 0,5mm</t>
  </si>
  <si>
    <t>PRD01926</t>
  </si>
  <si>
    <t>CHAPA INOX FURADA 2060 x 1115 x 0,5  #0,5mm</t>
  </si>
  <si>
    <t>PRD01927</t>
  </si>
  <si>
    <t>CHAPA INOX FURADA 1000 X 1115 X 0,5mm</t>
  </si>
  <si>
    <t>PRD01928</t>
  </si>
  <si>
    <t>CHAPA INOX FURADA 1650 X 1115 X 0,5mm</t>
  </si>
  <si>
    <t>PRD01929</t>
  </si>
  <si>
    <t>CONJ CALENAGEM #0,9mm - 5 ÍTENS</t>
  </si>
  <si>
    <t>PRD01930</t>
  </si>
  <si>
    <t>D302 - ESPELHO DJS6 #1,5mm - c/ material</t>
  </si>
  <si>
    <t>PRD01931</t>
  </si>
  <si>
    <t>D302 - ESPELHO DJS6 #1,5mm - s/ material</t>
  </si>
  <si>
    <t>PRD01932</t>
  </si>
  <si>
    <t>D302.1 #1,5mm c/ material</t>
  </si>
  <si>
    <t>PRD01933</t>
  </si>
  <si>
    <t>D302.2 - 1 -COBRE #4,75mm</t>
  </si>
  <si>
    <t>PRD01934</t>
  </si>
  <si>
    <t>D302.2 - 2 - COBRE #4,75mm</t>
  </si>
  <si>
    <t>PRD01935</t>
  </si>
  <si>
    <t>D302.3 - #2,0mm c/ material</t>
  </si>
  <si>
    <t>PRD01936</t>
  </si>
  <si>
    <t>D302.3 - #2,0mm s/ material</t>
  </si>
  <si>
    <t>PRD01937</t>
  </si>
  <si>
    <t>3BBR6385767D038 - Suporte Box DM3 Novelis  Model (1) #3,0mm c/ material</t>
  </si>
  <si>
    <t>PRD01938</t>
  </si>
  <si>
    <t>3BBR6385767D038 - Suporte Box DM3 Novelis  Model (1) #3,0mm s/ material</t>
  </si>
  <si>
    <t>PRD01939</t>
  </si>
  <si>
    <t>D302.1 #1,5mm s/ material</t>
  </si>
  <si>
    <t>PRD01940</t>
  </si>
  <si>
    <t>BASE 1000 X 236 X 8,0</t>
  </si>
  <si>
    <t>PRD01941</t>
  </si>
  <si>
    <t>CONTROLADOR M10 - 10 UN</t>
  </si>
  <si>
    <t>PRD01942</t>
  </si>
  <si>
    <t>CONTROLADOR M10 - 50 UN</t>
  </si>
  <si>
    <t>PRD01943</t>
  </si>
  <si>
    <t>PROTÓTIPO TAMPA CAIXA M20 - ALUMINIO #1,5mm</t>
  </si>
  <si>
    <t>PRD01944</t>
  </si>
  <si>
    <t>CONJ ARRUELAS PASSAROTE</t>
  </si>
  <si>
    <t>PRD01945</t>
  </si>
  <si>
    <t>CONJ RECANTO ANIMAL TIRAS + LETRAS</t>
  </si>
  <si>
    <t>PRD01946</t>
  </si>
  <si>
    <t>LC070111 - #12,7 - 8 PEÇAS (1)</t>
  </si>
  <si>
    <t>PRD01947</t>
  </si>
  <si>
    <t>LC070114 - 1,5 INOX - 3 PEÇAS - DIVIDIDO EM 2 PARTES</t>
  </si>
  <si>
    <t>PRD01948</t>
  </si>
  <si>
    <t>LR130115 - #1,5 INOX - 1 PEÇA - DIVIDIDO EM 2 PARTES</t>
  </si>
  <si>
    <t>PRD01949</t>
  </si>
  <si>
    <t>D0302</t>
  </si>
  <si>
    <t>PRD01950</t>
  </si>
  <si>
    <t>D0302.1</t>
  </si>
  <si>
    <t>PRD01951</t>
  </si>
  <si>
    <t>D0302.2</t>
  </si>
  <si>
    <t>PRD01952</t>
  </si>
  <si>
    <t>D0302.3</t>
  </si>
  <si>
    <t>PRD01953</t>
  </si>
  <si>
    <t>D0302.4</t>
  </si>
  <si>
    <t>PRD01954</t>
  </si>
  <si>
    <t>D0302.7</t>
  </si>
  <si>
    <t>PRD01955</t>
  </si>
  <si>
    <t>D0302.8</t>
  </si>
  <si>
    <t>PRD01956</t>
  </si>
  <si>
    <t>D0302.9</t>
  </si>
  <si>
    <t>PRD01957</t>
  </si>
  <si>
    <t>D0302.10</t>
  </si>
  <si>
    <t>PRD01958</t>
  </si>
  <si>
    <t>D0302.11</t>
  </si>
  <si>
    <t>PRD01959</t>
  </si>
  <si>
    <t>RACK 2200 X 1100 X 1250</t>
  </si>
  <si>
    <t>PRD01960</t>
  </si>
  <si>
    <t>F ML X 25 116 ¿¿¿ Cobertura Central Para Choque</t>
  </si>
  <si>
    <t>PRD01961</t>
  </si>
  <si>
    <t>F ML X 25 116 ¿¿¿ Cobertura Para Choque</t>
  </si>
  <si>
    <t>PRD01962</t>
  </si>
  <si>
    <t>SUPORTE #8,0mm</t>
  </si>
  <si>
    <t>PRD01963</t>
  </si>
  <si>
    <t>PRATELEIRA SOS HIDRÁULICA #1,0mm</t>
  </si>
  <si>
    <t>PRD01964</t>
  </si>
  <si>
    <t>1B-APOIO MANCAL #12,7mm</t>
  </si>
  <si>
    <t>PRD01965</t>
  </si>
  <si>
    <t>1C-SUPORTE RODIZIO chapa 150 x 150 x 9,5</t>
  </si>
  <si>
    <t>PRD01966</t>
  </si>
  <si>
    <t>1D-NERVURA -#9,5mm</t>
  </si>
  <si>
    <t>PRD01967</t>
  </si>
  <si>
    <t>2A-DISCO MAIOR Ø259.7 x 9,5mm</t>
  </si>
  <si>
    <t>PRD01968</t>
  </si>
  <si>
    <t>3A-DISCO MENOR Ø190.5 x 9,5mm</t>
  </si>
  <si>
    <t>PRD01969</t>
  </si>
  <si>
    <t>4-TRAVESSA FREIO CHAPA 280 X 68 X 12,7</t>
  </si>
  <si>
    <t>PRD01970</t>
  </si>
  <si>
    <t>5-ARRUELA Ø68 X 17 X 9,5</t>
  </si>
  <si>
    <t>PRD01971</t>
  </si>
  <si>
    <t>6-ARRUELA Ø19 X 8,5 X 3,0mm</t>
  </si>
  <si>
    <t>PRD01972</t>
  </si>
  <si>
    <t>7-TRAVESSA FREIO CHAPA 280 X 68 X 12,7mm</t>
  </si>
  <si>
    <t>PRD01973</t>
  </si>
  <si>
    <t>PERFIL U 2282 X 3,0mm</t>
  </si>
  <si>
    <t>PRD01974</t>
  </si>
  <si>
    <t>9563620-05-021 Suporte Serpentina (4) - INOX</t>
  </si>
  <si>
    <t>PRD01975</t>
  </si>
  <si>
    <t>CHAPA 150 X 60 X 9,5</t>
  </si>
  <si>
    <t>PRD01976</t>
  </si>
  <si>
    <t>CHAPA DOBRADA 340 X 90 X 6,35</t>
  </si>
  <si>
    <t>PRD01977</t>
  </si>
  <si>
    <t>DISCO 500 X 486 X 3,0mm</t>
  </si>
  <si>
    <t>PRD01978</t>
  </si>
  <si>
    <t>SHOP WALL + HORIZON + CONSULTING - MARINGÁ</t>
  </si>
  <si>
    <t>PRD01979</t>
  </si>
  <si>
    <t>BARRA RECEPTION - DIVESA -A MARINGÁ - 2727X 40 X 50 X 3,0</t>
  </si>
  <si>
    <t>PRD01980</t>
  </si>
  <si>
    <t>BARRA RECEPTION - DIVESA -A MARINGÁ - 767 X 40 X 50 X 3,0</t>
  </si>
  <si>
    <t>PRD01981</t>
  </si>
  <si>
    <t>BARRA STAGE - DIVESA - MARINGÁ 2727 X 40 X 50 X 3,0mm</t>
  </si>
  <si>
    <t>PRD01982</t>
  </si>
  <si>
    <t>BARRA STAGE - DIVESA - MARINGÁ -2   2727 X 40 X 50 X 3,0mm</t>
  </si>
  <si>
    <t>PRD01983</t>
  </si>
  <si>
    <t>CHAPA TRIANGULAR 150 x 100 x 40 X 2,0mm</t>
  </si>
  <si>
    <t>PRD01984</t>
  </si>
  <si>
    <t>CHAPA DOBRADA 180 (EXT) X 500 X 15 X 15 X 2,0mm</t>
  </si>
  <si>
    <t>PRD01985</t>
  </si>
  <si>
    <t>CHAPA DOBRADA 110 X 20 X 10 X 3000</t>
  </si>
  <si>
    <t>PRD01986</t>
  </si>
  <si>
    <t>ARRUELA INOX 22mm x 12 x 1,2</t>
  </si>
  <si>
    <t>PRD01987</t>
  </si>
  <si>
    <t>CONJ DESENHOS ACELERADOR + PEDAL FREIO - INOX</t>
  </si>
  <si>
    <t>PRD01988</t>
  </si>
  <si>
    <t>CONJ DESENHOS ACELERADOR + PEDAL FREIO - AÇO CARBONO</t>
  </si>
  <si>
    <t>PRD01989</t>
  </si>
  <si>
    <t>BASE 3000 X 198 X 4,75</t>
  </si>
  <si>
    <t>PRD01990</t>
  </si>
  <si>
    <t>PERFIL U 70 X 60 (INT) X 600 X 6,35</t>
  </si>
  <si>
    <t>PRD01991</t>
  </si>
  <si>
    <t>PERFIL U 60 X 55 X 200 X 6,35</t>
  </si>
  <si>
    <t>PRD01992</t>
  </si>
  <si>
    <t>CHAPA 150 X 150 X 60 X 6,35</t>
  </si>
  <si>
    <t>PRD01993</t>
  </si>
  <si>
    <t>PEÇA 1 - CHAPA 2MM - 8X</t>
  </si>
  <si>
    <t>PRD01994</t>
  </si>
  <si>
    <t>PEÇA 2 - CHAPA 2MM - 4X</t>
  </si>
  <si>
    <t>PRD01995</t>
  </si>
  <si>
    <t>PEÇA 3 - CHAPA 2MM - 4X</t>
  </si>
  <si>
    <t>PRD01996</t>
  </si>
  <si>
    <t>PEÇA 4 - CHAPA 2MM - 16X</t>
  </si>
  <si>
    <t>PRD01997</t>
  </si>
  <si>
    <t>PEÇA 5 - CHAPA 2MM - 2X</t>
  </si>
  <si>
    <t>PRD01998</t>
  </si>
  <si>
    <t>PEÇA 5.1 - CHAPA 2MM - 2X</t>
  </si>
  <si>
    <t>PRD01999</t>
  </si>
  <si>
    <t>PEÇA 6 - CHAPA 2MM - 2X</t>
  </si>
  <si>
    <t>PRD02000</t>
  </si>
  <si>
    <t>PEÇA 6.1 - CHAPA 2MM - 2X</t>
  </si>
  <si>
    <t>PRD02001</t>
  </si>
  <si>
    <t>PEÇA 7 - CHAPA 2MM - 8X</t>
  </si>
  <si>
    <t>PRD02002</t>
  </si>
  <si>
    <t>PEÇA 8 - CHAPA 2MM - 2X</t>
  </si>
  <si>
    <t>PRD02003</t>
  </si>
  <si>
    <t>PEÇA 9 - CHAPA 2MM - 2X</t>
  </si>
  <si>
    <t>PRD02004</t>
  </si>
  <si>
    <t>PEÇA 10 - CHAPA 2MM - 4X</t>
  </si>
  <si>
    <t>PRD02005</t>
  </si>
  <si>
    <t>PEÇA 11 - CHAPA 2MM - 8X</t>
  </si>
  <si>
    <t>PRD02006</t>
  </si>
  <si>
    <t>PEÇA 12 - CHAPA 2MM - 2X</t>
  </si>
  <si>
    <t>PRD02007</t>
  </si>
  <si>
    <t>PEÇA 13 - CHAPA 2MM - 2X</t>
  </si>
  <si>
    <t>PRD02008</t>
  </si>
  <si>
    <t>PEÇA 14 - CHAPA 2MM - 2X</t>
  </si>
  <si>
    <t>PRD02009</t>
  </si>
  <si>
    <t>PEÇA 15 - CHAPA 2MM - 2X</t>
  </si>
  <si>
    <t>PRD02010</t>
  </si>
  <si>
    <t>PEÇA 16 - CHAPA 2MM - 2X</t>
  </si>
  <si>
    <t>PRD02011</t>
  </si>
  <si>
    <t>PEÇA 17 - CHAPA 2MM - 2X</t>
  </si>
  <si>
    <t>PRD02012</t>
  </si>
  <si>
    <t>PEÇA 21 - CHAPA 2MM - 8X</t>
  </si>
  <si>
    <t>PRD02013</t>
  </si>
  <si>
    <t>PEÇA 21.1 - CHAPA 2MM - 4X</t>
  </si>
  <si>
    <t>PRD02014</t>
  </si>
  <si>
    <t>PEÇA 30 - CHAPA 2MM - 2X</t>
  </si>
  <si>
    <t>PRD02015</t>
  </si>
  <si>
    <t>PEÇA 30.1 - CHAPA 2MM - 2X</t>
  </si>
  <si>
    <t>PRD02016</t>
  </si>
  <si>
    <t>PEÇA 31 - CHAPA 2MM - 2X</t>
  </si>
  <si>
    <t>PRD02017</t>
  </si>
  <si>
    <t>PEÇA 32 - CHAPA 2MM - 2X</t>
  </si>
  <si>
    <t>PRD02018</t>
  </si>
  <si>
    <t>PEÇA 33 - CHAPA 2MM - 2X</t>
  </si>
  <si>
    <t>PRD02019</t>
  </si>
  <si>
    <t>PEÇA 34 - CHAPA 2MM - 2X</t>
  </si>
  <si>
    <t>PRD02020</t>
  </si>
  <si>
    <t>PEÇA 35 - CHAPA 2MM - 2X</t>
  </si>
  <si>
    <t>PRD02021</t>
  </si>
  <si>
    <t>PEÇA 41 - BDJ PASSAGEM DE AR 2x</t>
  </si>
  <si>
    <t>PRD02022</t>
  </si>
  <si>
    <t>PEÇA 42 - FECH BASE 8x</t>
  </si>
  <si>
    <t>PRD02023</t>
  </si>
  <si>
    <t>PEÇA 45 - SUPORTE PAINEL 2x</t>
  </si>
  <si>
    <t>PRD02024</t>
  </si>
  <si>
    <t>PEÇA 46 - TAMPA 01 2x</t>
  </si>
  <si>
    <t>PRD02025</t>
  </si>
  <si>
    <t>PEÇA 47 - TAMPA 02 2x</t>
  </si>
  <si>
    <t>PRD02026</t>
  </si>
  <si>
    <t>PEÇA 51 - ACRÉSCIMO CH LISA 2x</t>
  </si>
  <si>
    <t>PRD02027</t>
  </si>
  <si>
    <t>PEÇA 52 - FECHAMENTO PEGA 4x</t>
  </si>
  <si>
    <t>PRD02028</t>
  </si>
  <si>
    <t>PEÇA 19 - CHAPA 4,7MM - 2X</t>
  </si>
  <si>
    <t>PRD02029</t>
  </si>
  <si>
    <t>PEÇA 19.1 - CHAPA 4,7MM - 2X</t>
  </si>
  <si>
    <t>PRD02030</t>
  </si>
  <si>
    <t>PEÇA 20 - CHAPA 4,7MM - 2X</t>
  </si>
  <si>
    <t>PRD02031</t>
  </si>
  <si>
    <t>PEÇA 20.1 - CHAPA 4,7MM - 2X</t>
  </si>
  <si>
    <t>PRD02032</t>
  </si>
  <si>
    <t>PEÇA 28 - CHAPA 4,7MM - 8X</t>
  </si>
  <si>
    <t>PRD02033</t>
  </si>
  <si>
    <t>PEÇA 29 - CHAPA 4,7MM - 12X</t>
  </si>
  <si>
    <t>PRD02034</t>
  </si>
  <si>
    <t>PEÇA 18 - CHAPA 6,4MM - 2X</t>
  </si>
  <si>
    <t>PRD02035</t>
  </si>
  <si>
    <t>PEÇA 22 - CHAPA 6,4MM - 4X</t>
  </si>
  <si>
    <t>PRD02036</t>
  </si>
  <si>
    <t>PEÇA 26 - CHAPA 6,4MM - 16X</t>
  </si>
  <si>
    <t>PRD02037</t>
  </si>
  <si>
    <t>PEÇA 27 - CHAPA 6,4MM - 4X</t>
  </si>
  <si>
    <t>PRD02038</t>
  </si>
  <si>
    <t>MODELO - Copia - FURAÇÃO CHAPA 1,2mm</t>
  </si>
  <si>
    <t>PRD02039</t>
  </si>
  <si>
    <t>TELA MTRB95008-050 - FURAÇÃO CHAPA 1,2mm</t>
  </si>
  <si>
    <t>PRD02040</t>
  </si>
  <si>
    <t>PERFIL U 35 X 35 X 130 X 700 X 4,75</t>
  </si>
  <si>
    <t>PRD02041</t>
  </si>
  <si>
    <t>CHAPA FURADA 190 X 140 X 6,35</t>
  </si>
  <si>
    <t>PRD02042</t>
  </si>
  <si>
    <t>CHAPA DOBRADA 200 X 40 X 8,0mm</t>
  </si>
  <si>
    <t>PRD02043</t>
  </si>
  <si>
    <t>FURACAO CHAPA #4,75mm - 2UN</t>
  </si>
  <si>
    <t>PRD02044</t>
  </si>
  <si>
    <t>BASE 170 X 170 X 4,75</t>
  </si>
  <si>
    <t>PRD02045</t>
  </si>
  <si>
    <t>BASE 600 X 217 X 4,75</t>
  </si>
  <si>
    <t>PRD02046</t>
  </si>
  <si>
    <t>BASE 1200 X 434 X 6,35</t>
  </si>
  <si>
    <t>PRD02047</t>
  </si>
  <si>
    <t>BASE 272 X 170 X 4,75</t>
  </si>
  <si>
    <t>PRD02048</t>
  </si>
  <si>
    <t>Suporte 1 #1,2mm</t>
  </si>
  <si>
    <t>PRD02049</t>
  </si>
  <si>
    <t>CONJ CAIXA #4,75mm</t>
  </si>
  <si>
    <t>PRD02050</t>
  </si>
  <si>
    <t>2000 - SUPORTE BALIZA 10W BI MI #1,5mm</t>
  </si>
  <si>
    <t>PRD02051</t>
  </si>
  <si>
    <t>REFLETOR INOX #0,8mm</t>
  </si>
  <si>
    <t>PRD02052</t>
  </si>
  <si>
    <t>SUPORTE GARRAFA #1,0mm</t>
  </si>
  <si>
    <t>PRD02053</t>
  </si>
  <si>
    <t>CONJ PECAS CEARÁ</t>
  </si>
  <si>
    <t>PRD02054</t>
  </si>
  <si>
    <t>3181897_TUBO ENTALHADO 25X25 # 2,0 X 1900 MM ( ENT 2 LADO ) - 12 UN</t>
  </si>
  <si>
    <t>PRD02055</t>
  </si>
  <si>
    <t>BASE 600 X 162 X 4,75</t>
  </si>
  <si>
    <t>PRD02056</t>
  </si>
  <si>
    <t>PECA 1 - FLANGE SUPERIOR DA BOCA DE SAÍDA -  Ø500mm x 9,5</t>
  </si>
  <si>
    <t>PRD02057</t>
  </si>
  <si>
    <t>PECA 2 - TAMPA FRONTAL - 2200 X 1316 X 9,5mm</t>
  </si>
  <si>
    <t>PRD02058</t>
  </si>
  <si>
    <t>PECA 4 - TAMPA LATERAL - 1316 X 1500 X 9,5mm</t>
  </si>
  <si>
    <t>PRD02059</t>
  </si>
  <si>
    <t>PECA 6 - REFORCO SUPERIOR - 2200 X 1500 X 9,5mm</t>
  </si>
  <si>
    <t>PRD02060</t>
  </si>
  <si>
    <t>PECA 7 - TAMPA INFERIOR - 2200 X 1500 X 9,5mm</t>
  </si>
  <si>
    <t>PRD02061</t>
  </si>
  <si>
    <t>PECA 8 - FLANGE FRONTAL - Ø500mm x 9,5mm</t>
  </si>
  <si>
    <t>PRD02062</t>
  </si>
  <si>
    <t>PECA 9 - RETANGULO FRONTAL - 550 X 550 X 9,5mm</t>
  </si>
  <si>
    <t>PRD02063</t>
  </si>
  <si>
    <t>BASE 170 X 130 X 12,7mm (2x)</t>
  </si>
  <si>
    <t>PRD02064</t>
  </si>
  <si>
    <t>DISCO 400 x #12,7mm</t>
  </si>
  <si>
    <t>PRD02065</t>
  </si>
  <si>
    <t>DISCO Ø200 X #12,7mm</t>
  </si>
  <si>
    <t>PRD02066</t>
  </si>
  <si>
    <t>NERVURA #8,0mm - (8x)</t>
  </si>
  <si>
    <t>PRD02067</t>
  </si>
  <si>
    <t>BANDEJA MAIOR #1,0mm</t>
  </si>
  <si>
    <t>PRD02068</t>
  </si>
  <si>
    <t>BANDEJA MENOR #1,0mm</t>
  </si>
  <si>
    <t>PRD02069</t>
  </si>
  <si>
    <t>CAIXA MONTADA - 2</t>
  </si>
  <si>
    <t>PRD02070</t>
  </si>
  <si>
    <t>CAIXA MONTADA - 3</t>
  </si>
  <si>
    <t>PRD02071</t>
  </si>
  <si>
    <t>CAIXA MONTADA - 4</t>
  </si>
  <si>
    <t>PRD02072</t>
  </si>
  <si>
    <t>CAIXA MONTADA -1</t>
  </si>
  <si>
    <t>PRD02073</t>
  </si>
  <si>
    <t>TRAVESSA DOBRADA - 4X</t>
  </si>
  <si>
    <t>PRD02074</t>
  </si>
  <si>
    <t>BASE 620 X 180 X 4,75</t>
  </si>
  <si>
    <t>PRD02075</t>
  </si>
  <si>
    <t>ABRIDOR INOX #2,0mm</t>
  </si>
  <si>
    <t>PRD02076</t>
  </si>
  <si>
    <t>CONJUNTO SOLDADO - 2  #6,35 - PEÇA 9.1 - PERFIL U 143 X 65 X 65 X 6,35</t>
  </si>
  <si>
    <t>PRD02077</t>
  </si>
  <si>
    <t>CONJUNTO SOLDADO  #6,35 - PEÇA 9.1(RÉGUAS INCLUSA SEM SOLDA PORCA)</t>
  </si>
  <si>
    <t>PRD02078</t>
  </si>
  <si>
    <t>CONJUNTO SOLDADO #6,35 - 4 (INCLUSO APENAS A BASE DOBRADA)</t>
  </si>
  <si>
    <t>PRD02079</t>
  </si>
  <si>
    <t>CHAPA 350 X 200 X 3,0mm</t>
  </si>
  <si>
    <t>PRD02080</t>
  </si>
  <si>
    <t>CHAPA RIANGULAR DOBRADA 208 X 100 X 6,35</t>
  </si>
  <si>
    <t>PRD02081</t>
  </si>
  <si>
    <t>CHAPA TRIANGULAR 188 X 70 X 6,35</t>
  </si>
  <si>
    <t>PRD02082</t>
  </si>
  <si>
    <t>PERFIL U FURADO 3000 X 6,35</t>
  </si>
  <si>
    <t>PRD02083</t>
  </si>
  <si>
    <t>_Suporte barra de 130mm _ chapa 14 - PERFIL U 8,5 X 8,5 X 172 X 2,0mm</t>
  </si>
  <si>
    <t>PRD02084</t>
  </si>
  <si>
    <t>_ PERFIL INTERMEDIARIO BARRA 130MM _ 960mm</t>
  </si>
  <si>
    <t>PRD02085</t>
  </si>
  <si>
    <t>_ PERFIL INTERMEDIARIO BARRA 130MM _ 1000mm</t>
  </si>
  <si>
    <t>PRD02086</t>
  </si>
  <si>
    <t>_ PERFIL INTERMEDIARIO BARRA 130MM _ 1460mm</t>
  </si>
  <si>
    <t>PRD02087</t>
  </si>
  <si>
    <t>_ PERFIL INTERMEDIARIO BARRA 130MM _ 1500mm</t>
  </si>
  <si>
    <t>PRD02088</t>
  </si>
  <si>
    <t>_Perfil de fechamento 08 barras _ 1000mm</t>
  </si>
  <si>
    <t>PRD02089</t>
  </si>
  <si>
    <t>_Perfil de fechamento 08 barras _ 1500mm</t>
  </si>
  <si>
    <t>PRD02090</t>
  </si>
  <si>
    <t>_ Placa de obturação _ #  16 _ 08 peças</t>
  </si>
  <si>
    <t>PRD02091</t>
  </si>
  <si>
    <t>BASE 3000 X 195 X 6,35</t>
  </si>
  <si>
    <t>PRD02092</t>
  </si>
  <si>
    <t>3181347 braço 442x75mm_Pret a Porter esp. 1200554 - corte laser</t>
  </si>
  <si>
    <t>PRD02093</t>
  </si>
  <si>
    <t>DISCO 500 X 3,0mm - 1UN</t>
  </si>
  <si>
    <t>PRD02094</t>
  </si>
  <si>
    <t>DEGRAU 538 X 1000 X 4,75</t>
  </si>
  <si>
    <t>PRD02095</t>
  </si>
  <si>
    <t>DEGRAU LATERAL 538 X 1400 X 4,75</t>
  </si>
  <si>
    <t>PRD02096</t>
  </si>
  <si>
    <t>PLATAFORMA 1200 X 100 X 4,75</t>
  </si>
  <si>
    <t>PRD02097</t>
  </si>
  <si>
    <t>BASE 3000 X 212 X 4,75</t>
  </si>
  <si>
    <t>PRD02098</t>
  </si>
  <si>
    <t>MANCAL 355 X 120 X 6,35</t>
  </si>
  <si>
    <t>PRD02099</t>
  </si>
  <si>
    <t>MANCAL 495 X 120 X 6,35</t>
  </si>
  <si>
    <t>PRD02100</t>
  </si>
  <si>
    <t>MANCAL 456 X 120 X 6,35</t>
  </si>
  <si>
    <t>PRD02101</t>
  </si>
  <si>
    <t>BASE 600 X 220 X 4,75</t>
  </si>
  <si>
    <t>PRD02102</t>
  </si>
  <si>
    <t>MANCAL 246 X 90 X 6,35</t>
  </si>
  <si>
    <t>PRD02103</t>
  </si>
  <si>
    <t>BASE 180 X 150 X 4,75</t>
  </si>
  <si>
    <t>PRD02104</t>
  </si>
  <si>
    <t>BASE 840 X 293 X 6,35</t>
  </si>
  <si>
    <t>PRD02105</t>
  </si>
  <si>
    <t>BASE 800 X 270 X 6,35</t>
  </si>
  <si>
    <t>PRD02106</t>
  </si>
  <si>
    <t>BASE 1400 X 445 X 4,75</t>
  </si>
  <si>
    <t>PRD02107</t>
  </si>
  <si>
    <t>CHAPA FURADA 113 X 113 X 8,0</t>
  </si>
  <si>
    <t>PRD02108</t>
  </si>
  <si>
    <t>CHAPA 11 X 800 X 1,5 - ALUMINIO LISO</t>
  </si>
  <si>
    <t>PRD02109</t>
  </si>
  <si>
    <t>CHAPA 23 X 1300 X 1,5 - ALUMINIO LISO</t>
  </si>
  <si>
    <t>PRD02110</t>
  </si>
  <si>
    <t>CORTE CHAPA #1,2mm GALVANIZADA - LUMINOSO</t>
  </si>
  <si>
    <t>PRD02111</t>
  </si>
  <si>
    <t>CHAPA DOBRADA 150 X 70 X 30 X 1650 X 4,75 - LOGO BIG STAR</t>
  </si>
  <si>
    <t>PRD02112</t>
  </si>
  <si>
    <t>MANCAL CHANFRADO 260 X 110 X 110 X 120 X 6,35</t>
  </si>
  <si>
    <t>PRD02113</t>
  </si>
  <si>
    <t>MANCAL CHANFRADO 155 X 110 X 110 X 120 X 6,35</t>
  </si>
  <si>
    <t>PRD02114</t>
  </si>
  <si>
    <t>MANCAL CHANFRADO 95 X 80 X 80 X 120 X 6,35</t>
  </si>
  <si>
    <t>PRD02115</t>
  </si>
  <si>
    <t>CHAPA DOBRADA 655 X 155 X 30 X 6,35</t>
  </si>
  <si>
    <t>PRD02116</t>
  </si>
  <si>
    <t>CHAPA DOBRADA 650 X 155 X 30 X 185 X 6,35</t>
  </si>
  <si>
    <t>PRD02117</t>
  </si>
  <si>
    <t>DISCO FURADO #8,0mm x 138mm</t>
  </si>
  <si>
    <t>PRD02118</t>
  </si>
  <si>
    <t>BASE 1000 X 222  X 4,75</t>
  </si>
  <si>
    <t>PRD02119</t>
  </si>
  <si>
    <t>_ Chapa de emenda #1,2mm</t>
  </si>
  <si>
    <t>PRD02120</t>
  </si>
  <si>
    <t>_ suporte conjunto _ modelo BUSWAY _ barra 80x6 #2,0mm</t>
  </si>
  <si>
    <t>PRD02121</t>
  </si>
  <si>
    <t>CONJ LETRAS LOGO ALFA #1,2mm</t>
  </si>
  <si>
    <t>PRD02122</t>
  </si>
  <si>
    <t>CHAPA FURADA 150 X 90 X 4,75</t>
  </si>
  <si>
    <t>PRD02123</t>
  </si>
  <si>
    <t>3181898_Bandeja_BLZ_MariMaria_800x70x300mm_braço[1]</t>
  </si>
  <si>
    <t>PRD02124</t>
  </si>
  <si>
    <t>Cofre 400A HAIRAM CHAVE ABB _ modelo Busway</t>
  </si>
  <si>
    <t>PRD02125</t>
  </si>
  <si>
    <t>_ Puxador cofre</t>
  </si>
  <si>
    <t>PRD02126</t>
  </si>
  <si>
    <t>CAIXA P10 #1,2mm</t>
  </si>
  <si>
    <t>PRD02127</t>
  </si>
  <si>
    <t>CJ SOLD PECA 27 - CHAPA DOBRADA #3,0mm - com PORCA M8 para RASGO</t>
  </si>
  <si>
    <t>PRD02128</t>
  </si>
  <si>
    <t>BASE 300 X 200 X 4,75</t>
  </si>
  <si>
    <t>PRD02129</t>
  </si>
  <si>
    <t>3BBR236179279D0302.2 Model (1) - BANDEJA S5 #2,0mm</t>
  </si>
  <si>
    <t>PRD02130</t>
  </si>
  <si>
    <t>3BBR236179279D0302.3 - ESPELHO DJ S3</t>
  </si>
  <si>
    <t>PRD02131</t>
  </si>
  <si>
    <t>3BBR247254729D0302 - MOLDURA X1-E1.2-WW #2,0mm</t>
  </si>
  <si>
    <t>PRD02132</t>
  </si>
  <si>
    <t>3BBR247094709D0303 - ESPELHO LEROSE - e4.2 3200A - #2,0mm</t>
  </si>
  <si>
    <t>PRD02133</t>
  </si>
  <si>
    <t>CHAPA 500 X 150 x 2,0mm</t>
  </si>
  <si>
    <t>PRD02134</t>
  </si>
  <si>
    <t>NERVURA 150 X 30 X 2,0mm</t>
  </si>
  <si>
    <t>PRD02135</t>
  </si>
  <si>
    <t>2924-10.44 - #3,0mm INOX</t>
  </si>
  <si>
    <t>PRD02136</t>
  </si>
  <si>
    <t>2924-20.44 #5,0mm - INOX</t>
  </si>
  <si>
    <t>PRD02137</t>
  </si>
  <si>
    <t>ESTRUTURA METÁLICA - MB-RECEPTION - DIVENA - SANTOS - 2171 X 40 X 50 X 3,0mm</t>
  </si>
  <si>
    <t>PRD02138</t>
  </si>
  <si>
    <t>ESTRUTURA METÁLICA - MB-HANDOVER - DIVENA - SANTOS - 2727 x 40 x 52 x 3,0mm</t>
  </si>
  <si>
    <t>PRD02139</t>
  </si>
  <si>
    <t>ESTRUTURA METÁLICA - MB-STAGE - DIVENA - SANTOS</t>
  </si>
  <si>
    <t>PRD02140</t>
  </si>
  <si>
    <t>ESTRUTURA METÁLICA - MB-HORIZON - DIVENA - SANTOS - 2171 x 40 x 52 x 3,0mm</t>
  </si>
  <si>
    <t>PRD02141</t>
  </si>
  <si>
    <t>ESTRUTURA METÁLICA - MB-SHOP WALL - DIVENA - SANTOS - 2171 x 40 x 52 x 3,0mm</t>
  </si>
  <si>
    <t>PRD02142</t>
  </si>
  <si>
    <t>ESTRUTURA METÁLICA - MB-RECEPTION - DIVENA - SANTOS - 2 - 767 x 40 x 52</t>
  </si>
  <si>
    <t>PRD02143</t>
  </si>
  <si>
    <t>CONJ 3181900 + 3181901 #1,2mm</t>
  </si>
  <si>
    <t>PRD02144</t>
  </si>
  <si>
    <t>CHAPA DOBRADA #3,0mm - LOGO MC CARDEAIS</t>
  </si>
  <si>
    <t>PRD02145</t>
  </si>
  <si>
    <t>BASE 800 X 272 X 6,35</t>
  </si>
  <si>
    <t>PRD02146</t>
  </si>
  <si>
    <t>CHAPA RAIADA 100 X 80 X 6,35</t>
  </si>
  <si>
    <t>PRD02147</t>
  </si>
  <si>
    <t>CONTROLADOR M10</t>
  </si>
  <si>
    <t>PRD02148</t>
  </si>
  <si>
    <t>CHAPA 1500 X 11 X 1,5 - ALUMINIO LISO</t>
  </si>
  <si>
    <t>PRD02149</t>
  </si>
  <si>
    <t>fechamento_superior #12,7mm</t>
  </si>
  <si>
    <t>PRD02150</t>
  </si>
  <si>
    <t>SOBREPOSTA_1730468 #6,35mm - ÍTEM DIVIDIDO EM 2 - ENTRGUE JÁ SOLDADO</t>
  </si>
  <si>
    <t>PRD02151</t>
  </si>
  <si>
    <t>CONJ 302.1 +302.2 + 3BBR247174948D302.2 + 302</t>
  </si>
  <si>
    <t>PRD02152</t>
  </si>
  <si>
    <t>_ PERFIL INTERMEDIARIO BARRA 130_140MM _ 1160mm</t>
  </si>
  <si>
    <t>PRD02153</t>
  </si>
  <si>
    <t>_ PERFIL INTERMEDIARIO BARRA 130_140MM _ 1420mm</t>
  </si>
  <si>
    <t>PRD02154</t>
  </si>
  <si>
    <t>_Suporte barra de 140mm _ chapa 14</t>
  </si>
  <si>
    <t>PRD02155</t>
  </si>
  <si>
    <t>SHIMMS (1)#1,0mm e #0,5mm</t>
  </si>
  <si>
    <t>PRD02156</t>
  </si>
  <si>
    <t>BASE GAIOLA #2,0mm</t>
  </si>
  <si>
    <t>PRD02157</t>
  </si>
  <si>
    <t>P-07</t>
  </si>
  <si>
    <t>PRD02158</t>
  </si>
  <si>
    <t>P-01</t>
  </si>
  <si>
    <t>PRD02159</t>
  </si>
  <si>
    <t>P-03</t>
  </si>
  <si>
    <t>PRD02160</t>
  </si>
  <si>
    <t>P-02</t>
  </si>
  <si>
    <t>PRD02161</t>
  </si>
  <si>
    <t>P-05</t>
  </si>
  <si>
    <t>PRD02162</t>
  </si>
  <si>
    <t>P-04</t>
  </si>
  <si>
    <t>PRD02163</t>
  </si>
  <si>
    <t>PROJETO PRENSA - UNIMAQ</t>
  </si>
  <si>
    <t>PRD02164</t>
  </si>
  <si>
    <t>CHAPA 180 X 180 X 8,0mm</t>
  </si>
  <si>
    <t>PRD02165</t>
  </si>
  <si>
    <t>CHAPA 185 X 130 X 6,35mm</t>
  </si>
  <si>
    <t>PRD02166</t>
  </si>
  <si>
    <t>P-06</t>
  </si>
  <si>
    <t>PRD02167</t>
  </si>
  <si>
    <t>CONJ PERFIL U 2995 X 40 X 100 X 3,0mm + SUPORTE #3,0mm</t>
  </si>
  <si>
    <t>PRD02168</t>
  </si>
  <si>
    <t>BASE 200 X 200 X 8,0mm - 5 medidas diferentes</t>
  </si>
  <si>
    <t>PRD02169</t>
  </si>
  <si>
    <t>BASE DOBRADA #8,0mm - 10x</t>
  </si>
  <si>
    <t>PRD02170</t>
  </si>
  <si>
    <t>SUPORTE 840 X 75X 70 X 4,75mm</t>
  </si>
  <si>
    <t>PRD02171</t>
  </si>
  <si>
    <t>CHAPA LOGO TRES EIXO #1,5mm</t>
  </si>
  <si>
    <t>PRD02172</t>
  </si>
  <si>
    <t>SUPORTE 840 X 75 X 70 x 4,75mm</t>
  </si>
  <si>
    <t>PRD02173</t>
  </si>
  <si>
    <t>CONJ PLACA ODISSEIA - #1,5mm</t>
  </si>
  <si>
    <t>PRD02174</t>
  </si>
  <si>
    <t>CONJ PLACA SANTARÉM - #1,5mm</t>
  </si>
  <si>
    <t>PRD02175</t>
  </si>
  <si>
    <t>Prancha de 8mm Oblongos</t>
  </si>
  <si>
    <t>PRD02176</t>
  </si>
  <si>
    <t>BASE 210 X 210 X 4,75</t>
  </si>
  <si>
    <t>PRD02177</t>
  </si>
  <si>
    <t>GY-GV_05_-_LASER_27.09.24_gerador - 13 ÍTENS</t>
  </si>
  <si>
    <t>PRD02178</t>
  </si>
  <si>
    <t>GY_TECH_-_TE_05_-_LAZER_12.03.25__1__t_neL - 22 ÍTENS</t>
  </si>
  <si>
    <t>PRD02179</t>
  </si>
  <si>
    <t>BASE FURADA 240 X 120 X 12,7</t>
  </si>
  <si>
    <t>PRD02180</t>
  </si>
  <si>
    <t>PLACA POSTO DE MOLA #3,0mm</t>
  </si>
  <si>
    <t>PRD02181</t>
  </si>
  <si>
    <t>3180800_Tubo 25x25mm # 1,90mm_entalhe 2 lados</t>
  </si>
  <si>
    <t>PRD02182</t>
  </si>
  <si>
    <t>3181902_Braço BCL (901156) chapa 3mm - 15UN</t>
  </si>
  <si>
    <t>PRD02183</t>
  </si>
  <si>
    <t>_Suporte barra de 90mm _ chapa 1,2mm</t>
  </si>
  <si>
    <t>PRD02184</t>
  </si>
  <si>
    <t>_ lateral de emenda #1,2mm</t>
  </si>
  <si>
    <t>PRD02185</t>
  </si>
  <si>
    <t>_ Tampa da emenda #1,2mm</t>
  </si>
  <si>
    <t>PRD02186</t>
  </si>
  <si>
    <t>_ Trecho reto de 3000mm - CHAPA DOBRADA 120 X 30 X 16,2 X 2650</t>
  </si>
  <si>
    <t>PRD02187</t>
  </si>
  <si>
    <t>_ Trecho reto de 3000mm - PERFIL U 15 X 75 X 2850 X 1,2</t>
  </si>
  <si>
    <t>PRD02188</t>
  </si>
  <si>
    <t>_ Trecho reto de 3000mm _ chapa derivação 1000mm</t>
  </si>
  <si>
    <t>PRD02189</t>
  </si>
  <si>
    <t>_ Trecho reto de 3000mm _ chapa derivação</t>
  </si>
  <si>
    <t>PRD02190</t>
  </si>
  <si>
    <t>_Chaparia cotovelos VERT _ 550A - CHAPA DOBRADA 16,5 X 30 X 120 X 1514</t>
  </si>
  <si>
    <t>PRD02191</t>
  </si>
  <si>
    <t>_Chaparia cotovelos VERT _ 550A - CHAPA DOBRADA 16,5 X 30 X 120 X 1724</t>
  </si>
  <si>
    <t>PRD02192</t>
  </si>
  <si>
    <t>_Chaparia cotovelos VERT _ 550A - PERFIL U 15 X 75 X 1864 LE + LD</t>
  </si>
  <si>
    <t>PRD02193</t>
  </si>
  <si>
    <t>LDT008_000 - HEAD GONDOLA ESP 1.2mm</t>
  </si>
  <si>
    <t>PRD02194</t>
  </si>
  <si>
    <t>TAMPAO 35 X 35 X 1,5mm - ALUMINIO LISO</t>
  </si>
  <si>
    <t>PRD02195</t>
  </si>
  <si>
    <t>TAMPAO 36 X 65 X 1,5mm - ALUMINIO LISO</t>
  </si>
  <si>
    <t>PRD02196</t>
  </si>
  <si>
    <t>PERFIL ENRIJECIDO 10 X 40 X 60 X MENOR - 600mm</t>
  </si>
  <si>
    <t>PRD02197</t>
  </si>
  <si>
    <t>PECA 24 - 1009mm x 60mm x 110mm - esp 4mm - INOX</t>
  </si>
  <si>
    <t>PRD02198</t>
  </si>
  <si>
    <t>BASE 250 X 190 X 6,35 X DIAM 63</t>
  </si>
  <si>
    <t>PRD02199</t>
  </si>
  <si>
    <t>_ Chaparia fechamento #1,2mm</t>
  </si>
  <si>
    <t>PRD02200</t>
  </si>
  <si>
    <t>CONJ QUADRO SOLDADO + PERFIL U FURADO</t>
  </si>
  <si>
    <t>PRD02201</t>
  </si>
  <si>
    <t>CONJ COMPLETO QUADRO SOLDADO #0,8mm</t>
  </si>
  <si>
    <t>PRD02202</t>
  </si>
  <si>
    <t>107607 Tubo Ø1 ¼ esp. 1.9mm comp. 1950mm com entalhes para montante invertido</t>
  </si>
  <si>
    <t>PRD02203</t>
  </si>
  <si>
    <t>CONJ MAURO - APOIO + REFORÇO + SUPORTE ESTILETE + SUPORTE LATERAL LE + LD +  TRAVESSA DE CORTE</t>
  </si>
  <si>
    <t>PRD02204</t>
  </si>
  <si>
    <t>CHAPA DOBRADA 120 X 70 X 30 X 1650 X 4,75 - LOGO BIG STAR</t>
  </si>
  <si>
    <t>PRD02205</t>
  </si>
  <si>
    <t>MANCAL 400 X 235 X 6,35</t>
  </si>
  <si>
    <t>PRD02206</t>
  </si>
  <si>
    <t>FLANGE 280 X 6,35- FURAÇÃO ROSCA M10</t>
  </si>
  <si>
    <t>PRD02207</t>
  </si>
  <si>
    <t>FXT24230-A - ESP 2,3 LE + LD - CORTE</t>
  </si>
  <si>
    <t>PRD02208</t>
  </si>
  <si>
    <t>FXT24230-A - ESP 2,3 LE + LD - DOBRA</t>
  </si>
  <si>
    <t>PRD02209</t>
  </si>
  <si>
    <t>FXT24275-A - ESP.2,6 LE + LD - CORTE</t>
  </si>
  <si>
    <t>PRD02210</t>
  </si>
  <si>
    <t>FXT24275-A - ESP.2,6 LE ou LD - 1º e 2º DOBRA ESPECIAL</t>
  </si>
  <si>
    <t>PRD02211</t>
  </si>
  <si>
    <t>FXT24228-D - PartBody - CORTE</t>
  </si>
  <si>
    <t>PRD02212</t>
  </si>
  <si>
    <t>FXT24228-D - PartBody - DOBRA</t>
  </si>
  <si>
    <t>PRD02213</t>
  </si>
  <si>
    <t>3181903_Mao Francesa P Cremalheira 30cm Cromado #1,9mm</t>
  </si>
  <si>
    <t>PRD02214</t>
  </si>
  <si>
    <t>CHAPA DOBRADA LE + LD #1,0mm</t>
  </si>
  <si>
    <t>PRD02215</t>
  </si>
  <si>
    <t>S00223 - #2,0mm</t>
  </si>
  <si>
    <t>PRD02216</t>
  </si>
  <si>
    <t>S00111 - #3,0mm</t>
  </si>
  <si>
    <t>PRD02217</t>
  </si>
  <si>
    <t>S00112 - 1 #1,2mm</t>
  </si>
  <si>
    <t>PRD02218</t>
  </si>
  <si>
    <t>S00112 - 2 #3,0mm</t>
  </si>
  <si>
    <t>PRD02219</t>
  </si>
  <si>
    <t>S00114 - #4,75mm</t>
  </si>
  <si>
    <t>PRD02220</t>
  </si>
  <si>
    <t>S00219 - #1,2mm</t>
  </si>
  <si>
    <t>PRD02221</t>
  </si>
  <si>
    <t>S00220 - #1,2mm</t>
  </si>
  <si>
    <t>PRD02222</t>
  </si>
  <si>
    <t>S00221 - #1,2mm</t>
  </si>
  <si>
    <t>PRD02223</t>
  </si>
  <si>
    <t>S00224 - #2,0mm</t>
  </si>
  <si>
    <t>PRD02224</t>
  </si>
  <si>
    <t>S00225 - #2,0mm</t>
  </si>
  <si>
    <t>PRD02225</t>
  </si>
  <si>
    <t>S00226 - #2,0mm</t>
  </si>
  <si>
    <t>PRD02226</t>
  </si>
  <si>
    <t>S00227 - #2,0mm</t>
  </si>
  <si>
    <t>PRD02227</t>
  </si>
  <si>
    <t>S00228 - #2,0mm</t>
  </si>
  <si>
    <t>PRD02228</t>
  </si>
  <si>
    <t>S00229 - #2,0mm</t>
  </si>
  <si>
    <t>PRD02229</t>
  </si>
  <si>
    <t>S00231 - #2,0mm</t>
  </si>
  <si>
    <t>PRD02230</t>
  </si>
  <si>
    <t>S00233 - #1,2mm</t>
  </si>
  <si>
    <t>PRD02231</t>
  </si>
  <si>
    <t>S00234 - #1,2mm</t>
  </si>
  <si>
    <t>PRD02232</t>
  </si>
  <si>
    <t>S00235 - #1,2mm</t>
  </si>
  <si>
    <t>PRD02233</t>
  </si>
  <si>
    <t>S00236 - #2,0mm</t>
  </si>
  <si>
    <t>PRD02234</t>
  </si>
  <si>
    <t>S00112 - 2 #1,2mm</t>
  </si>
  <si>
    <t>PRD02235</t>
  </si>
  <si>
    <t>S0094 - #3,0mm</t>
  </si>
  <si>
    <t>PRD02236</t>
  </si>
  <si>
    <t>ESTRUTURA DIREITA #12,7mm</t>
  </si>
  <si>
    <t>PRD02237</t>
  </si>
  <si>
    <t>ESTRUTURA ESQUERDA #12,7mm</t>
  </si>
  <si>
    <t>PRD02238</t>
  </si>
  <si>
    <t>#5 - 172 x 25</t>
  </si>
  <si>
    <t>PRD02239</t>
  </si>
  <si>
    <t>PEÇA 9 - #1,2mm</t>
  </si>
  <si>
    <t>PRD02240</t>
  </si>
  <si>
    <t>peça 10 - #1,2mm</t>
  </si>
  <si>
    <t>PRD02241</t>
  </si>
  <si>
    <t>PEÇA 11 - #1,2mm</t>
  </si>
  <si>
    <t>PRD02242</t>
  </si>
  <si>
    <t>peça 12 - #2,0mm</t>
  </si>
  <si>
    <t>PRD02243</t>
  </si>
  <si>
    <t>PEÇA 13 - #2,0mm</t>
  </si>
  <si>
    <t>PRD02244</t>
  </si>
  <si>
    <t>PEÇA 14 - #2,0mm</t>
  </si>
  <si>
    <t>PRD02245</t>
  </si>
  <si>
    <t>PEÇA 15 - #2,0mm</t>
  </si>
  <si>
    <t>PRD02246</t>
  </si>
  <si>
    <t>PEÇA 16 - #2,0mm</t>
  </si>
  <si>
    <t>PRD02247</t>
  </si>
  <si>
    <t>PEÇA 17 - #2,0mm</t>
  </si>
  <si>
    <t>PRD02248</t>
  </si>
  <si>
    <t>PEÇA 18 #2,0mm</t>
  </si>
  <si>
    <t>PRD02249</t>
  </si>
  <si>
    <t>PEÇA 19 #2,0mm - APENAS O CORTE</t>
  </si>
  <si>
    <t>PRD02250</t>
  </si>
  <si>
    <t>PEÇA 20 #2,0mm</t>
  </si>
  <si>
    <t>PRD02251</t>
  </si>
  <si>
    <t>PEÇA 21 - A #2,25mm</t>
  </si>
  <si>
    <t>PRD02252</t>
  </si>
  <si>
    <t>PEÇA 21 - B #2,25mm</t>
  </si>
  <si>
    <t>PRD02253</t>
  </si>
  <si>
    <t>PEÇA 21 - C #2,25mm</t>
  </si>
  <si>
    <t>PRD02254</t>
  </si>
  <si>
    <t>PEÇA 21 - D #2,25mm</t>
  </si>
  <si>
    <t>PRD02255</t>
  </si>
  <si>
    <t>CONJ SOLDADO - ESTRUTURA RAMPA TEGMA</t>
  </si>
  <si>
    <t>PRD02256</t>
  </si>
  <si>
    <t>3181904_ tubo 25x25mm # 1,90mm-Expositor Fila Unica (PP) 1238x1000x500</t>
  </si>
  <si>
    <t>PRD02257</t>
  </si>
  <si>
    <t>PERFIL U 840 X 52 X 178 EXT X 3,0mm</t>
  </si>
  <si>
    <t>PRD02258</t>
  </si>
  <si>
    <t>FLANGE 126 X 9,5mm</t>
  </si>
  <si>
    <t>PRD02259</t>
  </si>
  <si>
    <t>CHAPA RETA 410 X 80 X 3,0mm</t>
  </si>
  <si>
    <t>PRD02260</t>
  </si>
  <si>
    <t>Blank PA 7000 ESP 0,75</t>
  </si>
  <si>
    <t>PRD02261</t>
  </si>
  <si>
    <t>PERFIL U - 25 EXT X 130 EXT X 1800 X 3,0mm</t>
  </si>
  <si>
    <t>PRD02262</t>
  </si>
  <si>
    <t>PERFIL U - 70 EXT X 252 INT X 500 X 4,75</t>
  </si>
  <si>
    <t>PRD02263</t>
  </si>
  <si>
    <t>CHAPA 130 X 130 X 1,0mm - LOGO TRUCK CEG</t>
  </si>
  <si>
    <t>PRD02264</t>
  </si>
  <si>
    <t>CHAPA 175 X 175X 1,0mm - LOGO TRUCK CEG</t>
  </si>
  <si>
    <t>PRD02265</t>
  </si>
  <si>
    <t>DISCO 500 X 4,75mm</t>
  </si>
  <si>
    <t>PRD02266</t>
  </si>
  <si>
    <t>DISCO 300 X 4,75mm</t>
  </si>
  <si>
    <t>PRD02267</t>
  </si>
  <si>
    <t>PERFIL U - 50 X 200 X 1800 X 2,0mm</t>
  </si>
  <si>
    <t>PRD02268</t>
  </si>
  <si>
    <t>CONJUNTO SOLDADO VOLVO #6,35 - 1 - PEÇA 28.1 (NÃO INCLUSO SOLDA NAS RÉGUAS)</t>
  </si>
  <si>
    <t>PRD02269</t>
  </si>
  <si>
    <t>CONJUNTO SOLDADO VOLVO - 2  #6,35 - PEÇA 26.2 - PERFIL U 143 X 65 X 65</t>
  </si>
  <si>
    <t>PRD02270</t>
  </si>
  <si>
    <t>CONJ MANCAIS - 10 X DE CADA</t>
  </si>
  <si>
    <t>PRD02271</t>
  </si>
  <si>
    <t>CONJ CALENAGEM #1,2mm e #1,5mm</t>
  </si>
  <si>
    <t>PRD02272</t>
  </si>
  <si>
    <t>BASE 400 X 400 X 12,7mm</t>
  </si>
  <si>
    <t>PRD02273</t>
  </si>
  <si>
    <t>CHAPA 3000 X 1200 X 3,0mm</t>
  </si>
  <si>
    <t>PRD02274</t>
  </si>
  <si>
    <t>3181813_Braços FRAM Camarim _chapa # 1,50mm Laser</t>
  </si>
  <si>
    <t>PRD02275</t>
  </si>
  <si>
    <t>3181906_CHAPA DE AÇO PERFURADA GLORIFIER AMSTEL</t>
  </si>
  <si>
    <t>PRD02276</t>
  </si>
  <si>
    <t>3181902_Braço BCL (901156) chapa 3mm</t>
  </si>
  <si>
    <t>PRD02277</t>
  </si>
  <si>
    <t>PERFIL U 100 X 7 X 17 X 1,2mm</t>
  </si>
  <si>
    <t>PRD02278</t>
  </si>
  <si>
    <t>CHAPA DOBRADA 120 X 70 X 30 X 1500 X 4,75 - LOGO BIG STAR</t>
  </si>
  <si>
    <t>PRD02279</t>
  </si>
  <si>
    <t>CHAPA DOBRADA 120 X 70 X 30 X 1570 X 4,75 - LOGO BIG STAR</t>
  </si>
  <si>
    <t>PRD02280</t>
  </si>
  <si>
    <t>PONTEIRA #2,0mm</t>
  </si>
  <si>
    <t>PRD02281</t>
  </si>
  <si>
    <t>PRATELEIRA PEÇA A #2,0mm</t>
  </si>
  <si>
    <t>PRD02282</t>
  </si>
  <si>
    <t>PRATELEIRA PEÇA B  #2,0mm</t>
  </si>
  <si>
    <t>PRD02283</t>
  </si>
  <si>
    <t>SUPORTE COMUNICAÇÃO #1,5mm</t>
  </si>
  <si>
    <t>PRD02284</t>
  </si>
  <si>
    <t>SUPORTE CREMALHEIRA A #2,0mm</t>
  </si>
  <si>
    <t>PRD02285</t>
  </si>
  <si>
    <t>SUPORTE CREMALHEIRA B #2,0mm</t>
  </si>
  <si>
    <t>PRD02286</t>
  </si>
  <si>
    <t>SUPORTE CREMALHEIRA C  #2,0mm</t>
  </si>
  <si>
    <t>PRD02287</t>
  </si>
  <si>
    <t>SUPORTE CREMALHEIRA D #2,0mm</t>
  </si>
  <si>
    <t>PRD02288</t>
  </si>
  <si>
    <t>SUPORTE CREMALHEIRA E #2,0mm</t>
  </si>
  <si>
    <t>PRD02289</t>
  </si>
  <si>
    <t>SUPORTE J #2,0mm</t>
  </si>
  <si>
    <t>PRD02290</t>
  </si>
  <si>
    <t>SUPORTE TESTEIRA #1,5mm</t>
  </si>
  <si>
    <t>PRD02291</t>
  </si>
  <si>
    <t>REGUA 334 X 50 X 3,0mm - INOX - 6 UN</t>
  </si>
  <si>
    <t>PRD02292</t>
  </si>
  <si>
    <t>chapa 2.25 30x357mm 2x</t>
  </si>
  <si>
    <t>PRD02293</t>
  </si>
  <si>
    <t>_Luminoso AMSTEL_corte laser chapa # 1,5mm</t>
  </si>
  <si>
    <t>PRD02294</t>
  </si>
  <si>
    <t>caldeira_62X38_rev2 CHAPA 380 X 620 X 1,5mm - INOX</t>
  </si>
  <si>
    <t>PRD02295</t>
  </si>
  <si>
    <t>TAMPA CALDEIRA1 230 X 230 X 1,5mm - SEM FUROS CENTRAIS</t>
  </si>
  <si>
    <t>PRD02296</t>
  </si>
  <si>
    <t>TAMPA CALDEIRA1 230 X 230 X 1,5mm - INOX</t>
  </si>
  <si>
    <t>PRD02297</t>
  </si>
  <si>
    <t>CONJ - corte tuba aço carbono 2mm</t>
  </si>
  <si>
    <t>PRD02298</t>
  </si>
  <si>
    <t>CONJ - Corte tuba inox 2mm</t>
  </si>
  <si>
    <t>PRD02299</t>
  </si>
  <si>
    <t>BASE 230x220x6,35</t>
  </si>
  <si>
    <t>PRD02300</t>
  </si>
  <si>
    <t>_ Cotovelo horizontal 500x500mm - 1</t>
  </si>
  <si>
    <t>PRD02301</t>
  </si>
  <si>
    <t>_ Cotovelo horizontal 500x500mm - 2</t>
  </si>
  <si>
    <t>PRD02302</t>
  </si>
  <si>
    <t>_ Cotovelo horizontal 500x500mm - 3 - CHAPA DOBRADA 720 X 15 X 25</t>
  </si>
  <si>
    <t>PRD02303</t>
  </si>
  <si>
    <t>_ Cotovelo vertical 500x500mm - 1 - CHAPA DOBRADA 16,5 X 30 X 120 X 726</t>
  </si>
  <si>
    <t>PRD02304</t>
  </si>
  <si>
    <t>_ Cotovelo vertical 500x500mm - 2 - CHAPA DOBRADA 16,5 X 30 X 120 X 616</t>
  </si>
  <si>
    <t>PRD02305</t>
  </si>
  <si>
    <t>_ Cotovelo vertical 500x500mm - 3 PERFIL U 15 X 25 X 866</t>
  </si>
  <si>
    <t>PRD02306</t>
  </si>
  <si>
    <t>_ lateral de emenda</t>
  </si>
  <si>
    <t>PRD02307</t>
  </si>
  <si>
    <t>_ Tampa da emenda</t>
  </si>
  <si>
    <t>PRD02308</t>
  </si>
  <si>
    <t>_ Trecho reto de 3010mm _ chaparia 30 peças - CHAPA DOBRADA 2650 X 16,2 X 30 X 120</t>
  </si>
  <si>
    <t>PRD02309</t>
  </si>
  <si>
    <t>_ Trecho reto de 3010mm _ chaparia 30 peças - PERFIL U 15 X 25 X 2850</t>
  </si>
  <si>
    <t>PRD02310</t>
  </si>
  <si>
    <t>_Suporte barra de 40mm _ chapa 1,2mm galvanizada</t>
  </si>
  <si>
    <t>PRD02311</t>
  </si>
  <si>
    <t>CAIXA P2 - #1,2mm e #2,0mm</t>
  </si>
  <si>
    <t>PRD02312</t>
  </si>
  <si>
    <t>Cutting pedals v2 x1 (500x500) #3,0mm</t>
  </si>
  <si>
    <t>PRD02313</t>
  </si>
  <si>
    <t>Chapa Metalica Maria - 1</t>
  </si>
  <si>
    <t>PRD02314</t>
  </si>
  <si>
    <t>Chapa Metalica Maria - 2</t>
  </si>
  <si>
    <t>PRD02315</t>
  </si>
  <si>
    <t>FLANGE DA BOCA DE ACESSO 5MM 1X</t>
  </si>
  <si>
    <t>PRD02316</t>
  </si>
  <si>
    <t>OLHAL 5MM 2X</t>
  </si>
  <si>
    <t>PRD02317</t>
  </si>
  <si>
    <t>3181905_ Tubo 50x25mm # 1.9mm_entalhe dois lados P Expositor Central Duplo 901180</t>
  </si>
  <si>
    <t>PRD02318</t>
  </si>
  <si>
    <t>RACK - CONSOLE DE TETO ATEGO MBB - 2400 X 1200 X 1300</t>
  </si>
  <si>
    <t>PRD02319</t>
  </si>
  <si>
    <t>CAIXA DE FERRAMENTA - 570 X 400 X 350 - 10 UN</t>
  </si>
  <si>
    <t>PRD02320</t>
  </si>
  <si>
    <t>CAIXA DE FERRAMENTA - 570 X 400 X 350 - 2 UN</t>
  </si>
  <si>
    <t>PRD02321</t>
  </si>
  <si>
    <t>PERFIL L - 1500 X 20 X 240 X 2,0mm</t>
  </si>
  <si>
    <t>PRD02322</t>
  </si>
  <si>
    <t>PERFIL L - 1500 X 20 X 225 X 2,0mm</t>
  </si>
  <si>
    <t>PRD02323</t>
  </si>
  <si>
    <t>CHAPA RETA 410 X 80 X 9,5mm</t>
  </si>
  <si>
    <t>PRD02324</t>
  </si>
  <si>
    <t>SERVIÇO DOBRA DEGRAUS - 4PÇS</t>
  </si>
  <si>
    <t>PRD02325</t>
  </si>
  <si>
    <t>PERFIL ENRIJECIDO - 25 X 150 X 140 X 3000 X 4,75mm</t>
  </si>
  <si>
    <t>PRD02326</t>
  </si>
  <si>
    <t>CHAPA DOBRADA 30 X 160 X 325 X 4,75mm</t>
  </si>
  <si>
    <t>PRD02327</t>
  </si>
  <si>
    <t>PERFIL L - 30 X 185 X 200 X 4,75mm</t>
  </si>
  <si>
    <t>PRD02328</t>
  </si>
  <si>
    <t>PERFIL ENRIJECIDO - 25 X 130 X 120 X 1340 X 4,75mm</t>
  </si>
  <si>
    <t>PRD02329</t>
  </si>
  <si>
    <t>CHAPA DOBRADA - 32 X 163 X 153 X 4,75mm</t>
  </si>
  <si>
    <t>PRD02330</t>
  </si>
  <si>
    <t>CHAPA DOBRADA - 30 X 160 X 325 X 4,75mm</t>
  </si>
  <si>
    <t>PRD02331</t>
  </si>
  <si>
    <t>PERFIL ENRIJECIDO - 580 X 200 X 20 X 10 X 2,0mm</t>
  </si>
  <si>
    <t>PRD02332</t>
  </si>
  <si>
    <t>Produto YOROZO - #3,0mm - S460MC</t>
  </si>
  <si>
    <t>PRD02333</t>
  </si>
  <si>
    <t>#4 - 149 x 45 ( AVANT )</t>
  </si>
  <si>
    <t>PRD02334</t>
  </si>
  <si>
    <t>desenho orcamento #0,5mm</t>
  </si>
  <si>
    <t>PRD02335</t>
  </si>
  <si>
    <t>CJ SOLDADO - CHAPA DOBRADA 2005 X 387 X 2,25mm</t>
  </si>
  <si>
    <t>PRD02336</t>
  </si>
  <si>
    <t>CORTE CONJ CHAPA - #1,5MM</t>
  </si>
  <si>
    <t>PRD02337</t>
  </si>
  <si>
    <t>CORTE CONJ CHAPA - #3,0MM</t>
  </si>
  <si>
    <t>PRD02338</t>
  </si>
  <si>
    <t>CORTE CONJ CHAPA - #5,0MM</t>
  </si>
  <si>
    <t>PRD02339</t>
  </si>
  <si>
    <t>CORTE CONJ CHAPA - #6,35MM</t>
  </si>
  <si>
    <t>PRD02340</t>
  </si>
  <si>
    <t>BASE 500 X 500 X 6,35 - 3</t>
  </si>
  <si>
    <t>PRD02341</t>
  </si>
  <si>
    <t>PERFIL U - 40 X 70 X 40 X 4,75mm</t>
  </si>
  <si>
    <t>PRD02342</t>
  </si>
  <si>
    <t>PERFIL U - 32 X 70 X 32 X 4,75mm</t>
  </si>
  <si>
    <t>PRD02343</t>
  </si>
  <si>
    <t>OCULOS #3,0mm</t>
  </si>
  <si>
    <t>PRD02344</t>
  </si>
  <si>
    <t>conexao2 #1,5mm - 1 UN</t>
  </si>
  <si>
    <t>PRD02345</t>
  </si>
  <si>
    <t>conexao2 #1,5mm - 60 UN</t>
  </si>
  <si>
    <t>PRD02346</t>
  </si>
  <si>
    <t>_ Trecho reto de 3000mm - PERFIL U 2850 X 95 X 15 X 1,2mm</t>
  </si>
  <si>
    <t>PRD02347</t>
  </si>
  <si>
    <t>_ Trecho reto de 3000mm - CHAPA DOBRADA 2650 X 120 X 30 X 16,2 X 1,2mm</t>
  </si>
  <si>
    <t>PRD02348</t>
  </si>
  <si>
    <t>COTOVELO HORIZONTAL - CHAPA DOBRADA 15 X 75 X 720 X 1,2mm</t>
  </si>
  <si>
    <t>PRD02349</t>
  </si>
  <si>
    <t>COTOVELO HORIZONTAL - PERFIL U  15 X 95 X 960 X 1,2mm</t>
  </si>
  <si>
    <t>PRD02350</t>
  </si>
  <si>
    <t>COTOVELO HORIZONTAL - CHAPA DOBRADA 16,5 X 30 X 120 X 760 X 1,2  4+4</t>
  </si>
  <si>
    <t>PRD02351</t>
  </si>
  <si>
    <t>_Suporte barra de 110mm _ chapa 1,2mm</t>
  </si>
  <si>
    <t>PRD02352</t>
  </si>
  <si>
    <t>PERFIL L - 56 X 420 X 1041</t>
  </si>
  <si>
    <t>PRD02353</t>
  </si>
  <si>
    <t>620x380_CALDEIRA_2_rev2 - INOX #1,5mm</t>
  </si>
  <si>
    <t>PRD02354</t>
  </si>
  <si>
    <t>TAMPA ENTRADA_2_rev2 - inox #1,5mm</t>
  </si>
  <si>
    <t>PRD02355</t>
  </si>
  <si>
    <t>TAMPA SAIDA_2_rev2</t>
  </si>
  <si>
    <t>PRD02356</t>
  </si>
  <si>
    <t>CONJ MOLDE - 801 X 100 X 3,0mm</t>
  </si>
  <si>
    <t>PRD02357</t>
  </si>
  <si>
    <t>CONJ MOLDE - 801 X 100 X 3,0</t>
  </si>
  <si>
    <t>PRD02358</t>
  </si>
  <si>
    <t>FEMALE BRACKET LH IAP01000FXT24230</t>
  </si>
  <si>
    <t>PRD02359</t>
  </si>
  <si>
    <t>BASE DOBRADA 200 X 250 X 8,0mm</t>
  </si>
  <si>
    <t>PRD02360</t>
  </si>
  <si>
    <t>689-20.TESTE - 6 PECAS</t>
  </si>
  <si>
    <t>PRD02361</t>
  </si>
  <si>
    <t>2574-50.44 REV1 - 3 PECAS</t>
  </si>
  <si>
    <t>PRD02362</t>
  </si>
  <si>
    <t>2907-10.44 - 3 PECAS</t>
  </si>
  <si>
    <t>PRD02363</t>
  </si>
  <si>
    <t>UNIÃO PRATELEIRAS (x24) - 24 PECAS</t>
  </si>
  <si>
    <t>PRD02364</t>
  </si>
  <si>
    <t>PERFIL L 45º - 220 X 70 X 2400 X 3,0mm</t>
  </si>
  <si>
    <t>PRD02365</t>
  </si>
  <si>
    <t>3180085  CHAPA 2,25mm SUPORTE BANCA 80X80</t>
  </si>
  <si>
    <t>PRD02366</t>
  </si>
  <si>
    <t>Modulo Maquiagem Paredão Blogueiras Mariana Saad_laser chapa # 1,20mm</t>
  </si>
  <si>
    <t>PRD02367</t>
  </si>
  <si>
    <t>_ mão francesa - 1</t>
  </si>
  <si>
    <t>PRD02368</t>
  </si>
  <si>
    <t>_ mão francesa - 2</t>
  </si>
  <si>
    <t>PRD02369</t>
  </si>
  <si>
    <t>DISCO Ø175mm x 9,5mm</t>
  </si>
  <si>
    <t>PRD02370</t>
  </si>
  <si>
    <t>DISCO Ø126mm x 12,7mm</t>
  </si>
  <si>
    <t>PRD02371</t>
  </si>
  <si>
    <t>CHAPA 1920  X 23 X 1,5 - ALUMINIO LISO</t>
  </si>
  <si>
    <t>PRD02372</t>
  </si>
  <si>
    <t>CHAPA 1920  X 11 X 1,5 - ALUMINIO LISO</t>
  </si>
  <si>
    <t>PRD02373</t>
  </si>
  <si>
    <t>CHAPA 1300 X  23 X 1,5  - ALUMINIO LISO</t>
  </si>
  <si>
    <t>PRD02374</t>
  </si>
  <si>
    <t>24.02.29 - MB-HO 60 310 ESTRUTURA - PRATELEIRA 624x250x68,5 #2mm CASA IDEA - LOTE de 10 PECAS</t>
  </si>
  <si>
    <t>PRD02375</t>
  </si>
  <si>
    <t>FXT24275-A - ESP.2,6 LE ou LD - CALIBRAÇÃO 3º DOBRA, RESULTADO FINAL DEPENDENTE do ESTADO INCIAL DO PRODUTO</t>
  </si>
  <si>
    <t>PRD02376</t>
  </si>
  <si>
    <t>PERFIL L - 90 X 10 X 950 X 1,0mm</t>
  </si>
  <si>
    <t>PRD02377</t>
  </si>
  <si>
    <t>PERFIL U - 15 X 242 X 950 X 1,0mm</t>
  </si>
  <si>
    <t>PRD02378</t>
  </si>
  <si>
    <t>PERFIL L 20 X 60 X 3000</t>
  </si>
  <si>
    <t>PRD02379</t>
  </si>
  <si>
    <t>#1,5 BASE - LINHA DE DOBRA - 2 PCS (1)</t>
  </si>
  <si>
    <t>PRD02380</t>
  </si>
  <si>
    <t>#1,5 BASE - LINHA DE DOBRA - 14 PCS (1)</t>
  </si>
  <si>
    <t>PRD02381</t>
  </si>
  <si>
    <t>#2,0 - TAMPA - 16 PCS</t>
  </si>
  <si>
    <t>PRD02382</t>
  </si>
  <si>
    <t>PROTETOR TANQUE ARLA SCANIA G370 2024 - CHAPA PISO ALUMINIO DOBRADA #2,5mm</t>
  </si>
  <si>
    <t>PRD02383</t>
  </si>
  <si>
    <t>PROTETOR TANQUE ARLA SCANIA G370 2024 - CHAPA RETA 433 X 30 X 3,0mm - ALUMINIO LISO</t>
  </si>
  <si>
    <t>PRD02384</t>
  </si>
  <si>
    <t>CHAPA FURADA LOGO GRAU #3,0mm</t>
  </si>
  <si>
    <t>PRD02385</t>
  </si>
  <si>
    <t>CHAPA FURADA LOGO GRAU DICHAVA #3,0mm</t>
  </si>
  <si>
    <t>PRD02386</t>
  </si>
  <si>
    <t>LASER #3,0mm</t>
  </si>
  <si>
    <t>PRD02387</t>
  </si>
  <si>
    <t>CHAPA RETA 50 X 25 X 3,0mm</t>
  </si>
  <si>
    <t>PRD02388</t>
  </si>
  <si>
    <t>CHAPA RETA 100 X 25 X 3,0mm</t>
  </si>
  <si>
    <t>PRD02389</t>
  </si>
  <si>
    <t>PECA 30 - SUP JOYSTICK 1 - 70mm x 75,2mm x 92,5mm X 2,2mm</t>
  </si>
  <si>
    <t>PRD02390</t>
  </si>
  <si>
    <t>PECA 31 -SUP JOYSTICK 2 - 70mm x 75,2mm x 92,5mm X 2,2mm</t>
  </si>
  <si>
    <t>PRD02391</t>
  </si>
  <si>
    <t>CHAPA RETA - 120 X 110 X 6,35</t>
  </si>
  <si>
    <t>PRD02392</t>
  </si>
  <si>
    <t>CORTE CHAPA #1,5mm - CARENAGENS - PECAS 1 A 7</t>
  </si>
  <si>
    <t>PRD02393</t>
  </si>
  <si>
    <t>CANTONEIRA 51 X 13,5 X 2,0mm x 1595,5</t>
  </si>
  <si>
    <t>PRD02394</t>
  </si>
  <si>
    <t>MANCAL 110 X 240 X 120 X 50 X 6,35mm</t>
  </si>
  <si>
    <t>PRD02395</t>
  </si>
  <si>
    <t>MANCAL 160 X 125 X 120 X 80 X 6,35mm</t>
  </si>
  <si>
    <t>PRD02396</t>
  </si>
  <si>
    <t>MANCAL 110 X 125 X 120 X 50 X 6,35mm</t>
  </si>
  <si>
    <t>PRD02397</t>
  </si>
  <si>
    <t>3181536_1097281 - EXPOSITOR DE CHAO FYS GIRATORIO 31102024 chapa laser</t>
  </si>
  <si>
    <t>PRD02398</t>
  </si>
  <si>
    <t>75865526 - 32 PCS</t>
  </si>
  <si>
    <t>PRD02399</t>
  </si>
  <si>
    <t>75865654 - 2 PCS</t>
  </si>
  <si>
    <t>PRD02400</t>
  </si>
  <si>
    <t>75865655 - 2 PCS</t>
  </si>
  <si>
    <t>PRD02401</t>
  </si>
  <si>
    <t>75869424 - 4 PCS</t>
  </si>
  <si>
    <t>PRD02402</t>
  </si>
  <si>
    <t>BASE 460 X 400 X 12,7mm</t>
  </si>
  <si>
    <t>PRD02403</t>
  </si>
  <si>
    <t>BASE 250 X 400 X 12,7</t>
  </si>
  <si>
    <t>PRD02404</t>
  </si>
  <si>
    <t>NERVURA 460 X 50 X 12,7 (2X)</t>
  </si>
  <si>
    <t>PRD02405</t>
  </si>
  <si>
    <t>224.MTO.051 - BASE_ESP 4,80 mm - QTDS 150PÇS</t>
  </si>
  <si>
    <t>PRD02406</t>
  </si>
  <si>
    <t>224.MTO.051 - SUPORTE_ESP 4,80mm - QTDS 150PÇS</t>
  </si>
  <si>
    <t>PRD02407</t>
  </si>
  <si>
    <t>_ Base para todas emendas trechos retos barra colada - CH3 PERFIL U 19,7 X 181,7 X 700</t>
  </si>
  <si>
    <t>PRD02408</t>
  </si>
  <si>
    <t>CH1 - PERFIL U 21,2 X 184,4 X 2500 X 1,2mm</t>
  </si>
  <si>
    <t>PRD02409</t>
  </si>
  <si>
    <t>CH2 - PERFIL U 50 X 184,4 X 2500 X 1,2mm</t>
  </si>
  <si>
    <t>PRD02410</t>
  </si>
  <si>
    <t>CH4 - CHAPA RETA 2500 X 269,4 X 1,2mm</t>
  </si>
  <si>
    <t>PRD02411</t>
  </si>
  <si>
    <t>CH5</t>
  </si>
  <si>
    <t>PRD02412</t>
  </si>
  <si>
    <t>CH6</t>
  </si>
  <si>
    <t>PRD02413</t>
  </si>
  <si>
    <t>CH7</t>
  </si>
  <si>
    <t>PRD02414</t>
  </si>
  <si>
    <t>CH8</t>
  </si>
  <si>
    <t>PRD02415</t>
  </si>
  <si>
    <t>CH9</t>
  </si>
  <si>
    <t>PRD02416</t>
  </si>
  <si>
    <t>CH10</t>
  </si>
  <si>
    <t>PRD02417</t>
  </si>
  <si>
    <t>CH11</t>
  </si>
  <si>
    <t>PRD02418</t>
  </si>
  <si>
    <t>_ lateral de emenda  - #1,2mm</t>
  </si>
  <si>
    <t>PRD02419</t>
  </si>
  <si>
    <t>_ Tampa da emenda - #1,2mm</t>
  </si>
  <si>
    <t>PRD02420</t>
  </si>
  <si>
    <t>CONJ PAINEL #1,0mm - PEÇAS CQ002 a CQ 016 - LASER</t>
  </si>
  <si>
    <t>PRD02421</t>
  </si>
  <si>
    <t>CONJ PAINEL #1,0mm - PEÇAS CQ002 a CQ 016 - DOBRA</t>
  </si>
  <si>
    <t>PRD02422</t>
  </si>
  <si>
    <t>CONJ PAINEL #1,0mm - PEÇAS CQ002 a CQ 016 - SOLDA</t>
  </si>
  <si>
    <t>PRD02423</t>
  </si>
  <si>
    <t>_ lateral de emenda 25mm - PERFIL U 16,5 X 25 X 160 X 1,2mm</t>
  </si>
  <si>
    <t>PRD02424</t>
  </si>
  <si>
    <t>_ lateral de emenda 55mm - PERFIL U 16,5 X 55 X 160 X 1,2mm</t>
  </si>
  <si>
    <t>PRD02425</t>
  </si>
  <si>
    <t>_ lateral de emenda 75mm - PERFIL U 16,5 X 75 X 160 X 1,2mm</t>
  </si>
  <si>
    <t>PRD02426</t>
  </si>
  <si>
    <t>_ lateral de emenda 95mm - PERFIL U 16,5 X 95 X 160 X 1,2mm</t>
  </si>
  <si>
    <t>PRD02427</t>
  </si>
  <si>
    <t>_ Perfil lateral 3010mm _ 25mm - PERFIL U 15  X 25 X 2850 X 1,2mm</t>
  </si>
  <si>
    <t>PRD02428</t>
  </si>
  <si>
    <t>_ Perfil lateral 3010mm _ 55mm - PERFIL U 15 X 55 X 2850 X 1,2mm</t>
  </si>
  <si>
    <t>PRD02429</t>
  </si>
  <si>
    <t>_ Perfil lateral 3010mm _ 75mm - PERFIL U 15 X 75 X 2850 X 1,2mm</t>
  </si>
  <si>
    <t>PRD02430</t>
  </si>
  <si>
    <t>_ Tampa da emenda - CHAPA DOBRADA 16,2 X 30 X 120 X 1,2mm</t>
  </si>
  <si>
    <t>PRD02431</t>
  </si>
  <si>
    <t>_Suporte barra de 40 _ 50mm _ chapa 1,2mm PERFIL U 8,5 X 82 X 40 X 1,2mm</t>
  </si>
  <si>
    <t>PRD02432</t>
  </si>
  <si>
    <t>_Suporte barra de 70 _ 80mm _ chapa 1,2mm PERFIL U 8,5 X 112 X 40 X 1,2mm</t>
  </si>
  <si>
    <t>PRD02433</t>
  </si>
  <si>
    <t>_Suporte barra de 90 _ 100mm _ chapa 1,2mm - PERFIL U 8,5 X 132 X 40 X 1,2mm</t>
  </si>
  <si>
    <t>PRD02434</t>
  </si>
  <si>
    <t>_Suporte barra de 110 _ 120mm _ chapa 1,2mm - PERFIL U 8,5 X 152 X 40 X 1,2mm</t>
  </si>
  <si>
    <t>PRD02435</t>
  </si>
  <si>
    <t>_ Perfil lateral 3010mm _ 95mm - PERFIL U 15 X 95 X 2850 X 1,2mm</t>
  </si>
  <si>
    <t>PRD02436</t>
  </si>
  <si>
    <t>_ Trecho reto de 3000mm - CHAPA DOBRADA 16,2 X 30 X 120 X 2650 X 1,2mm</t>
  </si>
  <si>
    <t>PRD02437</t>
  </si>
  <si>
    <t>Haste Edlei02 (2)</t>
  </si>
  <si>
    <t>PRD02438</t>
  </si>
  <si>
    <t>Peças02  - BANDEJA 616 X 616 X 1,2mm</t>
  </si>
  <si>
    <t>PRD02439</t>
  </si>
  <si>
    <t>Peças02  - CHAPA 400 X 64 X 1,2mm</t>
  </si>
  <si>
    <t>PRD02440</t>
  </si>
  <si>
    <t>Peças02  - CHAPA 620 X 144 X 3,0mm</t>
  </si>
  <si>
    <t>PRD02441</t>
  </si>
  <si>
    <t>Peças02  - CHAPA 620 X 193 X 3,0mm</t>
  </si>
  <si>
    <t>PRD02442</t>
  </si>
  <si>
    <t>Peças02  - MEIA LUA #1,5mm</t>
  </si>
  <si>
    <t>PRD02443</t>
  </si>
  <si>
    <t>teto Mitri - PERFIL U 15 X 205 X 1,0mm</t>
  </si>
  <si>
    <t>PRD02444</t>
  </si>
  <si>
    <t>CHAPA 110 X 50 X 2,0mm</t>
  </si>
  <si>
    <t>PRD02445</t>
  </si>
  <si>
    <t>CHAPA 113 X 96,4 X 2,0mm</t>
  </si>
  <si>
    <t>PRD02446</t>
  </si>
  <si>
    <t>CHAPA 104 X 47 X 2,0mm</t>
  </si>
  <si>
    <t>PRD02447</t>
  </si>
  <si>
    <t>CONJ RECANTO ANIMAL TIRAS + LETRAS #1,2mm</t>
  </si>
  <si>
    <t>PRD02448</t>
  </si>
  <si>
    <t>FACA #5,0mm INOX</t>
  </si>
  <si>
    <t>PRD02449</t>
  </si>
  <si>
    <t>APOIO MENOR POLICARBONATO 1,95MM 2X</t>
  </si>
  <si>
    <t>PRD02450</t>
  </si>
  <si>
    <t>APOIO POLICARBONATO 1,95MM 6X</t>
  </si>
  <si>
    <t>PRD02451</t>
  </si>
  <si>
    <t>_ Trecho reto 1600A _ mata junta emenda horizontal</t>
  </si>
  <si>
    <t>PRD02452</t>
  </si>
  <si>
    <t>_ Trecho reto 630A  - .CHAPA RETA 195,39 X 118,8 X 1,2mm dxf</t>
  </si>
  <si>
    <t>PRD02453</t>
  </si>
  <si>
    <t>_ Trecho reto 630A _ 500mm - 500 x 515 x 1,2 _</t>
  </si>
  <si>
    <t>PRD02454</t>
  </si>
  <si>
    <t>_ Trecho reto 630A _ emenda horizontal _ peças - CHAPA RETA 680 X 515,7 X 1,2mm</t>
  </si>
  <si>
    <t>PRD02455</t>
  </si>
  <si>
    <t>_ Trecho reto 630A _ mata junta emenda horizontal - CHAPA RETA 160 X 515,7 X 1,2mm _</t>
  </si>
  <si>
    <t>PRD02456</t>
  </si>
  <si>
    <t>_ Trecho reto 2000A _ 2000mm - CHAPA RETA 2000 X 753,2 X 1,2mm</t>
  </si>
  <si>
    <t>PRD02457</t>
  </si>
  <si>
    <t>_ Trecho reto 2000A _ emenda horizontal _ peças - CHAPA RETA 680 X 753,3 X 1,2mm</t>
  </si>
  <si>
    <t>PRD02458</t>
  </si>
  <si>
    <t>_ Trecho reto 2000A _ mata junta emenda horizontal - CHAPA RETA 753,3 X 180 X 1,2mm</t>
  </si>
  <si>
    <t>PRD02459</t>
  </si>
  <si>
    <t>_ Trecho reto 2500A _ 2000mm - CHAPA RETA 2000 X 755,2 X 1,2mm</t>
  </si>
  <si>
    <t>PRD02460</t>
  </si>
  <si>
    <t>_ Trecho reto 2500A _ emenda horizontal _ peças - CHAPA RETA 680 X 755,3 X 1,2mm</t>
  </si>
  <si>
    <t>PRD02461</t>
  </si>
  <si>
    <t>_ Trecho reto 2500A _ mata junta emenda horizontal - CHAPA RETA 180 X 755,3 X 1,2mm</t>
  </si>
  <si>
    <t>PRD02462</t>
  </si>
  <si>
    <t>_ Trecho reto 630A _ 2000mm _ peças - CHAPA RETA 2000 X 515,2 X 1,2mm</t>
  </si>
  <si>
    <t>PRD02463</t>
  </si>
  <si>
    <t>BA-05 #1,2mm</t>
  </si>
  <si>
    <t>PRD02464</t>
  </si>
  <si>
    <t>_ Suporte - CHAPA RETA 270 x 210 x 1,2mm</t>
  </si>
  <si>
    <t>PRD02465</t>
  </si>
  <si>
    <t>_ Suporte - CHAPA RETA 467 X 40 X 1,2mm</t>
  </si>
  <si>
    <t>PRD02466</t>
  </si>
  <si>
    <t>BASE 200 X 200 X 9,5mm - 1</t>
  </si>
  <si>
    <t>PRD02467</t>
  </si>
  <si>
    <t>BASE 200 X 200 X 9,5mm - 2</t>
  </si>
  <si>
    <t>PRD02468</t>
  </si>
  <si>
    <t>BASE 120 X 120 X 12,7</t>
  </si>
  <si>
    <t>PRD02469</t>
  </si>
  <si>
    <t>3181915_Mao francesa 45cm P Cremalheira</t>
  </si>
  <si>
    <t>PRD02470</t>
  </si>
  <si>
    <t>CHAPA DOBRADA 1647 X 119,6 X 2,0mm</t>
  </si>
  <si>
    <t>PRD02471</t>
  </si>
  <si>
    <t>CHAPA 1190 X 300 X 2,0mm - 2UN</t>
  </si>
  <si>
    <t>PRD02472</t>
  </si>
  <si>
    <t>CHAPA 1190 X 300 X 2,0mm - 10 UN</t>
  </si>
  <si>
    <t>PRD02473</t>
  </si>
  <si>
    <t>CHAPA 1190 X 300 X 2,0mm - 50 UN</t>
  </si>
  <si>
    <t>PRD02474</t>
  </si>
  <si>
    <t>MEIA LUA #2,0mm - 2UN</t>
  </si>
  <si>
    <t>PRD02475</t>
  </si>
  <si>
    <t>MEIA LUA #2,0mm - 10UN</t>
  </si>
  <si>
    <t>PRD02476</t>
  </si>
  <si>
    <t>MEIA LUA #2,0mm - 50UN</t>
  </si>
  <si>
    <t>PRD02477</t>
  </si>
  <si>
    <t>MEIA LUA MENOR #2,0mm - 2UN</t>
  </si>
  <si>
    <t>PRD02478</t>
  </si>
  <si>
    <t>MEIA LUA MENOR #2,0mm - 10UN</t>
  </si>
  <si>
    <t>PRD02479</t>
  </si>
  <si>
    <t>MEIA LUA MENOR #2,0mm - 50 UN</t>
  </si>
  <si>
    <t>PRD02480</t>
  </si>
  <si>
    <t>MEIA LUA MENOR #2,0mm - 10 UN</t>
  </si>
  <si>
    <t>PRD02481</t>
  </si>
  <si>
    <t>_ Trecho reto 1600A _ 2000mm</t>
  </si>
  <si>
    <t>PRD02482</t>
  </si>
  <si>
    <t>_ Trecho reto 1600A _ emenda horizontal _ pecas</t>
  </si>
  <si>
    <t>PRD02483</t>
  </si>
  <si>
    <t>_ Cotovelo horizontal 4+4</t>
  </si>
  <si>
    <t>PRD02484</t>
  </si>
  <si>
    <t>_ Cotovelo vertical - 1</t>
  </si>
  <si>
    <t>PRD02485</t>
  </si>
  <si>
    <t>_ Cotovelo vertical - 2</t>
  </si>
  <si>
    <t>PRD02486</t>
  </si>
  <si>
    <t>_ Trecho reto 630A _ vertical - 1</t>
  </si>
  <si>
    <t>PRD02487</t>
  </si>
  <si>
    <t>_ Trecho reto 630A _ vertical - 2</t>
  </si>
  <si>
    <t>PRD02488</t>
  </si>
  <si>
    <t>_ Trecho reto 630A _chapa obturação _ 30_08_2025</t>
  </si>
  <si>
    <t>PRD02489</t>
  </si>
  <si>
    <t>_ Trecho reto 1600A _chapa obturação _ 30_08_2025</t>
  </si>
  <si>
    <t>PRD02490</t>
  </si>
  <si>
    <t>_ Trecho reto 2000A _chapa obturação _ 30_08_2025</t>
  </si>
  <si>
    <t>PRD02491</t>
  </si>
  <si>
    <t>_ Trecho reto 2500A _chapa obturação _ 30_08_2025</t>
  </si>
  <si>
    <t>PRD02492</t>
  </si>
  <si>
    <t>CONJ 2 PAINEL #1,0mm - NOVAS PEÇAS - LASER</t>
  </si>
  <si>
    <t>PRD02493</t>
  </si>
  <si>
    <t>CONJ 2 PAINEL #1,0mm - NOVAS PEÇAS - DOBRA</t>
  </si>
  <si>
    <t>PRD02494</t>
  </si>
  <si>
    <t>CONJ 2 PAINEL #1,0mm - NOVAS PEÇAS - SOLDA</t>
  </si>
  <si>
    <t>PRD02495</t>
  </si>
  <si>
    <t>CONJ MOLDE #3,0mm - 901 x 1000 x 3,0MM - 1UN</t>
  </si>
  <si>
    <t>PRD02496</t>
  </si>
  <si>
    <t>CONJ MOLDE #3,0mm - 901 x 1000 x 3,0MM - 10UN</t>
  </si>
  <si>
    <t>PRD02497</t>
  </si>
  <si>
    <t>CONJ MOLDE #3,0mm - 901 x 1000 x 3,0MM - 20UN</t>
  </si>
  <si>
    <t>PRD02498</t>
  </si>
  <si>
    <t>Acessorio #1,5mm ALUMINIO</t>
  </si>
  <si>
    <t>PRD02499</t>
  </si>
  <si>
    <t>Asa Maior #1,5mm - ALUMINIO</t>
  </si>
  <si>
    <t>PRD02500</t>
  </si>
  <si>
    <t>Asa menor #1,5mm - ALUMINIO</t>
  </si>
  <si>
    <t>PRD02501</t>
  </si>
  <si>
    <t>PROTÓTIPO 1 - 3 ÍTENS</t>
  </si>
  <si>
    <t>PRD02502</t>
  </si>
  <si>
    <t>PROTÓTIPO 2- 6 ÍTENS</t>
  </si>
  <si>
    <t>PRD02503</t>
  </si>
  <si>
    <t>PROTÓTIPO 3- 1 ÍTEM</t>
  </si>
  <si>
    <t>PRD02504</t>
  </si>
  <si>
    <t>FACA 1120 X 419 X 0,6mm</t>
  </si>
  <si>
    <t>PRD02505</t>
  </si>
  <si>
    <t>FACA 1120 X 419 X 0,6mm - 1 RASGO</t>
  </si>
  <si>
    <t>PRD02506</t>
  </si>
  <si>
    <t>FACA 1160 X 420 X 0,6mm</t>
  </si>
  <si>
    <t>PRD02507</t>
  </si>
  <si>
    <t>FACA 670 X 1120 X 0,6mm</t>
  </si>
  <si>
    <t>PRD02508</t>
  </si>
  <si>
    <t>FACA 670 X 1120 X 0,6mm - 1 RASGO</t>
  </si>
  <si>
    <t>PRD02509</t>
  </si>
  <si>
    <t>FACA 670 X 1160 X 0,6mm</t>
  </si>
  <si>
    <t>PRD02510</t>
  </si>
  <si>
    <t>Suporte 80_90mm - PERFIL U 20 X 170 X 200 X 1,2mm</t>
  </si>
  <si>
    <t>PRD02511</t>
  </si>
  <si>
    <t>Suporte 80_90mm - PERFIL U 17 X 102 X 17 X 90 X 1,2mm</t>
  </si>
  <si>
    <t>PRD02512</t>
  </si>
  <si>
    <t>Suporte 80_90mm - CHAPA U 8 X 75 X 115 X 2,0mm</t>
  </si>
  <si>
    <t>PRD02513</t>
  </si>
  <si>
    <t>Suporte 80_90mm - PERFIL U 12 X 122,5 X 12 X 1,2mm</t>
  </si>
  <si>
    <t>PRD02514</t>
  </si>
  <si>
    <t>CHAPA RETA 30 X 135 X 12,7mm</t>
  </si>
  <si>
    <t>PRD02515</t>
  </si>
  <si>
    <t>CHAPA RETA 19,5 X 125 X 3,18mm</t>
  </si>
  <si>
    <t>PRD02516</t>
  </si>
  <si>
    <t>PERFIL U 50 X 46 X 1200 X 3,0mm</t>
  </si>
  <si>
    <t>PRD02517</t>
  </si>
  <si>
    <t>Dispositivo Aspirador #2,0mm</t>
  </si>
  <si>
    <t>PRD02518</t>
  </si>
  <si>
    <t>CONJ PERFIL ENRIJECIDO DESENVOLVIMENTO + FABRICAÇÃO - 1UN</t>
  </si>
  <si>
    <t>PRD02519</t>
  </si>
  <si>
    <t>CONJ PERFIL ENRIJECIDO DESENVOLVIMENTO + FABRICAÇÃO - 10UN</t>
  </si>
  <si>
    <t>PRD02520</t>
  </si>
  <si>
    <t>CONJ PERFIL ENRIJECIDO DESENVOLVIMENTO + FABRICAÇÃO - 50UN</t>
  </si>
  <si>
    <t>PRD02521</t>
  </si>
  <si>
    <t>_ Cotovelo vertical 630A1 + 1</t>
  </si>
  <si>
    <t>PRD02522</t>
  </si>
  <si>
    <t>_ Cotovelo vertical 1600A 1 + 1</t>
  </si>
  <si>
    <t>PRD02523</t>
  </si>
  <si>
    <t>_ Cotovelo vertical 2000A 2 + 2</t>
  </si>
  <si>
    <t>PRD02524</t>
  </si>
  <si>
    <t>_ Cotovelo vertical 2500 2 + 2A</t>
  </si>
  <si>
    <t>PRD02525</t>
  </si>
  <si>
    <t>CHAPA EM AÇO 020 0,60 X 1200 X 2000 MM</t>
  </si>
  <si>
    <t>PRD02526</t>
  </si>
  <si>
    <t>tunel gytech completo - 73 PEÇAS (22 ÍTENS)</t>
  </si>
  <si>
    <t>PRD02527</t>
  </si>
  <si>
    <t>GERADOR DE VAPOR GYTECH - 25 PEÇAS 13 ÍTENS</t>
  </si>
  <si>
    <t>PRD02528</t>
  </si>
  <si>
    <t>KIT ESTEIRA E CALHA 5 METROS - 9 PEÇAS  5 ÍTENS</t>
  </si>
  <si>
    <t>PRD02529</t>
  </si>
  <si>
    <t>KIT ESTEIRA E CALHA SEGUNDO ARQUIVO - 4 PEÇAS - 4 ÍTENS</t>
  </si>
  <si>
    <t>PRD02530</t>
  </si>
  <si>
    <t>KIT ESTEIRA CALHA 5  METROS - 9 PEÇAS  5 ÍTENS</t>
  </si>
  <si>
    <t>PRD02531</t>
  </si>
  <si>
    <t>FLANGE 820 X 375 X 9,5mm</t>
  </si>
  <si>
    <t>PRD02532</t>
  </si>
  <si>
    <t>CAIXA I4 - #1,2mm</t>
  </si>
  <si>
    <t>PRD02533</t>
  </si>
  <si>
    <t>PERFIL U 85 X 230 X INT X 3,0mm</t>
  </si>
  <si>
    <t>PRD02534</t>
  </si>
  <si>
    <t>PERFIL U 264 X 100 X 2,0mm x 50</t>
  </si>
  <si>
    <t>PRD02535</t>
  </si>
  <si>
    <t>MANCAL 80 X 130 INT X 100 X 6,35mm</t>
  </si>
  <si>
    <t>PRD02536</t>
  </si>
  <si>
    <t>BASE 520 X 700 X 6,35mm</t>
  </si>
  <si>
    <t>PRD02537</t>
  </si>
  <si>
    <t>BASE 435 X 700 X 6,35mm</t>
  </si>
  <si>
    <t>PRD02538</t>
  </si>
  <si>
    <t>CHAPA L 350 X 590 X 6,35mm</t>
  </si>
  <si>
    <t>PRD02539</t>
  </si>
  <si>
    <t>MANCAL 85 X 85 X 300 X 6,35mm</t>
  </si>
  <si>
    <t>PRD02540</t>
  </si>
  <si>
    <t>CHURRASQUEIRA PLASMA #4,75mm</t>
  </si>
  <si>
    <t>PRD02541</t>
  </si>
  <si>
    <t>CHAPA #4,75mm</t>
  </si>
  <si>
    <t>PRD02542</t>
  </si>
  <si>
    <t>fachada dentista 2</t>
  </si>
  <si>
    <t>PRD02543</t>
  </si>
  <si>
    <t>COLUNA HANDOVER - SAVARAUTO - CAXIAS DO SUL - 2727 X 40 X 52 X 3,0mm</t>
  </si>
  <si>
    <t>PRD02544</t>
  </si>
  <si>
    <t>CHAPA RETA 300 X 300 X 6,35mm</t>
  </si>
  <si>
    <t>PRD02545</t>
  </si>
  <si>
    <t>CHAPA RETA 340 X 260 X 2,0mm</t>
  </si>
  <si>
    <t>PRD02546</t>
  </si>
  <si>
    <t>CAIXA TANQUE HIDRÁULICO - 10PÇS</t>
  </si>
  <si>
    <t>PRD02547</t>
  </si>
  <si>
    <t>CHAPA INOX HOME CÃO #2,0mm</t>
  </si>
  <si>
    <t>PRD02548</t>
  </si>
  <si>
    <t>CHAPA DOBRADA 400 X 183 X 4,75mm</t>
  </si>
  <si>
    <t>PRD02549</t>
  </si>
  <si>
    <t>CHAPA DOBRADA 600 X 123 X 4,75mm</t>
  </si>
  <si>
    <t>PRD02550</t>
  </si>
  <si>
    <t>CANTONEIRA #6,35mm 2X</t>
  </si>
  <si>
    <t>PRD02551</t>
  </si>
  <si>
    <t>LUNETA TORNO #12,7mm + #4,75mm</t>
  </si>
  <si>
    <t>PRD02552</t>
  </si>
  <si>
    <t>TIRA 696 X 28 X 4,75mm 12X</t>
  </si>
  <si>
    <t>PRD02553</t>
  </si>
  <si>
    <t>TIRAS 324 X 28 X 4,75mm 16X</t>
  </si>
  <si>
    <t>PRD02554</t>
  </si>
  <si>
    <t>376.44</t>
  </si>
  <si>
    <t>PRD02555</t>
  </si>
  <si>
    <t>376.44 - LOTE 80 PÇS</t>
  </si>
  <si>
    <t>PRD02556</t>
  </si>
  <si>
    <t>CHAPA RETA 55 X 55 X 3,0mm</t>
  </si>
  <si>
    <t>PRD02557</t>
  </si>
  <si>
    <t>PERFIL U 30 X 77 X 60 X 4,0mm - LOTE ABAIXO 100 PÇS</t>
  </si>
  <si>
    <t>PRD02558</t>
  </si>
  <si>
    <t>PERFIL U 30 X 77 X 70 X 4,0mm - LOTE ACIMA 100 PÇS</t>
  </si>
  <si>
    <t>PRD02559</t>
  </si>
  <si>
    <t>PERFIL U 30 X 65 X 60 X 4,0mm - LOTE ACIMA 100 PÇS</t>
  </si>
  <si>
    <t>PRD02560</t>
  </si>
  <si>
    <t>135.01-010-000-03 - 135-10.44</t>
  </si>
  <si>
    <t>PRD02561</t>
  </si>
  <si>
    <t>170.00-000-000-03 - 170.44</t>
  </si>
  <si>
    <t>PRD02562</t>
  </si>
  <si>
    <t>197.00-010-000-03 - 197-10.44 (1)</t>
  </si>
  <si>
    <t>PRD02563</t>
  </si>
  <si>
    <t>202.00-000-000-03 - 202.3</t>
  </si>
  <si>
    <t>PRD02564</t>
  </si>
  <si>
    <t>240.00-010-000-03 - 240-10.44 CORTE LASER</t>
  </si>
  <si>
    <t>PRD02565</t>
  </si>
  <si>
    <t>249.00-005-000-03 - 249-5.3</t>
  </si>
  <si>
    <t>PRD02566</t>
  </si>
  <si>
    <t>249.00-015-000-03 - 249-15.3</t>
  </si>
  <si>
    <t>PRD02567</t>
  </si>
  <si>
    <t>263.00-010-000-03 - 263-10.3</t>
  </si>
  <si>
    <t>PRD02568</t>
  </si>
  <si>
    <t>264.00-010-000-03 - 264-10.44</t>
  </si>
  <si>
    <t>PRD02569</t>
  </si>
  <si>
    <t>266.00-020-000-03 - 266-20.3</t>
  </si>
  <si>
    <t>PRD02570</t>
  </si>
  <si>
    <t>268.00-010-010-03 - 268-10-10.44 (1)</t>
  </si>
  <si>
    <t>PRD02571</t>
  </si>
  <si>
    <t>268-10-30.44 (1)</t>
  </si>
  <si>
    <t>PRD02572</t>
  </si>
  <si>
    <t>268-10-40.3 (1)</t>
  </si>
  <si>
    <t>PRD02573</t>
  </si>
  <si>
    <t>268-10-50.44 (1)</t>
  </si>
  <si>
    <t>PRD02574</t>
  </si>
  <si>
    <t>268-10-60.3 (1)</t>
  </si>
  <si>
    <t>PRD02575</t>
  </si>
  <si>
    <t>268-10-70.44 (1)</t>
  </si>
  <si>
    <t>PRD02576</t>
  </si>
  <si>
    <t>268-10-80.3 (1)</t>
  </si>
  <si>
    <t>PRD02577</t>
  </si>
  <si>
    <t>268-10-90.44 (1)</t>
  </si>
  <si>
    <t>PRD02578</t>
  </si>
  <si>
    <t>268-10-110.44 (1)</t>
  </si>
  <si>
    <t>PRD02579</t>
  </si>
  <si>
    <t>268-30.3</t>
  </si>
  <si>
    <t>PRD02580</t>
  </si>
  <si>
    <t>269-130.3</t>
  </si>
  <si>
    <t>PRD02581</t>
  </si>
  <si>
    <t>269-140.3</t>
  </si>
  <si>
    <t>PRD02582</t>
  </si>
  <si>
    <t>269-150.3</t>
  </si>
  <si>
    <t>PRD02583</t>
  </si>
  <si>
    <t>270-20.44</t>
  </si>
  <si>
    <t>PRD02584</t>
  </si>
  <si>
    <t>270-30.44</t>
  </si>
  <si>
    <t>PRD02585</t>
  </si>
  <si>
    <t>270-50.3</t>
  </si>
  <si>
    <t>PRD02586</t>
  </si>
  <si>
    <t>272.3</t>
  </si>
  <si>
    <t>PRD02587</t>
  </si>
  <si>
    <t>276.3</t>
  </si>
  <si>
    <t>PRD02588</t>
  </si>
  <si>
    <t>277.3</t>
  </si>
  <si>
    <t>PRD02589</t>
  </si>
  <si>
    <t>278.3</t>
  </si>
  <si>
    <t>PRD02590</t>
  </si>
  <si>
    <t>279.3</t>
  </si>
  <si>
    <t>PRD02591</t>
  </si>
  <si>
    <t>297-60.44</t>
  </si>
  <si>
    <t>PRD02592</t>
  </si>
  <si>
    <t>298-90.44</t>
  </si>
  <si>
    <t>PRD02593</t>
  </si>
  <si>
    <t>298-110.44</t>
  </si>
  <si>
    <t>PRD02594</t>
  </si>
  <si>
    <t>300-60.3</t>
  </si>
  <si>
    <t>PRD02595</t>
  </si>
  <si>
    <t>535-40.44</t>
  </si>
  <si>
    <t>PRD02596</t>
  </si>
  <si>
    <t>562-11-10.3</t>
  </si>
  <si>
    <t>PRD02597</t>
  </si>
  <si>
    <t>562-11-20.3</t>
  </si>
  <si>
    <t>PRD02598</t>
  </si>
  <si>
    <t>562-11-30.3</t>
  </si>
  <si>
    <t>PRD02599</t>
  </si>
  <si>
    <t>562-11-40.3</t>
  </si>
  <si>
    <t>PRD02600</t>
  </si>
  <si>
    <t>650-10.3</t>
  </si>
  <si>
    <t>PRD02601</t>
  </si>
  <si>
    <t>673-20.3</t>
  </si>
  <si>
    <t>PRD02602</t>
  </si>
  <si>
    <t>677.44</t>
  </si>
  <si>
    <t>PRD02603</t>
  </si>
  <si>
    <t>679-10.3 (1)</t>
  </si>
  <si>
    <t>PRD02604</t>
  </si>
  <si>
    <t>679-70-40.3 (1)</t>
  </si>
  <si>
    <t>PRD02605</t>
  </si>
  <si>
    <t>690-10.3</t>
  </si>
  <si>
    <t>PRD02606</t>
  </si>
  <si>
    <t>698-10.3</t>
  </si>
  <si>
    <t>PRD02607</t>
  </si>
  <si>
    <t>699-10.3</t>
  </si>
  <si>
    <t>PRD02608</t>
  </si>
  <si>
    <t>703-10-40.3</t>
  </si>
  <si>
    <t>PRD02609</t>
  </si>
  <si>
    <t>723-10.44</t>
  </si>
  <si>
    <t>PRD02610</t>
  </si>
  <si>
    <t>725.44</t>
  </si>
  <si>
    <t>PRD02611</t>
  </si>
  <si>
    <t>728-20.3</t>
  </si>
  <si>
    <t>PRD02612</t>
  </si>
  <si>
    <t>729-50-10.44</t>
  </si>
  <si>
    <t>PRD02613</t>
  </si>
  <si>
    <t>730-40.3</t>
  </si>
  <si>
    <t>PRD02614</t>
  </si>
  <si>
    <t>731-40.3</t>
  </si>
  <si>
    <t>PRD02615</t>
  </si>
  <si>
    <t>731-50.3</t>
  </si>
  <si>
    <t>PRD02616</t>
  </si>
  <si>
    <t>734-10.44</t>
  </si>
  <si>
    <t>PRD02617</t>
  </si>
  <si>
    <t>746-10.44</t>
  </si>
  <si>
    <t>PRD02618</t>
  </si>
  <si>
    <t>748-30.3</t>
  </si>
  <si>
    <t>PRD02619</t>
  </si>
  <si>
    <t>791-10-110.3</t>
  </si>
  <si>
    <t>PRD02620</t>
  </si>
  <si>
    <t>797-10-10.44</t>
  </si>
  <si>
    <t>PRD02621</t>
  </si>
  <si>
    <t>797-10-30.3</t>
  </si>
  <si>
    <t>PRD02622</t>
  </si>
  <si>
    <t>800-10.44 (1)</t>
  </si>
  <si>
    <t>PRD02623</t>
  </si>
  <si>
    <t>806-10-40.3</t>
  </si>
  <si>
    <t>PRD02624</t>
  </si>
  <si>
    <t>2806-50.3</t>
  </si>
  <si>
    <t>PRD02625</t>
  </si>
  <si>
    <t>2806-70.3</t>
  </si>
  <si>
    <t>PRD02626</t>
  </si>
  <si>
    <t>2806-90.3</t>
  </si>
  <si>
    <t>PRD02627</t>
  </si>
  <si>
    <t>2844.44</t>
  </si>
  <si>
    <t>PRD02628</t>
  </si>
  <si>
    <t>2845.44</t>
  </si>
  <si>
    <t>PRD02629</t>
  </si>
  <si>
    <t>CHAPA RETA 170 X 30 X 2,0mm</t>
  </si>
  <si>
    <t>PRD02630</t>
  </si>
  <si>
    <t>CHAPA RETA 200 X 200 X 2,0mm</t>
  </si>
  <si>
    <t>PRD02631</t>
  </si>
  <si>
    <t>SUPORTE LANTERNA - BASE LATERAL 2,0mm 4+4</t>
  </si>
  <si>
    <t>PRD02632</t>
  </si>
  <si>
    <t>SUPORTE LANTERNA - BASE INFERIOR 2,0mm</t>
  </si>
  <si>
    <t>PRD02633</t>
  </si>
  <si>
    <t>CHAPA #6,35mm</t>
  </si>
  <si>
    <t>PRD02634</t>
  </si>
  <si>
    <t>GUIA ELEVADOR - PERFIL ENRIJ 30 X 130 X 130 X 710 x 4,75mm - RENATO</t>
  </si>
  <si>
    <t>PRD02635</t>
  </si>
  <si>
    <t>TRILHO - 20 X 80 X 930 X 3,18mm - RENATO</t>
  </si>
  <si>
    <t>PRD02636</t>
  </si>
  <si>
    <t>PERFIL U - 90 X 75 INT X 500 X 4,75mm - RENATO</t>
  </si>
  <si>
    <t>PRD02637</t>
  </si>
  <si>
    <t>CHAPA RETA 100 X 20 X 6,35mm - RENATO</t>
  </si>
  <si>
    <t>PRD02638</t>
  </si>
  <si>
    <t>PERFIL U - 90 X 110 X 80 X 6,35mm - BETO</t>
  </si>
  <si>
    <t>PRD02639</t>
  </si>
  <si>
    <t>PARACHOQUE - PERFIL U 50 X 110 X 2500 X 4,75mm - SAPÃO</t>
  </si>
  <si>
    <t>PRD02640</t>
  </si>
  <si>
    <t>Projeto Vale - Chapa apoio bimanual</t>
  </si>
  <si>
    <t>PRD02641</t>
  </si>
  <si>
    <t>Chapa_Base 2.0 #4,0mm - aluminio liso</t>
  </si>
  <si>
    <t>PRD02642</t>
  </si>
  <si>
    <t>Chapa caixa rele</t>
  </si>
  <si>
    <t>PRD02643</t>
  </si>
  <si>
    <t>CONJ BICO DE RODA  #4,75mm - 12 PÇS</t>
  </si>
  <si>
    <t>PRD02644</t>
  </si>
  <si>
    <t>CONJ CALHAS 27,8M #1,5mm - INOX</t>
  </si>
  <si>
    <t>PRD02645</t>
  </si>
  <si>
    <t>CONJ CALHAS 27,8M #1,5mm - AÇO GALVANIZADO</t>
  </si>
  <si>
    <t>PRD02646</t>
  </si>
  <si>
    <t>CONJ PACOTE 3 - 29 ÍTENS (55 PÇS)</t>
  </si>
  <si>
    <t>PRD02647</t>
  </si>
  <si>
    <t>PERFIL U 75,8 X 261,5 X 450 X 4,75mm</t>
  </si>
  <si>
    <t>PRD02648</t>
  </si>
  <si>
    <t>DISP REFURAR 300 #4,75mm</t>
  </si>
  <si>
    <t>PRD02649</t>
  </si>
  <si>
    <t>DISP SOLDA 300-10</t>
  </si>
  <si>
    <t>PRD02650</t>
  </si>
  <si>
    <t>CALHA DA ESTEIRA DE ALIMENTACAO 1423mm #6,35mm</t>
  </si>
  <si>
    <t>PRD02651</t>
  </si>
  <si>
    <t>CALHA DA ESTEIRA DE ALIMENTACAO 2430mm x #6,35mm</t>
  </si>
  <si>
    <t>PRD02652</t>
  </si>
  <si>
    <t>CALHA DA ESTEIRA DE ALIMENTACAO - SUPORTE L 156 x 51 x 6,35mm</t>
  </si>
  <si>
    <t>PRD02653</t>
  </si>
  <si>
    <t>CHAPAS 3000 X 1500 X 6,35mm</t>
  </si>
  <si>
    <t>PRD02654</t>
  </si>
  <si>
    <t>TK 03 TK 28 TK 30 - LASER 15.09.25 - CV10</t>
  </si>
  <si>
    <t>PRD02655</t>
  </si>
  <si>
    <t>TK 03 TK 28 TK 30 - LASER 15.09.25 - CV09</t>
  </si>
  <si>
    <t>PRD02656</t>
  </si>
  <si>
    <t>TK 03 TK 28 TK 30 - LASER 15.09.25 - CV08</t>
  </si>
  <si>
    <t>PRD02657</t>
  </si>
  <si>
    <t>TK 03 TK 28 TK 30 - LASER 15.09.25 - CV07</t>
  </si>
  <si>
    <t>PRD02658</t>
  </si>
  <si>
    <t>TK 03 TK 28 TK 30 - LASER 15.09.25 - CV06</t>
  </si>
  <si>
    <t>PRD02659</t>
  </si>
  <si>
    <t>TK 03 TK 28 TK 30 - LASER 15.09.25 - CV05</t>
  </si>
  <si>
    <t>PRD02660</t>
  </si>
  <si>
    <t>TK 03 TK 28 TK 30 - LASER 15.09.25 - CV04</t>
  </si>
  <si>
    <t>PRD02661</t>
  </si>
  <si>
    <t>TK 03 TK 28 TK 30 - LASER 15.09.25 - CV01</t>
  </si>
  <si>
    <t>PRD02662</t>
  </si>
  <si>
    <t>TK 03 TK 28 TK 30 - LASER 15.09.25 - CV03</t>
  </si>
  <si>
    <t>PRD02663</t>
  </si>
  <si>
    <t>TK 03 TK 28 TK 30 - LASER 15.09.25 - CV02</t>
  </si>
  <si>
    <t>PRD02664</t>
  </si>
  <si>
    <t>TK 03 TK 28 TK 30 - LASER 15.09.25 - PTP01</t>
  </si>
  <si>
    <t>PRD02665</t>
  </si>
  <si>
    <t>TK 03 TK 28 TK 30 - LASER 15.09.25 - PTP02</t>
  </si>
  <si>
    <t>PRD02666</t>
  </si>
  <si>
    <t>TK 03 TK 28 TK 30 - LASER 15.09.25 - PTP03</t>
  </si>
  <si>
    <t>PRD02667</t>
  </si>
  <si>
    <t>TK 03 TK 28 TK 30 - LASER 15.09.25 - PTP04</t>
  </si>
  <si>
    <t>PRD02668</t>
  </si>
  <si>
    <t>TK 03 TK 28 TK 30 - LASER 15.09.25 - PA01</t>
  </si>
  <si>
    <t>PRD02669</t>
  </si>
  <si>
    <t>TK 03 TK 28 TK 30 - LASER 15.09.25 - PA02</t>
  </si>
  <si>
    <t>PRD02670</t>
  </si>
  <si>
    <t>TK 03 TK 28 TK 30 - LASER 15.09.25 - PA03 LE</t>
  </si>
  <si>
    <t>PRD02671</t>
  </si>
  <si>
    <t>TK 03 TK 28 TK 30 - LASER 15.09.25 - PA04 LD</t>
  </si>
  <si>
    <t>PRD02672</t>
  </si>
  <si>
    <t>TK 03 TK 28 TK 30 - LASER 15.09.25 - AT101</t>
  </si>
  <si>
    <t>PRD02673</t>
  </si>
  <si>
    <t>TK 03 TK 28 TK 30 - LASER 15.09.25 - AT102</t>
  </si>
  <si>
    <t>PRD02674</t>
  </si>
  <si>
    <t>TK 03 TK 28 TK 30 - LASER 15.09.25 - AT103</t>
  </si>
  <si>
    <t>PRD02675</t>
  </si>
  <si>
    <t>TK 03 TK 28 TK 30 - LASER 15.09.25 - AT201</t>
  </si>
  <si>
    <t>PRD02676</t>
  </si>
  <si>
    <t>TK 03 TK 28 TK 30 - LASER 15.09.25 - AT202</t>
  </si>
  <si>
    <t>PRD02677</t>
  </si>
  <si>
    <t>TK 03 TK 28 TK 30 - LASER 15.09.25 - AT203</t>
  </si>
  <si>
    <t>PRD02678</t>
  </si>
  <si>
    <t>BaseMotor (1) - 1 #4,75</t>
  </si>
  <si>
    <t>PRD02679</t>
  </si>
  <si>
    <t>BaseMotor (1) - 2 #6,35mm</t>
  </si>
  <si>
    <t>PRD02680</t>
  </si>
  <si>
    <t>BaseMotor (1) - 3 PERFIL L #4,75mm</t>
  </si>
  <si>
    <t>PRD02681</t>
  </si>
  <si>
    <t>DISP AJUSTE DA FOLGA DO CUBO - CHAPA RETA 210 X 30 X 9,5mm</t>
  </si>
  <si>
    <t>PRD02682</t>
  </si>
  <si>
    <t>HASTE DISPOSITIVO - CHAPA 200 X 30 X 12,7mm</t>
  </si>
  <si>
    <t>PRD02683</t>
  </si>
  <si>
    <t>BASE DISPOSITIVO - CHAPA FURADA 80 X 100 X 12,7mm</t>
  </si>
  <si>
    <t>PRD02684</t>
  </si>
  <si>
    <t>DISPOSITIVO TAMBOR - CHAPA 459 X 50 X 9,5mm</t>
  </si>
  <si>
    <t>PRD02685</t>
  </si>
  <si>
    <t>PECA 32 - 1009mm x 60mm x 110mm - esp 4mm - AÇO INOX</t>
  </si>
  <si>
    <t>PRD02686</t>
  </si>
  <si>
    <t>BASE 3000 X 192 X 4,75mm</t>
  </si>
  <si>
    <t>PRD02687</t>
  </si>
  <si>
    <t>Pos 13 os 147 e 150  Shimmis #4,75mm</t>
  </si>
  <si>
    <t>PRD02688</t>
  </si>
  <si>
    <t>PERFIL U 85 X 85 X 300 X 6,35mm</t>
  </si>
  <si>
    <t>PRD02689</t>
  </si>
  <si>
    <t>CONJ PEÇAS #1,5mm - CORTE POWER</t>
  </si>
  <si>
    <t>PRD02690</t>
  </si>
  <si>
    <t>Pos 11 OS 147 e 150  Shimmis #4,75mm</t>
  </si>
  <si>
    <t>PRD02691</t>
  </si>
  <si>
    <t>Pos 121 OS 147 e 150  Shimmis #2,0mm</t>
  </si>
  <si>
    <t>PRD02692</t>
  </si>
  <si>
    <t>Pos 121 OS 147 e 150  Shimmis #1,0mm</t>
  </si>
  <si>
    <t>PRD02693</t>
  </si>
  <si>
    <t>Pos 121 OS 147 e 150  Shimmis #0,5mm</t>
  </si>
  <si>
    <t>PRD02694</t>
  </si>
  <si>
    <t>Pos 123 os 147 e 150  Shimmis #2,0mm</t>
  </si>
  <si>
    <t>PRD02695</t>
  </si>
  <si>
    <t>Pos 123 os 147 e 150  Shimmis #1,0mm</t>
  </si>
  <si>
    <t>PRD02696</t>
  </si>
  <si>
    <t>Pos 123 os 147 e 150  Shimmis #0,5mm</t>
  </si>
  <si>
    <t>PRD02697</t>
  </si>
  <si>
    <t>Pos 125 OS 147 e 150  Shimmis #2,0mm</t>
  </si>
  <si>
    <t>PRD02698</t>
  </si>
  <si>
    <t>Pos 125 OS 147 e 150  Shimmis #1,0mm</t>
  </si>
  <si>
    <t>PRD02699</t>
  </si>
  <si>
    <t>Pos 125 OS 147 e 150  Shimmis #0,5mm</t>
  </si>
  <si>
    <t>PRD02700</t>
  </si>
  <si>
    <t>Pos 215 OS 147 e 150  Shimmis #4,75mm</t>
  </si>
  <si>
    <t>PRD02701</t>
  </si>
  <si>
    <t>CONJ APC 22 ÍTENS (72 PEÇAS)</t>
  </si>
  <si>
    <t>PRD02702</t>
  </si>
  <si>
    <t>CAIXA 50 LITROS #3,0mm</t>
  </si>
  <si>
    <t>PRD02703</t>
  </si>
  <si>
    <t>CAIXA 60 LITROS #3,0mm</t>
  </si>
  <si>
    <t>PRD02704</t>
  </si>
  <si>
    <t>PROJ VALE CAREN #1,2mm</t>
  </si>
  <si>
    <t>PRD02705</t>
  </si>
  <si>
    <t>PROJ VALE CAREN #1,2mm - 2</t>
  </si>
  <si>
    <t>PRD02706</t>
  </si>
  <si>
    <t>BASE 150 x 150 x 9,5mm</t>
  </si>
  <si>
    <t>PRD02707</t>
  </si>
  <si>
    <t>BASE 200 X 200 X 9,5mm x DIAM 76</t>
  </si>
  <si>
    <t>PRD02708</t>
  </si>
  <si>
    <t>CHAPA RETA 395 X 875 X 3,0mm</t>
  </si>
  <si>
    <t>PRD02709</t>
  </si>
  <si>
    <t>Pos 11 OS 147 e 150  Shimmis #2,0mm +#3,0mm</t>
  </si>
  <si>
    <t>PRD02710</t>
  </si>
  <si>
    <t>LINHA DE CORTE_234466.1 #6,35mm</t>
  </si>
  <si>
    <t>PRD02711</t>
  </si>
  <si>
    <t>LINHA DE CORTE_234467_A #6,35mm</t>
  </si>
  <si>
    <t>PRD02712</t>
  </si>
  <si>
    <t>LINHA DE CORTE_234474_A #6,35mm</t>
  </si>
  <si>
    <t>PRD02713</t>
  </si>
  <si>
    <t>LINHA DE CORTE_234475_A #6,35mm</t>
  </si>
  <si>
    <t>PRD02714</t>
  </si>
  <si>
    <t>LINHA DE CORTE_261032_rev_a #6,35mm</t>
  </si>
  <si>
    <t>PRD02715</t>
  </si>
  <si>
    <t>LINHA DE CORTE_261033_rev_a #6,35mm</t>
  </si>
  <si>
    <t>PRD02716</t>
  </si>
  <si>
    <t>LINHA DE CORTE_261439_rev_a_ #6,35mm</t>
  </si>
  <si>
    <t>PRD02717</t>
  </si>
  <si>
    <t>LINHA DE CORTE_288986_B #6,35mm</t>
  </si>
  <si>
    <t>PRD02718</t>
  </si>
  <si>
    <t>LINHA DE CORTE_312694_A #6,35mm</t>
  </si>
  <si>
    <t>PRD02719</t>
  </si>
  <si>
    <t>LINHA DE CORTE_44942712_rev_a #6,35mm</t>
  </si>
  <si>
    <t>PRD02720</t>
  </si>
  <si>
    <t>CHAPA 1400 X 190 X 1,2mm - GALVANIZADO</t>
  </si>
  <si>
    <t>PRD02721</t>
  </si>
  <si>
    <t>CHAPA 1200 X 190 X 1,2mm</t>
  </si>
  <si>
    <t>PRD02722</t>
  </si>
  <si>
    <t>CHAPA 1700 X 190 X 1,2mm - GALVANIZADO</t>
  </si>
  <si>
    <t>PRD02723</t>
  </si>
  <si>
    <t>CHAPA L EM ANG #1,2mm - GALVANIZADO</t>
  </si>
  <si>
    <t>PRD02724</t>
  </si>
  <si>
    <t>PERFIL L 20 X 150 X 1060 x 1,2mm</t>
  </si>
  <si>
    <t>PRD02725</t>
  </si>
  <si>
    <t>CHAPA RETA ACO CARBONO - 490 X 490 X 4,75mm</t>
  </si>
  <si>
    <t>PRD02726</t>
  </si>
  <si>
    <t>CHAPA RETA INOX - 1194 X 1000 X 2,0mm</t>
  </si>
  <si>
    <t>PRD02727</t>
  </si>
  <si>
    <t>FLANGE INOX - Ø376 X 1,5MM</t>
  </si>
  <si>
    <t>PRD02728</t>
  </si>
  <si>
    <t>pos 22-204 #2,0mm AÇO CARBONO</t>
  </si>
  <si>
    <t>PRD02729</t>
  </si>
  <si>
    <t>pos 23-211 #3,0mm AÇO CARBONO</t>
  </si>
  <si>
    <t>PRD02730</t>
  </si>
  <si>
    <t>pos 26-204 #3,0mm AÇO CARBONO</t>
  </si>
  <si>
    <t>PRD02731</t>
  </si>
  <si>
    <t>POS 421 #0,5mm</t>
  </si>
  <si>
    <t>PRD02732</t>
  </si>
  <si>
    <t>POS 421 #4,0mm</t>
  </si>
  <si>
    <t>PRD02733</t>
  </si>
  <si>
    <t>POS 449 #3,0mm 1+1</t>
  </si>
  <si>
    <t>PRD02734</t>
  </si>
  <si>
    <t>POS 475 #2,0mm</t>
  </si>
  <si>
    <t>PRD02735</t>
  </si>
  <si>
    <t>letra caixa #0,5mm  GALVANIZADO</t>
  </si>
  <si>
    <t>PRD02736</t>
  </si>
  <si>
    <t>Mesa de solda #3,18mm</t>
  </si>
  <si>
    <t>PRD02737</t>
  </si>
  <si>
    <t>CHAPA LISA 386 X 101,6 X 9,5mm</t>
  </si>
  <si>
    <t>PRD02738</t>
  </si>
  <si>
    <t>CHAPA LISA 381 X 56 X 4,25mm</t>
  </si>
  <si>
    <t>PRD02739</t>
  </si>
  <si>
    <t>CHAPA LISA 361 X 57 X 4,25mm</t>
  </si>
  <si>
    <t>PRD02740</t>
  </si>
  <si>
    <t>2750-40-50.8 #9,5mm</t>
  </si>
  <si>
    <t>PRD02741</t>
  </si>
  <si>
    <t>2749-40-50.8 #9,5mm</t>
  </si>
  <si>
    <t>PRD02742</t>
  </si>
  <si>
    <t>POS 421 #0,1mm</t>
  </si>
  <si>
    <t>PRD02743</t>
  </si>
  <si>
    <t>POS 421 #0,2mm</t>
  </si>
  <si>
    <t>PRD02744</t>
  </si>
  <si>
    <t>CHAPA 155 X 2000 X 0,1mm - 1070 TEMPERADO - 9 PÇS P CHAPA</t>
  </si>
  <si>
    <t>PRD02745</t>
  </si>
  <si>
    <t>CHAPA 2000 X 300 X 0,2mm - 1070 RECOZIDO - 15 PÇS P CHAPA</t>
  </si>
  <si>
    <t>PRD02746</t>
  </si>
  <si>
    <t>CHAPA 70 X 190 X 4,75mm</t>
  </si>
  <si>
    <t>PRD02747</t>
  </si>
  <si>
    <t>CHAPA 70 X 70 X 2,0mm</t>
  </si>
  <si>
    <t>PRD02748</t>
  </si>
  <si>
    <t>CONJ DOBR CHAPAS COBRE #6,35mm</t>
  </si>
  <si>
    <t>PRD02749</t>
  </si>
  <si>
    <t>01-Tampa Superior e Inferior</t>
  </si>
  <si>
    <t>PRD02750</t>
  </si>
  <si>
    <t>02-Perfil Lateral</t>
  </si>
  <si>
    <t>PRD02751</t>
  </si>
  <si>
    <t>03-Tampa de Fechamento</t>
  </si>
  <si>
    <t>PRD02752</t>
  </si>
  <si>
    <t>Nervura com abas com borracha1</t>
  </si>
  <si>
    <t>PRD02753</t>
  </si>
  <si>
    <t>Nervura sem abas1</t>
  </si>
  <si>
    <t>PRD02754</t>
  </si>
  <si>
    <t>Placa de reforco P_BCP5</t>
  </si>
  <si>
    <t>PRD02755</t>
  </si>
  <si>
    <t>Tampa da Emenda Sup_Inf BCP3</t>
  </si>
  <si>
    <t>PRD02756</t>
  </si>
  <si>
    <t>Tampa Lateral da Emenda BCP4</t>
  </si>
  <si>
    <t>PRD02757</t>
  </si>
  <si>
    <t>CHAPA RETA 170 X 700 X 1,2mm - GALVANIZADO</t>
  </si>
  <si>
    <t>PRD02758</t>
  </si>
  <si>
    <t>CHAPA RETA 170 X 1770 X 1,2mm - GALVANIZADO</t>
  </si>
  <si>
    <t>PRD02759</t>
  </si>
  <si>
    <t>CHAPA RETA 180 X 1000 X 1,2mm - GALVANIZADO</t>
  </si>
  <si>
    <t>PRD02760</t>
  </si>
  <si>
    <t>CHAPA RETA 180 X 2100 X 1,2mm - GALVANIZADO</t>
  </si>
  <si>
    <t>PRD02761</t>
  </si>
  <si>
    <t>CHAPA RETA 200 X 2400 X 1,2mm - GALVANIZADO</t>
  </si>
  <si>
    <t>PRD02762</t>
  </si>
  <si>
    <t>CHAPA RETA 200 X 2700 X 1,2mm - GALVANIZADO</t>
  </si>
  <si>
    <t>PRD02763</t>
  </si>
  <si>
    <t>tiras_recanto animal #0,5mm - GALVANIZADO</t>
  </si>
  <si>
    <t>PRD02764</t>
  </si>
  <si>
    <t>CHAPA RETA 125 X 116 X 9,5mm - FURADA</t>
  </si>
  <si>
    <t>PRD02765</t>
  </si>
  <si>
    <t>CHAPA RETA 125 X 116 X 9,5mm - APENAS GRAVAÇÃO</t>
  </si>
  <si>
    <t>PRD02766</t>
  </si>
  <si>
    <t>CHAPA RETA 102 X 92 X 12,7mm</t>
  </si>
  <si>
    <t>PRD02767</t>
  </si>
  <si>
    <t>OS_457E25-G_CORTE_LASER_GAVETA_014 2X</t>
  </si>
  <si>
    <t>PRD02768</t>
  </si>
  <si>
    <t>OS_457E25-G_CORTE_LASER_GAVETA_015 1X</t>
  </si>
  <si>
    <t>PRD02769</t>
  </si>
  <si>
    <t>OS_457E25-G_CORTE_LASER_RAMPAS_016 1X</t>
  </si>
  <si>
    <t>PRD02770</t>
  </si>
  <si>
    <t>OS_457E25-G_CORTE_LASER_RAMPAS_017 1X</t>
  </si>
  <si>
    <t>PRD02771</t>
  </si>
  <si>
    <t>OS_457E25-G_CORTE_LASER_RAMPAS_018 1X</t>
  </si>
  <si>
    <t>PRD02772</t>
  </si>
  <si>
    <t>OS_457E25-G_CORTE_LASER_RAMPAS_019 1X</t>
  </si>
  <si>
    <t>PRD02773</t>
  </si>
  <si>
    <t>OS_457E25-G_CORTE_LASER_RAMPAS_020 1X</t>
  </si>
  <si>
    <t>PRD02774</t>
  </si>
  <si>
    <t>CONJ PEÇAS THÓRIO 2 #1,5mm</t>
  </si>
  <si>
    <t>PRD02775</t>
  </si>
  <si>
    <t>2859.44 #2,0mm</t>
  </si>
  <si>
    <t>PRD02776</t>
  </si>
  <si>
    <t>BASE 3000 X 393 X 4,75mm</t>
  </si>
  <si>
    <t>PRD02777</t>
  </si>
  <si>
    <t>CHAPA FURADA 330 X 143 X 6,35mm</t>
  </si>
  <si>
    <t>PRD02778</t>
  </si>
  <si>
    <t>2874.44 #3,0mm</t>
  </si>
  <si>
    <t>PRD02779</t>
  </si>
  <si>
    <t>CHAPA DOBRADA INOX 182 X 607 X 1,5mm</t>
  </si>
  <si>
    <t>PRD02780</t>
  </si>
  <si>
    <t>CHAPA INOX 77 X 607 X 1,5mm</t>
  </si>
  <si>
    <t>PRD02781</t>
  </si>
  <si>
    <t>CHAPA INOX 62 X 1295 X 1,5mm</t>
  </si>
  <si>
    <t>PRD02782</t>
  </si>
  <si>
    <t>CAD + DESENVOLVIMENTO</t>
  </si>
  <si>
    <t>PRD02783</t>
  </si>
  <si>
    <t>POS 13559,8 - 4 PC FLANGE -1020 #3mm</t>
  </si>
  <si>
    <t>PRD02784</t>
  </si>
  <si>
    <t>POS 13588.7 - 1 PC FLANGE BI PARTIDA - 1020 #8mm</t>
  </si>
  <si>
    <t>PRD02785</t>
  </si>
  <si>
    <t>Posicao 6128 - 1 PC PLACA FURADA - INOX 304 #3mm</t>
  </si>
  <si>
    <t>PRD02786</t>
  </si>
  <si>
    <t>CHAPA INOX 182 X 607 X 1,5mm</t>
  </si>
  <si>
    <t>PRD02787</t>
  </si>
  <si>
    <t>BANDEJA 610 X 270 X 3,0mm</t>
  </si>
  <si>
    <t>PRD02788</t>
  </si>
  <si>
    <t>BANDEJA 750 X 270 X 3,0mm</t>
  </si>
  <si>
    <t>PRD02789</t>
  </si>
  <si>
    <t>BANDEJA 610 X 230 X 3,0mm</t>
  </si>
  <si>
    <t>PRD02790</t>
  </si>
  <si>
    <t>CAD + DESENVOLVIMENTO PROJ</t>
  </si>
  <si>
    <t>PRD02791</t>
  </si>
  <si>
    <t>PEÇA 1 - #1,5mm</t>
  </si>
  <si>
    <t>PRD02792</t>
  </si>
  <si>
    <t>PEÇA 2 - #1,5mm</t>
  </si>
  <si>
    <t>PRD02793</t>
  </si>
  <si>
    <t>PEÇA 3 - #1,5mm</t>
  </si>
  <si>
    <t>PRD02794</t>
  </si>
  <si>
    <t>PEÇA 4 - #1,5mm</t>
  </si>
  <si>
    <t>PRD02795</t>
  </si>
  <si>
    <t>PEÇA 5 - #1,5mm</t>
  </si>
  <si>
    <t>PRD02796</t>
  </si>
  <si>
    <t>PEÇA 6 - #1,5mm</t>
  </si>
  <si>
    <t>PRD02797</t>
  </si>
  <si>
    <t>PEÇA 8 - #1,5mm</t>
  </si>
  <si>
    <t>PRD02798</t>
  </si>
  <si>
    <t>2916-30-10.44 #3,0mm</t>
  </si>
  <si>
    <t>PRD02799</t>
  </si>
  <si>
    <t>2916-30-20.3 #3,0mm</t>
  </si>
  <si>
    <t>PRD02800</t>
  </si>
  <si>
    <t>2916-40-60.44 #1,0mm</t>
  </si>
  <si>
    <t>PRD02801</t>
  </si>
  <si>
    <t>2916-140.3 #3,0mm</t>
  </si>
  <si>
    <t>PRD02802</t>
  </si>
  <si>
    <t>2916-150.3 #3,0mm</t>
  </si>
  <si>
    <t>PRD02803</t>
  </si>
  <si>
    <t>DISP CONTROLE 2855-56 (gavetinha) #3,0mm</t>
  </si>
  <si>
    <t>PRD02804</t>
  </si>
  <si>
    <t>DISP SOLDA 2909 (travador) #8,0mm</t>
  </si>
  <si>
    <t>PRD02805</t>
  </si>
  <si>
    <t>PUNÇÃO 689-20 (x12) #8,0mm</t>
  </si>
  <si>
    <t>PRD02806</t>
  </si>
  <si>
    <t>CHAPA ANGULAR DOBRADA #3,0mm</t>
  </si>
  <si>
    <t>PRD02807</t>
  </si>
  <si>
    <t>0301000316 - SUPORTE SUPERIOR CAIXA PASSAGEM - 21 ÍTENS (34 PÇS)</t>
  </si>
  <si>
    <t>PRD02808</t>
  </si>
  <si>
    <t>0301068626 - LIMITADOR DO RASPADOR - 17 ÍTENS (78 PÇS)</t>
  </si>
  <si>
    <t>PRD02809</t>
  </si>
  <si>
    <t>0301069027 - SUPORTE INFERIOR CAIXA PASSAGEM 20 ÍTENS (30 PÇS)</t>
  </si>
  <si>
    <t>PRD02810</t>
  </si>
  <si>
    <t>VE 300 - ESTEIRA TRANSPORTADORA MANUAL 11 ÍTENS (30 PÇS)</t>
  </si>
  <si>
    <t>PRD02811</t>
  </si>
  <si>
    <t>VE 301 - ESTEIRA TRANSPORTADORA AUTOMATICA 5 ÍTENS (10 PÇS) #2,0mm</t>
  </si>
  <si>
    <t>PRD02812</t>
  </si>
  <si>
    <t>CORTE CHAPAS #2,65mm</t>
  </si>
  <si>
    <t>PRD02813</t>
  </si>
  <si>
    <t>PP-ETB(001)</t>
  </si>
  <si>
    <t>PRD02814</t>
  </si>
  <si>
    <t>PP-ETB(002)</t>
  </si>
  <si>
    <t>PRD02815</t>
  </si>
  <si>
    <t>PP-ETB(003)</t>
  </si>
  <si>
    <t>PRD02816</t>
  </si>
  <si>
    <t>PP-BDP-004 #4,75mm</t>
  </si>
  <si>
    <t>PRD02817</t>
  </si>
  <si>
    <t>PP-BDP-005 #3,18mm</t>
  </si>
  <si>
    <t>PRD02818</t>
  </si>
  <si>
    <t>PP-BAP-012 #2,0mm</t>
  </si>
  <si>
    <t>PRD02819</t>
  </si>
  <si>
    <t>PP-ETB(012)</t>
  </si>
  <si>
    <t>PRD02820</t>
  </si>
  <si>
    <t>PP-BAP-011 #2,0mm</t>
  </si>
  <si>
    <t>PRD02821</t>
  </si>
  <si>
    <t>PP-BDP-021 #6,35mm</t>
  </si>
  <si>
    <t>PRD02822</t>
  </si>
  <si>
    <t>PP-BDP-024 #6,35mm</t>
  </si>
  <si>
    <t>PRD02823</t>
  </si>
  <si>
    <t>PP-BDP-025 #6,35mm</t>
  </si>
  <si>
    <t>PRD02824</t>
  </si>
  <si>
    <t>PP-BAP-001 #2,0mm</t>
  </si>
  <si>
    <t>PRD02825</t>
  </si>
  <si>
    <t>PP-ETA(003)</t>
  </si>
  <si>
    <t>PRD02826</t>
  </si>
  <si>
    <t>PP-ETA(011)</t>
  </si>
  <si>
    <t>PRD02827</t>
  </si>
  <si>
    <t>PP-ETA(012)</t>
  </si>
  <si>
    <t>PRD02828</t>
  </si>
  <si>
    <t>PP-ETM (001)</t>
  </si>
  <si>
    <t>PRD02829</t>
  </si>
  <si>
    <t>CONEXÕES RECORTE LASER - V01 2 PCS</t>
  </si>
  <si>
    <t>PRD02830</t>
  </si>
  <si>
    <t>CONEXÕES RECORTE LASER - V02 6 PCS</t>
  </si>
  <si>
    <t>PRD02831</t>
  </si>
  <si>
    <t>CONEXÕES RECORTE LASER - V03 3 PCS</t>
  </si>
  <si>
    <t>PRD02832</t>
  </si>
  <si>
    <t>BASE 120 x 120 x #9,5mm</t>
  </si>
  <si>
    <t>PRD02833</t>
  </si>
  <si>
    <t>PERFIL ENRIJ 30 X 155 X 155 X 3,75mm</t>
  </si>
  <si>
    <t>PRD02834</t>
  </si>
  <si>
    <t>POS 18 - CHAPA RETA 140 X 160 X 8,0mm</t>
  </si>
  <si>
    <t>PRD02835</t>
  </si>
  <si>
    <t>POS 19 - CHAPA RETA 265 X 160 X 8,0mm</t>
  </si>
  <si>
    <t>PRD02836</t>
  </si>
  <si>
    <t>POS 20 - CHAPA RETA 265 X 160 X 8,0 mm</t>
  </si>
  <si>
    <t>PRD02837</t>
  </si>
  <si>
    <t>POS 21 - CHAPA RETA 160 X 160 X 8,0mm</t>
  </si>
  <si>
    <t>PRD02838</t>
  </si>
  <si>
    <t>CHAPA RETA 125 X 250 X 5,0mm</t>
  </si>
  <si>
    <t>PRD02839</t>
  </si>
  <si>
    <t>CHAPA RETA 125 X 300 X 5,0mm</t>
  </si>
  <si>
    <t>PRD02840</t>
  </si>
  <si>
    <t>Pos 7030 INOX #5,0mm</t>
  </si>
  <si>
    <t>PRD02841</t>
  </si>
  <si>
    <t>Pos 7034 INOX #5,0mm</t>
  </si>
  <si>
    <t>PRD02842</t>
  </si>
  <si>
    <t>CALCO #4,75mm</t>
  </si>
  <si>
    <t>PRD02843</t>
  </si>
  <si>
    <t>PERFIL U 150 X 40 X 2000 X 4,75mm</t>
  </si>
  <si>
    <t>PRD02844</t>
  </si>
  <si>
    <t>TAMPA 1012 X 170 X 2,0mm</t>
  </si>
  <si>
    <t>PRD02845</t>
  </si>
  <si>
    <t>CALCO #2,0mm</t>
  </si>
  <si>
    <t>PRD02846</t>
  </si>
  <si>
    <t>CHAPA TRIANGULAR GALVANIZADA #1,5mm</t>
  </si>
  <si>
    <t>PRD02847</t>
  </si>
  <si>
    <t>BANDEJA 322 X 462 X 3,0mm - INOX 304</t>
  </si>
  <si>
    <t>PRD02848</t>
  </si>
  <si>
    <t>CHAPA DOBRADA LOGO #2,0mm</t>
  </si>
  <si>
    <t>PRD02849</t>
  </si>
  <si>
    <t>BASE 500 X 500 X 6,35mm - 4</t>
  </si>
  <si>
    <t>PRD02850</t>
  </si>
  <si>
    <t>BASE 650 X 500 X 6,35mm</t>
  </si>
  <si>
    <t>PRD02851</t>
  </si>
  <si>
    <t>BASE 380 X 200 X 9,5mm</t>
  </si>
  <si>
    <t>PRD02852</t>
  </si>
  <si>
    <t>ARRUELA 89 X 55 X 2,0mm</t>
  </si>
  <si>
    <t>PRD02853</t>
  </si>
  <si>
    <t>BASE 140 X 115 X 9,5mm FURO 10mm 10x</t>
  </si>
  <si>
    <t>PRD02854</t>
  </si>
  <si>
    <t>BASE 140 X 115 X 9,5mm FURO 17mm 10x</t>
  </si>
  <si>
    <t>PRD02855</t>
  </si>
  <si>
    <t>PERFIL L 35 X 35 X 8,0mm - 30X</t>
  </si>
  <si>
    <t>PRD02856</t>
  </si>
  <si>
    <t>THERMAM - 2.1 GABARITO - 166x100mm PEQUENA ANDERSON #1,5mm</t>
  </si>
  <si>
    <t>PRD02857</t>
  </si>
  <si>
    <t>THERMAM - 3 BASE EMBALAGEM #1,5mm</t>
  </si>
  <si>
    <t>PRD02858</t>
  </si>
  <si>
    <t>THERMAM - 17 COBERTURA SUPERIOR #3,0mm</t>
  </si>
  <si>
    <t>PRD02859</t>
  </si>
  <si>
    <t>THERMAM - 27 EMPURRADOR #6,35mm</t>
  </si>
  <si>
    <t>PRD02860</t>
  </si>
  <si>
    <t>THERMAM - 15 FRENTE INFERIOR #3,0mm</t>
  </si>
  <si>
    <t>PRD02861</t>
  </si>
  <si>
    <t>THERMAM - 20 FRENTE SUPERIOR - LOGO FRANGO CAIPIRA #1,5mm</t>
  </si>
  <si>
    <t>PRD02862</t>
  </si>
  <si>
    <t>THERMAM - 25 FUNDO COBERTURA TRASEIRA #1,5mm</t>
  </si>
  <si>
    <t>PRD02863</t>
  </si>
  <si>
    <t>THERMAM - 2.2 GABARITO - 201x149mm MEDIA ANDERSON #1,5mm</t>
  </si>
  <si>
    <t>PRD02864</t>
  </si>
  <si>
    <t>THERMAM - 28 SUPORTE ALAVANCA #3,0mm</t>
  </si>
  <si>
    <t>PRD02865</t>
  </si>
  <si>
    <t>THERMAM - 3 TRILHO #1,5mm 2X</t>
  </si>
  <si>
    <t>PRD02866</t>
  </si>
  <si>
    <t>THERMAM - 29 SUPORTE CAIXA COMANDO#1,5mm 3X</t>
  </si>
  <si>
    <t>PRD02867</t>
  </si>
  <si>
    <t>THERMAM - 1 GABARITO ALMIR - 201x149mm MEDIA ANDERSON #1,5mm</t>
  </si>
  <si>
    <t>PRD02868</t>
  </si>
  <si>
    <t>ARRUELA Ø30 X Ø12</t>
  </si>
  <si>
    <t>PRD02869</t>
  </si>
  <si>
    <t>_ lateral de emenda _ 150 peças GALVANIZADO</t>
  </si>
  <si>
    <t>PRD02870</t>
  </si>
  <si>
    <t>_ Lateral trecho reto 1000mm _ 66 peças ALUMINIO</t>
  </si>
  <si>
    <t>PRD02871</t>
  </si>
  <si>
    <t>_ Lateral trecho reto 2150mm _ 62 peças ALUMINIO</t>
  </si>
  <si>
    <t>PRD02872</t>
  </si>
  <si>
    <t>_ Tampa da emenda _ 150 peças GALVANIZADO</t>
  </si>
  <si>
    <t>PRD02873</t>
  </si>
  <si>
    <t>_ Trecho reto de 1000mm _ 66 peças GALVANIZADO</t>
  </si>
  <si>
    <t>PRD02874</t>
  </si>
  <si>
    <t>_Suporte barra de 100mm _ chapa 1,2mm _ 450 peças GALVANIZADO</t>
  </si>
  <si>
    <t>PRD02875</t>
  </si>
  <si>
    <t>TIRA 1430 X 300 X 2,0mm - 12pcs</t>
  </si>
  <si>
    <t>PRD02876</t>
  </si>
  <si>
    <t>TIRA 1070 X 300 X 2,0mm - 14pcs</t>
  </si>
  <si>
    <t>PRD02877</t>
  </si>
  <si>
    <t>TIRA 920 X 300 X 2,0mm - 4pcs</t>
  </si>
  <si>
    <t>PRD02878</t>
  </si>
  <si>
    <t>TIRA 300 X 300 X 2,0mm - 10pcs</t>
  </si>
  <si>
    <t>PRD02879</t>
  </si>
  <si>
    <t>165.44 #3,18mm</t>
  </si>
  <si>
    <t>PRD02880</t>
  </si>
  <si>
    <t>275.44 #4,75mm</t>
  </si>
  <si>
    <t>PRD02881</t>
  </si>
  <si>
    <t>725.44 #8,0mm</t>
  </si>
  <si>
    <t>PRD02882</t>
  </si>
  <si>
    <t>2896.44 #4,0mm</t>
  </si>
  <si>
    <t>PRD02883</t>
  </si>
  <si>
    <t>CHAPA APOIO 2908 (dobra em grau)</t>
  </si>
  <si>
    <t>PRD02884</t>
  </si>
  <si>
    <t>DISP DOBRA 2895 (gavetinha)</t>
  </si>
  <si>
    <t>PRD02885</t>
  </si>
  <si>
    <t>SETA 50x12# 1,5mm</t>
  </si>
  <si>
    <t>PRD02886</t>
  </si>
  <si>
    <t>CONJ CHAPAS #6,35mm + #9,5mm</t>
  </si>
  <si>
    <t>PRD02887</t>
  </si>
  <si>
    <t>PERFIL U 25 X 90 INT X 3000 x 4,75mm</t>
  </si>
  <si>
    <t>PRD02888</t>
  </si>
  <si>
    <t>PERFIL U 25 X 55 INT X 3000 X 4,75mm</t>
  </si>
  <si>
    <t>PRD02889</t>
  </si>
  <si>
    <t>PERFIL L 50 X 20 X 3000 x 3,18mm</t>
  </si>
  <si>
    <t>PRD02890</t>
  </si>
  <si>
    <t>FURAÇÃO TUBOS 60 X 60 - 16 PÇS</t>
  </si>
  <si>
    <t>PRD02891</t>
  </si>
  <si>
    <t>2888.44 #2,0mm</t>
  </si>
  <si>
    <t>PRD02892</t>
  </si>
  <si>
    <t>ESQUADRO #3,18mm</t>
  </si>
  <si>
    <t>PRD02893</t>
  </si>
  <si>
    <t>PLACA BASE #6,35mm</t>
  </si>
  <si>
    <t>PRD02894</t>
  </si>
  <si>
    <t>THERMAM CAD - LOGOS</t>
  </si>
  <si>
    <t>PRD02895</t>
  </si>
  <si>
    <t>2 - BASE - ALMIR - MEDIA ANDERSON #1,2mm</t>
  </si>
  <si>
    <t>PRD02896</t>
  </si>
  <si>
    <t>3 - BASE ALMIR - PEQUENA ANDERSON</t>
  </si>
  <si>
    <t>PRD02897</t>
  </si>
  <si>
    <t>258-5.3 4X #6,35mm</t>
  </si>
  <si>
    <t>PRD02898</t>
  </si>
  <si>
    <t>258-10.3 (1) 4X #6,35mm</t>
  </si>
  <si>
    <t>PRD02899</t>
  </si>
  <si>
    <t>258-15.3 4X #6,35mm</t>
  </si>
  <si>
    <t>PRD02900</t>
  </si>
  <si>
    <t>2874.44 3X #3,0mm</t>
  </si>
  <si>
    <t>PRD02901</t>
  </si>
  <si>
    <t>2876-10.44 2X #3,75mm</t>
  </si>
  <si>
    <t>PRD02902</t>
  </si>
  <si>
    <t>2876-20.3 2X #3,75mm</t>
  </si>
  <si>
    <t>PRD02903</t>
  </si>
  <si>
    <t>CORPO DE PROVA #1,0mm</t>
  </si>
  <si>
    <t>PRD02904</t>
  </si>
  <si>
    <t>2908 #2,65mm</t>
  </si>
  <si>
    <t>PRD02905</t>
  </si>
  <si>
    <t>2751.10.44 #4,0mm</t>
  </si>
  <si>
    <t>PRD02906</t>
  </si>
  <si>
    <t>CAIXA S600 - CAPA FUSO #1,2mm</t>
  </si>
  <si>
    <t>PRD02907</t>
  </si>
  <si>
    <t>CAIXA M3 - BASE #1,2mm</t>
  </si>
  <si>
    <t>PRD02908</t>
  </si>
  <si>
    <t>NOVO CONJ PRATELEIRAS</t>
  </si>
  <si>
    <t>PRD02909</t>
  </si>
  <si>
    <t>CHAPA 200 X 240 X 12,7mm</t>
  </si>
  <si>
    <t>PRD02910</t>
  </si>
  <si>
    <t>DOBRA TERCERIZADA JR PAINEIS #1,06 + #1,5mm - 30 Ìtens (32 peças)</t>
  </si>
  <si>
    <t>PRD02911</t>
  </si>
  <si>
    <t>DOBRAS TERCERIZADA EVOLUTION #1,06 + #1,5mm - 18 ÌTENS (20 peças)</t>
  </si>
  <si>
    <t>PRD02912</t>
  </si>
  <si>
    <t>DOBRAS TERCERIZADA RIO ALUMINIO #1,0mm + #1,5mm - 29 ÌTENS (67 peças)</t>
  </si>
  <si>
    <t>PRD02913</t>
  </si>
  <si>
    <t>chapa_L_acionamento COM JANELA #6,35mm</t>
  </si>
  <si>
    <t>PRD02914</t>
  </si>
  <si>
    <t>chapa_L_acionamento SEM JANELA #6,35mm</t>
  </si>
  <si>
    <t>PRD02915</t>
  </si>
  <si>
    <t>CXA1002510103 #6,35mm - 391,05 x 390 x 6,35mm</t>
  </si>
  <si>
    <t>PRD02916</t>
  </si>
  <si>
    <t>CXA1002510103 #6,35mm - 442 X 391 x 6,35mm</t>
  </si>
  <si>
    <t>PRD02917</t>
  </si>
  <si>
    <t>CHAVE R26 #8,0mm</t>
  </si>
  <si>
    <t>PRD02918</t>
  </si>
  <si>
    <t>FREIO (6,35)</t>
  </si>
  <si>
    <t>PRD02919</t>
  </si>
  <si>
    <t>CHAPA RETA 900 X 196 X 2,0mm</t>
  </si>
  <si>
    <t>PRD02920</t>
  </si>
  <si>
    <t>CHAPA DOBRADA 32 X 200 X 62 X 900 X 2,0mm</t>
  </si>
  <si>
    <t>PRD02921</t>
  </si>
  <si>
    <t>CHAPA DOBRADA 32 X 208 X 13 X 450 x 2,0mm</t>
  </si>
  <si>
    <t>PRD02922</t>
  </si>
  <si>
    <t>chapa de 1,2mt - GALVANIZADO</t>
  </si>
  <si>
    <t>PRD02923</t>
  </si>
  <si>
    <t>Cópia de DXF FRENTE SUPERIOR_Part #1,2mm - LOGO FAST FOOD CAIPIRA em 23/10/2025 às 11:49:58</t>
  </si>
  <si>
    <t>PRD02924</t>
  </si>
  <si>
    <t>THERMAM FRENTE SUPERIOR - #1,5mm - LOGO COLORATA</t>
  </si>
  <si>
    <t>PRD02925</t>
  </si>
  <si>
    <t>THERMAM FRENTE SUPERIOR - #1,5mm - LOGO THERMAM</t>
  </si>
  <si>
    <t>PRD02926</t>
  </si>
  <si>
    <t>THERMAM - TUBO MAQUINA SELADORA - LD</t>
  </si>
  <si>
    <t>PRD02927</t>
  </si>
  <si>
    <t>THERMAM - TUBO MAQUINA SELADORA - LE</t>
  </si>
  <si>
    <t>PRD02928</t>
  </si>
  <si>
    <t>TIRA 350 X 80 X 6,35mm</t>
  </si>
  <si>
    <t>PRD02929</t>
  </si>
  <si>
    <t>TIRA 486 X 80 X 6,35mm</t>
  </si>
  <si>
    <t>PRD02930</t>
  </si>
  <si>
    <t>TIRA 840 X 80 X 6,35mm</t>
  </si>
  <si>
    <t>PRD02931</t>
  </si>
  <si>
    <t>197.00-020-000-03 197-20.3 #6,35</t>
  </si>
  <si>
    <t>PRD02932</t>
  </si>
  <si>
    <t>197.00-030-000-03 197-30.3 #6,35</t>
  </si>
  <si>
    <t>PRD02933</t>
  </si>
  <si>
    <t>256.00-000-005-03 256-5.3 #6,35mm</t>
  </si>
  <si>
    <t>PRD02934</t>
  </si>
  <si>
    <t>257.00-000-010-03 257-10.3 #6,35</t>
  </si>
  <si>
    <t>PRD02935</t>
  </si>
  <si>
    <t>258.00-000-010-03 258-10.3 #6,35</t>
  </si>
  <si>
    <t>PRD02936</t>
  </si>
  <si>
    <t>258.00-000-015-03 258-15.3 #6,35</t>
  </si>
  <si>
    <t>PRD02937</t>
  </si>
  <si>
    <t>258.00-000-005-03 258-5.3 #6,35</t>
  </si>
  <si>
    <t>PRD02938</t>
  </si>
  <si>
    <t>259.00-000-010-03 259-10.3 #6,35</t>
  </si>
  <si>
    <t>PRD02939</t>
  </si>
  <si>
    <t>260.00-000-005-03 260-5.3 #6,35</t>
  </si>
  <si>
    <t>PRD02940</t>
  </si>
  <si>
    <t>262.00-000-020-03 262-20.3 #6,35</t>
  </si>
  <si>
    <t>PRD02941</t>
  </si>
  <si>
    <t>262.00-000-030-03 262-30.3 #6,35</t>
  </si>
  <si>
    <t>PRD02942</t>
  </si>
  <si>
    <t>262.00-000-040-03 262-40.3 #6,35</t>
  </si>
  <si>
    <t>PRD02943</t>
  </si>
  <si>
    <t>267.00-010-000-03 267-10.3 #6,35</t>
  </si>
  <si>
    <t>PRD02944</t>
  </si>
  <si>
    <t>267.00-020-000-03 267-20.3 #6,35</t>
  </si>
  <si>
    <t>PRD02945</t>
  </si>
  <si>
    <t>267.00-030-000-03 267-30.3 #6,35</t>
  </si>
  <si>
    <t>PRD02946</t>
  </si>
  <si>
    <t>267.00-040-000-03 267-40.3 #6,35</t>
  </si>
  <si>
    <t>PRD02947</t>
  </si>
  <si>
    <t>686.02-020-020-03 686-20-20.3 #6,35</t>
  </si>
  <si>
    <t>PRD02948</t>
  </si>
  <si>
    <t>686.02-020-030-03 686-20-30.3 #6,35</t>
  </si>
  <si>
    <t>PRD02949</t>
  </si>
  <si>
    <t>686.02-020-040-03 686-20-40.3 #6,35</t>
  </si>
  <si>
    <t>PRD02950</t>
  </si>
  <si>
    <t>703.04-010-020-03 703-10-20.3 #6,35</t>
  </si>
  <si>
    <t>PRD02951</t>
  </si>
  <si>
    <t>269.00-090-000-03 269-90.3 #5,0</t>
  </si>
  <si>
    <t>PRD02952</t>
  </si>
  <si>
    <t>652.01-000-000-03 652.3 #4,75</t>
  </si>
  <si>
    <t>PRD02953</t>
  </si>
  <si>
    <t>655.01-000-000-03 655.3 #4,75</t>
  </si>
  <si>
    <t>PRD02954</t>
  </si>
  <si>
    <t>661.01-000-000-03 661.3 #4,75</t>
  </si>
  <si>
    <t>PRD02955</t>
  </si>
  <si>
    <t>662.01-000-000-03 662.3 #4,75</t>
  </si>
  <si>
    <t>PRD02956</t>
  </si>
  <si>
    <t>663.01-000-000-03 663.3 #4,75</t>
  </si>
  <si>
    <t>PRD02957</t>
  </si>
  <si>
    <t>665.01-000-000-03 665.3 #4,75</t>
  </si>
  <si>
    <t>PRD02958</t>
  </si>
  <si>
    <t>666.01-000-000-03 666.3 #4,75</t>
  </si>
  <si>
    <t>PRD02959</t>
  </si>
  <si>
    <t>724.01-020-000-03 724.20.3 #4,75</t>
  </si>
  <si>
    <t>PRD02960</t>
  </si>
  <si>
    <t>729.01-010-030-03 729-10-30.3 #4,75</t>
  </si>
  <si>
    <t>PRD02961</t>
  </si>
  <si>
    <t>732.02-010-000-03 732-10.3 #4,75</t>
  </si>
  <si>
    <t>PRD02962</t>
  </si>
  <si>
    <t>776.01-020-000-03 776-20.3 #4,75</t>
  </si>
  <si>
    <t>PRD02963</t>
  </si>
  <si>
    <t>776.01-030-000-03 776-30.3 #4,75</t>
  </si>
  <si>
    <t>PRD02964</t>
  </si>
  <si>
    <t>777.01-020-000-03 777-20.3 #4,75</t>
  </si>
  <si>
    <t>PRD02965</t>
  </si>
  <si>
    <t>791.01-010-020-03 791-10-20.3 #4,75</t>
  </si>
  <si>
    <t>PRD02966</t>
  </si>
  <si>
    <t>791.01-020-010-03 791-20-10.3 #4,75</t>
  </si>
  <si>
    <t>PRD02967</t>
  </si>
  <si>
    <t>PP-ETM(018) #1,5mm</t>
  </si>
  <si>
    <t>PRD02968</t>
  </si>
  <si>
    <t>PP-ETM(019) #1,5mm</t>
  </si>
  <si>
    <t>PRD02969</t>
  </si>
  <si>
    <t>PP-ETM(040) #1,5mm</t>
  </si>
  <si>
    <t>PRD02970</t>
  </si>
  <si>
    <t>PP-ETM(041) #1,5mm</t>
  </si>
  <si>
    <t>PRD02971</t>
  </si>
  <si>
    <t>PP-BDP(001) #2,0mm</t>
  </si>
  <si>
    <t>PRD02972</t>
  </si>
  <si>
    <t>PP-BDP(002) #2,0mm</t>
  </si>
  <si>
    <t>PRD02973</t>
  </si>
  <si>
    <t>PP-BDP(003) #2,0mm</t>
  </si>
  <si>
    <t>PRD02974</t>
  </si>
  <si>
    <t>PP-BDP(011) #2,0mm</t>
  </si>
  <si>
    <t>PRD02975</t>
  </si>
  <si>
    <t>PP-BDG(001) #2,0mm</t>
  </si>
  <si>
    <t>PRD02976</t>
  </si>
  <si>
    <t>PP-BDG(002) #2,0mm</t>
  </si>
  <si>
    <t>PRD02977</t>
  </si>
  <si>
    <t>PP-BDG(011) #2,0mm</t>
  </si>
  <si>
    <t>PRD02978</t>
  </si>
  <si>
    <t>PP-BDG(012) #2,0mm</t>
  </si>
  <si>
    <t>PRD02979</t>
  </si>
  <si>
    <t>PP-BDG(016) #2,0mm</t>
  </si>
  <si>
    <t>PRD02980</t>
  </si>
  <si>
    <t>PP-BAP(002) #2,0mm</t>
  </si>
  <si>
    <t>PRD02981</t>
  </si>
  <si>
    <t>PP-BAP(003) #2,0mm</t>
  </si>
  <si>
    <t>PRD02982</t>
  </si>
  <si>
    <t>PP-BAG(002) #2,0mm</t>
  </si>
  <si>
    <t>PRD02983</t>
  </si>
  <si>
    <t>PP-BAG(003) #2,0mm</t>
  </si>
  <si>
    <t>PRD02984</t>
  </si>
  <si>
    <t>PP-BSP(001) #2,0mm</t>
  </si>
  <si>
    <t>PRD02985</t>
  </si>
  <si>
    <t>PP-BSP(002) #2,0mm</t>
  </si>
  <si>
    <t>PRD02986</t>
  </si>
  <si>
    <t>PP-BSP(003) #2,0mm</t>
  </si>
  <si>
    <t>PRD02987</t>
  </si>
  <si>
    <t>PP-BSP(011) #2,0mm</t>
  </si>
  <si>
    <t>PRD02988</t>
  </si>
  <si>
    <t>PP-BSP(016) #2,0mm</t>
  </si>
  <si>
    <t>PRD02989</t>
  </si>
  <si>
    <t>PP-BMC-001 #2,0mm</t>
  </si>
  <si>
    <t>PRD02990</t>
  </si>
  <si>
    <t>PP-BMC-002 #2,0mm</t>
  </si>
  <si>
    <t>PRD02991</t>
  </si>
  <si>
    <t>CONJ CALÇOS #6,35 + #9,5 + #2,0mm</t>
  </si>
  <si>
    <t>PRD02992</t>
  </si>
  <si>
    <t>CHAPA C RAIO #1,5mm</t>
  </si>
  <si>
    <t>PRD02993</t>
  </si>
  <si>
    <t>CHAPA SUPORTE DOBRADO #3,0mm</t>
  </si>
  <si>
    <t>PRD02994</t>
  </si>
  <si>
    <t>2573-10.44 #12,7</t>
  </si>
  <si>
    <t>PRD02995</t>
  </si>
  <si>
    <t>2578.44 #3,75</t>
  </si>
  <si>
    <t>PRD02996</t>
  </si>
  <si>
    <t>2937-10.44</t>
  </si>
  <si>
    <t>PRD02997</t>
  </si>
  <si>
    <t>2937-20.3 #3,0</t>
  </si>
  <si>
    <t>PRD02998</t>
  </si>
  <si>
    <t>2937-30.3 #3,0mm</t>
  </si>
  <si>
    <t>PRD02999</t>
  </si>
  <si>
    <t>CHAPA 900 X 250 X 1,5mm - ALUMINIO XADREZ 1+1</t>
  </si>
  <si>
    <t>PRD03000</t>
  </si>
  <si>
    <t>CHAPA 800 X 250 X 1,5mm - ALUMINIO XADREZ 1+1</t>
  </si>
  <si>
    <t>PRD03001</t>
  </si>
  <si>
    <t>CHAPA 1000 X 370 X 20 X 1,5mm - ALUMINIO XADREZ 1+1</t>
  </si>
  <si>
    <t>PRD03002</t>
  </si>
  <si>
    <t>CHAPA 1150 X 360 X 170 X 1,5mm - ALUMINIO XADREZ 1+1</t>
  </si>
  <si>
    <t>PRD03003</t>
  </si>
  <si>
    <t>CHAPA 2450 X 200 X 1,5mm - ALUMINIO XADREZ</t>
  </si>
  <si>
    <t>PRD03004</t>
  </si>
  <si>
    <t>CHAPA 1000 X 200 X 1,5mm - ALUMINIO XADREZ</t>
  </si>
  <si>
    <t>PRD03005</t>
  </si>
  <si>
    <t>CHAPA #6,35mm - BARBOSA</t>
  </si>
  <si>
    <t>PRD03006</t>
  </si>
  <si>
    <t>Chapa escovas #3,0MM</t>
  </si>
  <si>
    <t>PRD03007</t>
  </si>
  <si>
    <t>FLANGE SUPORTE BOCAL1unid #4,75 - INOX</t>
  </si>
  <si>
    <t>PRD03008</t>
  </si>
  <si>
    <t>DISP DOBRA 2859 (base) #4,75mm</t>
  </si>
  <si>
    <t>PRD03009</t>
  </si>
  <si>
    <t>DISP DOBRA 2859 (gavetinha) #4,75</t>
  </si>
  <si>
    <t>PRD03010</t>
  </si>
  <si>
    <t>DISP DOBRA 2860 (base) #4,75mm</t>
  </si>
  <si>
    <t>PRD03011</t>
  </si>
  <si>
    <t>DISP DOBRA 2860 (gavetinha)</t>
  </si>
  <si>
    <t>PRD03012</t>
  </si>
  <si>
    <t>256-5.3 #6,35mm</t>
  </si>
  <si>
    <t>PRD03013</t>
  </si>
  <si>
    <t>256-10.44 #6,35mm</t>
  </si>
  <si>
    <t>PRD03014</t>
  </si>
  <si>
    <t>257-5.3 #6,35mm</t>
  </si>
  <si>
    <t>PRD03015</t>
  </si>
  <si>
    <t>257-10.3 #6,35mm</t>
  </si>
  <si>
    <t>PRD03016</t>
  </si>
  <si>
    <t>258-5.3 #6,35mm</t>
  </si>
  <si>
    <t>PRD03017</t>
  </si>
  <si>
    <t>258-10.3 (1) #6,35mm</t>
  </si>
  <si>
    <t>PRD03018</t>
  </si>
  <si>
    <t>258-15.3 #6,35mm</t>
  </si>
  <si>
    <t>PRD03019</t>
  </si>
  <si>
    <t>259-5.3 #6,35mm</t>
  </si>
  <si>
    <t>PRD03020</t>
  </si>
  <si>
    <t>259-10.3 (1) #6,35mm</t>
  </si>
  <si>
    <t>PRD03021</t>
  </si>
  <si>
    <t>259-15.3 #6,35mm</t>
  </si>
  <si>
    <t>PRD03022</t>
  </si>
  <si>
    <t>260-5.3 #6,35mm</t>
  </si>
  <si>
    <t>PRD03023</t>
  </si>
  <si>
    <t>260-10.3 #6,35mm</t>
  </si>
  <si>
    <t>PRD03024</t>
  </si>
  <si>
    <t>CANTONEIRA 650 X 100 X 65 X 6,35mm</t>
  </si>
  <si>
    <t>PRD03025</t>
  </si>
  <si>
    <t>CHAPA INOX 150 x 150 x 1,5mm</t>
  </si>
  <si>
    <t>PRD03026</t>
  </si>
  <si>
    <t>PP-BDP-001 #2,0mm</t>
  </si>
  <si>
    <t>PRD03027</t>
  </si>
  <si>
    <t>PP-BDP-002 #2,0mm</t>
  </si>
  <si>
    <t>PRD03028</t>
  </si>
  <si>
    <t>PP-BDP-003 #2,0mm</t>
  </si>
  <si>
    <t>PRD03029</t>
  </si>
  <si>
    <t>PP-BDP-011 #2,0mm</t>
  </si>
  <si>
    <t>PRD03030</t>
  </si>
  <si>
    <t>PP-BDP-018 #1,2mm</t>
  </si>
  <si>
    <t>PRD03031</t>
  </si>
  <si>
    <t>PP-BDP-019 #1,2mm</t>
  </si>
  <si>
    <t>PRD03032</t>
  </si>
  <si>
    <t>PP-BDP-040 #1,2mm</t>
  </si>
  <si>
    <t>PRD03033</t>
  </si>
  <si>
    <t>PP-BDP-041#1,2mm</t>
  </si>
  <si>
    <t>PRD03034</t>
  </si>
  <si>
    <t>PP-BDG(004) #4,75mm</t>
  </si>
  <si>
    <t>PRD03035</t>
  </si>
  <si>
    <t>PP-BDG(005) #3,18mm</t>
  </si>
  <si>
    <t>PRD03036</t>
  </si>
  <si>
    <t>PP-BDG(021) #6,35mm</t>
  </si>
  <si>
    <t>PRD03037</t>
  </si>
  <si>
    <t>PP-BDG(024) #6,35mm</t>
  </si>
  <si>
    <t>PRD03038</t>
  </si>
  <si>
    <t>PP-BDG(025) #6,35mm</t>
  </si>
  <si>
    <t>PRD03039</t>
  </si>
  <si>
    <t>PP-BAP-004 #4,75mm</t>
  </si>
  <si>
    <t>PRD03040</t>
  </si>
  <si>
    <t>PP-BAP-005 #3,18mm</t>
  </si>
  <si>
    <t>PRD03041</t>
  </si>
  <si>
    <t>PP-BAP-017 #6,35mm</t>
  </si>
  <si>
    <t>PRD03042</t>
  </si>
  <si>
    <t>PP-BAP-018 #6,35mm</t>
  </si>
  <si>
    <t>PRD03043</t>
  </si>
  <si>
    <t>PP-BAG(001) #2,0mm</t>
  </si>
  <si>
    <t>PRD03044</t>
  </si>
  <si>
    <t>PP-BAG(004) #6,35mm</t>
  </si>
  <si>
    <t>PRD03045</t>
  </si>
  <si>
    <t>PP-BAG(005) #3,18mm</t>
  </si>
  <si>
    <t>PRD03046</t>
  </si>
  <si>
    <t>PP-BAG(011) #2,0mm</t>
  </si>
  <si>
    <t>PRD03047</t>
  </si>
  <si>
    <t>PP-BAG(012) #2,0mm</t>
  </si>
  <si>
    <t>PRD03048</t>
  </si>
  <si>
    <t>PP-BAG(017) #6,35mm</t>
  </si>
  <si>
    <t>PRD03049</t>
  </si>
  <si>
    <t>PP-BAG(018) #6,35mm</t>
  </si>
  <si>
    <t>PRD03050</t>
  </si>
  <si>
    <t>PP-BSP(004) #4,75mm</t>
  </si>
  <si>
    <t>PRD03051</t>
  </si>
  <si>
    <t>PP-BSP(005) #3,18mm</t>
  </si>
  <si>
    <t>PRD03052</t>
  </si>
  <si>
    <t>PP-BSP(021) #6,35mm</t>
  </si>
  <si>
    <t>PRD03053</t>
  </si>
  <si>
    <t>PP-BSP(024) #6,35mm</t>
  </si>
  <si>
    <t>PRD03054</t>
  </si>
  <si>
    <t>PP-BSP(025) #6,35mm</t>
  </si>
  <si>
    <t>PRD03055</t>
  </si>
  <si>
    <t>PP-BDP-018 #2,0mm</t>
  </si>
  <si>
    <t>PRD03056</t>
  </si>
  <si>
    <t>PP-BDP-019 #2,0mm</t>
  </si>
  <si>
    <t>PRD03057</t>
  </si>
  <si>
    <t>PP-BDP-041 #1,2mm</t>
  </si>
  <si>
    <t>PRD03058</t>
  </si>
  <si>
    <t>PP-BDG(018) #1,2mm</t>
  </si>
  <si>
    <t>PRD03059</t>
  </si>
  <si>
    <t>PP-BDG(019) #1,2mm</t>
  </si>
  <si>
    <t>PRD03060</t>
  </si>
  <si>
    <t>PP-BDG(040) #1,2mm</t>
  </si>
  <si>
    <t>PRD03061</t>
  </si>
  <si>
    <t>PP-BSP(040) #1,2mm</t>
  </si>
  <si>
    <t>PRD03062</t>
  </si>
  <si>
    <t>PP-BSP(041) #1,2mm</t>
  </si>
  <si>
    <t>PRD03063</t>
  </si>
  <si>
    <t>PP-BMC-004 #4,75mm</t>
  </si>
  <si>
    <t>PRD03064</t>
  </si>
  <si>
    <t>PP-BMC-005 #3,18mm</t>
  </si>
  <si>
    <t>PRD03065</t>
  </si>
  <si>
    <t>PP-BMC-011 #2,0mm</t>
  </si>
  <si>
    <t>PRD03066</t>
  </si>
  <si>
    <t>PP-BMC-012 #2,0mm</t>
  </si>
  <si>
    <t>PRD03067</t>
  </si>
  <si>
    <t>PP-BMC-016 #2,0mm</t>
  </si>
  <si>
    <t>PRD03068</t>
  </si>
  <si>
    <t>PP-BMC-018 #1,2mm</t>
  </si>
  <si>
    <t>PRD03069</t>
  </si>
  <si>
    <t>PP-BMC-019 #1,2mm</t>
  </si>
  <si>
    <t>PRD03070</t>
  </si>
  <si>
    <t>PP-BMC-021 #6,35mm</t>
  </si>
  <si>
    <t>PRD03071</t>
  </si>
  <si>
    <t>PP-BMC-024 #6,35mm</t>
  </si>
  <si>
    <t>PRD03072</t>
  </si>
  <si>
    <t>PP-BMC-025 #6,35mm</t>
  </si>
  <si>
    <t>PRD03073</t>
  </si>
  <si>
    <t>PP-BMC-040 #1,2mm</t>
  </si>
  <si>
    <t>PRD03074</t>
  </si>
  <si>
    <t>PP-BMC-041 #1,2mm</t>
  </si>
  <si>
    <t>PRD03075</t>
  </si>
  <si>
    <t>V-02 #4,75mm</t>
  </si>
  <si>
    <t>PRD03076</t>
  </si>
  <si>
    <t>V-03 #4,75mm</t>
  </si>
  <si>
    <t>PRD03077</t>
  </si>
  <si>
    <t>V-04 #3,18mm</t>
  </si>
  <si>
    <t>PRD03078</t>
  </si>
  <si>
    <t>PP-BDG(041) #1,2mm</t>
  </si>
  <si>
    <t>PRD03079</t>
  </si>
  <si>
    <t>PP-BAP-002 #2,0mm</t>
  </si>
  <si>
    <t>PRD03080</t>
  </si>
  <si>
    <t>PP-BAP-003 #2,0mm</t>
  </si>
  <si>
    <t>PRD03081</t>
  </si>
  <si>
    <t>PP-BSP(018)</t>
  </si>
  <si>
    <t>PRD03082</t>
  </si>
  <si>
    <t>PP-BSP(019) #2,0mm</t>
  </si>
  <si>
    <t>PRD03083</t>
  </si>
  <si>
    <t>CHAPA 3000 X 500 X 8,0mm</t>
  </si>
  <si>
    <t>PRD03084</t>
  </si>
  <si>
    <t>CONJ - SUPORTE PARA CHOQUE TRASEIRO</t>
  </si>
  <si>
    <t>PRD03085</t>
  </si>
  <si>
    <t>2855-10-70.44 REV1 (1) #4,75mm</t>
  </si>
  <si>
    <t>PRD03086</t>
  </si>
  <si>
    <t>POS-10-CHICANA PARA LASER #3,0mm - INOX</t>
  </si>
  <si>
    <t>PRD03087</t>
  </si>
  <si>
    <t>Padrão plano - RDZ001-01-302 - INOX 4 UN</t>
  </si>
  <si>
    <t>PRD03088</t>
  </si>
  <si>
    <t>BASE 3000 X 475 X 4,75mm</t>
  </si>
  <si>
    <t>PRD03089</t>
  </si>
  <si>
    <t>Adriano Chapa 1 - INOX</t>
  </si>
  <si>
    <t>PRD03090</t>
  </si>
  <si>
    <t>Adriano Chapa 2 - INOX</t>
  </si>
  <si>
    <t>PRD03091</t>
  </si>
  <si>
    <t>Adriano Chapa 3 - INOX</t>
  </si>
  <si>
    <t>PRD03092</t>
  </si>
  <si>
    <t>Adriano Chapa 4 - INOX</t>
  </si>
  <si>
    <t>PRD03093</t>
  </si>
  <si>
    <t>Adriano Chapa 5 - INOX</t>
  </si>
  <si>
    <t>PRD03094</t>
  </si>
  <si>
    <t>2923.44 #3,0mm</t>
  </si>
  <si>
    <t>PRD03095</t>
  </si>
  <si>
    <t>GABARITO FAST FOOD CAIPIRA - PEQUENA ANDERSON #1,5mm</t>
  </si>
  <si>
    <t>PRD03096</t>
  </si>
  <si>
    <t>GABARITO COLORATA - 148 X 100 X 52mm PEQUENA RODRIGO #1,5mm</t>
  </si>
  <si>
    <t>PRD03097</t>
  </si>
  <si>
    <t>GABARITO - 221x181x45mm MEDIA RODRIGO #1,5mm</t>
  </si>
  <si>
    <t>PRD03098</t>
  </si>
  <si>
    <t>GABARITO_-_166x100x44mm_PEQUENA_ANDERSON #1,5mm</t>
  </si>
  <si>
    <t>PRD03099</t>
  </si>
  <si>
    <t>GABARITO_-_201x149x44mm_MEDIA_ANDERSON_ #1,5mm</t>
  </si>
  <si>
    <t>PRD03100</t>
  </si>
  <si>
    <t>GABARITO - 148x100x52mm_PEQUENA_RODRIGO_81_-_COLORATA #1,5mm</t>
  </si>
  <si>
    <t>PRD03101</t>
  </si>
  <si>
    <t>GABARITO - 221x181x45mm_MEDIA_RODRIGO_81_-_COLORATA #1,5mm</t>
  </si>
  <si>
    <t>PRD03102</t>
  </si>
  <si>
    <t>BASE_EMBALAGEM_MEDIA_RODRIGO_81_COLORATA #1,5mm</t>
  </si>
  <si>
    <t>PRD03103</t>
  </si>
  <si>
    <t>BASE_EMBALAGEM_PEQUENA_RODRIGO_81_COLORATA #1,5mm</t>
  </si>
  <si>
    <t>PRD03104</t>
  </si>
  <si>
    <t>BASE_EMBALAGEM_PEQUENA_e_MEDIA_ANDERSON #1,5mm</t>
  </si>
  <si>
    <t>PRD03105</t>
  </si>
  <si>
    <t>PERFIL U 37 X 73 X 69 X 4,0mm - INOX</t>
  </si>
  <si>
    <t>PRD03106</t>
  </si>
  <si>
    <t>PERFIL U 37 X 73 X 63 X 4,0mm - INOX</t>
  </si>
  <si>
    <t>PRD03107</t>
  </si>
  <si>
    <t>ARQUIVO D 02 1 CHAPA INOX 430 1250X3000X0,80</t>
  </si>
  <si>
    <t>PRD03108</t>
  </si>
  <si>
    <t>ARQUIVO D 03 1 CHAPA COM PINTURA DE PRETO 1140X440X0,60</t>
  </si>
  <si>
    <t>PRD03109</t>
  </si>
  <si>
    <t>ARQUIVO D01  1 CHAPA INOX 430 1250X2250X0,80</t>
  </si>
  <si>
    <t>PRD03110</t>
  </si>
  <si>
    <t>CHICANA INFERIOR  2239 X 1500 X 4,75mm</t>
  </si>
  <si>
    <t>PRD03111</t>
  </si>
  <si>
    <t>CHICANA INFERIOR 2239 X 179 X 4,75mm</t>
  </si>
  <si>
    <t>PRD03112</t>
  </si>
  <si>
    <t>CHICANA SUPERIOR 2239 X 1500 X 4,75mm</t>
  </si>
  <si>
    <t>PRD03113</t>
  </si>
  <si>
    <t>CHICANA SUPERIOR 2239 X 179 X 4,75</t>
  </si>
  <si>
    <t>PRD03114</t>
  </si>
  <si>
    <t>CONJ DOBRA BANDEJAS #1,5mm</t>
  </si>
  <si>
    <t>PRD03115</t>
  </si>
  <si>
    <t>BASE DOBRADA #8,0mm 37 x 282 x 210</t>
  </si>
  <si>
    <t>PRD03116</t>
  </si>
  <si>
    <t>SERV PROTOTIPO NOVO QUADRO - MC METAIS</t>
  </si>
  <si>
    <t>PRD03117</t>
  </si>
  <si>
    <t>CREMALHEIRA - 1650 X 50 X 4,75mm - 1UN</t>
  </si>
  <si>
    <t>PRD03118</t>
  </si>
  <si>
    <t>BASE DOBRADA 200 x 200 x 8,0mm - 3 FUROS 4X</t>
  </si>
  <si>
    <t>PRD03119</t>
  </si>
  <si>
    <t>BASE DOBRADA 260 X 200 X 8,0mm - 4 FUROS 2X</t>
  </si>
  <si>
    <t>PRD03120</t>
  </si>
  <si>
    <t>BASE 230 X 220 X 8,0mm - 4 FUROS 11X</t>
  </si>
  <si>
    <t>PRD03121</t>
  </si>
  <si>
    <t>DISP COLAGEM 820 #3,0mm</t>
  </si>
  <si>
    <t>PRD03122</t>
  </si>
  <si>
    <t>DISP COLAGEM 823 #3,0mm</t>
  </si>
  <si>
    <t>PRD03123</t>
  </si>
  <si>
    <t>DISP COLAGEM 825 #4,75mm</t>
  </si>
  <si>
    <t>PRD03124</t>
  </si>
  <si>
    <t>DISP TRAVAMENTO 300 (chapa 1) #6,35mm</t>
  </si>
  <si>
    <t>PRD03125</t>
  </si>
  <si>
    <t>DISP TRAVAMENTO 300 (chapa 2) #6,35mm</t>
  </si>
  <si>
    <t>PRD03126</t>
  </si>
  <si>
    <t>PERFIL U 40 X 52 INT X 2732 X 3,0mm - 1</t>
  </si>
  <si>
    <t>PRD03127</t>
  </si>
  <si>
    <t>PERFIL U 40 X 52 INT X 2732 X 3,0mm - 2</t>
  </si>
  <si>
    <t>PRD03128</t>
  </si>
  <si>
    <t>PERFIL U 40 X 52 INT X 732 x 3,0mm</t>
  </si>
  <si>
    <t>PRD03129</t>
  </si>
  <si>
    <t>MANCAL 230 X 100 X 9,5mm</t>
  </si>
  <si>
    <t>PRD03130</t>
  </si>
  <si>
    <t>MANCAL 300 X 100 X 9,5mm</t>
  </si>
  <si>
    <t>PRD03131</t>
  </si>
  <si>
    <t>CHAPA DOBRADA 203 X 356 X 250 X 3,0mm</t>
  </si>
  <si>
    <t>PRD03132</t>
  </si>
  <si>
    <t>PERFIL U 20 X 63,5 EXT X 2000 X 4,25mm</t>
  </si>
  <si>
    <t>PRD03133</t>
  </si>
  <si>
    <t>KIT SUP PATOLA - 1  242 X 210 X 8,0mm - 4 FUROS</t>
  </si>
  <si>
    <t>PRD03134</t>
  </si>
  <si>
    <t>KIT SUP PATOLA - 2  242 X 210 X 8,0mm - 4 FUROS</t>
  </si>
  <si>
    <t>PRD03135</t>
  </si>
  <si>
    <t>KIT SUP PATOLA - 3 DISCO Ø157 X 12,7mm - GRAVAR FURO CENTRAL</t>
  </si>
  <si>
    <t>PRD03136</t>
  </si>
  <si>
    <t>1,5 PERFIL U DOBRADO - 30 x 25 x 30 x 550</t>
  </si>
  <si>
    <t>PRD03137</t>
  </si>
  <si>
    <t>1,5 PERFIL U DOBRADO - 30 x 25 x 30 x 1105</t>
  </si>
  <si>
    <t>PRD03138</t>
  </si>
  <si>
    <t>CHAPA RETA 257 X 245 X 1,5mm</t>
  </si>
  <si>
    <t>PRD03139</t>
  </si>
  <si>
    <t>CHAPA RETA 1135 X 150 X 1,5mm</t>
  </si>
  <si>
    <t>PRD03140</t>
  </si>
  <si>
    <t>ITEM 05 CANTONEIRA DOBRADA #1,5 - 30 x 60 x  100 LARG</t>
  </si>
  <si>
    <t>PRD03141</t>
  </si>
  <si>
    <t>ITEM 07 PORTA ETIQUETA B 280 X 230 X 1,5mm</t>
  </si>
  <si>
    <t>PRD03142</t>
  </si>
  <si>
    <t>ITEM 08 - CHAPA RETA 400 X 30 X 6,35mm</t>
  </si>
  <si>
    <t>PRD03143</t>
  </si>
  <si>
    <t>ITEM 09 - CONVITE SUPERIOR - RACK 40 X 40 X 100 X 6,35mm</t>
  </si>
  <si>
    <t>PRD03144</t>
  </si>
  <si>
    <t>ITEM 06 - CANTONEIRA CANT 40 X 30 X 6,35mm</t>
  </si>
  <si>
    <t>PRD03145</t>
  </si>
  <si>
    <t>DXF ACIONADOR FIM DE CURSO_Part #1,5mm</t>
  </si>
  <si>
    <t>PRD03146</t>
  </si>
  <si>
    <t>DXF SUPORTE CILINDRO_Part #3,18mm</t>
  </si>
  <si>
    <t>PRD03147</t>
  </si>
  <si>
    <t>DXF SUPORTE FIM DE CURSO_Part #3,18mm</t>
  </si>
  <si>
    <t>PRD03148</t>
  </si>
  <si>
    <t>DISCO 100 X 65 X 6,35mm</t>
  </si>
  <si>
    <t>PRD03149</t>
  </si>
  <si>
    <t>SUPORTE PRATELEIRA JEEP - 1 CHAPA U 40 X 36 X 600 X 2,0mm</t>
  </si>
  <si>
    <t>PRD03150</t>
  </si>
  <si>
    <t>SUPORTE PRATELEIRA JEEP - 2 CHAPA DOBRADA 38 X 10 X 20 X 2,0mm</t>
  </si>
  <si>
    <t>PRD03151</t>
  </si>
  <si>
    <t>BASE 3000 X 465 X 4,75 mm</t>
  </si>
  <si>
    <t>PRD03152</t>
  </si>
  <si>
    <t>516.3 #12,7mm</t>
  </si>
  <si>
    <t>PRD03153</t>
  </si>
  <si>
    <t>PERFIL U 90 X 155 INT X 120 X 6,35mm</t>
  </si>
  <si>
    <t>PRD03154</t>
  </si>
  <si>
    <t>CHAPA 2270 X 250 X 3,0mm</t>
  </si>
  <si>
    <t>PRD03155</t>
  </si>
  <si>
    <t>CHAPA 314 X 250 X 3,0mm</t>
  </si>
  <si>
    <t>PRD03156</t>
  </si>
  <si>
    <t>CHAPA 1600 X 250 X 3,0mm</t>
  </si>
  <si>
    <t>PRD03157</t>
  </si>
  <si>
    <t>CHAPA 355 X 250 X 3,0mm</t>
  </si>
  <si>
    <t>PRD03158</t>
  </si>
  <si>
    <t>CHAPA 256 X 250 X 3,0mm</t>
  </si>
  <si>
    <t>PRD03159</t>
  </si>
  <si>
    <t>CHAPA 445 X 250 X 3,0mm</t>
  </si>
  <si>
    <t>PRD03160</t>
  </si>
  <si>
    <t>CHAPA 226 X 250 X 3,0mm</t>
  </si>
  <si>
    <t>PRD03161</t>
  </si>
  <si>
    <t>CHAPA 1187 X 203 X 3,0mm</t>
  </si>
  <si>
    <t>PRD03162</t>
  </si>
  <si>
    <t>CHAPA 1181 X 203 X 3,0mm</t>
  </si>
  <si>
    <t>PRD03163</t>
  </si>
  <si>
    <t>CHAPA 824 X 203 X 3,0mm</t>
  </si>
  <si>
    <t>PRD03164</t>
  </si>
  <si>
    <t>CHAPA 404 X 203 X 3,0mm</t>
  </si>
  <si>
    <t>PRD03165</t>
  </si>
  <si>
    <t>CHAPA 210 X 203 X 3,0mm</t>
  </si>
  <si>
    <t>PRD03166</t>
  </si>
  <si>
    <t>CHAPA 2032 X 250 X 3,0mm</t>
  </si>
  <si>
    <t>PRD03167</t>
  </si>
  <si>
    <t>CHAPA 2026 X 250 X 3,0mm</t>
  </si>
  <si>
    <t>PRD03168</t>
  </si>
  <si>
    <t>CHAPA 1240 X 250 X 3,0mm</t>
  </si>
  <si>
    <t>PRD03169</t>
  </si>
  <si>
    <t>CHAPA 414 X 250 X 3,0mm</t>
  </si>
  <si>
    <t>PRD03170</t>
  </si>
  <si>
    <t>CHAPA 210 X 250 X 3,0mm</t>
  </si>
  <si>
    <t>PRD03171</t>
  </si>
  <si>
    <t>CHAPA 610 X 250 X 3,0mm</t>
  </si>
  <si>
    <t>PRD03172</t>
  </si>
  <si>
    <t>CHAPA 233 X 150 X 3,0mm</t>
  </si>
  <si>
    <t>PRD03173</t>
  </si>
  <si>
    <t>CHAPA 1246 X 150 X 3,0mm</t>
  </si>
  <si>
    <t>PRD03174</t>
  </si>
  <si>
    <t>CHAPA EM "L" 690 X 510 X 3,0mm</t>
  </si>
  <si>
    <t>PRD03175</t>
  </si>
  <si>
    <t>PROTOTIPO - 3BBR236179279D0302.3</t>
  </si>
  <si>
    <t>PRD03176</t>
  </si>
  <si>
    <t>SupGeral #9,5mm</t>
  </si>
  <si>
    <t>PRD03177</t>
  </si>
  <si>
    <t>SupSensor #4,25mm</t>
  </si>
  <si>
    <t>PRD03178</t>
  </si>
  <si>
    <t>SupTracionador #12,7</t>
  </si>
  <si>
    <t>PRD03179</t>
  </si>
  <si>
    <t>SupMancalInstall #2,0mm</t>
  </si>
  <si>
    <t>PRD03180</t>
  </si>
  <si>
    <t>CHAPA 380 X 260 X 6,35mm</t>
  </si>
  <si>
    <t>PRD03181</t>
  </si>
  <si>
    <t>CHAPA 180 X 180 X 2,0mm</t>
  </si>
  <si>
    <t>PRD03182</t>
  </si>
  <si>
    <t>SERVIÇO DOBRA #2,0mm</t>
  </si>
  <si>
    <t>PRD03183</t>
  </si>
  <si>
    <t>PERFIL U 60 X 40 X 4,75mm</t>
  </si>
  <si>
    <t>PRD03184</t>
  </si>
  <si>
    <t>CHAPA XADREZ - 1000 X 750 X 3,18mm</t>
  </si>
  <si>
    <t>PRD03185</t>
  </si>
  <si>
    <t>CHAPA XADREZ - 1000 X 830 X 3,18mm</t>
  </si>
  <si>
    <t>PRD03186</t>
  </si>
  <si>
    <t>PERFIL U 30 X 40 X 2,0mm</t>
  </si>
  <si>
    <t>PRD03187</t>
  </si>
  <si>
    <t>PERFIL U 340 X 532,8 X 6,35mm</t>
  </si>
  <si>
    <t>PRD03188</t>
  </si>
  <si>
    <t>BANDEJA #1,5mm</t>
  </si>
  <si>
    <t>PRD03189</t>
  </si>
  <si>
    <t>SERVIÇO CONJ MEIA LUA + TIRAS INOX #2,0mm</t>
  </si>
  <si>
    <t>PRD03190</t>
  </si>
  <si>
    <t>2873.44 #3,0mm</t>
  </si>
  <si>
    <t>PRD03191</t>
  </si>
  <si>
    <t>2921.3 #8,0mm</t>
  </si>
  <si>
    <t>PRD03192</t>
  </si>
  <si>
    <t>RASGO 18MM TUBOS 70 X 70 X 3000mm</t>
  </si>
  <si>
    <t>PRD03193</t>
  </si>
  <si>
    <t>PERFIL U 800 50 X 195 INT X 80mm 2X</t>
  </si>
  <si>
    <t>PRD03194</t>
  </si>
  <si>
    <t>PERFIL U 50 X 285 INT X 800mm x 2,0mm 2X</t>
  </si>
  <si>
    <t>PRD03195</t>
  </si>
  <si>
    <t>PERFIL U 50 X 220 INT X 800 X 2,0mm</t>
  </si>
  <si>
    <t>PRD03196</t>
  </si>
  <si>
    <t>PERFIL U 50 X 160 INT X 800 X 2,0mm</t>
  </si>
  <si>
    <t>PRD03197</t>
  </si>
  <si>
    <t>PERFIL U 50 X 135 INT X 800 X 2,0mm</t>
  </si>
  <si>
    <t>PRD03198</t>
  </si>
  <si>
    <t>PERFIL U 50 X 95 INT X 800 X 2,0mm 3X</t>
  </si>
  <si>
    <t>PRD03199</t>
  </si>
  <si>
    <t>PERFIL U 50 X 190 INT X 800 X 2,0mm</t>
  </si>
  <si>
    <t>PRD03200</t>
  </si>
  <si>
    <t>PERFIL U 50 X 85 INT X 800 X 2,0mm</t>
  </si>
  <si>
    <t>PRD03201</t>
  </si>
  <si>
    <t>PERFIL U 50 X 205 INT X 800 X 2,0mm 2X</t>
  </si>
  <si>
    <t>PRD03202</t>
  </si>
  <si>
    <t>OS_474E25-G_02_009_CORTE_LASER #6,35mm</t>
  </si>
  <si>
    <t>PRD03203</t>
  </si>
  <si>
    <t>ARQUIVO 01.FOGÃO  1 CHAPA INOX 304   1500X1040X0,80</t>
  </si>
  <si>
    <t>PRD03204</t>
  </si>
  <si>
    <t>ARQUIVO 02.FORNO 1 CHAPA INOX 304  2000X1250X1,0</t>
  </si>
  <si>
    <t>PRD03205</t>
  </si>
  <si>
    <t>ARQUIVO 03.FOGÃO 1 CHAPA INOX 304   2000X1250X1,0</t>
  </si>
  <si>
    <t>PRD03206</t>
  </si>
  <si>
    <t>ARQUIVO 04.FORNO  1 CHAPA INOX 430 3000X1260X0,80</t>
  </si>
  <si>
    <t>PRD03207</t>
  </si>
  <si>
    <t>ARQUIVO 05.FOGÃO  1 CHAPA INOX 430  2000X1260X,080</t>
  </si>
  <si>
    <t>PRD03208</t>
  </si>
  <si>
    <t>ARQUIVO 06 FOGÃO   1 CHAPA INOX 430 2000X1260X0,80</t>
  </si>
  <si>
    <t>PRD03209</t>
  </si>
  <si>
    <t>ARQUIVO 07.FORNO  1 CHAPA INOX 430  3000X1262X1,20</t>
  </si>
  <si>
    <t>PRD03210</t>
  </si>
  <si>
    <t>ARQUIVO 08.FORNO  1 CHAPA INOX 430 3000X1262X1,20</t>
  </si>
  <si>
    <t>PRD03211</t>
  </si>
  <si>
    <t>ARQUIVO 09.FOGÃO 1 CHAPA 430  880X270X3 MM</t>
  </si>
  <si>
    <t>PRD03212</t>
  </si>
  <si>
    <t>PERFIL L 60 X 130 X 100 X 5,0mm - INOX</t>
  </si>
  <si>
    <t>PRD03213</t>
  </si>
  <si>
    <t>PERFIL L 60 X 250 X 100 X 5,0mm - INOX</t>
  </si>
  <si>
    <t>PRD03214</t>
  </si>
  <si>
    <t>PERFIL L 60 X 190 X 100 X 5,0mm - INOX</t>
  </si>
  <si>
    <t>PRD03215</t>
  </si>
  <si>
    <t>CHAPA RETA 100 X 53 X 5,0mm - INOX</t>
  </si>
  <si>
    <t>PRD03216</t>
  </si>
  <si>
    <t>DISP DOBRA 230-15-10 (pun base x3) #6,35mm</t>
  </si>
  <si>
    <t>PRD03217</t>
  </si>
  <si>
    <t>DISP DOBRA 230-15-10 (pun dobra x7) #6,35mm</t>
  </si>
  <si>
    <t>PRD03218</t>
  </si>
  <si>
    <t>DISP DOBRA 366-30 (matriz apoio x2)</t>
  </si>
  <si>
    <t>PRD03219</t>
  </si>
  <si>
    <t>DISP DOBRA 366-30 (matriz dobra)</t>
  </si>
  <si>
    <t>PRD03220</t>
  </si>
  <si>
    <t>DISP DOBRA 366-30 (pun base x3) #6,35mm</t>
  </si>
  <si>
    <t>PRD03221</t>
  </si>
  <si>
    <t>DISP DOBRA 366-30 (pun dobra x3) #6,35mm</t>
  </si>
  <si>
    <t>PRD03222</t>
  </si>
  <si>
    <t>CONJ PEÇAS TANQUE</t>
  </si>
  <si>
    <t>PRD03223</t>
  </si>
  <si>
    <t>PP-BEV(001) #2,0mm</t>
  </si>
  <si>
    <t>PRD03224</t>
  </si>
  <si>
    <t>PP-BEV(002) #2,0mm</t>
  </si>
  <si>
    <t>PRD03225</t>
  </si>
  <si>
    <t>PP-BEV(003) #2,0mm</t>
  </si>
  <si>
    <t>PRD03226</t>
  </si>
  <si>
    <t>PP-BEV(004) #4,75mm</t>
  </si>
  <si>
    <t>PRD03227</t>
  </si>
  <si>
    <t>PP-BEV(005) #3,18mm</t>
  </si>
  <si>
    <t>PRD03228</t>
  </si>
  <si>
    <t>PERFIL ENRIJ 35 X 100 X 140 X 6,35mm</t>
  </si>
  <si>
    <t>PRD03229</t>
  </si>
  <si>
    <t>PERFIL L 97 X 230 X 6,35mm</t>
  </si>
  <si>
    <t>PRD03230</t>
  </si>
  <si>
    <t>PERFIL L 185 X 240 X 6,35mm</t>
  </si>
  <si>
    <t>PRD03231</t>
  </si>
  <si>
    <t>BASE 3000 X 187 X 4,75mm</t>
  </si>
  <si>
    <t>PRD03232</t>
  </si>
  <si>
    <t>SHIMMS 300 #1,5mm - 13 ITENS #1,5mm</t>
  </si>
  <si>
    <t>PRD03233</t>
  </si>
  <si>
    <t>DISP SOLDA 206-369 (base 1) #1,0mm</t>
  </si>
  <si>
    <t>PRD03234</t>
  </si>
  <si>
    <t>DISP SOLDA 206-369 (base 2) #3,0mm</t>
  </si>
  <si>
    <t>PRD03235</t>
  </si>
  <si>
    <t>DISP SOLDA 206-369 (torre x2) #6,35mm</t>
  </si>
  <si>
    <t>PRD03236</t>
  </si>
  <si>
    <t>TIRA INOX 800 X 50 X 5,0mm</t>
  </si>
  <si>
    <t>PRD03237</t>
  </si>
  <si>
    <t>PERFIL L 30 X 85 X 945 X 3,0mm</t>
  </si>
  <si>
    <t>PRD03238</t>
  </si>
  <si>
    <t>SERV RASGO TUBO 3000mm</t>
  </si>
  <si>
    <t>PRD03239</t>
  </si>
  <si>
    <t>DISP 295-10-10 (base H) #8,0mm</t>
  </si>
  <si>
    <t>PRD03240</t>
  </si>
  <si>
    <t>DISP 295-10-10 (sup base H x4) #8,0mm</t>
  </si>
  <si>
    <t>PRD03241</t>
  </si>
  <si>
    <t>DISP 295-10-10-10 (chapa L x6) #6,35mm</t>
  </si>
  <si>
    <t>PRD03242</t>
  </si>
  <si>
    <t>02_batoques de solda_corte laser #6,35mm</t>
  </si>
  <si>
    <t>PRD03243</t>
  </si>
  <si>
    <t>121-25-133-0305-A - CORTE LASER - 6,4MM - 4PÇS</t>
  </si>
  <si>
    <t>PRD03244</t>
  </si>
  <si>
    <t>121-25-133-0303-F - CORTE LASER - 6,4MM - 8PÇS</t>
  </si>
  <si>
    <t>PRD03245</t>
  </si>
  <si>
    <t>121-25-133-0303-E - CORTE LASER - 6,4MM - 8PÇS</t>
  </si>
  <si>
    <t>PRD03246</t>
  </si>
  <si>
    <t>121-25-133-0303-D - CORTE LASER - 6,4MM - 16PÇS</t>
  </si>
  <si>
    <t>PRD03247</t>
  </si>
  <si>
    <t>121-25-133-0303-C - CORTE LASER - 6,4MM - 8PÇS</t>
  </si>
  <si>
    <t>PRD03248</t>
  </si>
  <si>
    <t>121-25-133-0303-B - CORTE LASER - 6,4MM - 8PÇS</t>
  </si>
  <si>
    <t>PRD03249</t>
  </si>
  <si>
    <t>121-25-133-0303-A - CORTE LASER - 1,2MM - 8PÇS</t>
  </si>
  <si>
    <t>PRD03250</t>
  </si>
  <si>
    <t>121-25-133-0301-C - CORTE LASER - 6,4MM - 2PÇS</t>
  </si>
  <si>
    <t>PRD03251</t>
  </si>
  <si>
    <t>121-25-133-0301-B - CORTE LASER - 1,2MM - 6PÇS</t>
  </si>
  <si>
    <t>PRD03252</t>
  </si>
  <si>
    <t>121-25-133-0301-A - CORTE LASER - 1,2MM - 2PÇS</t>
  </si>
  <si>
    <t>PRD03253</t>
  </si>
  <si>
    <t>121-25-133-0105-B - CORTE LASER - 6,4MM - 2PÇS</t>
  </si>
  <si>
    <t>PRD03254</t>
  </si>
  <si>
    <t>121-25-133-0105-A - CORTE LASER - 6,4MM - 4PÇS</t>
  </si>
  <si>
    <t>PRD03255</t>
  </si>
  <si>
    <t>121-25-133-0102-B - CORTE LASER - 6,4MM - 24PÇS</t>
  </si>
  <si>
    <t>PRD03256</t>
  </si>
  <si>
    <t>121-25-133-0102-A - CORTE LASER - 1,2MM - 12PÇS</t>
  </si>
  <si>
    <t>PRD03257</t>
  </si>
  <si>
    <t>121-25-133-0101-E - CORTE LASER - 6,4MM - 4PÇS</t>
  </si>
  <si>
    <t>PRD03258</t>
  </si>
  <si>
    <t>121-25-133-0101-D - CORTE LASER - 6,4MM - 2PÇS</t>
  </si>
  <si>
    <t>PRD03259</t>
  </si>
  <si>
    <t>121-25-133-0101-C - CORTE LASER - 6,4MM - 2PÇS</t>
  </si>
  <si>
    <t>PRD03260</t>
  </si>
  <si>
    <t>121-25-133-0305-B - CORTE LASER - 6,4MM - 2PÇS</t>
  </si>
  <si>
    <t>PRD03261</t>
  </si>
  <si>
    <t>121-25-133-0204-B - CORTE LASER - 6,4MM - 2 PÇS</t>
  </si>
  <si>
    <t>PRD03262</t>
  </si>
  <si>
    <t>121-25-133-0204-A - CORTE LASER - 6,4MM - 4 PÇS</t>
  </si>
  <si>
    <t>PRD03263</t>
  </si>
  <si>
    <t>121-25-133-0201-G - CORTE LASER - 6,4MM - 2 PÇS</t>
  </si>
  <si>
    <t>PRD03264</t>
  </si>
  <si>
    <t>121-25-133-0201-F - CORTE LASER - 6,4MM - 1 PÇ</t>
  </si>
  <si>
    <t>PRD03265</t>
  </si>
  <si>
    <t>121-25-133-0201-E - CORTE LASER - 6,4MM - 4 PÇS</t>
  </si>
  <si>
    <t>PRD03266</t>
  </si>
  <si>
    <t>121-25-133-0201-D - CORTE LASER - 6,4MM - 2 PÇS</t>
  </si>
  <si>
    <t>PRD03267</t>
  </si>
  <si>
    <t>121-25-133-0201-C - CORTE LASER - 1,2MM - 2 PÇS</t>
  </si>
  <si>
    <t>PRD03268</t>
  </si>
  <si>
    <t>121-25-133-0201-B - CORTE LASER - 1,2MM - 2 PÇS</t>
  </si>
  <si>
    <t>PRD03269</t>
  </si>
  <si>
    <t>121-25-133-0201-A - CORTE LASER - 1,20MM - 2 PÇS - PORTA ETIQUETA</t>
  </si>
  <si>
    <t>PRD03270</t>
  </si>
  <si>
    <t>OS_453E25-G_POS_03_020 #4,75mm</t>
  </si>
  <si>
    <t>PRD03271</t>
  </si>
  <si>
    <t>OS_453E25-G_POS_03_021 #4,75mm</t>
  </si>
  <si>
    <t>PRD03272</t>
  </si>
  <si>
    <t>CONJ PECAS OS_453E25-G_POS_03 (17 ITENS) - 17 PEÇAS #4,75mm</t>
  </si>
  <si>
    <t>PRD03273</t>
  </si>
  <si>
    <t>OS_452E25-G_POS_03_ #4,75mm - POS 020/029 (10 ITENS) 10 PÇCS</t>
  </si>
  <si>
    <t>PRD03274</t>
  </si>
  <si>
    <t>DISP SOLDA 364 (base grau) #4,75mm</t>
  </si>
  <si>
    <t>PRD03275</t>
  </si>
  <si>
    <t>DISP SOLDA 364 (base) #4,75mm</t>
  </si>
  <si>
    <t>PRD03276</t>
  </si>
  <si>
    <t>DISP SOLDA 364 (centralizador inf) #4,75mm</t>
  </si>
  <si>
    <t>PRD03277</t>
  </si>
  <si>
    <t>DISP SOLDA 364 (centralizador sup) #4,75mm</t>
  </si>
  <si>
    <t>PRD03278</t>
  </si>
  <si>
    <t>DISP SOLDA 364 (nervura maior x6) #4,75mm</t>
  </si>
  <si>
    <t>PRD03279</t>
  </si>
  <si>
    <t>DISP SOLDA 364 (nervura menor x10) #4,75mm</t>
  </si>
  <si>
    <t>PRD03280</t>
  </si>
  <si>
    <t>DISP SOLDA 364 (torre base grau x2) #4,75mm</t>
  </si>
  <si>
    <t>PRD03281</t>
  </si>
  <si>
    <t>DISP SOLDA 364 (torre base x2) #4,75mm</t>
  </si>
  <si>
    <t>PRD03282</t>
  </si>
  <si>
    <t>DISP SOLDA 364 (torre central) #4,75mm</t>
  </si>
  <si>
    <t>PRD03283</t>
  </si>
  <si>
    <t>DISP SOLDA 364 (torre maior x2) #4,75mm</t>
  </si>
  <si>
    <t>PRD03284</t>
  </si>
  <si>
    <t>DISP SOLDA 364 (torre menor x2) #4,75mm</t>
  </si>
  <si>
    <t>PRD03285</t>
  </si>
  <si>
    <t>DISP SOLDA 366 (chapinha x10) #4,75mm</t>
  </si>
  <si>
    <t>PRD03286</t>
  </si>
  <si>
    <t>DISP SOLDA 366 (pente) #6,35mm</t>
  </si>
  <si>
    <t>PRD03287</t>
  </si>
  <si>
    <t>DISP SOLDA 367 (pente) #6,35mm</t>
  </si>
  <si>
    <t>PRD03288</t>
  </si>
  <si>
    <t>DISP SOLDA 370 (apoio elo x2) #4,75mm</t>
  </si>
  <si>
    <t>PRD03289</t>
  </si>
  <si>
    <t>DISP SOLDA 370 (base grau) #4,75mm</t>
  </si>
  <si>
    <t>PRD03290</t>
  </si>
  <si>
    <t>DISP SOLDA 370 (base) #4,75mm</t>
  </si>
  <si>
    <t>PRD03291</t>
  </si>
  <si>
    <t>DISP SOLDA 370 (centralizador elo x2) #4,75mm</t>
  </si>
  <si>
    <t>PRD03292</t>
  </si>
  <si>
    <t>DISP SOLDA 370 (nervura x4) #4,75mm</t>
  </si>
  <si>
    <t>PRD03293</t>
  </si>
  <si>
    <t>DISP SOLDA 370 (torre base grau x2) #4,75mm</t>
  </si>
  <si>
    <t>PRD03294</t>
  </si>
  <si>
    <t>DISP SOLDA 370 (torre elo x2) #4,75mm</t>
  </si>
  <si>
    <t>PRD03295</t>
  </si>
  <si>
    <t>DISP SOLDA 371 (base apoio x2) #4,75mm</t>
  </si>
  <si>
    <t>PRD03296</t>
  </si>
  <si>
    <t>DISP SOLDA 371 (base furo x2) #4,75mm</t>
  </si>
  <si>
    <t>PRD03297</t>
  </si>
  <si>
    <t>DISP SOLDA 371 (base) #4,75mm</t>
  </si>
  <si>
    <t>PRD03298</t>
  </si>
  <si>
    <t>DISP SOLDA 371 (nervura maior x2) #4,75mm</t>
  </si>
  <si>
    <t>PRD03299</t>
  </si>
  <si>
    <t>DISP SOLDA 371 (torre maior x4) #4,75mm</t>
  </si>
  <si>
    <t>PRD03300</t>
  </si>
  <si>
    <t>DISP SOLDA 371 (torre menor x4) #4,75mm</t>
  </si>
  <si>
    <t>PRD03301</t>
  </si>
  <si>
    <t>DISP SOLDA 373 (apoio x2) #4,75mm</t>
  </si>
  <si>
    <t>PRD03302</t>
  </si>
  <si>
    <t>DISP SOLDA 373 (base) #4,75mm</t>
  </si>
  <si>
    <t>PRD03303</t>
  </si>
  <si>
    <t>DISP SOLDA 373 (centralizador) #4,75mm</t>
  </si>
  <si>
    <t>PRD03304</t>
  </si>
  <si>
    <t>DISP SOLDA 373 (nervura x2) #4,75mm</t>
  </si>
  <si>
    <t>PRD03305</t>
  </si>
  <si>
    <t>DISP SOLDA 371 (nervura menor x2) #4,75mm</t>
  </si>
  <si>
    <t>PRD03306</t>
  </si>
  <si>
    <t>PP-BEM(001) #2,0mm</t>
  </si>
  <si>
    <t>PRD03307</t>
  </si>
  <si>
    <t>PP-BEM(002) #2,0mm</t>
  </si>
  <si>
    <t>PRD03308</t>
  </si>
  <si>
    <t>PP-BEM(003) #2,0mm</t>
  </si>
  <si>
    <t>PRD03309</t>
  </si>
  <si>
    <t>PP-BEM(004) #4,75mm</t>
  </si>
  <si>
    <t>PRD03310</t>
  </si>
  <si>
    <t>PP-BEM(005) #3,18mm</t>
  </si>
  <si>
    <t>PRD03311</t>
  </si>
  <si>
    <t>CHAPA 1 #3,0mm - INOX 2X</t>
  </si>
  <si>
    <t>PRD03312</t>
  </si>
  <si>
    <t>CHAPA 2 #0,5mm - INOX</t>
  </si>
  <si>
    <t>PRD03313</t>
  </si>
  <si>
    <t>CHAPA 1 #2,0mm - INOX 2X</t>
  </si>
  <si>
    <t>PRD03314</t>
  </si>
  <si>
    <t>CHAPA 2 #0,8mm - INOX</t>
  </si>
  <si>
    <t>PRD03315</t>
  </si>
  <si>
    <t>CHAPA 1 #1,2mm - INOX 2X</t>
  </si>
  <si>
    <t>PRD03316</t>
  </si>
  <si>
    <t>PROT DOBRADO #1,2mm</t>
  </si>
  <si>
    <t>PRD03317</t>
  </si>
  <si>
    <t>elo_615 #8,0mm</t>
  </si>
  <si>
    <t>PRD03318</t>
  </si>
  <si>
    <t>SERV CORTE CHAPAS #8,0mm</t>
  </si>
  <si>
    <t>PRD03319</t>
  </si>
  <si>
    <t>DISP 295-10-10 (base L) #8,0mm</t>
  </si>
  <si>
    <t>PRD03320</t>
  </si>
  <si>
    <t>DISP 295-10-10 (sup1 base L) #8,0mm</t>
  </si>
  <si>
    <t>PRD03321</t>
  </si>
  <si>
    <t>DISP 295-10-10 (sup2 base L x2) #8,0mm</t>
  </si>
  <si>
    <t>PRD03322</t>
  </si>
  <si>
    <t>269-30.3 #3,0mm</t>
  </si>
  <si>
    <t>PRD03323</t>
  </si>
  <si>
    <t>PERFIL U 80 X 100 EXT X 4,75mm</t>
  </si>
  <si>
    <t>PRD03324</t>
  </si>
  <si>
    <t>LETRAS CORTE</t>
  </si>
  <si>
    <t>PRD03325</t>
  </si>
  <si>
    <t>CAIXA D1 TAMPA SUPERIOR #1,2mm</t>
  </si>
  <si>
    <t>PRD03326</t>
  </si>
  <si>
    <t>121-25-133-0601-C - CORTE LASER -2,0mm - 4PÇS</t>
  </si>
  <si>
    <t>PRD03327</t>
  </si>
  <si>
    <t>121-25-133-0602-E - CORTE LASER - 1,0MM - 2PÇS</t>
  </si>
  <si>
    <t>PRD03328</t>
  </si>
  <si>
    <t>121-25-133-0602-F - CORTE LASER - 1,0MM - 2PÇS</t>
  </si>
  <si>
    <t>PRD03329</t>
  </si>
  <si>
    <t>121-25-133-0603 - CORTE LASER - 2,0MM - 8ÇS</t>
  </si>
  <si>
    <t>PRD03330</t>
  </si>
  <si>
    <t>CALHA #1,5mm</t>
  </si>
  <si>
    <t>PRD03331</t>
  </si>
  <si>
    <t>HANDOVER - MARDISA - PERFIL U 2727 X 40 X 52 INT X 3,0mm</t>
  </si>
  <si>
    <t>PRD03332</t>
  </si>
  <si>
    <t>CHAPA RETA 250 X 50 X 6,35mm</t>
  </si>
  <si>
    <t>PRD03333</t>
  </si>
  <si>
    <t>PAINEL TUNEL - CHAPA DOBRADA 12 X 200 X 1,5mm</t>
  </si>
  <si>
    <t>PRD03334</t>
  </si>
  <si>
    <t>PAINEL TUNEL - BANDEJA 16,5 X 395 X 1,5mm</t>
  </si>
  <si>
    <t>PRD03335</t>
  </si>
  <si>
    <t>PAINEL TUNEL - CHAPA DOBRADA 216,5 X 603 X 1,5mm</t>
  </si>
  <si>
    <t>PRD03336</t>
  </si>
  <si>
    <t>PAINEL TUNEL - BANDEJA 13 X 557 X 1,5mm</t>
  </si>
  <si>
    <t>PRD03337</t>
  </si>
  <si>
    <t>PAINEL GERADOR - CHAPA DOBRADA 403 X 218 X 1,5mm</t>
  </si>
  <si>
    <t>PRD03338</t>
  </si>
  <si>
    <t>PAINEL GERADOR - CHAPA DOBRADA 11,5 X 215 X 1,5mm</t>
  </si>
  <si>
    <t>PRD03339</t>
  </si>
  <si>
    <t>PAINEL GERADOR - CHAPA DOBRADA 11,5 X 215 X 1,5mm S FURO</t>
  </si>
  <si>
    <t>PRD03340</t>
  </si>
  <si>
    <t>PAINEL GERADOR - BANDEJA 21,5 X 497 X 1,5mm</t>
  </si>
  <si>
    <t>PRD03341</t>
  </si>
  <si>
    <t>PAINEL GERADOR - BANDEJA 13 X 457 X 1,5mm</t>
  </si>
  <si>
    <t>PRD03342</t>
  </si>
  <si>
    <t>DISCO Ø500 x 4,75mm</t>
  </si>
  <si>
    <t>PRD03343</t>
  </si>
  <si>
    <t>DISCO Ø550 x 4,75mm</t>
  </si>
  <si>
    <t>PRD03344</t>
  </si>
  <si>
    <t>DISCO Ø500 x 6,35mm</t>
  </si>
  <si>
    <t>PRD03345</t>
  </si>
  <si>
    <t>DISCO Ø550 x 6,35mm</t>
  </si>
  <si>
    <t>PRD03346</t>
  </si>
  <si>
    <t>DISCO Ø400 - ALUMINIO</t>
  </si>
  <si>
    <t>PRD03347</t>
  </si>
  <si>
    <t>121-25-133-0101-A - CORTE LASER - 1,2MM - 2PÇS</t>
  </si>
  <si>
    <t>PRD03348</t>
  </si>
  <si>
    <t>TAMPA Ø42mm x #1,0mm</t>
  </si>
  <si>
    <t>PRD03349</t>
  </si>
  <si>
    <t>DOBRA BANDEJAS INOX - 2UN</t>
  </si>
  <si>
    <t>PRD03350</t>
  </si>
  <si>
    <t>DISP SOLDA 370 (centralizador sup) #4,75mm</t>
  </si>
  <si>
    <t>PRD03351</t>
  </si>
  <si>
    <t>2872.44 #3,75mm</t>
  </si>
  <si>
    <t>PRD03352</t>
  </si>
  <si>
    <t>CONJ CALHA #1,2mm - (12 itens)</t>
  </si>
  <si>
    <t>PRD03353</t>
  </si>
  <si>
    <t>CHAPA DOBRADA 20 X 50 X 100 X 900 X 1,2mm</t>
  </si>
  <si>
    <t>PRD03354</t>
  </si>
  <si>
    <t>BASE 2940 X 212 X 4,75mm</t>
  </si>
  <si>
    <t>PRD03355</t>
  </si>
  <si>
    <t>OS 474E25 - (7ÌTENS)</t>
  </si>
  <si>
    <t>PRD03356</t>
  </si>
  <si>
    <t>OS 475E25 - (2 ÌTENS)</t>
  </si>
  <si>
    <t>PRD03357</t>
  </si>
  <si>
    <t>OS 476E25 - (4 ÌTENS)</t>
  </si>
  <si>
    <t>PRD03358</t>
  </si>
  <si>
    <t>OS 477 E25 - (4 ÌTENS)</t>
  </si>
  <si>
    <t>PRD03359</t>
  </si>
  <si>
    <t>OS 479E25 - (4 ÌTENS)</t>
  </si>
  <si>
    <t>PRD03360</t>
  </si>
  <si>
    <t>OS_474E25-G_02_010_CORTE_LASER</t>
  </si>
  <si>
    <t>PRD03361</t>
  </si>
  <si>
    <t>OS_474E25-G_03_017_CORTE_LASER</t>
  </si>
  <si>
    <t>PRD03362</t>
  </si>
  <si>
    <t>OS_474E25-G_03_018_CORTE_LASER</t>
  </si>
  <si>
    <t>PRD03363</t>
  </si>
  <si>
    <t>OS_474E25-G_03_019_CORTE_LASER</t>
  </si>
  <si>
    <t>PRD03364</t>
  </si>
  <si>
    <t>OS_474E25-G_03_020_CORTE_LASER</t>
  </si>
  <si>
    <t>PRD03365</t>
  </si>
  <si>
    <t>OS_474E25-G_05_007_CORTE_LASER</t>
  </si>
  <si>
    <t>PRD03366</t>
  </si>
  <si>
    <t>u - barra - blank #4,75mm</t>
  </si>
  <si>
    <t>PRD03367</t>
  </si>
  <si>
    <t>OS_475E25-G_01_011_CORTE_LASER</t>
  </si>
  <si>
    <t>PRD03368</t>
  </si>
  <si>
    <t>OS_475E25-G_01_012_CORTE_LASER</t>
  </si>
  <si>
    <t>PRD03369</t>
  </si>
  <si>
    <t>OS_476E25-G_03_010_CORTE_LASER</t>
  </si>
  <si>
    <t>PRD03370</t>
  </si>
  <si>
    <t>OS_476E25-G_03_011_CORTE_LASER</t>
  </si>
  <si>
    <t>PRD03371</t>
  </si>
  <si>
    <t>OS_476E25-G_03_012_CORTE_LASER</t>
  </si>
  <si>
    <t>PRD03372</t>
  </si>
  <si>
    <t>OS_476E25-G_04_005_CORTE_LASER</t>
  </si>
  <si>
    <t>PRD03373</t>
  </si>
  <si>
    <t>OS_477E25-G_02_019_CORTE_LASER</t>
  </si>
  <si>
    <t>PRD03374</t>
  </si>
  <si>
    <t>OS_477E25-G_01_012_CORTE_LASER</t>
  </si>
  <si>
    <t>PRD03375</t>
  </si>
  <si>
    <t>OS_477E25-G_01_013_CORTE_LASER</t>
  </si>
  <si>
    <t>PRD03376</t>
  </si>
  <si>
    <t>OS_477E25-G_02_017_CORTE_LASER</t>
  </si>
  <si>
    <t>PRD03377</t>
  </si>
  <si>
    <t>OS_479E25-G_01.020_CORTE_LASER</t>
  </si>
  <si>
    <t>PRD03378</t>
  </si>
  <si>
    <t>OS_479E25-G_01.022_CORTE_LASER</t>
  </si>
  <si>
    <t>PRD03379</t>
  </si>
  <si>
    <t>OS_479E25-G_01.023_CORTE_LASER #12,7mm</t>
  </si>
  <si>
    <t>PRD03380</t>
  </si>
  <si>
    <t>OS_479E25-G_01.024_CORTE_LASER</t>
  </si>
  <si>
    <t>PRD03381</t>
  </si>
  <si>
    <t>PRD03382</t>
  </si>
  <si>
    <t>PROT DOBRADO #2,0mm</t>
  </si>
  <si>
    <t>PRD03383</t>
  </si>
  <si>
    <t>CHAPA DOBRADA #1,5mm - 1</t>
  </si>
  <si>
    <t>PRD03384</t>
  </si>
  <si>
    <t>CHAPA DOBRADA #1,5mm - 2</t>
  </si>
  <si>
    <t>PRD03385</t>
  </si>
  <si>
    <t>CHAPA DOBRADA LOGO SCHIATTI #3,0mm</t>
  </si>
  <si>
    <t>PRD03386</t>
  </si>
  <si>
    <t>OS_470E25-G_01_04.027_CORTE_LASER #12,7mm</t>
  </si>
  <si>
    <t>PRD03387</t>
  </si>
  <si>
    <t>OS_0470_CORTE A FIO - ITAESBRA #2,0mm</t>
  </si>
  <si>
    <t>PRD03388</t>
  </si>
  <si>
    <t>CHAPA DOBRADA 42,5 X 27 X44 X 2,0mm 2X</t>
  </si>
  <si>
    <t>PRD03389</t>
  </si>
  <si>
    <t>CHAPA RETA 100 X 2065 X 2,0mm 3x</t>
  </si>
  <si>
    <t>PRD03390</t>
  </si>
  <si>
    <t>CHAPA RETA 200 X 3000 X 2,0mm 3+3</t>
  </si>
  <si>
    <t>PRD03391</t>
  </si>
  <si>
    <t>121-25-133-0301-D - CORTE LASER - 6,4MM - 2PÇS - CONVITE DIANTEIRO LE + LD #3,18mm</t>
  </si>
  <si>
    <t>PRD03392</t>
  </si>
  <si>
    <t>121-25-133-0301-E - CORTE LASER - 6,4MM - 4PÇS - CONVITE TRASEIRO LE + LD</t>
  </si>
  <si>
    <t>PRD03393</t>
  </si>
  <si>
    <t>CHAPA 920 X 625 X 1,2mm</t>
  </si>
  <si>
    <t>PRD03394</t>
  </si>
  <si>
    <t>DISCO Ø1200mm #3,0mm</t>
  </si>
  <si>
    <t>PRD03395</t>
  </si>
  <si>
    <t>DISCO Ø1200mm #2,0mm</t>
  </si>
  <si>
    <t>PRD03396</t>
  </si>
  <si>
    <t>CHICANAS_CORTE_LASER</t>
  </si>
  <si>
    <t>PRD03397</t>
  </si>
  <si>
    <t>arquivo 01 1 CHAPA INOX 430 3000X1250X0,80 MM</t>
  </si>
  <si>
    <t>PRD03398</t>
  </si>
  <si>
    <t>arquivo 02 1 CHAPA AÇO INOX 430 3000X1250X0,80 MM</t>
  </si>
  <si>
    <t>PRD03399</t>
  </si>
  <si>
    <t>arquivo 03 1 CHAPA AÇO INOX 430 3000X1250 0,80MM</t>
  </si>
  <si>
    <t>PRD03400</t>
  </si>
  <si>
    <t>arquivo 04 1 CHAPA INOX 430  3000X1250  0,80MM</t>
  </si>
  <si>
    <t>PRD03401</t>
  </si>
  <si>
    <t>arquivo 05  1 CHAPA INOX 430 910X540 1,20MM</t>
  </si>
  <si>
    <t>PRD03402</t>
  </si>
  <si>
    <t>arquivo 06 1 CHAPA INOX 430  3000X615 X 3,0MM</t>
  </si>
  <si>
    <t>PRD03403</t>
  </si>
  <si>
    <t>arquivo 07 1 CHAPA AÇO INOX 304 1625X1250X1,0 MM</t>
  </si>
  <si>
    <t>PRD03404</t>
  </si>
  <si>
    <t>arquivo 08  1 CHAPA INOX 304 3000X1250X0,80MM</t>
  </si>
  <si>
    <t>PRD03405</t>
  </si>
  <si>
    <t>arquivo 09  1 CHAPA AÇO INOX 304 3000X1250X0,80 MM</t>
  </si>
  <si>
    <t>PRD03406</t>
  </si>
  <si>
    <t>OS_474E25-G_02_010_DETALHE</t>
  </si>
  <si>
    <t>PRD03407</t>
  </si>
  <si>
    <t>OS_475E25-G_01_010_DETALHE</t>
  </si>
  <si>
    <t>PRD03408</t>
  </si>
  <si>
    <t>OS_477E25-G_01_011_DETALHE</t>
  </si>
  <si>
    <t>PRD03409</t>
  </si>
  <si>
    <t>OS_477E25-G_02_019_DETALHE</t>
  </si>
  <si>
    <t>PRD03410</t>
  </si>
  <si>
    <t>OS_479E25-G__01.020_DETALHE</t>
  </si>
  <si>
    <t>PRD03411</t>
  </si>
  <si>
    <t>arquivo 10 1 CHAPA AÇO INOX 430 1420X1250X1,5 MM</t>
  </si>
  <si>
    <t>PRD03412</t>
  </si>
  <si>
    <t>arquivo 11  2 CHAPAS AÇO INOX 430 3000X1250X1,5 MM</t>
  </si>
  <si>
    <t>PRD03413</t>
  </si>
  <si>
    <t>RASGO TUBO 2400 X 9,5mm</t>
  </si>
  <si>
    <t>PRD03414</t>
  </si>
  <si>
    <t>064.03.04</t>
  </si>
  <si>
    <t>PRD03415</t>
  </si>
  <si>
    <t>064.09.01</t>
  </si>
  <si>
    <t>PRD03416</t>
  </si>
  <si>
    <t>064.10.01</t>
  </si>
  <si>
    <t>PRD03417</t>
  </si>
  <si>
    <t>064.11.01</t>
  </si>
  <si>
    <t>PRD03418</t>
  </si>
  <si>
    <t>064.12.01</t>
  </si>
  <si>
    <t>PRD03419</t>
  </si>
  <si>
    <t>064.13.01</t>
  </si>
  <si>
    <t>PRD03420</t>
  </si>
  <si>
    <t>064.14.01</t>
  </si>
  <si>
    <t>PRD03421</t>
  </si>
  <si>
    <t>064.14.02</t>
  </si>
  <si>
    <t>PRD03422</t>
  </si>
  <si>
    <t>064.16.01</t>
  </si>
  <si>
    <t>PRD03423</t>
  </si>
  <si>
    <t>064.22.01</t>
  </si>
  <si>
    <t>PRD03424</t>
  </si>
  <si>
    <t>064.23.01</t>
  </si>
  <si>
    <t>PRD03425</t>
  </si>
  <si>
    <t>064.24.01</t>
  </si>
  <si>
    <t>PRD03426</t>
  </si>
  <si>
    <t>064.24.02</t>
  </si>
  <si>
    <t>PRD03427</t>
  </si>
  <si>
    <t>AÇO CARBONO</t>
  </si>
  <si>
    <t>Peça</t>
  </si>
  <si>
    <t>AÇO CARBONO - 200x100 - 2mm</t>
  </si>
  <si>
    <t>PLANO DE MANUTENÇÃO</t>
  </si>
  <si>
    <t>DATA/HORA</t>
  </si>
  <si>
    <t>RESPONSÁVEL</t>
  </si>
  <si>
    <t>FREQUÊNCIA</t>
  </si>
  <si>
    <t>COMPONENTE</t>
  </si>
  <si>
    <t>AÇÃO</t>
  </si>
  <si>
    <t>RESPONSÁVEL SUGERIDO</t>
  </si>
  <si>
    <t>Máquina Laser</t>
  </si>
  <si>
    <t>Bruno Macedo</t>
  </si>
  <si>
    <t>MENSAL</t>
  </si>
  <si>
    <t>Sistema de Resfriamento (Chiller)</t>
  </si>
  <si>
    <t>Troca do Fluido e Limpeza do Circuito</t>
  </si>
  <si>
    <t>Operador</t>
  </si>
  <si>
    <t>Guias Lineares Longitudinais</t>
  </si>
  <si>
    <t>Limpeza e Lubrificação</t>
  </si>
  <si>
    <t>Operador / Técnico</t>
  </si>
  <si>
    <t>Matheus Rodrigues</t>
  </si>
  <si>
    <t>DIÁRIA</t>
  </si>
  <si>
    <t>Compressor</t>
  </si>
  <si>
    <t>Verificação de reservatório (purgar água)</t>
  </si>
  <si>
    <t>Monitoramento da Temperatura Ambiente</t>
  </si>
  <si>
    <t>Bruno Sena</t>
  </si>
  <si>
    <t>Cabeça de Saída do Laser (Óptica)</t>
  </si>
  <si>
    <t>Inspeção Visual da Lente/bico de corte</t>
  </si>
  <si>
    <t>Nº da Chapa</t>
  </si>
  <si>
    <t>FEITO POR</t>
  </si>
  <si>
    <t>PROP</t>
  </si>
  <si>
    <t>TIPO</t>
  </si>
  <si>
    <t>DIM</t>
  </si>
  <si>
    <t>ESPESSURA</t>
  </si>
  <si>
    <t>MATERIAL</t>
  </si>
  <si>
    <t>QTDE</t>
  </si>
  <si>
    <t>FORNECEDOR</t>
  </si>
  <si>
    <t>NF</t>
  </si>
  <si>
    <t>ETIQUETA</t>
  </si>
  <si>
    <t>PESO APROXIMADO</t>
  </si>
  <si>
    <t>TECH ASSIST</t>
  </si>
  <si>
    <t>Int.</t>
  </si>
  <si>
    <t>1500 x 3000</t>
  </si>
  <si>
    <t>AÇO NÃO QUALIFICADO</t>
  </si>
  <si>
    <t>ACERLOR MITTAL</t>
  </si>
  <si>
    <t>https://drive.google.com/file/d/1xGDdo1elMfZ3HqYBYx3HOhaa4Eyt8DSp/view?usp=drivesdk</t>
  </si>
  <si>
    <t>Retalho</t>
  </si>
  <si>
    <t>1200 x 1800</t>
  </si>
  <si>
    <t>https://drive.google.com/file/d/1JR7XI7Db9_2Z-SnKJSiJf-dil0wY_n1-/view?usp=drivesdk</t>
  </si>
  <si>
    <t>1200 x 3000</t>
  </si>
  <si>
    <t>https://drive.google.com/file/d/1QWpXzdq4Zz-Rrxog2JSmECcfV5YJ5Y5L/view?usp=drivesdk</t>
  </si>
  <si>
    <t xml:space="preserve">Retalho </t>
  </si>
  <si>
    <t>960 x 1200</t>
  </si>
  <si>
    <t>https://drive.google.com/file/d/1rYvmjGy-SSXwRJoAe3KA0h6ZH3IKrcGy/view?usp=drivesdk</t>
  </si>
  <si>
    <t>200 x 2380</t>
  </si>
  <si>
    <t>https://drive.google.com/file/d/11Ti1nwZNPgV9LBeIntPHN_KH5KowsSwr/view?usp=drivesdk</t>
  </si>
  <si>
    <t>1200 x 2900</t>
  </si>
  <si>
    <t>https://drive.google.com/file/d/1Z2xegwGfYyJbPCkNEtb6aEeBkTsOhbWi/view?usp=drivesdk</t>
  </si>
  <si>
    <t>MDURO</t>
  </si>
  <si>
    <t>1415 X 520</t>
  </si>
  <si>
    <t>https://drive.google.com/file/d/15FWLsrfuheY-xdiisFXJlOMMPd4qee3L/view?usp=drivesdk</t>
  </si>
  <si>
    <t>INSTALL PRIME</t>
  </si>
  <si>
    <t>AÇO GALVANIZADA</t>
  </si>
  <si>
    <t>https://drive.google.com/file/d/197gBJhEs7p74BTbYF1yDINY4dK0SbiSJ/view?usp=drivesdk</t>
  </si>
  <si>
    <t>TEC BUSWAY</t>
  </si>
  <si>
    <t>3000 x 1200</t>
  </si>
  <si>
    <t>AÇO GALVANIZADO</t>
  </si>
  <si>
    <t>https://drive.google.com/file/d/1ADKVRT7DYZ_DXN_qvWxhNkn-PXdvQd54/view?usp=drivesdk</t>
  </si>
  <si>
    <t>CAETANO SOLUÇÕES</t>
  </si>
  <si>
    <t>1250 x 850</t>
  </si>
  <si>
    <t>AÇO INOX</t>
  </si>
  <si>
    <t>CAETANO</t>
  </si>
  <si>
    <t>https://drive.google.com/file/d/1kHQA556Kdl97G_b1l-XlqmCKeCvyro4b/view?usp=drivesdk</t>
  </si>
  <si>
    <t>1285 x 820</t>
  </si>
  <si>
    <t>https://drive.google.com/file/d/1rRVavZ62LS6GDbXfEcGUry5Wx3aBdYAG/view?usp=drivesdk</t>
  </si>
  <si>
    <t>1490 x 770</t>
  </si>
  <si>
    <t>https://drive.google.com/file/d/1DzxFJC-41risALT-_yesN6r3Br6u-XIO/view?usp=drivesdk</t>
  </si>
  <si>
    <t>970 x 1210</t>
  </si>
  <si>
    <t>AÇO ASTM A572-50</t>
  </si>
  <si>
    <t>https://drive.google.com/file/d/18wcYUMcagJYdgbbJJJZFj9Ds8V2akAKr/view?usp=drivesdk</t>
  </si>
  <si>
    <t>1750 x 1210</t>
  </si>
  <si>
    <t>https://drive.google.com/file/d/1pItXxRpFri0pfWiVyzDgYDW1cA3brI5U/view?usp=drivesdk</t>
  </si>
  <si>
    <t>1200 x 950</t>
  </si>
  <si>
    <t>https://drive.google.com/file/d/1yrQ3wWNi7kcpMpfDERroZBqWw-Izbaa5/view?usp=drivesdk</t>
  </si>
  <si>
    <t>TUBA FERRAMENTARIA</t>
  </si>
  <si>
    <t>700 x 395</t>
  </si>
  <si>
    <t>AÇO ASTM A36</t>
  </si>
  <si>
    <t>SOUFER</t>
  </si>
  <si>
    <t>https://drive.google.com/file/d/1DVgJIGa2X5D-xGdGHRY5aAZI2eh2A_PN/view?usp=drivesdk</t>
  </si>
  <si>
    <t>2445 x 215</t>
  </si>
  <si>
    <t>AÇO GALVAZINADA</t>
  </si>
  <si>
    <t>https://drive.google.com/file/d/1lFfXyhlqR0CcoYQ749UqelZBdlB8ZRcs/view?usp=drivesdk</t>
  </si>
  <si>
    <t>1205 x 565</t>
  </si>
  <si>
    <t>https://drive.google.com/file/d/1q7nnEeewBj0JnzQbaDgmf-fNzz03UdY2/view?usp=drivesdk</t>
  </si>
  <si>
    <t>1210 x 570</t>
  </si>
  <si>
    <t>https://drive.google.com/file/d/14WrEWlJ_jBUXqsIL4E1dlhQj2P91yluk/view?usp=drivesdk</t>
  </si>
  <si>
    <t>2445 x 180</t>
  </si>
  <si>
    <t>https://drive.google.com/file/d/14dcS4Fak3CMYr64XimOvP1X0D84H6hXV/view?usp=drivesdk</t>
  </si>
  <si>
    <t>MCMETAIS - LÉO</t>
  </si>
  <si>
    <t>MCMETAIS</t>
  </si>
  <si>
    <t>https://drive.google.com/file/d/1De-UVnzpxKKanyDwsmbgcvk0-Cvcosrh/view?usp=drivesdk</t>
  </si>
  <si>
    <t>840 x 130</t>
  </si>
  <si>
    <t>https://drive.google.com/file/d/1gXaEj38MYZdzR1N_OX3EsTYLTnnDBGDd/view?usp=drivesdk</t>
  </si>
  <si>
    <t>3000 x 210</t>
  </si>
  <si>
    <t>https://drive.google.com/file/d/10H10fab6afUrcjwpEl0M6NSKAcG4KX4j/view?usp=drivesdk</t>
  </si>
  <si>
    <t>3000 x 120</t>
  </si>
  <si>
    <t>https://drive.google.com/file/d/1ceqGAtUTK1AixcqCTXXSq4NARu_Rtemf/view?usp=drivesdk</t>
  </si>
  <si>
    <t>3000 x 130</t>
  </si>
  <si>
    <t>https://drive.google.com/file/d/1yMuIMOE1fX7oOhaPxgfVEBmNpGgMVjLI/view?usp=drivesdk</t>
  </si>
  <si>
    <t>3000 x 90</t>
  </si>
  <si>
    <t>https://drive.google.com/file/d/1ZYYzAOlViTQiJzvTBGxnRNG5NkWtYfHi/view?usp=drivesdk</t>
  </si>
  <si>
    <t>420x 1210</t>
  </si>
  <si>
    <t>AÇO ASTM A572</t>
  </si>
  <si>
    <t>https://drive.google.com/file/d/16FzKhZvsfevHhxRAdBhZnLX1ULfl73nD/view?usp=drivesdk</t>
  </si>
  <si>
    <t>700 x 1200</t>
  </si>
  <si>
    <t>https://drive.google.com/file/d/1jO8akAsSessBlUmhVLJNHEqOS2NgqIS3/view?usp=drivesdk</t>
  </si>
  <si>
    <t>680 x 1720</t>
  </si>
  <si>
    <t>https://drive.google.com/file/d/1ieCTXMb-xYK6go8U50ZBHLpuCBDRCZDT/view?usp=drivesdk</t>
  </si>
  <si>
    <t>1220 x 1200</t>
  </si>
  <si>
    <t>https://drive.google.com/file/d/17WyFHAfnb5DPjkttmj2McBeybTSMPAJw/view?usp=drivesdk</t>
  </si>
  <si>
    <t>SIANFER</t>
  </si>
  <si>
    <t>https://drive.google.com/file/d/1eCMbvlJg28Br3_i-xRnPYKtdQFgGpmVs/view?usp=drivesdk</t>
  </si>
  <si>
    <t>PIRES DO RIO</t>
  </si>
  <si>
    <t>https://drive.google.com/file/d/1habhyQ7zVTDKJRePmUDnj3jJjlEvZYvp/view?usp=drivesdk</t>
  </si>
  <si>
    <t>MULTI METAIS</t>
  </si>
  <si>
    <t>https://drive.google.com/file/d/1rNAoJNt_9jC9KYSNjhTlWqER2SOOSW_s/view?usp=drivesdk</t>
  </si>
  <si>
    <t>Inteiro</t>
  </si>
  <si>
    <t>https://drive.google.com/file/d/11tD4obh9MTiY01u_PpaRouSSEVQEHw2q/view?usp=drivesdk</t>
  </si>
  <si>
    <t>AÇO FF</t>
  </si>
  <si>
    <t>https://drive.google.com/file/d/1lDyo5KainNsi7_R6gUHiV9dcY0s9mU__/view?usp=drivesdk</t>
  </si>
  <si>
    <t>Joalmi</t>
  </si>
  <si>
    <t>2000 x 222</t>
  </si>
  <si>
    <t>AÇO IAPO1000</t>
  </si>
  <si>
    <t>Joelmi</t>
  </si>
  <si>
    <t>https://drive.google.com/file/d/1bQTc9ArM96daiejCKqbsEtMG5DjqsHve/view?usp=drivesdk</t>
  </si>
  <si>
    <t>JOALMI</t>
  </si>
  <si>
    <t>1960 x 160</t>
  </si>
  <si>
    <t>https://drive.google.com/file/d/19ssfeGKTcW0KNZJI5ZRxMnrftQHffhI-/view?usp=drivesdk</t>
  </si>
  <si>
    <t>1000 x 1200</t>
  </si>
  <si>
    <t>https://drive.google.com/file/d/1llQtCECElrHPfeF4MXnqZGE7BbI2n8pY/view?usp=drivesdk</t>
  </si>
  <si>
    <t>2050 x 1200</t>
  </si>
  <si>
    <t>AÇO SAE 1008</t>
  </si>
  <si>
    <t>https://drive.google.com/file/d/1kN1JhGMh_jyYieDJDzu5PSVjd58q6Iqa/view?usp=drivesdk</t>
  </si>
  <si>
    <t>https://drive.google.com/file/d/1B2X3T7yty4E_h4OO354C9N77xDQuhZV9/view?usp=drivesdk</t>
  </si>
  <si>
    <t>1820 x 1500</t>
  </si>
  <si>
    <t>https://drive.google.com/file/d/1gzIbbMyT7e6y5ONhLovZypFvAYyx8N5w/view?usp=drivesdk</t>
  </si>
  <si>
    <t>1295 x 1200</t>
  </si>
  <si>
    <t>https://drive.google.com/file/d/1KpYk03xtlyhS1iaOtAStZBrHuyP9JI72/view?usp=drivesdk</t>
  </si>
  <si>
    <t>1300 x 1200</t>
  </si>
  <si>
    <t>https://drive.google.com/file/d/1KngGgGCE_-deoxvxb0Il3xoUVQFjcxuY/view?usp=drivesdk</t>
  </si>
  <si>
    <t>3000 x 620</t>
  </si>
  <si>
    <t>MULTI-METAIS</t>
  </si>
  <si>
    <t>https://drive.google.com/file/d/1w0RcF9W9ZdSChHVndB0fnhulmeif9PMe/view?usp=drivesdk</t>
  </si>
  <si>
    <t>3000 x 515</t>
  </si>
  <si>
    <t>https://drive.google.com/file/d/1EhB3_oEiR6GQB1rTCMQwzAoJKkaKPAXN/view?usp=drivesdk</t>
  </si>
  <si>
    <t>AÇO CORTEN</t>
  </si>
  <si>
    <t>https://drive.google.com/file/d/1xg_bp12rqWkfuiuvJoWIgmnuEIW68Eqy/view?usp=drivesdk</t>
  </si>
  <si>
    <t>https://drive.google.com/file/d/1JTMs-25XB23t2wEjMpvI-wjfWPQzzn07/view?usp=drivesdk</t>
  </si>
  <si>
    <t>1220 x 880</t>
  </si>
  <si>
    <t>https://drive.google.com/file/d/1G_44i9jhi_WLliRukFEtJHkAy-O7QS5_/view?usp=drivesdk</t>
  </si>
  <si>
    <t>https://drive.google.com/file/d/1oelsUOpD590t9ImrccLteDB2cPmoOPMs/view?usp=drivesdk</t>
  </si>
  <si>
    <t>1200 x 2000</t>
  </si>
  <si>
    <t>METAIS LHR</t>
  </si>
  <si>
    <t>https://drive.google.com/file/d/1DI6dNkENR6kA8oHuo3uYZoBTAvV3Peaf/view?usp=drivesdk</t>
  </si>
  <si>
    <t>955 x 2000</t>
  </si>
  <si>
    <t>https://drive.google.com/file/d/1F58EDi2o0pg-fn76izIVboNMVld9wI8J/view?usp=drivesdk</t>
  </si>
  <si>
    <t>1200 x 485</t>
  </si>
  <si>
    <t>https://drive.google.com/file/d/14O0A9hm3YBEZG0ERzgr6vxxvoU5ctkzQ/view?usp=drivesdk</t>
  </si>
  <si>
    <t>AÇO F.F</t>
  </si>
  <si>
    <t>https://drive.google.com/file/d/1E3CTAaxCx-laqFKkA8qNCTUP_za33wq5/view?usp=drivesdk</t>
  </si>
  <si>
    <t>920x 3000</t>
  </si>
  <si>
    <t>https://drive.google.com/file/d/14pHFNY8PVRD313ZFEYsdNXeSd8sG8Ma6/view?usp=drivesdk</t>
  </si>
  <si>
    <t>https://drive.google.com/file/d/16sT3hHuMLowarxAxZHYUPRMJkjtioYmF/view?usp=drivesdk</t>
  </si>
  <si>
    <t>https://drive.google.com/file/d/1zeCibiPP-dvxpRr1JqYSrP7AiJBOaQGQ/view?usp=drivesdk</t>
  </si>
  <si>
    <t>https://drive.google.com/file/d/1fYKDAcpVaop5M7ssMmS8pGP1j1OmJPzx/view?usp=drivesdk</t>
  </si>
  <si>
    <t>https://drive.google.com/file/d/1nBy8nYhOsdhNnpR3CQFIwRGzCwY5roMU/view?usp=drivesdk</t>
  </si>
  <si>
    <t>3000 x 730</t>
  </si>
  <si>
    <t>https://drive.google.com/file/d/1W1FKZ3lIVERktPtj-J6KLCAQIc3qmtdI/view?usp=drivesdk</t>
  </si>
  <si>
    <t>FUNCIONÁRIO</t>
  </si>
  <si>
    <t>VEÍCULO</t>
  </si>
  <si>
    <t>HORA DE SAÍDA</t>
  </si>
  <si>
    <t>PREVISÃO DE RETORNO</t>
  </si>
  <si>
    <t>MOTIVO</t>
  </si>
  <si>
    <t>RETORNO</t>
  </si>
  <si>
    <t>Ivan Braga Ramos</t>
  </si>
  <si>
    <t>Saveiro</t>
  </si>
  <si>
    <t xml:space="preserve">Inova pintura THERMAN </t>
  </si>
  <si>
    <t>Inova pintura projeto therma</t>
  </si>
  <si>
    <t>André Gomes da Silva</t>
  </si>
  <si>
    <t xml:space="preserve">Entrega de pedido sos </t>
  </si>
  <si>
    <t>Adriana Brauer Braga</t>
  </si>
  <si>
    <t>Entregar Evandro , SOS e Thallys</t>
  </si>
  <si>
    <t>Escritório de contabilidade da Érica</t>
  </si>
  <si>
    <t xml:space="preserve">Entrega pedidos Lourdes </t>
  </si>
  <si>
    <t>Guilherme Gomes</t>
  </si>
  <si>
    <t>ENTREGAS</t>
  </si>
  <si>
    <t xml:space="preserve">Buscar uma peça no Evandro urgente </t>
  </si>
  <si>
    <t>Entrega de material</t>
  </si>
  <si>
    <t xml:space="preserve">Entrega de material </t>
  </si>
  <si>
    <t>CPF/CNPJ</t>
  </si>
  <si>
    <t>ENDEREÇO</t>
  </si>
  <si>
    <t>TELEFONE</t>
  </si>
  <si>
    <t>EMAIL</t>
  </si>
  <si>
    <t>151.635.438-90</t>
  </si>
  <si>
    <t>Rua Das Laranjeiras, 1221 - Demarchi, São Bernardo do Campo - SP, CEP: 09820-480</t>
  </si>
  <si>
    <t>(11) 98337-2225</t>
  </si>
  <si>
    <t>adrianabrauerb@gmail.com</t>
  </si>
  <si>
    <t>APLITECNO INDUSTRIA E COMERCIO LTDA</t>
  </si>
  <si>
    <t>24.384.654/0001-24</t>
  </si>
  <si>
    <t>Avenida Pedro Roschel Gottzfritz, 284 - Terceira Divisao de Interlagos, Sao Paulo - SP, CEP: 04809-160</t>
  </si>
  <si>
    <t>(11) 5510-9609</t>
  </si>
  <si>
    <t>atlas_ofc@uol.com.br</t>
  </si>
  <si>
    <t>61.275.508/0001-97</t>
  </si>
  <si>
    <t>Rua Eugenio Roncon, 568 - Roncon, Ribeirão Pires - SP, CEP: 09411-000</t>
  </si>
  <si>
    <t>(11) 2628-2676</t>
  </si>
  <si>
    <t>betofava@uol.com.br</t>
  </si>
  <si>
    <t>425.515.858-48</t>
  </si>
  <si>
    <t>RUA VOLTA REDONDA, 270 - ALVES DIAS, São Bernardo do Campo - SP, CEP: 09852-700</t>
  </si>
  <si>
    <t>(11) 96942-7102</t>
  </si>
  <si>
    <t>bmsilva0108@gmail.com</t>
  </si>
  <si>
    <t>13.518.869/0001-74</t>
  </si>
  <si>
    <t>Rua Barbara Heliodora, 281 - UTINGA SANTO ANDRE - SP, CEP: 09220-340</t>
  </si>
  <si>
    <t>(11) 4451-1470</t>
  </si>
  <si>
    <t>c.garcia@on-conveyors.com.br</t>
  </si>
  <si>
    <t>27.270.414/0001-97</t>
  </si>
  <si>
    <t>Rua Dos Feltrins, 170 - Demarchi, São Bernardo do Campo - SP, CEP: 09820-280</t>
  </si>
  <si>
    <t>(11) 4059-6855</t>
  </si>
  <si>
    <t>contato@alfasoldas.com.br</t>
  </si>
  <si>
    <t>17.714.152/0001-59</t>
  </si>
  <si>
    <t>ESTRADA GALVAO BUENO, 4647 - Batistini, São Bernardo do Campo - SP, CEP: 09842-080</t>
  </si>
  <si>
    <t>(11) 4357-1031</t>
  </si>
  <si>
    <t>contato@garagemdasfibras.com.br</t>
  </si>
  <si>
    <t>60.980.240/0002-02</t>
  </si>
  <si>
    <t>RUA EUNICE, 283 GALPAO 1 - PONTE GRANDE, Guarulhos - SP, CEP: 07031-030</t>
  </si>
  <si>
    <t>(11) 2142-2412</t>
  </si>
  <si>
    <t>contato@joalmi.com.br</t>
  </si>
  <si>
    <t>25.532.732/0001-53</t>
  </si>
  <si>
    <t>Avenida Presidente Costa e Silva, 485 - Casa Grande Diadema - SP, CEP: 09961-400</t>
  </si>
  <si>
    <t>(11) 4051-1692</t>
  </si>
  <si>
    <t>contato@maxfire.com.br</t>
  </si>
  <si>
    <t>23.886.769/0001-92</t>
  </si>
  <si>
    <t>Rua Mathilde Ferrari Marcon, 450 - Dos Casa, São Bernardo do Campo - SP, CEP: 09840-360</t>
  </si>
  <si>
    <t>(11) 99176-3052</t>
  </si>
  <si>
    <t>contato@primordialcarretas.com.br</t>
  </si>
  <si>
    <t>60.326.501/0001-94</t>
  </si>
  <si>
    <t>Av. Álvaro Guimarães, 724 - Planalto, São Bernardo do Campo - SP, CEP: 09890-003</t>
  </si>
  <si>
    <t>(11) 3465-5000</t>
  </si>
  <si>
    <t>cris@tecnigrav.com</t>
  </si>
  <si>
    <t>47.960.557/0001-38</t>
  </si>
  <si>
    <t>AVENIDA ALVARO GUIMARAES, 724 (Sala 2) - Planalto, São Bernardo do Campo - SP, CEP: 09890-003</t>
  </si>
  <si>
    <t>(11) 4123-1319</t>
  </si>
  <si>
    <t>cris@tecnigrav.com nfe@tecnigrav.com</t>
  </si>
  <si>
    <t>39.152.908/0001-56</t>
  </si>
  <si>
    <t>Rua Hipodromo, 359 - Brás, São Paulo - SP, CEP: 03051-000</t>
  </si>
  <si>
    <t>(11) 2618-5811</t>
  </si>
  <si>
    <t>dec@assessoriacontabil.net</t>
  </si>
  <si>
    <t>TEC BUSWAY ENGENHARIA E INSTALAÇÕES LTDA</t>
  </si>
  <si>
    <t>57.954.847/0001-22</t>
  </si>
  <si>
    <t>Rua Graciosa Trevisan Salvatori, 76 - Nova vinhedo - Valinhos - SP, CEP: 13284-140</t>
  </si>
  <si>
    <t>(19) 9759-2002</t>
  </si>
  <si>
    <t>doriventura@yahoo.com.br</t>
  </si>
  <si>
    <t>LEGAS METAL INDUSTRIA E COMERCIO LTDA</t>
  </si>
  <si>
    <t>47.668.835/0001-88</t>
  </si>
  <si>
    <t>AVENIDA JOSE BONIFACIO, 1161 - Vila Conceição, Diadema - SP, CEP: 09960-120</t>
  </si>
  <si>
    <t>(11) 95106-2337</t>
  </si>
  <si>
    <t>elisabete@legasmetal.com.br</t>
  </si>
  <si>
    <t>HENRY MELO COMERCIO E SERVICOS DE EQUIPAMENTOS HIDRAULICOS L</t>
  </si>
  <si>
    <t>12.243.466/0001-05</t>
  </si>
  <si>
    <t xml:space="preserve">RUA ZELIA (CH D PAULISTA), 421 - ASSUNCAO São Bernardo do Campo - SP, CEP: 09861-710
</t>
  </si>
  <si>
    <t>(11) 2669-7505</t>
  </si>
  <si>
    <t>financeiro@henrypecas.com.br</t>
  </si>
  <si>
    <t>GYTECH EQUIPAMENTOS INDUSTRIAIS LTDA</t>
  </si>
  <si>
    <t>20.280.388/0001-39</t>
  </si>
  <si>
    <t>AVENIDA FERNANDO FERRARI, 205 - Ferrazópolis, São Bernardo do Campo - SP, CEP: 09790-110</t>
  </si>
  <si>
    <t>(11) 3996-3120</t>
  </si>
  <si>
    <t>fiscal@elllo.com.br</t>
  </si>
  <si>
    <t>130.337.968-69</t>
  </si>
  <si>
    <t>RUA QUINZE DE AGOSTO, 11 (Bloco MICONOS) - Centro, São Bernardo do Campo - SP, CEP: 09721-110</t>
  </si>
  <si>
    <t>(11) 94839-0005</t>
  </si>
  <si>
    <t>hirokuramochi@terra.com.br</t>
  </si>
  <si>
    <t>J.V.M. INDUSTRIA E COMERCIO DE ESQUADRIAS LTDA</t>
  </si>
  <si>
    <t>52.231.255/0001-69</t>
  </si>
  <si>
    <t>ESTRADA DOS CASAS, 2103 - Dos Casa, São Bernardo do Campo - SP, CEP: 09840-000</t>
  </si>
  <si>
    <t>(11) 4109-9355</t>
  </si>
  <si>
    <t>joara@jvmesquadrias.com.br</t>
  </si>
  <si>
    <t>27.939.911/0001-35</t>
  </si>
  <si>
    <t>Estrada dos Alvarengas, 410 LETRA B - Assunção, São Bernardo do Campo - SP, CEP: 098550-550</t>
  </si>
  <si>
    <t>(11) 8134-2093</t>
  </si>
  <si>
    <t>kiriamartinez@ig.com.br</t>
  </si>
  <si>
    <t>KORG CAMPING E NÁUTICA INDÚSTRIA E COMÉRCIO LTDA</t>
  </si>
  <si>
    <t>58.227.182/0001-18</t>
  </si>
  <si>
    <t>Via Anchieta, 742 - Ipiranga - São Paulo - SP, CEP: 04246-000</t>
  </si>
  <si>
    <t>(11) 2272-0752</t>
  </si>
  <si>
    <t>korg@korgcarretas.com.br</t>
  </si>
  <si>
    <t>00.144.257/0001-17</t>
  </si>
  <si>
    <t>Rua Maria da Salete L Goncalves, 230 Galpao 02, Estancia Sao Francisco Itapevi - SP, CEP: 06695-435</t>
  </si>
  <si>
    <t>(11) 2273-0462</t>
  </si>
  <si>
    <t>legalizacao.numes@terra.com.br</t>
  </si>
  <si>
    <t>NL COMERCIO EXTERIOR LTDA</t>
  </si>
  <si>
    <t>52.541.273/0001-47</t>
  </si>
  <si>
    <t>RUA VIGARIO ALBERNAZ, 367 - Vila Gumercindo - São Paulo - SP, CEP: 04134-020</t>
  </si>
  <si>
    <t>(11) 5061-4411</t>
  </si>
  <si>
    <t>m.cintra@nldiagnostica.com.br</t>
  </si>
  <si>
    <t>04.325.987/0001-75</t>
  </si>
  <si>
    <t>Rua Coronel Camisao, 357 /361 - Oswaldo Cruz, São Caetano do Sul - SP, CEP: 09571-020</t>
  </si>
  <si>
    <t>(11) 96096-3280</t>
  </si>
  <si>
    <t>marcio@techassist.com.br</t>
  </si>
  <si>
    <t>52.027.149/0001-68</t>
  </si>
  <si>
    <t>RUA CAIAPOS, 162 - ALVES DIAS São Bernardo do Campo - SP - CEP: 09850-340</t>
  </si>
  <si>
    <t>(11) 3738-1992</t>
  </si>
  <si>
    <t>mcmetais.comercial@outlook.com</t>
  </si>
  <si>
    <t>21.169.268/0001-21</t>
  </si>
  <si>
    <t>Avenida Dom Pedro I, 1660 Galpao1662 - Conceicao, Diadema - SP, CEP: 09991-000</t>
  </si>
  <si>
    <t>(11) 98781-2997</t>
  </si>
  <si>
    <t>nfe@ribatec.com.br</t>
  </si>
  <si>
    <t>18.537.921/0001-53</t>
  </si>
  <si>
    <t>RUA RUA JOSE FERNANDES DE OLIVEIRA, 47 - Batistini, São Bernardo do Campo - SP, CEP: 09843-240</t>
  </si>
  <si>
    <t>(11) 4930-2909</t>
  </si>
  <si>
    <t>nt.hiraulica@gmail.com</t>
  </si>
  <si>
    <t>FERRAMENTARIA GASPEC LTDA EM RECUPERACAO JUDICIAL</t>
  </si>
  <si>
    <t>03.635.958/0001-47</t>
  </si>
  <si>
    <t>Avenida Novo Horizonte, 255 - Vila Sacadura Cabral, Santo Andre - SP, CEP: 09060-820</t>
  </si>
  <si>
    <t>(11) 4421-1866</t>
  </si>
  <si>
    <t>paralegalassis@oscpaulistana.com.br</t>
  </si>
  <si>
    <t>49.537.376/0001-29</t>
  </si>
  <si>
    <t>R ECA DE QUEIROZ, 160 - VL SACADURA CABRAL, Santo André - SP, CEP: 09060-840</t>
  </si>
  <si>
    <t>(11) 4421-8701</t>
  </si>
  <si>
    <t>raquel.paes@gaspec.com.br</t>
  </si>
  <si>
    <t>55.712.865/0001-72</t>
  </si>
  <si>
    <t>Avenida Senador Ricardo Batista, 666 - Assuncao, São Bernardo do Campo, CEP: 09812-510</t>
  </si>
  <si>
    <t>(11) 99424-9339</t>
  </si>
  <si>
    <t>renatofr81@gmail.com</t>
  </si>
  <si>
    <t>05.790.468/0001-40</t>
  </si>
  <si>
    <t>AVENIDA JOSE ODORIZZI, 640 - ASSUNCAO São Bernardo do Campo - SP - CEP: 00000-010</t>
  </si>
  <si>
    <t>(11) 9106-0500</t>
  </si>
  <si>
    <t>roberta@vrpunidademovel.com.br</t>
  </si>
  <si>
    <t>19.753.826/0001-50</t>
  </si>
  <si>
    <t>RUA PIAUI (PQ GARCAS), 129 - Alvarenga, São Bernardo do Campo - SP, CEP: 00000-010</t>
  </si>
  <si>
    <t>(11) 4342-4682</t>
  </si>
  <si>
    <t>solucoes.art@hotmail.com</t>
  </si>
  <si>
    <t>23.072.604/0001-49</t>
  </si>
  <si>
    <t>Rua Mathilde Ferrari Marcon, 984 Galpao11 - Dos Casa, São Bernardo do Campo - SP, CEP: 09840-360</t>
  </si>
  <si>
    <t>(11) 3339-5795</t>
  </si>
  <si>
    <t>sos.hidraulica.cg@gmail.com</t>
  </si>
  <si>
    <t>40.528.785/0001-94</t>
  </si>
  <si>
    <t xml:space="preserve">Rua Goiania (Pq Imigrantes),127 - Batistini, São Bernardo do Campo - SP, CEP: 09843-310 </t>
  </si>
  <si>
    <t>(11) 96020-2160</t>
  </si>
  <si>
    <t>thallys864@gmail.com</t>
  </si>
  <si>
    <t>56.093.059/0001-26</t>
  </si>
  <si>
    <t>Rua Maria da Penha, 67 Casa 2 - Rudge Ramos São Bernardo do Campo - SP, CEP: 09626-080</t>
  </si>
  <si>
    <t>(11) 98794-5310</t>
  </si>
  <si>
    <t>thermambrasil@gmail.com</t>
  </si>
  <si>
    <t>TUBA FERRAMENTARIA LTDA</t>
  </si>
  <si>
    <t>10.684.825/0001-26</t>
  </si>
  <si>
    <t>Estrada Dos Alvarengas, 4101 - Assuncao, São Bernardo do Campo - SP, CEP: 09850-550</t>
  </si>
  <si>
    <t>(11) 4226-7267</t>
  </si>
  <si>
    <t>tubaferram@gmail.com</t>
  </si>
  <si>
    <t>46.248.972/0001-09</t>
  </si>
  <si>
    <t>Avenida Domingos Potomati, 381 - Batistini, São Bernardo do Campo - SP, CEP: 09842-025</t>
  </si>
  <si>
    <t>(11) 97114-0186</t>
  </si>
  <si>
    <t>vigacontabilidade@gmail.com</t>
  </si>
  <si>
    <t>095.452.164-17</t>
  </si>
  <si>
    <t>TESTE</t>
  </si>
  <si>
    <t>VANESSA BERTUCCI ENGENHARIA</t>
  </si>
  <si>
    <t>45.557.022/0001-95</t>
  </si>
  <si>
    <t>RUA JOAQUIM TAVORA, 500 - Jabaquara, Santos - SP, CEP: 11065-908</t>
  </si>
  <si>
    <t>(11) 99684-7753</t>
  </si>
  <si>
    <t>Tempo estimado / tempo real preparação</t>
  </si>
  <si>
    <t>Tempo estimado / tempo real de corte</t>
  </si>
  <si>
    <t>Tempo estimado / tempo real de dobra</t>
  </si>
  <si>
    <t>Tempo estimado / tempo real de adicionais</t>
  </si>
  <si>
    <t>240204aBR_1 PORTA LATERAL PESSOAS</t>
  </si>
  <si>
    <t>Início: 16/11/2025 10:34</t>
  </si>
  <si>
    <t>240204aBR_2 PISO MEZANINO</t>
  </si>
  <si>
    <t>Início: 28/11/2025 12:39</t>
  </si>
  <si>
    <t>Início: 07/11/2025 12:10 | Fim: 10/11/2025 08:46</t>
  </si>
  <si>
    <t>Início: 05/11/2025 16:59 | Fim: 06/11/2025 10:57</t>
  </si>
  <si>
    <t>Início: 06/11/2025 10:57</t>
  </si>
  <si>
    <t>Adriana</t>
  </si>
  <si>
    <t>250913 ARMARIO ADRIANA</t>
  </si>
  <si>
    <t>Início: 10/11/2025 08:52 | Fim: 10/11/2025 08:55</t>
  </si>
  <si>
    <t>Início: 10/11/2025 11:47 | Fim: 12/11/2025 10:31</t>
  </si>
  <si>
    <t>Fim: 06/11/2025 12:08</t>
  </si>
  <si>
    <t>Fim: 05/11/2025 16:28</t>
  </si>
  <si>
    <t>Início: 05/11/2025 16:28</t>
  </si>
  <si>
    <t>Início: 10/11/2025 08:50 | Fim: 10/11/2025 11:47</t>
  </si>
  <si>
    <t>Fim: 06/11/2025 12:10</t>
  </si>
  <si>
    <t>Fim: 10/11/2025 08:46</t>
  </si>
  <si>
    <t>Fim: 06/11/2025 11:54</t>
  </si>
  <si>
    <t>Início: 10/11/2025 14:30 | Fim: 11/11/2025 10:32</t>
  </si>
  <si>
    <t>Início: 10/11/2025 11:47 | Fim: 14/11/2025 08:15</t>
  </si>
  <si>
    <t>Início: 05/11/2025 17:07</t>
  </si>
  <si>
    <t>Fim: 06/11/2025 13:31</t>
  </si>
  <si>
    <t>Início: 06/11/2025 15:18 | Fim: 06/11/2025 15:23</t>
  </si>
  <si>
    <t>Início: 10/11/2025 09:56 | Fim: 10/11/2025 11:47</t>
  </si>
  <si>
    <t>Início: 10/11/2025 11:49 | Fim: 10/11/2025 11:51</t>
  </si>
  <si>
    <t>Início: 11/11/2025 12:30 | Fim: 12/11/2025 09:55</t>
  </si>
  <si>
    <t>Início: 11/11/2025 09:25 | Fim: 11/11/2025 10:31</t>
  </si>
  <si>
    <t>251111cBR 7 CHAPAS COBERT</t>
  </si>
  <si>
    <t>Início: 11/11/2025 13:47 | Fim: 12/11/2025 10:31</t>
  </si>
  <si>
    <t xml:space="preserve">Início: 13/11/2025 09:37 | Fim: 13/11/2025 09:37 </t>
  </si>
  <si>
    <t>251112cBR THERMAN - JOAO CURIT - 20PC SUP CIL + 50PC SUP FC  + 50 PC ACION</t>
  </si>
  <si>
    <t>Início: 12/11/2025 20:17 | Fim: 13/11/2025 08:56</t>
  </si>
  <si>
    <t>Início: 13/11/2025 10:30 | Fim: 13/11/2025 10:31</t>
  </si>
  <si>
    <t>Início: 14/11/2025 13:22</t>
  </si>
  <si>
    <t>251114aMS CONJ DESENHOS</t>
  </si>
  <si>
    <t>Início: 14/11/2025 13:22 | Fim: 14/11/2025 14:14</t>
  </si>
  <si>
    <t>Início: 18/11/2025 17:27 | Fim: 19/11/2025 08:12</t>
  </si>
  <si>
    <t>Início: 18/11/2025 12:14 | Fim: 18/11/2025 12:14</t>
  </si>
  <si>
    <t>Início: 18/11/2025 12:31 | Fim: 18/11/2025 12:37</t>
  </si>
  <si>
    <t>Início: 18/11/2025 13:53 | Fim: 18/11/2025 14:38</t>
  </si>
  <si>
    <t>Início: 18/11/2025 17:28 | Fim: 19/11/2025 08:12</t>
  </si>
  <si>
    <t>251119cBR VENDA ANTEC LEGAS - TROCA 12 PC VIGAS MONOVIA 'I' 150MM - FRETE R$1.500 - TT ~R$ 3.200,00</t>
  </si>
  <si>
    <t>Início: 19/11/2025 13:57 | Fim: 19/11/2025 13:57</t>
  </si>
  <si>
    <t>Início: 12/12/2025 13:44</t>
  </si>
  <si>
    <t>Fim:  12/12/2025 13:44</t>
  </si>
  <si>
    <t>Início: 24/11/2025 09:15 | Fim: 24/11/2025 09:39</t>
  </si>
  <si>
    <t>Início: 24/11/2025 12:26 | Fim: 24/11/2025 13:09</t>
  </si>
  <si>
    <t>Início: 24/11/2025 12:42 | Fim: 24/11/2025 13:09</t>
  </si>
  <si>
    <t>Início: 24/11/2025 12:43 | Fim: 24/11/2025 13:09</t>
  </si>
  <si>
    <t>Início: 24/11/2025 14:42 | Fim: 24/11/2025 14:49</t>
  </si>
  <si>
    <t>Início: 24/11/2025 14:43 | Fim: 24/11/2025 14:49</t>
  </si>
  <si>
    <t>Início: 24/11/2025 16:43 | Fim: 28/11/2025 12:38</t>
  </si>
  <si>
    <t>Início: 25/11/2025 10:25 | Fim: 25/11/2025 10:35</t>
  </si>
  <si>
    <t>Início: 25/11/2025 10:54 | Fim: 25/11/2025 10:55</t>
  </si>
  <si>
    <t>Início: 25/11/2025 15:47 | Fim: 26/11/2025 14:25</t>
  </si>
  <si>
    <t>Início: 25/11/2025 15:48 | Fim: 26/11/2025 14:25</t>
  </si>
  <si>
    <t>Início: 26/11/2025 12:21 | Fim: 26/11/2025 14:25</t>
  </si>
  <si>
    <t>Início: 26/11/2025 14:53 | Fim: 27/11/2025 09:28</t>
  </si>
  <si>
    <t>Início: 26/11/2025 14:54 | Fim: 27/11/2025 09:28</t>
  </si>
  <si>
    <t>251118fMS PROJ JMV ESQUADRIAS _ACH ENG CONSTRUT - CJ SUPORTES INOX TETO VIDRO AREA PISCINA</t>
  </si>
  <si>
    <t>Início: 27/11/2025 09:24 | Fim: 27/11/2025 14:21</t>
  </si>
  <si>
    <t>Início: 27/11/2025 09:59 | Fim: 27/11/2025 11:31</t>
  </si>
  <si>
    <t>251127aMS COT ON CONVEYORS EVERTON -  10UN PC ELO 515</t>
  </si>
  <si>
    <t>251111aMS  30PC CHAPA AFASTAM #4,25mm</t>
  </si>
  <si>
    <t>Início: 27/11/2025 15:38</t>
  </si>
  <si>
    <t>Início: 27/11/2025 15:57 | Fim: 27/11/2025 16:22</t>
  </si>
  <si>
    <t>Início: 28/11/2025 13:11</t>
  </si>
  <si>
    <t>Início: 28/11/2025 13:08 | Fim: 28/11/2025 13:10</t>
  </si>
  <si>
    <t>Início: 02/12/2025 14:24</t>
  </si>
  <si>
    <t>Início: 28/11/2025 17:04 | Fim: 01/12/2025 10:29</t>
  </si>
  <si>
    <t>Início: 01/12/2025 14:02 | Fim: 02/12/2025 09:04</t>
  </si>
  <si>
    <t>Início: 02/12/2025 09:04 | Fim: 02/12/2025 09:04</t>
  </si>
  <si>
    <t>Início: 02/12/2025 11:13 | Fim: 02/12/2025 11:13</t>
  </si>
  <si>
    <t>Início: 02/12/2025 11:04 | Fim: 02/12/2025 11:13</t>
  </si>
  <si>
    <t>251202aMR</t>
  </si>
  <si>
    <t>Início: 02/12/2025 16:21</t>
  </si>
  <si>
    <t>251202cBR</t>
  </si>
  <si>
    <t>Início: 03/12/2025 09:31</t>
  </si>
  <si>
    <t>Início: 03/12/2025 09:06 | Fim: 03/12/2025 15:20</t>
  </si>
  <si>
    <t>Início: 03/12/2025 11:33 | Fim: 08/12/2025 09:47</t>
  </si>
  <si>
    <t>Início: 03/12/2025 14:19 | Fim: 03/12/2025 15:20</t>
  </si>
  <si>
    <t>Início: 03/12/2025 14:20 | Fim: 03/12/2025 15:20</t>
  </si>
  <si>
    <t>Início: 11/12/2025 11:24</t>
  </si>
  <si>
    <t>Início: 05/12/2025 13:44 | Fim: 08/12/2025 09:47</t>
  </si>
  <si>
    <t>Início: 05/12/2025 13:48 | Fim: 08/12/2025 09:47</t>
  </si>
  <si>
    <t>Fim:  12/12/2025 13:43</t>
  </si>
  <si>
    <t>Início: 08/12/2025 10:00 | Fim: 08/12/2025 10:04</t>
  </si>
  <si>
    <t>Início: 15/12/2025 10:29</t>
  </si>
  <si>
    <t>Início: 08/12/2025 10:24 | Fim: 08/12/2025 10:29</t>
  </si>
  <si>
    <t>Início: 08/12/2025 10:30 | Fim: 08/12/2025 10:39</t>
  </si>
  <si>
    <t>Início: 08/12/2025 10:31 | Fim: 08/12/2025 10:39</t>
  </si>
  <si>
    <t>Início: 08/12/2025 10:34 | Fim: 08/12/2025 10:39</t>
  </si>
  <si>
    <t>Início: 12/12/2025 13:51</t>
  </si>
  <si>
    <t>Início: 12/12/2025 13:58</t>
  </si>
  <si>
    <t>Início: 12/12/2025 13:50</t>
  </si>
  <si>
    <t>Início: 15/12/2025 10:44</t>
  </si>
  <si>
    <t>Fim: 08/12/2025 13:00</t>
  </si>
  <si>
    <t>Início: 15/12/2025 10:43 | Fim:  15/12/2025 10:43</t>
  </si>
  <si>
    <t>251126aBR</t>
  </si>
  <si>
    <t>Início: 10/12/2025 11:22 | Fim: 10/12/2025 11:23</t>
  </si>
  <si>
    <t>Início: 11/12/2025 11:24 | Fim:  15/12/2025 10:43</t>
  </si>
  <si>
    <t>Início: 11/12/2025 16:14 | Fim:  12/12/2025 13:48</t>
  </si>
  <si>
    <t>Início: 12/12/2025 13:48</t>
  </si>
  <si>
    <t>Início: 12/12/2025 13:53 | Fim:  12/12/2025 13:58</t>
  </si>
  <si>
    <t>Início: 12/12/2025 13:59</t>
  </si>
  <si>
    <t>Início: 12/12/2025 13:58 | Fim:  12/12/2025 13:59</t>
  </si>
  <si>
    <t>Início: 13/12/2025 10:24 | Fim:  13/12/2025 10:25</t>
  </si>
  <si>
    <t>Início: 13/12/2025 10:25</t>
  </si>
  <si>
    <t>Início: 12/12/2025 13:57</t>
  </si>
  <si>
    <t>Início: 12/12/2025 14:17 | Fim:  12/12/2025 14:17</t>
  </si>
  <si>
    <t>Início: 12/12/2025 14:17</t>
  </si>
  <si>
    <t>Início: 15/12/2025 09:22 | Fim: 15/12/2025 11:22</t>
  </si>
  <si>
    <t>Avaliador</t>
  </si>
  <si>
    <t>Tipo</t>
  </si>
  <si>
    <t>Avaliado</t>
  </si>
  <si>
    <t>Desempenho</t>
  </si>
  <si>
    <t>Trabalho em Equipe</t>
  </si>
  <si>
    <t>Pontualidade</t>
  </si>
  <si>
    <t>Organizacao</t>
  </si>
  <si>
    <t>Liderança</t>
  </si>
  <si>
    <t>Comunicação</t>
  </si>
  <si>
    <t>CÁLCULO DE PREÇOS</t>
  </si>
  <si>
    <t>DADOS DA CHAPA</t>
  </si>
  <si>
    <t>DENSIDADE (Kg/m3)</t>
  </si>
  <si>
    <t>COMPRIMENTO 
(mm)</t>
  </si>
  <si>
    <t>LARGURA (mm)</t>
  </si>
  <si>
    <t>ESPESSURA 
(mm)</t>
  </si>
  <si>
    <t>PESO DA CHAPA (Kg)</t>
  </si>
  <si>
    <t>PREÇO DE COMPRA (R$/KG)</t>
  </si>
  <si>
    <t>PREÇO DE VENDA  
(MARK UP 30%)</t>
  </si>
  <si>
    <t>PREÇO UNITÁRIO (R$)</t>
  </si>
  <si>
    <t>PREÇO TOTAL 
(R$)</t>
  </si>
  <si>
    <t>Preço Kg / material</t>
  </si>
  <si>
    <t>Peso peça / chapa</t>
  </si>
  <si>
    <t>Peso do Lote</t>
  </si>
  <si>
    <t>Preço Material do Lote</t>
  </si>
  <si>
    <t>N Trocas de Chapa</t>
  </si>
  <si>
    <t>TEMPO DE CORTE LOTE 
(h)</t>
  </si>
  <si>
    <t>TEMPO DE SETUP 
(min)</t>
  </si>
  <si>
    <t>TEMPO DE CORTE LOTE + TEMPO SETUP 
(h)</t>
  </si>
  <si>
    <t>HORA DO CORTE 
(R$/h)</t>
  </si>
  <si>
    <t>CORTE LOTE
 (R$)</t>
  </si>
  <si>
    <t xml:space="preserve">Nº DE DOBRAS
 </t>
  </si>
  <si>
    <t>TEMPO DE CADA DOBRA (s)</t>
  </si>
  <si>
    <t>Nº TROCAS DE PEÇAS</t>
  </si>
  <si>
    <t xml:space="preserve"> TOTAL DOBRA
(h)</t>
  </si>
  <si>
    <t>HORA DA DOBRA
(R$/h)</t>
  </si>
  <si>
    <t>TOTAL DOBRA
(R$)</t>
  </si>
  <si>
    <t>ALUMÍNIO</t>
  </si>
  <si>
    <t>INOX 200 OU 300</t>
  </si>
  <si>
    <t>INOX 400</t>
  </si>
  <si>
    <t>LATÃO</t>
  </si>
  <si>
    <t>COBRE</t>
  </si>
  <si>
    <t>DADOS DA PEÇA</t>
  </si>
  <si>
    <t>PERÍMETRO DA PEÇA 
(mm)</t>
  </si>
  <si>
    <t>Nº DE PEÇAS DO LOTE</t>
  </si>
  <si>
    <t>Nº PEÇAS QUE CABEM EM UMA CHAPA*</t>
  </si>
  <si>
    <t>MASSA DE 1 BLANK 
(Kg)</t>
  </si>
  <si>
    <t>PESO DA PEÇA POR CHAPA (Kg)</t>
  </si>
  <si>
    <t>PESO DO LOTE 
(Kg)</t>
  </si>
  <si>
    <t>PREÇO DE VENDA DO MATERIAL DO LOTE</t>
  </si>
  <si>
    <t>DADOS DO CORTE</t>
  </si>
  <si>
    <t>PREÇO DA HORA DO CORTE 
(R$/h)</t>
  </si>
  <si>
    <t>VALOR MÍNIMO P/ PEDIDO</t>
  </si>
  <si>
    <t>Nº TROCAS DE CHAPA</t>
  </si>
  <si>
    <t>TEMPO DE CORTE UMA PEÇA 
(s)</t>
  </si>
  <si>
    <t>PREÇO DE CORTE LOTE
 (R$)</t>
  </si>
  <si>
    <t>DADOS DA DOBRA</t>
  </si>
  <si>
    <t>PREÇO DA HORA DA DOBRA
(R$/h)</t>
  </si>
  <si>
    <t>TEMPO DE SETUP (min)</t>
  </si>
  <si>
    <t>TEMPO TOTAL DOBRA
(h)</t>
  </si>
  <si>
    <t>PREÇO TOTAL DOBRA
(R$)</t>
  </si>
  <si>
    <t>PREÇO FINAL</t>
  </si>
  <si>
    <t>PREÇO UNITÁRIO DO CORTE 
(R$)</t>
  </si>
  <si>
    <t>PREÇO UNITÁRIO DA DOBRA (R$)</t>
  </si>
  <si>
    <t>PREÇO UNITÁRIO DO MATERIAL 
(R$)</t>
  </si>
  <si>
    <t>PREÇO UNITÁRIO CORTE + MATERIAL + DOBRA 
(R$)</t>
  </si>
  <si>
    <t>PREÇO DE CORTE LOTE 
(R$)</t>
  </si>
  <si>
    <t>PREÇO DE DOBRA DO LOTE (R$)</t>
  </si>
  <si>
    <t>PREÇO TOTAL CORTE + MATERIAL + DOBRA 
(R$)</t>
  </si>
  <si>
    <t>ESPESSURA chapa (mm)</t>
  </si>
  <si>
    <t>TEMPO PARA TROCA DE CHAPAS (min)</t>
  </si>
  <si>
    <t>PREÇO DA HORA DO CORTE (R$)</t>
  </si>
  <si>
    <t>PREÇO DO CORTE</t>
  </si>
  <si>
    <t>Rascunho</t>
  </si>
  <si>
    <t>Expirado/Perdido</t>
  </si>
  <si>
    <t>Processos Adicionais</t>
  </si>
  <si>
    <t>DENSIDADE AÇO:</t>
  </si>
  <si>
    <t>DENSIDADE ALUMINIO:</t>
  </si>
  <si>
    <t>DENSIDADE LATÃO:</t>
  </si>
  <si>
    <t>DENSIDADE COBRE: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</si>
</sst>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[$R$]#,##0.00"/>
    <numFmt numFmtId="165" formatCode="dd&quot;/&quot;mm&quot;/&quot;yyyy"/>
    <numFmt numFmtId="166" formatCode="d/m/yyyy"/>
    <numFmt numFmtId="167" formatCode="dd/mm/yyyy"/>
    <numFmt numFmtId="168" formatCode="yyyy-mm-dd"/>
    <numFmt numFmtId="169" formatCode="dd&quot;/&quot;mm&quot;/&quot;yy"/>
    <numFmt numFmtId="170" formatCode="d.m"/>
    <numFmt numFmtId="171" formatCode="[$R$ -416]#,##0.00"/>
    <numFmt numFmtId="172" formatCode="[$R$ ]\ #,##0.00;-[$R$ ]#,##0.00"/>
    <numFmt numFmtId="173" formatCode="dd&quot;/&quot;mm&quot;/&quot;yy&quot;,  &quot;hh&quot;:&quot;mm"/>
    <numFmt numFmtId="174" formatCode="hh:mm"/>
    <numFmt numFmtId="175" formatCode="dd/mm/yyyy hh:mm"/>
    <numFmt numFmtId="176" formatCode="d/m/yyyy hh:mm"/>
    <numFmt numFmtId="177" formatCode="#,##0.000"/>
    <numFmt numFmtId="178" formatCode="0.000000000000000000000000000000"/>
    <numFmt numFmtId="179" formatCode="#,##0.00000000000"/>
  </numFmts>
  <fonts count="38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u/>
      <sz val="12.0"/>
      <color rgb="FF434343"/>
      <name val="Arial"/>
      <scheme val="minor"/>
    </font>
    <font>
      <b/>
      <u/>
      <sz val="12.0"/>
      <color rgb="FF434343"/>
      <name val="Roboto"/>
    </font>
    <font>
      <b/>
      <u/>
      <sz val="12.0"/>
      <color rgb="FF0000FF"/>
      <name val="Roboto"/>
    </font>
    <font>
      <b/>
      <u/>
      <sz val="12.0"/>
      <color rgb="FF0000FF"/>
      <name val="Roboto"/>
    </font>
    <font>
      <b/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b/>
      <sz val="15.0"/>
      <color theme="1"/>
      <name val="Arial"/>
    </font>
    <font>
      <sz val="9.0"/>
      <color rgb="FF111111"/>
      <name val="Arial"/>
    </font>
    <font>
      <b/>
      <sz val="15.0"/>
      <color theme="1"/>
      <name val="Arial"/>
      <scheme val="minor"/>
    </font>
    <font>
      <sz val="12.0"/>
      <color theme="1"/>
      <name val="Arial"/>
      <scheme val="minor"/>
    </font>
    <font>
      <sz val="13.0"/>
      <color theme="1"/>
      <name val="Roboto Serif"/>
    </font>
    <font>
      <u/>
      <sz val="13.0"/>
      <color rgb="FF0000FF"/>
      <name val="Roboto Serif"/>
    </font>
    <font>
      <u/>
      <sz val="13.0"/>
      <color rgb="FF0000FF"/>
      <name val="Roboto Serif"/>
    </font>
    <font>
      <u/>
      <sz val="13.0"/>
      <color rgb="FF434343"/>
      <name val="Roboto Serif"/>
    </font>
    <font>
      <u/>
      <sz val="13.0"/>
      <color rgb="FF0000FF"/>
      <name val="Roboto Serif"/>
    </font>
    <font>
      <b/>
      <sz val="17.0"/>
      <color theme="1"/>
      <name val="Arial"/>
      <scheme val="minor"/>
    </font>
    <font>
      <sz val="15.0"/>
      <color theme="1"/>
      <name val="Arial"/>
      <scheme val="minor"/>
    </font>
    <font>
      <color theme="1"/>
      <name val="Roboto Mono"/>
    </font>
    <font>
      <u/>
      <color theme="1"/>
      <name val="Roboto Mono"/>
    </font>
    <font>
      <u/>
      <color theme="1"/>
      <name val="Roboto Mono"/>
    </font>
    <font>
      <u/>
      <color theme="1"/>
      <name val="Roboto Mono"/>
    </font>
    <font>
      <b/>
      <sz val="18.0"/>
      <color theme="1"/>
      <name val="Arial"/>
      <scheme val="minor"/>
    </font>
    <font>
      <b/>
      <sz val="13.0"/>
      <color rgb="FFFFFFFF"/>
      <name val="Calibri"/>
    </font>
    <font/>
    <font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000000"/>
      <name val="Calibri"/>
    </font>
    <font>
      <sz val="16.0"/>
      <color theme="1"/>
      <name val="Comic Sans MS"/>
    </font>
    <font>
      <color theme="1"/>
      <name val="Comic Sans MS"/>
    </font>
    <font>
      <color theme="1"/>
      <name val="Arial"/>
    </font>
    <font>
      <b/>
      <sz val="9.0"/>
      <color theme="1"/>
      <name val="Comic Sans MS"/>
    </font>
    <font>
      <b/>
      <sz val="11.0"/>
      <color theme="1"/>
      <name val="Comic Sans MS"/>
    </font>
    <font>
      <sz val="13.0"/>
      <color theme="1"/>
      <name val="Comic Sans MS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FF0000"/>
        <bgColor rgb="FFFF0000"/>
      </patternFill>
    </fill>
    <fill>
      <patternFill patternType="solid">
        <fgColor rgb="FF63D297"/>
        <bgColor rgb="FF63D297"/>
      </patternFill>
    </fill>
    <fill>
      <patternFill patternType="solid">
        <fgColor rgb="FFC27BA0"/>
        <bgColor rgb="FFC27BA0"/>
      </patternFill>
    </fill>
    <fill>
      <patternFill patternType="solid">
        <fgColor rgb="FFB4A7D6"/>
        <bgColor rgb="FFB4A7D6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theme="9"/>
        <bgColor theme="9"/>
      </patternFill>
    </fill>
    <fill>
      <patternFill patternType="solid">
        <fgColor rgb="FFF3F3F3"/>
        <bgColor rgb="FFF3F3F3"/>
      </patternFill>
    </fill>
    <fill>
      <patternFill patternType="solid">
        <fgColor rgb="FFF1C232"/>
        <bgColor rgb="FFF1C232"/>
      </patternFill>
    </fill>
    <fill>
      <patternFill patternType="solid">
        <fgColor theme="7"/>
        <bgColor theme="7"/>
      </patternFill>
    </fill>
    <fill>
      <patternFill patternType="solid">
        <fgColor rgb="FFB7B7B7"/>
        <bgColor rgb="FFB7B7B7"/>
      </patternFill>
    </fill>
  </fills>
  <borders count="14">
    <border/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top/>
      <bottom/>
    </border>
    <border>
      <right/>
      <top/>
      <bottom/>
    </border>
    <border>
      <left/>
      <top/>
    </border>
    <border>
      <right/>
      <top/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168" xfId="0" applyAlignment="1" applyFont="1" applyNumberForma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7" numFmtId="169" xfId="0" applyAlignment="1" applyFont="1" applyNumberFormat="1">
      <alignment horizontal="center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169" xfId="0" applyAlignment="1" applyFont="1" applyNumberFormat="1">
      <alignment horizontal="center" readingOrder="0" shrinkToFit="0" vertical="center" wrapText="0"/>
    </xf>
    <xf borderId="0" fillId="0" fontId="8" numFmtId="0" xfId="0" applyAlignment="1" applyFont="1">
      <alignment readingOrder="0"/>
    </xf>
    <xf borderId="0" fillId="0" fontId="9" numFmtId="0" xfId="0" applyAlignment="1" applyFont="1">
      <alignment horizontal="center" readingOrder="0"/>
    </xf>
    <xf borderId="0" fillId="0" fontId="9" numFmtId="170" xfId="0" applyAlignment="1" applyFont="1" applyNumberFormat="1">
      <alignment horizontal="center" readingOrder="0"/>
    </xf>
    <xf borderId="0" fillId="0" fontId="8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readingOrder="0"/>
    </xf>
    <xf borderId="0" fillId="0" fontId="10" numFmtId="0" xfId="0" applyAlignment="1" applyFont="1">
      <alignment horizontal="left" readingOrder="0" shrinkToFit="0" vertical="center" wrapText="1"/>
    </xf>
    <xf borderId="0" fillId="0" fontId="10" numFmtId="171" xfId="0" applyAlignment="1" applyFont="1" applyNumberForma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1"/>
    </xf>
    <xf borderId="1" fillId="2" fontId="11" numFmtId="0" xfId="0" applyAlignment="1" applyBorder="1" applyFill="1" applyFont="1">
      <alignment shrinkToFit="0" vertical="center" wrapText="1"/>
    </xf>
    <xf borderId="1" fillId="2" fontId="11" numFmtId="172" xfId="0" applyAlignment="1" applyBorder="1" applyFont="1" applyNumberFormat="1">
      <alignment horizontal="right" shrinkToFit="0" vertical="center" wrapText="1"/>
    </xf>
    <xf borderId="0" fillId="2" fontId="11" numFmtId="0" xfId="0" applyAlignment="1" applyFont="1">
      <alignment horizontal="left" shrinkToFit="0" vertical="center" wrapText="1"/>
    </xf>
    <xf borderId="1" fillId="2" fontId="11" numFmtId="0" xfId="0" applyAlignment="1" applyBorder="1" applyFont="1">
      <alignment shrinkToFit="0" vertical="center" wrapText="1"/>
    </xf>
    <xf borderId="0" fillId="2" fontId="11" numFmtId="0" xfId="0" applyAlignment="1" applyFont="1">
      <alignment readingOrder="0" shrinkToFit="0" vertical="center" wrapText="1"/>
    </xf>
    <xf borderId="0" fillId="2" fontId="11" numFmtId="0" xfId="0" applyAlignment="1" applyFont="1">
      <alignment shrinkToFit="0" vertical="center" wrapText="1"/>
    </xf>
    <xf borderId="0" fillId="2" fontId="11" numFmtId="171" xfId="0" applyAlignment="1" applyFont="1" applyNumberFormat="1">
      <alignment horizontal="righ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173" xfId="0" applyAlignment="1" applyFont="1" applyNumberFormat="1">
      <alignment readingOrder="0" shrinkToFit="0" vertical="center" wrapText="0"/>
    </xf>
    <xf borderId="2" fillId="0" fontId="14" numFmtId="1" xfId="0" applyAlignment="1" applyBorder="1" applyFont="1" applyNumberFormat="1">
      <alignment horizontal="center" readingOrder="0" shrinkToFit="0" vertical="center" wrapText="0"/>
    </xf>
    <xf borderId="2" fillId="0" fontId="14" numFmtId="0" xfId="0" applyAlignment="1" applyBorder="1" applyFont="1">
      <alignment horizontal="center" readingOrder="0" shrinkToFit="0" vertical="center" wrapText="0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4" xfId="0" applyAlignment="1" applyBorder="1" applyFont="1" applyNumberFormat="1">
      <alignment horizontal="center" readingOrder="0" shrinkToFit="0" vertical="center" wrapText="0"/>
    </xf>
    <xf borderId="2" fillId="0" fontId="14" numFmtId="2" xfId="0" applyAlignment="1" applyBorder="1" applyFont="1" applyNumberFormat="1">
      <alignment horizontal="center" readingOrder="0" shrinkToFit="0" vertical="center" wrapText="0"/>
    </xf>
    <xf borderId="2" fillId="0" fontId="14" numFmtId="3" xfId="0" applyAlignment="1" applyBorder="1" applyFont="1" applyNumberFormat="1">
      <alignment horizontal="center" readingOrder="0" shrinkToFit="0" vertical="center" wrapText="0"/>
    </xf>
    <xf borderId="2" fillId="0" fontId="14" numFmtId="165" xfId="0" applyAlignment="1" applyBorder="1" applyFont="1" applyNumberFormat="1">
      <alignment horizontal="center" shrinkToFit="0" vertical="center" wrapText="0"/>
    </xf>
    <xf borderId="2" fillId="0" fontId="14" numFmtId="0" xfId="0" applyAlignment="1" applyBorder="1" applyFont="1">
      <alignment horizontal="left" readingOrder="0" shrinkToFit="0" vertical="center" wrapText="1"/>
    </xf>
    <xf borderId="2" fillId="0" fontId="15" numFmtId="0" xfId="0" applyAlignment="1" applyBorder="1" applyFont="1">
      <alignment horizontal="center" readingOrder="0" shrinkToFit="0" vertical="center" wrapText="0"/>
    </xf>
    <xf borderId="2" fillId="0" fontId="14" numFmtId="165" xfId="0" applyAlignment="1" applyBorder="1" applyFont="1" applyNumberFormat="1">
      <alignment horizontal="center" readingOrder="0" shrinkToFit="0" vertical="center" wrapText="0"/>
    </xf>
    <xf borderId="2" fillId="0" fontId="14" numFmtId="166" xfId="0" applyAlignment="1" applyBorder="1" applyFont="1" applyNumberFormat="1">
      <alignment horizontal="center" readingOrder="0" shrinkToFit="0" vertical="center" wrapText="0"/>
    </xf>
    <xf borderId="2" fillId="0" fontId="14" numFmtId="167" xfId="0" applyAlignment="1" applyBorder="1" applyFont="1" applyNumberFormat="1">
      <alignment horizontal="center" readingOrder="0" shrinkToFit="0" vertical="center" wrapText="0"/>
    </xf>
    <xf borderId="2" fillId="0" fontId="16" numFmtId="2" xfId="0" applyAlignment="1" applyBorder="1" applyFont="1" applyNumberFormat="1">
      <alignment horizontal="center" readingOrder="0" shrinkToFit="0" vertical="center" wrapText="0"/>
    </xf>
    <xf borderId="0" fillId="0" fontId="14" numFmtId="3" xfId="0" applyAlignment="1" applyFont="1" applyNumberFormat="1">
      <alignment horizontal="center" readingOrder="0" shrinkToFit="0" vertical="center" wrapText="0"/>
    </xf>
    <xf borderId="0" fillId="0" fontId="14" numFmtId="167" xfId="0" applyAlignment="1" applyFont="1" applyNumberFormat="1">
      <alignment horizontal="center" readingOrder="0" shrinkToFit="0" vertical="center" wrapText="0"/>
    </xf>
    <xf borderId="0" fillId="0" fontId="14" numFmtId="0" xfId="0" applyAlignment="1" applyFont="1">
      <alignment horizontal="left" readingOrder="0" shrinkToFit="0" vertical="center" wrapText="1"/>
    </xf>
    <xf borderId="0" fillId="0" fontId="14" numFmtId="0" xfId="0" applyAlignment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165" xfId="0" applyAlignment="1" applyFont="1" applyNumberFormat="1">
      <alignment horizontal="center" readingOrder="0" shrinkToFit="0" vertical="center" wrapText="0"/>
    </xf>
    <xf borderId="0" fillId="0" fontId="20" numFmtId="0" xfId="0" applyAlignment="1" applyFont="1">
      <alignment horizontal="center" readingOrder="0" shrinkToFit="0" vertical="center" wrapText="0"/>
    </xf>
    <xf borderId="0" fillId="0" fontId="20" numFmtId="174" xfId="0" applyAlignment="1" applyFont="1" applyNumberFormat="1">
      <alignment horizontal="center" readingOrder="0" shrinkToFit="0" vertical="center" wrapText="0"/>
    </xf>
    <xf borderId="0" fillId="0" fontId="20" numFmtId="175" xfId="0" applyAlignment="1" applyFont="1" applyNumberFormat="1">
      <alignment horizontal="center" readingOrder="0" shrinkToFit="0" vertical="center" wrapText="0"/>
    </xf>
    <xf borderId="0" fillId="0" fontId="20" numFmtId="176" xfId="0" applyAlignment="1" applyFont="1" applyNumberFormat="1">
      <alignment horizontal="center" readingOrder="0" shrinkToFit="0" vertical="center" wrapText="0"/>
    </xf>
    <xf borderId="0" fillId="0" fontId="20" numFmtId="165" xfId="0" applyAlignment="1" applyFont="1" applyNumberFormat="1">
      <alignment horizontal="center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1" numFmtId="0" xfId="0" applyAlignment="1" applyFont="1">
      <alignment horizontal="center" readingOrder="0" shrinkToFit="0" vertical="center" wrapText="0"/>
    </xf>
    <xf borderId="0" fillId="0" fontId="21" numFmtId="49" xfId="0" applyAlignment="1" applyFont="1" applyNumberFormat="1">
      <alignment horizontal="center" readingOrder="0" shrinkToFit="0" vertical="center" wrapText="0"/>
    </xf>
    <xf borderId="0" fillId="0" fontId="22" numFmtId="49" xfId="0" applyAlignment="1" applyFont="1" applyNumberFormat="1">
      <alignment horizontal="center" readingOrder="0" shrinkToFit="0" vertical="center" wrapText="0"/>
    </xf>
    <xf borderId="0" fillId="0" fontId="23" numFmtId="0" xfId="0" applyAlignment="1" applyFont="1">
      <alignment horizontal="center" readingOrder="0" shrinkToFit="0" vertical="center" wrapText="0"/>
    </xf>
    <xf borderId="0" fillId="0" fontId="24" numFmtId="49" xfId="0" applyAlignment="1" applyFont="1" applyNumberFormat="1">
      <alignment horizontal="center" readingOrder="0" shrinkToFit="0" vertical="center" wrapText="0"/>
    </xf>
    <xf borderId="0" fillId="0" fontId="21" numFmtId="49" xfId="0" applyAlignment="1" applyFont="1" applyNumberFormat="1">
      <alignment horizontal="center" readingOrder="0" shrinkToFit="0" vertical="center" wrapText="0"/>
    </xf>
    <xf borderId="0" fillId="0" fontId="21" numFmtId="0" xfId="0" applyAlignment="1" applyFont="1">
      <alignment horizontal="center" shrinkToFit="0" vertical="center" wrapText="0"/>
    </xf>
    <xf borderId="0" fillId="0" fontId="21" numFmtId="49" xfId="0" applyAlignment="1" applyFont="1" applyNumberFormat="1">
      <alignment horizontal="center" shrinkToFit="0" vertical="center" wrapText="0"/>
    </xf>
    <xf borderId="0" fillId="0" fontId="21" numFmtId="0" xfId="0" applyAlignment="1" applyFont="1">
      <alignment horizontal="center" shrinkToFit="0" vertical="center" wrapText="0"/>
    </xf>
    <xf borderId="0" fillId="0" fontId="21" numFmtId="49" xfId="0" applyAlignment="1" applyFont="1" applyNumberFormat="1">
      <alignment horizontal="center" readingOrder="0" shrinkToFit="0" vertical="center" wrapText="0"/>
    </xf>
    <xf borderId="0" fillId="0" fontId="21" numFmtId="49" xfId="0" applyAlignment="1" applyFont="1" applyNumberFormat="1">
      <alignment horizontal="center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3" fontId="12" numFmtId="0" xfId="0" applyAlignment="1" applyFill="1" applyFont="1">
      <alignment horizontal="center" readingOrder="0" shrinkToFit="0" wrapText="0"/>
    </xf>
    <xf borderId="0" fillId="3" fontId="25" numFmtId="0" xfId="0" applyAlignment="1" applyFont="1">
      <alignment horizontal="center" readingOrder="0" shrinkToFit="0" vertical="center" wrapText="0"/>
    </xf>
    <xf borderId="0" fillId="3" fontId="9" numFmtId="0" xfId="0" applyAlignment="1" applyFont="1">
      <alignment horizontal="center" shrinkToFit="0" wrapText="0"/>
    </xf>
    <xf borderId="3" fillId="4" fontId="26" numFmtId="0" xfId="0" applyAlignment="1" applyBorder="1" applyFill="1" applyFont="1">
      <alignment horizontal="center" readingOrder="0" shrinkToFit="0" wrapText="0"/>
    </xf>
    <xf borderId="4" fillId="2" fontId="27" numFmtId="0" xfId="0" applyBorder="1" applyFont="1"/>
    <xf borderId="5" fillId="2" fontId="27" numFmtId="0" xfId="0" applyBorder="1" applyFont="1"/>
    <xf borderId="0" fillId="4" fontId="28" numFmtId="0" xfId="0" applyFont="1"/>
    <xf borderId="0" fillId="4" fontId="9" numFmtId="0" xfId="0" applyFont="1"/>
    <xf borderId="2" fillId="0" fontId="29" numFmtId="0" xfId="0" applyAlignment="1" applyBorder="1" applyFont="1">
      <alignment horizontal="center" readingOrder="0" shrinkToFit="0" vertical="center" wrapText="1"/>
    </xf>
    <xf borderId="6" fillId="0" fontId="29" numFmtId="0" xfId="0" applyAlignment="1" applyBorder="1" applyFont="1">
      <alignment horizontal="center" readingOrder="0" shrinkToFit="0" vertical="center" wrapText="1"/>
    </xf>
    <xf borderId="0" fillId="2" fontId="9" numFmtId="0" xfId="0" applyFont="1"/>
    <xf borderId="2" fillId="5" fontId="29" numFmtId="0" xfId="0" applyAlignment="1" applyBorder="1" applyFill="1" applyFont="1">
      <alignment horizontal="center" readingOrder="0" shrinkToFit="0" vertical="center" wrapText="1"/>
    </xf>
    <xf borderId="2" fillId="0" fontId="29" numFmtId="0" xfId="0" applyAlignment="1" applyBorder="1" applyFont="1">
      <alignment horizontal="center" readingOrder="0" shrinkToFit="0" vertical="top" wrapText="1"/>
    </xf>
    <xf borderId="2" fillId="6" fontId="29" numFmtId="0" xfId="0" applyAlignment="1" applyBorder="1" applyFill="1" applyFont="1">
      <alignment horizontal="center" readingOrder="0" shrinkToFit="0" vertical="top" wrapText="1"/>
    </xf>
    <xf borderId="2" fillId="7" fontId="29" numFmtId="0" xfId="0" applyAlignment="1" applyBorder="1" applyFill="1" applyFont="1">
      <alignment horizontal="center" readingOrder="0" shrinkToFit="0" vertical="top" wrapText="1"/>
    </xf>
    <xf borderId="2" fillId="8" fontId="29" numFmtId="0" xfId="0" applyAlignment="1" applyBorder="1" applyFill="1" applyFont="1">
      <alignment horizontal="center" readingOrder="0" shrinkToFit="0" vertical="top" wrapText="1"/>
    </xf>
    <xf borderId="6" fillId="9" fontId="29" numFmtId="0" xfId="0" applyAlignment="1" applyBorder="1" applyFill="1" applyFont="1">
      <alignment horizontal="center" readingOrder="0" shrinkToFit="0" vertical="center" wrapText="1"/>
    </xf>
    <xf borderId="2" fillId="9" fontId="29" numFmtId="0" xfId="0" applyAlignment="1" applyBorder="1" applyFont="1">
      <alignment horizontal="center" readingOrder="0" shrinkToFit="0" vertical="top" wrapText="1"/>
    </xf>
    <xf borderId="2" fillId="5" fontId="29" numFmtId="0" xfId="0" applyAlignment="1" applyBorder="1" applyFont="1">
      <alignment horizontal="center" readingOrder="0" shrinkToFit="0" vertical="top" wrapText="1"/>
    </xf>
    <xf borderId="2" fillId="10" fontId="30" numFmtId="0" xfId="0" applyAlignment="1" applyBorder="1" applyFill="1" applyFont="1">
      <alignment horizontal="left" readingOrder="0" shrinkToFit="0" wrapText="0"/>
    </xf>
    <xf borderId="3" fillId="10" fontId="30" numFmtId="0" xfId="0" applyAlignment="1" applyBorder="1" applyFont="1">
      <alignment horizontal="center" readingOrder="0" shrinkToFit="0" wrapText="0"/>
    </xf>
    <xf borderId="2" fillId="10" fontId="31" numFmtId="2" xfId="0" applyAlignment="1" applyBorder="1" applyFont="1" applyNumberFormat="1">
      <alignment horizontal="center" readingOrder="0" shrinkToFit="0" wrapText="0"/>
    </xf>
    <xf borderId="5" fillId="10" fontId="30" numFmtId="2" xfId="0" applyAlignment="1" applyBorder="1" applyFont="1" applyNumberFormat="1">
      <alignment horizontal="center" shrinkToFit="0" wrapText="0"/>
    </xf>
    <xf borderId="2" fillId="10" fontId="30" numFmtId="164" xfId="0" applyAlignment="1" applyBorder="1" applyFont="1" applyNumberFormat="1">
      <alignment horizontal="center" readingOrder="0" shrinkToFit="0" wrapText="0"/>
    </xf>
    <xf borderId="0" fillId="2" fontId="28" numFmtId="0" xfId="0" applyFont="1"/>
    <xf borderId="2" fillId="11" fontId="30" numFmtId="164" xfId="0" applyAlignment="1" applyBorder="1" applyFill="1" applyFont="1" applyNumberFormat="1">
      <alignment horizontal="center" shrinkToFit="0" wrapText="0"/>
    </xf>
    <xf borderId="2" fillId="10" fontId="30" numFmtId="4" xfId="0" applyAlignment="1" applyBorder="1" applyFont="1" applyNumberFormat="1">
      <alignment horizontal="center" readingOrder="0" shrinkToFit="0" wrapText="0"/>
    </xf>
    <xf borderId="2" fillId="10" fontId="30" numFmtId="164" xfId="0" applyAlignment="1" applyBorder="1" applyFont="1" applyNumberFormat="1">
      <alignment horizontal="center" shrinkToFit="0" wrapText="0"/>
    </xf>
    <xf borderId="5" fillId="10" fontId="30" numFmtId="1" xfId="0" applyAlignment="1" applyBorder="1" applyFont="1" applyNumberFormat="1">
      <alignment horizontal="center" readingOrder="0" shrinkToFit="0" wrapText="0"/>
    </xf>
    <xf borderId="2" fillId="10" fontId="30" numFmtId="4" xfId="0" applyAlignment="1" applyBorder="1" applyFont="1" applyNumberFormat="1">
      <alignment horizontal="center" shrinkToFit="0" wrapText="0"/>
    </xf>
    <xf borderId="2" fillId="10" fontId="30" numFmtId="1" xfId="0" applyAlignment="1" applyBorder="1" applyFont="1" applyNumberFormat="1">
      <alignment horizontal="center" readingOrder="0" shrinkToFit="0" wrapText="0"/>
    </xf>
    <xf borderId="2" fillId="10" fontId="30" numFmtId="2" xfId="0" applyAlignment="1" applyBorder="1" applyFont="1" applyNumberFormat="1">
      <alignment horizontal="center" readingOrder="0" shrinkToFit="0" wrapText="0"/>
    </xf>
    <xf borderId="5" fillId="10" fontId="30" numFmtId="2" xfId="0" applyAlignment="1" applyBorder="1" applyFont="1" applyNumberFormat="1">
      <alignment horizontal="center" readingOrder="0" shrinkToFit="0" wrapText="0"/>
    </xf>
    <xf borderId="2" fillId="7" fontId="29" numFmtId="0" xfId="0" applyAlignment="1" applyBorder="1" applyFont="1">
      <alignment horizontal="center" readingOrder="0" shrinkToFit="0" vertical="center" wrapText="1"/>
    </xf>
    <xf borderId="6" fillId="7" fontId="29" numFmtId="0" xfId="0" applyAlignment="1" applyBorder="1" applyFont="1">
      <alignment horizontal="center" readingOrder="0" shrinkToFit="0" vertical="center" wrapText="1"/>
    </xf>
    <xf borderId="6" fillId="6" fontId="29" numFmtId="0" xfId="0" applyAlignment="1" applyBorder="1" applyFont="1">
      <alignment horizontal="center" readingOrder="0" shrinkToFit="0" vertical="center" wrapText="1"/>
    </xf>
    <xf borderId="2" fillId="6" fontId="29" numFmtId="0" xfId="0" applyAlignment="1" applyBorder="1" applyFont="1">
      <alignment horizontal="center" readingOrder="0" shrinkToFit="0" vertical="center" wrapText="1"/>
    </xf>
    <xf borderId="2" fillId="12" fontId="29" numFmtId="0" xfId="0" applyAlignment="1" applyBorder="1" applyFill="1" applyFont="1">
      <alignment horizontal="center" readingOrder="0" shrinkToFit="0" vertical="center" wrapText="1"/>
    </xf>
    <xf borderId="0" fillId="0" fontId="9" numFmtId="0" xfId="0" applyAlignment="1" applyFont="1">
      <alignment horizontal="center" shrinkToFit="0" wrapText="0"/>
    </xf>
    <xf borderId="3" fillId="10" fontId="30" numFmtId="0" xfId="0" applyAlignment="1" applyBorder="1" applyFont="1">
      <alignment horizontal="left" readingOrder="0" shrinkToFit="0" wrapText="0"/>
    </xf>
    <xf borderId="4" fillId="10" fontId="30" numFmtId="2" xfId="0" applyAlignment="1" applyBorder="1" applyFont="1" applyNumberFormat="1">
      <alignment horizontal="center" readingOrder="0" shrinkToFit="0" wrapText="0"/>
    </xf>
    <xf borderId="0" fillId="2" fontId="9" numFmtId="0" xfId="0" applyAlignment="1" applyFont="1">
      <alignment readingOrder="0"/>
    </xf>
    <xf borderId="2" fillId="8" fontId="29" numFmtId="0" xfId="0" applyAlignment="1" applyBorder="1" applyFont="1">
      <alignment horizontal="center" readingOrder="0" shrinkToFit="0" vertical="center" wrapText="1"/>
    </xf>
    <xf borderId="0" fillId="2" fontId="9" numFmtId="0" xfId="0" applyAlignment="1" applyFont="1">
      <alignment horizontal="center" shrinkToFit="0" wrapText="0"/>
    </xf>
    <xf borderId="2" fillId="10" fontId="30" numFmtId="177" xfId="0" applyAlignment="1" applyBorder="1" applyFont="1" applyNumberFormat="1">
      <alignment horizontal="center" shrinkToFit="0" wrapText="0"/>
    </xf>
    <xf borderId="6" fillId="10" fontId="30" numFmtId="0" xfId="0" applyAlignment="1" applyBorder="1" applyFont="1">
      <alignment horizontal="left" readingOrder="0" shrinkToFit="0" wrapText="0"/>
    </xf>
    <xf borderId="7" fillId="10" fontId="30" numFmtId="1" xfId="0" applyAlignment="1" applyBorder="1" applyFont="1" applyNumberFormat="1">
      <alignment horizontal="center" readingOrder="0" shrinkToFit="0" wrapText="0"/>
    </xf>
    <xf borderId="2" fillId="9" fontId="29" numFmtId="0" xfId="0" applyAlignment="1" applyBorder="1" applyFont="1">
      <alignment horizontal="center" readingOrder="0" shrinkToFit="0" vertical="center" wrapText="1"/>
    </xf>
    <xf borderId="3" fillId="10" fontId="30" numFmtId="164" xfId="0" applyAlignment="1" applyBorder="1" applyFont="1" applyNumberFormat="1">
      <alignment horizontal="center" readingOrder="0" shrinkToFit="0" wrapText="0"/>
    </xf>
    <xf borderId="8" fillId="4" fontId="26" numFmtId="0" xfId="0" applyAlignment="1" applyBorder="1" applyFont="1">
      <alignment horizontal="center" readingOrder="0" shrinkToFit="0" wrapText="0"/>
    </xf>
    <xf borderId="9" fillId="0" fontId="27" numFmtId="0" xfId="0" applyBorder="1" applyFont="1"/>
    <xf borderId="0" fillId="0" fontId="28" numFmtId="0" xfId="0" applyAlignment="1" applyFont="1">
      <alignment horizontal="center" shrinkToFit="0" wrapText="0"/>
    </xf>
    <xf borderId="3" fillId="4" fontId="9" numFmtId="0" xfId="0" applyAlignment="1" applyBorder="1" applyFont="1">
      <alignment horizontal="center" shrinkToFit="0" wrapText="0"/>
    </xf>
    <xf borderId="4" fillId="0" fontId="27" numFmtId="0" xfId="0" applyBorder="1" applyFont="1"/>
    <xf borderId="5" fillId="0" fontId="27" numFmtId="0" xfId="0" applyBorder="1" applyFont="1"/>
    <xf borderId="10" fillId="2" fontId="32" numFmtId="0" xfId="0" applyAlignment="1" applyBorder="1" applyFont="1">
      <alignment horizontal="center" vertical="bottom"/>
    </xf>
    <xf borderId="11" fillId="0" fontId="27" numFmtId="0" xfId="0" applyBorder="1" applyFont="1"/>
    <xf borderId="0" fillId="0" fontId="33" numFmtId="164" xfId="0" applyAlignment="1" applyFont="1" applyNumberFormat="1">
      <alignment vertical="bottom"/>
    </xf>
    <xf borderId="0" fillId="0" fontId="9" numFmtId="164" xfId="0" applyFont="1" applyNumberFormat="1"/>
    <xf borderId="12" fillId="2" fontId="32" numFmtId="0" xfId="0" applyAlignment="1" applyBorder="1" applyFont="1">
      <alignment horizontal="center" readingOrder="0" vertical="bottom"/>
    </xf>
    <xf borderId="13" fillId="0" fontId="27" numFmtId="0" xfId="0" applyBorder="1" applyFont="1"/>
    <xf borderId="0" fillId="0" fontId="34" numFmtId="0" xfId="0" applyAlignment="1" applyFont="1">
      <alignment vertical="bottom"/>
    </xf>
    <xf borderId="12" fillId="13" fontId="32" numFmtId="0" xfId="0" applyAlignment="1" applyBorder="1" applyFill="1" applyFont="1">
      <alignment horizontal="center" readingOrder="0" vertical="bottom"/>
    </xf>
    <xf borderId="2" fillId="11" fontId="35" numFmtId="0" xfId="0" applyAlignment="1" applyBorder="1" applyFont="1">
      <alignment horizontal="center" shrinkToFit="0" wrapText="1"/>
    </xf>
    <xf borderId="2" fillId="11" fontId="35" numFmtId="0" xfId="0" applyAlignment="1" applyBorder="1" applyFont="1">
      <alignment horizontal="center" readingOrder="0" shrinkToFit="0" wrapText="1"/>
    </xf>
    <xf borderId="2" fillId="11" fontId="36" numFmtId="164" xfId="0" applyAlignment="1" applyBorder="1" applyFont="1" applyNumberFormat="1">
      <alignment horizontal="center" readingOrder="0" shrinkToFit="0" wrapText="1"/>
    </xf>
    <xf borderId="3" fillId="14" fontId="13" numFmtId="0" xfId="0" applyAlignment="1" applyBorder="1" applyFill="1" applyFont="1">
      <alignment horizontal="left" readingOrder="0"/>
    </xf>
    <xf borderId="2" fillId="15" fontId="13" numFmtId="164" xfId="0" applyAlignment="1" applyBorder="1" applyFill="1" applyFont="1" applyNumberFormat="1">
      <alignment horizontal="left" readingOrder="0"/>
    </xf>
    <xf borderId="2" fillId="16" fontId="37" numFmtId="4" xfId="0" applyAlignment="1" applyBorder="1" applyFill="1" applyFont="1" applyNumberFormat="1">
      <alignment horizontal="center" readingOrder="0"/>
    </xf>
    <xf borderId="2" fillId="16" fontId="37" numFmtId="3" xfId="0" applyAlignment="1" applyBorder="1" applyFont="1" applyNumberFormat="1">
      <alignment horizontal="center" readingOrder="0"/>
    </xf>
    <xf borderId="2" fillId="16" fontId="37" numFmtId="164" xfId="0" applyAlignment="1" applyBorder="1" applyFont="1" applyNumberFormat="1">
      <alignment horizontal="center" readingOrder="0" shrinkToFit="0" wrapText="1"/>
    </xf>
    <xf borderId="2" fillId="16" fontId="37" numFmtId="164" xfId="0" applyAlignment="1" applyBorder="1" applyFont="1" applyNumberFormat="1">
      <alignment horizontal="center" shrinkToFit="0" wrapText="1"/>
    </xf>
    <xf borderId="2" fillId="16" fontId="37" numFmtId="4" xfId="0" applyAlignment="1" applyBorder="1" applyFont="1" applyNumberFormat="1">
      <alignment horizontal="center"/>
    </xf>
    <xf borderId="2" fillId="16" fontId="37" numFmtId="3" xfId="0" applyAlignment="1" applyBorder="1" applyFont="1" applyNumberFormat="1">
      <alignment horizontal="center"/>
    </xf>
    <xf borderId="0" fillId="0" fontId="9" numFmtId="178" xfId="0" applyAlignment="1" applyFont="1" applyNumberFormat="1">
      <alignment readingOrder="0"/>
    </xf>
    <xf borderId="0" fillId="0" fontId="9" numFmtId="179" xfId="0" applyAlignment="1" applyFont="1" applyNumberFormat="1">
      <alignment readingOrder="0"/>
    </xf>
    <xf borderId="0" fillId="0" fontId="9" numFmtId="179" xfId="0" applyFont="1" applyNumberFormat="1"/>
  </cellXfs>
  <cellStyles count="1">
    <cellStyle xfId="0" name="Normal" builtinId="0"/>
  </cellStyles>
  <dxfs count="1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16">
    <tableStyle count="4" pivot="0" name="Orçamen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did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lação de Produ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gistro de Manutençõ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trole de Materiais-style">
      <tableStyleElement dxfId="1" type="headerRow"/>
      <tableStyleElement dxfId="2" type="firstRowStripe"/>
      <tableStyleElement dxfId="5" type="secondRowStripe"/>
      <tableStyleElement dxfId="4" size="0" type="wholeTable"/>
    </tableStyle>
    <tableStyle count="4" pivot="0" name="Controle de Veícul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dastro de Clientes-style">
      <tableStyleElement dxfId="6" type="headerRow"/>
      <tableStyleElement dxfId="2" type="firstRowStripe"/>
      <tableStyleElement dxfId="7" type="secondRowStripe"/>
      <tableStyleElement dxfId="8" size="0" type="wholeTable"/>
    </tableStyle>
    <tableStyle count="4" pivot="0" name="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valiações-style">
      <tableStyleElement dxfId="9" type="headerRow"/>
      <tableStyleElement dxfId="10" type="firstRowStripe"/>
      <tableStyleElement dxfId="3" type="secondRowStripe"/>
      <tableStyleElement dxfId="4" size="0" type="wholeTable"/>
    </tableStyle>
    <tableStyle count="3" pivot="0" name="Tabelas para cálculos-style">
      <tableStyleElement dxfId="11" type="headerRow"/>
      <tableStyleElement dxfId="2" type="firstRowStripe"/>
      <tableStyleElement dxfId="12" type="secondRowStripe"/>
    </tableStyle>
    <tableStyle count="2" pivot="0" name="Tabelas para cálculos-style 2">
      <tableStyleElement dxfId="13" type="firstRowStripe"/>
      <tableStyleElement dxfId="2" type="secondRowStripe"/>
    </tableStyle>
    <tableStyle count="2" pivot="0" name="Tabelas para cálculos-style 3">
      <tableStyleElement dxfId="13" type="firstRowStripe"/>
      <tableStyleElement dxfId="2" type="secondRowStripe"/>
    </tableStyle>
    <tableStyle count="3" pivot="0" name="Tabelas para cálculos-style 4">
      <tableStyleElement dxfId="11" type="headerRow"/>
      <tableStyleElement dxfId="2" type="firstRowStripe"/>
      <tableStyleElement dxfId="12" type="secondRowStripe"/>
    </tableStyle>
    <tableStyle count="2" pivot="0" name="Tabelas para cálculos-style 5">
      <tableStyleElement dxfId="13" type="firstRowStripe"/>
      <tableStyleElement dxfId="2" type="secondRowStripe"/>
    </tableStyle>
    <tableStyle count="2" pivot="0" name="Tabelas para cálculos-style 6">
      <tableStyleElement dxfId="2" type="firstRowStripe"/>
      <tableStyleElement dxfId="12" type="secondRowStripe"/>
    </tableStyle>
    <tableStyle count="2" pivot="0" name="Tabelas para cálculos-style 7">
      <tableStyleElement dxfId="1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948" displayName="Orçamentos" name="Orçamentos" id="1">
  <autoFilter ref="$A$1:$L$948"/>
  <tableColumns count="12">
    <tableColumn name="CLIENTE" id="1"/>
    <tableColumn name="DESCRIÇÃO" id="2"/>
    <tableColumn name="Responsável Cliente" id="3"/>
    <tableColumn name="PROJETO" id="4"/>
    <tableColumn name="VALOR TOTAL" id="5"/>
    <tableColumn name="DATA" id="6"/>
    <tableColumn name="Processos" id="7"/>
    <tableColumn name="LINK DO PDF" id="8"/>
    <tableColumn name="LINK DA MEMÓRIA DE CÁLCULO" id="9"/>
    <tableColumn name="STATUS" id="10"/>
    <tableColumn name="PRAZO" id="11"/>
    <tableColumn name="JSON_DADOS" id="12"/>
  </tableColumns>
  <tableStyleInfo name="Orçamentos-style" showColumnStripes="0" showFirstColumn="1" showLastColumn="1" showRowStripes="1"/>
</table>
</file>

<file path=xl/tables/table2.xml><?xml version="1.0" encoding="utf-8"?>
<table xmlns="http://schemas.openxmlformats.org/spreadsheetml/2006/main" ref="A1:G958" displayName="Pedidos" name="Pedidos" id="2">
  <autoFilter ref="$A$1:$G$958"/>
  <tableColumns count="7">
    <tableColumn name="Cliente" id="1"/>
    <tableColumn name="Número do Projeto" id="2"/>
    <tableColumn name="Status" id="3"/>
    <tableColumn name="Observações" id="4"/>
    <tableColumn name="DESCRIÇÃO" id="5"/>
    <tableColumn name="Tempo estimado por processo" id="6"/>
    <tableColumn name="PRAZO" id="7"/>
  </tableColumns>
  <tableStyleInfo name="Pedidos-style" showColumnStripes="0" showFirstColumn="1" showLastColumn="1" showRowStripes="1"/>
</table>
</file>

<file path=xl/tables/table3.xml><?xml version="1.0" encoding="utf-8"?>
<table xmlns="http://schemas.openxmlformats.org/spreadsheetml/2006/main" ref="A1:L3796" displayName="Tabela_2" name="Tabela_2" id="3">
  <autoFilter ref="$A$1:$L$3796"/>
  <tableColumns count="12">
    <tableColumn name="Código do Produto" id="1"/>
    <tableColumn name="Descrição do Produto" id="2"/>
    <tableColumn name="Código da Família" id="3"/>
    <tableColumn name="Família de Produto" id="4"/>
    <tableColumn name="Tipo do Produto" id="5"/>
    <tableColumn name="Código EAN (GTIN)" id="6"/>
    <tableColumn name="Código NCM" id="7"/>
    <tableColumn name="Preço Unitário de Venda" id="8"/>
    <tableColumn name="Unidade" id="9"/>
    <tableColumn name="Características" id="10"/>
    <tableColumn name="Estoque" id="11"/>
    <tableColumn name="Local de estoque" id="12"/>
  </tableColumns>
  <tableStyleInfo name="Relação de Produtos-style" showColumnStripes="0" showFirstColumn="1" showLastColumn="1" showRowStripes="1"/>
</table>
</file>

<file path=xl/tables/table4.xml><?xml version="1.0" encoding="utf-8"?>
<table xmlns="http://schemas.openxmlformats.org/spreadsheetml/2006/main" ref="A1:G11" displayName="Registro_de_Manutenções" name="Registro_de_Manutenções" id="4">
  <autoFilter ref="$A$1:$G$11"/>
  <tableColumns count="7">
    <tableColumn name="PLANO DE MANUTENÇÃO" id="1"/>
    <tableColumn name="DATA/HORA" id="2"/>
    <tableColumn name="RESPONSÁVEL" id="3"/>
    <tableColumn name="FREQUÊNCIA" id="4"/>
    <tableColumn name="COMPONENTE" id="5"/>
    <tableColumn name="AÇÃO" id="6"/>
    <tableColumn name="RESPONSÁVEL SUGERIDO" id="7"/>
  </tableColumns>
  <tableStyleInfo name="Registro de Manutenções-style" showColumnStripes="0" showFirstColumn="1" showLastColumn="1" showRowStripes="1"/>
</table>
</file>

<file path=xl/tables/table5.xml><?xml version="1.0" encoding="utf-8"?>
<table xmlns="http://schemas.openxmlformats.org/spreadsheetml/2006/main" ref="A1:M60" displayName="Controle_de_Materiais" name="Controle_de_Materiais" id="5">
  <autoFilter ref="$A$1:$M$60"/>
  <tableColumns count="13">
    <tableColumn name="Nº da Chapa" id="1"/>
    <tableColumn name="DATA" id="2"/>
    <tableColumn name="FEITO POR" id="3"/>
    <tableColumn name="PROP" id="4"/>
    <tableColumn name="TIPO" id="5"/>
    <tableColumn name="DIM" id="6"/>
    <tableColumn name="ESPESSURA" id="7"/>
    <tableColumn name="MATERIAL" id="8"/>
    <tableColumn name="QTDE" id="9"/>
    <tableColumn name="FORNECEDOR" id="10"/>
    <tableColumn name="NF" id="11"/>
    <tableColumn name="ETIQUETA" id="12"/>
    <tableColumn name="PESO APROXIMADO" id="13"/>
  </tableColumns>
  <tableStyleInfo name="Controle de Materiais-style" showColumnStripes="0" showFirstColumn="1" showLastColumn="1" showRowStripes="1"/>
</table>
</file>

<file path=xl/tables/table6.xml><?xml version="1.0" encoding="utf-8"?>
<table xmlns="http://schemas.openxmlformats.org/spreadsheetml/2006/main" ref="A1:H995" displayName="Tabela_1" name="Tabela_1" id="6">
  <autoFilter ref="$A$1:$H$995"/>
  <tableColumns count="8">
    <tableColumn name="DATA" id="1"/>
    <tableColumn name="FUNCIONÁRIO" id="2"/>
    <tableColumn name="VEÍCULO" id="3"/>
    <tableColumn name="HORA DE SAÍDA" id="4"/>
    <tableColumn name="PREVISÃO DE RETORNO" id="5"/>
    <tableColumn name="MOTIVO" id="6"/>
    <tableColumn name="STATUS" id="7"/>
    <tableColumn name="RETORNO" id="8"/>
  </tableColumns>
  <tableStyleInfo name="Controle de Veículos-style" showColumnStripes="0" showFirstColumn="1" showLastColumn="1" showRowStripes="1"/>
</table>
</file>

<file path=xl/tables/table7.xml><?xml version="1.0" encoding="utf-8"?>
<table xmlns="http://schemas.openxmlformats.org/spreadsheetml/2006/main" ref="A1:E988" displayName="Cadastro_de_Clientes" name="Cadastro_de_Clientes" id="7">
  <autoFilter ref="$A$1:$E$988"/>
  <tableColumns count="5">
    <tableColumn name="CLIENTE" id="1"/>
    <tableColumn name="CPF/CNPJ" id="2"/>
    <tableColumn name="ENDEREÇO" id="3"/>
    <tableColumn name="TELEFONE" id="4"/>
    <tableColumn name="EMAIL" id="5"/>
  </tableColumns>
  <tableStyleInfo name="Cadastro de Clientes-style" showColumnStripes="0" showFirstColumn="1" showLastColumn="1" showRowStripes="1"/>
</table>
</file>

<file path=xl/tables/table8.xml><?xml version="1.0" encoding="utf-8"?>
<table xmlns="http://schemas.openxmlformats.org/spreadsheetml/2006/main" ref="A1:G964" displayName="Logs" name="Logs" id="8">
  <autoFilter ref="$A$1:$G$964"/>
  <tableColumns count="7">
    <tableColumn name="Cliente" id="1"/>
    <tableColumn name="Número do Projeto" id="2"/>
    <tableColumn name="Observações" id="3"/>
    <tableColumn name="Tempo estimado / tempo real preparação" id="4"/>
    <tableColumn name="Tempo estimado / tempo real de corte" id="5"/>
    <tableColumn name="Tempo estimado / tempo real de dobra" id="6"/>
    <tableColumn name="Tempo estimado / tempo real de adicionais" id="7"/>
  </tableColumns>
  <tableStyleInfo name="Logs-style" showColumnStripes="0" showFirstColumn="1" showLastColumn="1" showRowStripes="1"/>
</table>
</file>

<file path=xl/tables/table9.xml><?xml version="1.0" encoding="utf-8"?>
<table xmlns="http://schemas.openxmlformats.org/spreadsheetml/2006/main" ref="A1:J2" displayName="Avaliações" name="Avaliações" id="9">
  <tableColumns count="10">
    <tableColumn name="Avaliador" id="1"/>
    <tableColumn name="Tipo" id="2"/>
    <tableColumn name="Avaliado" id="3"/>
    <tableColumn name="Desempenho" id="4"/>
    <tableColumn name="Trabalho em Equipe" id="5"/>
    <tableColumn name="Pontualidade" id="6"/>
    <tableColumn name="Organizacao" id="7"/>
    <tableColumn name="Liderança" id="8"/>
    <tableColumn name="Comunicação" id="9"/>
    <tableColumn name="Observações" id="10"/>
  </tableColumns>
  <tableStyleInfo name="Avaliações-style" showColumnStripes="0" showFirstColumn="1" showLastColumn="1" showRowStripes="1"/>
</table>
</file>

<file path=xl/tables/table10.xml><?xml version="1.0" encoding="utf-8"?>
<table xmlns="http://schemas.openxmlformats.org/spreadsheetml/2006/main" ref="A3:H9" displayName="Table_1" name="Table_1" id="10">
  <tableColumns count="8">
    <tableColumn name="MATERIAL" id="1"/>
    <tableColumn name="DENSIDADE (Kg/m3)" id="2"/>
    <tableColumn name="COMPRIMENTO  _x000a_(mm)" id="3"/>
    <tableColumn name="LARGURA (mm)" id="4"/>
    <tableColumn name="ESPESSURA  _x000a_(mm)" id="5"/>
    <tableColumn name="PESO DA CHAPA (Kg)" id="6"/>
    <tableColumn name="PREÇO DE COMPRA (R$/KG)" id="7"/>
    <tableColumn name="PREÇO DE VENDA   _x000a_(MARK UP 30%)" id="8"/>
  </tableColumns>
  <tableStyleInfo name="Tabelas para cálculos-style" showColumnStripes="0" showFirstColumn="1" showLastColumn="1" showRowStripes="1"/>
</table>
</file>

<file path=xl/tables/table11.xml><?xml version="1.0" encoding="utf-8"?>
<table xmlns="http://schemas.openxmlformats.org/spreadsheetml/2006/main" headerRowCount="0" ref="L3:L9" displayName="Table_2" name="Table_2" id="11">
  <tableColumns count="1">
    <tableColumn name="Column1" id="1"/>
  </tableColumns>
  <tableStyleInfo name="Tabelas para cálculos-style 2" showColumnStripes="0" showFirstColumn="1" showLastColumn="1" showRowStripes="1"/>
</table>
</file>

<file path=xl/tables/table12.xml><?xml version="1.0" encoding="utf-8"?>
<table xmlns="http://schemas.openxmlformats.org/spreadsheetml/2006/main" headerRowCount="0" ref="M3:M9" displayName="Table_3" name="Table_3" id="12">
  <tableColumns count="1">
    <tableColumn name="Column1" id="1"/>
  </tableColumns>
  <tableStyleInfo name="Tabelas para cálculos-style 3" showColumnStripes="0" showFirstColumn="1" showLastColumn="1" showRowStripes="1"/>
</table>
</file>

<file path=xl/tables/table13.xml><?xml version="1.0" encoding="utf-8"?>
<table xmlns="http://schemas.openxmlformats.org/spreadsheetml/2006/main" ref="O3:O9" displayName="Table_4" name="Table_4" id="13">
  <tableColumns count="1">
    <tableColumn name="Preço Kg / material" id="1"/>
  </tableColumns>
  <tableStyleInfo name="Tabelas para cálculos-style 4" showColumnStripes="0" showFirstColumn="1" showLastColumn="1" showRowStripes="1"/>
</table>
</file>

<file path=xl/tables/table14.xml><?xml version="1.0" encoding="utf-8"?>
<table xmlns="http://schemas.openxmlformats.org/spreadsheetml/2006/main" headerRowCount="0" ref="Y3:Z9" displayName="Table_5" name="Table_5" id="14">
  <tableColumns count="2">
    <tableColumn name="Column1" id="1"/>
    <tableColumn name="Column2" id="2"/>
  </tableColumns>
  <tableStyleInfo name="Tabelas para cálculos-style 5" showColumnStripes="0" showFirstColumn="1" showLastColumn="1" showRowStripes="1"/>
</table>
</file>

<file path=xl/tables/table15.xml><?xml version="1.0" encoding="utf-8"?>
<table xmlns="http://schemas.openxmlformats.org/spreadsheetml/2006/main" headerRowCount="0" ref="K4:K9" displayName="Table_6" name="Table_6" id="15">
  <tableColumns count="1">
    <tableColumn name="Column1" id="1"/>
  </tableColumns>
  <tableStyleInfo name="Tabelas para cálculos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35:I41" displayName="Table_7" name="Table_7" id="1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Tabelas para cálculos-style 7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AAkbtVvt4rtuKdfG-KDV7aQPyKOsxyrv/view?usp=drivesdk" TargetMode="External"/><Relationship Id="rId10" Type="http://schemas.openxmlformats.org/officeDocument/2006/relationships/hyperlink" Target="https://drive.google.com/file/d/1bQsP3iF8-62OZRy-8kxCQfKFfqVYZkH6/view?usp=drive_link" TargetMode="External"/><Relationship Id="rId13" Type="http://schemas.openxmlformats.org/officeDocument/2006/relationships/hyperlink" Target="https://drive.google.com/file/d/13-nuKvg-k4jRQ7wTq9CKCR3kZkkwtekL/view?usp=drivesdk" TargetMode="External"/><Relationship Id="rId12" Type="http://schemas.openxmlformats.org/officeDocument/2006/relationships/hyperlink" Target="https://drive.google.com/file/d/1aWtdXv5YuvSoy0WpqRCFEv_DcGy9Fz4a/view?usp=drivesdk" TargetMode="External"/><Relationship Id="rId1" Type="http://schemas.openxmlformats.org/officeDocument/2006/relationships/hyperlink" Target="https://drive.google.com/file/d/1f6bLZV7YfTAAbdCM74hQLqBbgPxpfkwY/view?usp=drive_link" TargetMode="External"/><Relationship Id="rId2" Type="http://schemas.openxmlformats.org/officeDocument/2006/relationships/hyperlink" Target="https://drive.google.com/file/d/1aoVY-BuHHmbQQ1LWa_O57-LMl2rcGtQ-/view?usp=drivesdk" TargetMode="External"/><Relationship Id="rId3" Type="http://schemas.openxmlformats.org/officeDocument/2006/relationships/hyperlink" Target="https://drive.google.com/file/d/1xTtjTVpHedMfNbGRcd6gWF_3w3gi9ncr/view?usp=drivesdk" TargetMode="External"/><Relationship Id="rId4" Type="http://schemas.openxmlformats.org/officeDocument/2006/relationships/hyperlink" Target="https://drive.google.com/file/d/16P5hEEtPvtorQx97sG9lmJHGIzvFYyJA/view?usp=drivesdk" TargetMode="External"/><Relationship Id="rId9" Type="http://schemas.openxmlformats.org/officeDocument/2006/relationships/hyperlink" Target="https://drive.google.com/file/d/1bMjET6sZsTqJkHcF2HIjnN-qc85A3hCr/view?usp=drive_link" TargetMode="External"/><Relationship Id="rId15" Type="http://schemas.openxmlformats.org/officeDocument/2006/relationships/hyperlink" Target="https://drive.google.com/file/d/1u6C2f-4LeTEBtrxMcbsAl7vZfxD37axK/view?usp=drivesdk" TargetMode="External"/><Relationship Id="rId14" Type="http://schemas.openxmlformats.org/officeDocument/2006/relationships/hyperlink" Target="https://drive.google.com/file/d/1JTFUoJpP4HTLdjmtsVr-tzJkXz1wF8J-/view?usp=drivesdk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drive.google.com/file/d/1Ao-w3nTge7XORU6CGeuwgC5nUtGuf3PU/view?usp=drivesdk" TargetMode="External"/><Relationship Id="rId5" Type="http://schemas.openxmlformats.org/officeDocument/2006/relationships/hyperlink" Target="https://drive.google.com/file/d/1_M51LSDFqNROTN0L3_yTKTCU3p7f7VQO/view?usp=drivesdk" TargetMode="External"/><Relationship Id="rId19" Type="http://schemas.openxmlformats.org/officeDocument/2006/relationships/table" Target="../tables/table1.xml"/><Relationship Id="rId6" Type="http://schemas.openxmlformats.org/officeDocument/2006/relationships/hyperlink" Target="https://drive.google.com/file/d/14OIcjVj2K0eXjmhp7r3Z4KmTUGJ5bYUt/view?usp=drive_link" TargetMode="External"/><Relationship Id="rId7" Type="http://schemas.openxmlformats.org/officeDocument/2006/relationships/hyperlink" Target="https://drive.google.com/file/d/12AsTNeObo86Q9iSxAw4j0pXMkDAbmhjc/view?usp=drive_link" TargetMode="External"/><Relationship Id="rId8" Type="http://schemas.openxmlformats.org/officeDocument/2006/relationships/hyperlink" Target="https://drive.google.com/file/d/1zT3sVwfuNU-LID1mg462wb_yqFWdOtsG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B2X3T7yty4E_h4OO354C9N77xDQuhZV9/view?usp=drivesdk" TargetMode="External"/><Relationship Id="rId42" Type="http://schemas.openxmlformats.org/officeDocument/2006/relationships/hyperlink" Target="https://drive.google.com/file/d/1KpYk03xtlyhS1iaOtAStZBrHuyP9JI72/view?usp=drivesdk" TargetMode="External"/><Relationship Id="rId41" Type="http://schemas.openxmlformats.org/officeDocument/2006/relationships/hyperlink" Target="https://drive.google.com/file/d/1gzIbbMyT7e6y5ONhLovZypFvAYyx8N5w/view?usp=drivesdk" TargetMode="External"/><Relationship Id="rId44" Type="http://schemas.openxmlformats.org/officeDocument/2006/relationships/hyperlink" Target="https://drive.google.com/file/d/1w0RcF9W9ZdSChHVndB0fnhulmeif9PMe/view?usp=drivesdk" TargetMode="External"/><Relationship Id="rId43" Type="http://schemas.openxmlformats.org/officeDocument/2006/relationships/hyperlink" Target="https://drive.google.com/file/d/1KngGgGCE_-deoxvxb0Il3xoUVQFjcxuY/view?usp=drivesdk" TargetMode="External"/><Relationship Id="rId46" Type="http://schemas.openxmlformats.org/officeDocument/2006/relationships/hyperlink" Target="https://drive.google.com/file/d/1xg_bp12rqWkfuiuvJoWIgmnuEIW68Eqy/view?usp=drivesdk" TargetMode="External"/><Relationship Id="rId45" Type="http://schemas.openxmlformats.org/officeDocument/2006/relationships/hyperlink" Target="https://drive.google.com/file/d/1EhB3_oEiR6GQB1rTCMQwzAoJKkaKPAXN/view?usp=drivesdk" TargetMode="External"/><Relationship Id="rId1" Type="http://schemas.openxmlformats.org/officeDocument/2006/relationships/hyperlink" Target="https://drive.google.com/file/d/1xGDdo1elMfZ3HqYBYx3HOhaa4Eyt8DSp/view?usp=drivesdk" TargetMode="External"/><Relationship Id="rId2" Type="http://schemas.openxmlformats.org/officeDocument/2006/relationships/hyperlink" Target="https://drive.google.com/file/d/1JR7XI7Db9_2Z-SnKJSiJf-dil0wY_n1-/view?usp=drivesdk" TargetMode="External"/><Relationship Id="rId3" Type="http://schemas.openxmlformats.org/officeDocument/2006/relationships/hyperlink" Target="https://drive.google.com/file/d/1QWpXzdq4Zz-Rrxog2JSmECcfV5YJ5Y5L/view?usp=drivesdk" TargetMode="External"/><Relationship Id="rId4" Type="http://schemas.openxmlformats.org/officeDocument/2006/relationships/hyperlink" Target="https://drive.google.com/file/d/1rYvmjGy-SSXwRJoAe3KA0h6ZH3IKrcGy/view?usp=drivesdk" TargetMode="External"/><Relationship Id="rId9" Type="http://schemas.openxmlformats.org/officeDocument/2006/relationships/hyperlink" Target="https://drive.google.com/file/d/1ADKVRT7DYZ_DXN_qvWxhNkn-PXdvQd54/view?usp=drivesdk" TargetMode="External"/><Relationship Id="rId48" Type="http://schemas.openxmlformats.org/officeDocument/2006/relationships/hyperlink" Target="https://drive.google.com/file/d/1G_44i9jhi_WLliRukFEtJHkAy-O7QS5_/view?usp=drivesdk" TargetMode="External"/><Relationship Id="rId47" Type="http://schemas.openxmlformats.org/officeDocument/2006/relationships/hyperlink" Target="https://drive.google.com/file/d/1JTMs-25XB23t2wEjMpvI-wjfWPQzzn07/view?usp=drivesdk" TargetMode="External"/><Relationship Id="rId49" Type="http://schemas.openxmlformats.org/officeDocument/2006/relationships/hyperlink" Target="https://drive.google.com/file/d/1oelsUOpD590t9ImrccLteDB2cPmoOPMs/view?usp=drivesdk" TargetMode="External"/><Relationship Id="rId5" Type="http://schemas.openxmlformats.org/officeDocument/2006/relationships/hyperlink" Target="https://drive.google.com/file/d/11Ti1nwZNPgV9LBeIntPHN_KH5KowsSwr/view?usp=drivesdk" TargetMode="External"/><Relationship Id="rId6" Type="http://schemas.openxmlformats.org/officeDocument/2006/relationships/hyperlink" Target="https://drive.google.com/file/d/1Z2xegwGfYyJbPCkNEtb6aEeBkTsOhbWi/view?usp=drivesdk" TargetMode="External"/><Relationship Id="rId7" Type="http://schemas.openxmlformats.org/officeDocument/2006/relationships/hyperlink" Target="https://drive.google.com/file/d/15FWLsrfuheY-xdiisFXJlOMMPd4qee3L/view?usp=drivesdk" TargetMode="External"/><Relationship Id="rId8" Type="http://schemas.openxmlformats.org/officeDocument/2006/relationships/hyperlink" Target="https://drive.google.com/file/d/197gBJhEs7p74BTbYF1yDINY4dK0SbiSJ/view?usp=drivesdk" TargetMode="External"/><Relationship Id="rId31" Type="http://schemas.openxmlformats.org/officeDocument/2006/relationships/hyperlink" Target="https://drive.google.com/file/d/1eCMbvlJg28Br3_i-xRnPYKtdQFgGpmVs/view?usp=drivesdk" TargetMode="External"/><Relationship Id="rId30" Type="http://schemas.openxmlformats.org/officeDocument/2006/relationships/hyperlink" Target="https://drive.google.com/file/d/17WyFHAfnb5DPjkttmj2McBeybTSMPAJw/view?usp=drivesdk" TargetMode="External"/><Relationship Id="rId33" Type="http://schemas.openxmlformats.org/officeDocument/2006/relationships/hyperlink" Target="https://drive.google.com/file/d/1rNAoJNt_9jC9KYSNjhTlWqER2SOOSW_s/view?usp=drivesdk" TargetMode="External"/><Relationship Id="rId32" Type="http://schemas.openxmlformats.org/officeDocument/2006/relationships/hyperlink" Target="https://drive.google.com/file/d/1habhyQ7zVTDKJRePmUDnj3jJjlEvZYvp/view?usp=drivesdk" TargetMode="External"/><Relationship Id="rId35" Type="http://schemas.openxmlformats.org/officeDocument/2006/relationships/hyperlink" Target="https://drive.google.com/file/d/1lDyo5KainNsi7_R6gUHiV9dcY0s9mU__/view?usp=drivesdk" TargetMode="External"/><Relationship Id="rId34" Type="http://schemas.openxmlformats.org/officeDocument/2006/relationships/hyperlink" Target="https://drive.google.com/file/d/11tD4obh9MTiY01u_PpaRouSSEVQEHw2q/view?usp=drivesdk" TargetMode="External"/><Relationship Id="rId37" Type="http://schemas.openxmlformats.org/officeDocument/2006/relationships/hyperlink" Target="https://drive.google.com/file/d/19ssfeGKTcW0KNZJI5ZRxMnrftQHffhI-/view?usp=drivesdk" TargetMode="External"/><Relationship Id="rId36" Type="http://schemas.openxmlformats.org/officeDocument/2006/relationships/hyperlink" Target="https://drive.google.com/file/d/1bQTc9ArM96daiejCKqbsEtMG5DjqsHve/view?usp=drivesdk" TargetMode="External"/><Relationship Id="rId39" Type="http://schemas.openxmlformats.org/officeDocument/2006/relationships/hyperlink" Target="https://drive.google.com/file/d/1kN1JhGMh_jyYieDJDzu5PSVjd58q6Iqa/view?usp=drivesdk" TargetMode="External"/><Relationship Id="rId38" Type="http://schemas.openxmlformats.org/officeDocument/2006/relationships/hyperlink" Target="https://drive.google.com/file/d/1llQtCECElrHPfeF4MXnqZGE7BbI2n8pY/view?usp=drivesdk" TargetMode="External"/><Relationship Id="rId62" Type="http://schemas.openxmlformats.org/officeDocument/2006/relationships/table" Target="../tables/table5.xml"/><Relationship Id="rId20" Type="http://schemas.openxmlformats.org/officeDocument/2006/relationships/hyperlink" Target="https://drive.google.com/file/d/14dcS4Fak3CMYr64XimOvP1X0D84H6hXV/view?usp=drivesdk" TargetMode="External"/><Relationship Id="rId22" Type="http://schemas.openxmlformats.org/officeDocument/2006/relationships/hyperlink" Target="https://drive.google.com/file/d/1gXaEj38MYZdzR1N_OX3EsTYLTnnDBGDd/view?usp=drivesdk" TargetMode="External"/><Relationship Id="rId21" Type="http://schemas.openxmlformats.org/officeDocument/2006/relationships/hyperlink" Target="https://drive.google.com/file/d/1De-UVnzpxKKanyDwsmbgcvk0-Cvcosrh/view?usp=drivesdk" TargetMode="External"/><Relationship Id="rId24" Type="http://schemas.openxmlformats.org/officeDocument/2006/relationships/hyperlink" Target="https://drive.google.com/file/d/1ceqGAtUTK1AixcqCTXXSq4NARu_Rtemf/view?usp=drivesdk" TargetMode="External"/><Relationship Id="rId23" Type="http://schemas.openxmlformats.org/officeDocument/2006/relationships/hyperlink" Target="https://drive.google.com/file/d/10H10fab6afUrcjwpEl0M6NSKAcG4KX4j/view?usp=drivesdk" TargetMode="External"/><Relationship Id="rId60" Type="http://schemas.openxmlformats.org/officeDocument/2006/relationships/drawing" Target="../drawings/drawing7.xml"/><Relationship Id="rId26" Type="http://schemas.openxmlformats.org/officeDocument/2006/relationships/hyperlink" Target="https://drive.google.com/file/d/1ZYYzAOlViTQiJzvTBGxnRNG5NkWtYfHi/view?usp=drivesdk" TargetMode="External"/><Relationship Id="rId25" Type="http://schemas.openxmlformats.org/officeDocument/2006/relationships/hyperlink" Target="https://drive.google.com/file/d/1yMuIMOE1fX7oOhaPxgfVEBmNpGgMVjLI/view?usp=drivesdk" TargetMode="External"/><Relationship Id="rId28" Type="http://schemas.openxmlformats.org/officeDocument/2006/relationships/hyperlink" Target="https://drive.google.com/file/d/1jO8akAsSessBlUmhVLJNHEqOS2NgqIS3/view?usp=drivesdk" TargetMode="External"/><Relationship Id="rId27" Type="http://schemas.openxmlformats.org/officeDocument/2006/relationships/hyperlink" Target="https://drive.google.com/file/d/16FzKhZvsfevHhxRAdBhZnLX1ULfl73nD/view?usp=drivesdk" TargetMode="External"/><Relationship Id="rId29" Type="http://schemas.openxmlformats.org/officeDocument/2006/relationships/hyperlink" Target="https://drive.google.com/file/d/1ieCTXMb-xYK6go8U50ZBHLpuCBDRCZDT/view?usp=drivesdk" TargetMode="External"/><Relationship Id="rId51" Type="http://schemas.openxmlformats.org/officeDocument/2006/relationships/hyperlink" Target="https://drive.google.com/file/d/1F58EDi2o0pg-fn76izIVboNMVld9wI8J/view?usp=drivesdk" TargetMode="External"/><Relationship Id="rId50" Type="http://schemas.openxmlformats.org/officeDocument/2006/relationships/hyperlink" Target="https://drive.google.com/file/d/1DI6dNkENR6kA8oHuo3uYZoBTAvV3Peaf/view?usp=drivesdk" TargetMode="External"/><Relationship Id="rId53" Type="http://schemas.openxmlformats.org/officeDocument/2006/relationships/hyperlink" Target="https://drive.google.com/file/d/1E3CTAaxCx-laqFKkA8qNCTUP_za33wq5/view?usp=drivesdk" TargetMode="External"/><Relationship Id="rId52" Type="http://schemas.openxmlformats.org/officeDocument/2006/relationships/hyperlink" Target="https://drive.google.com/file/d/14O0A9hm3YBEZG0ERzgr6vxxvoU5ctkzQ/view?usp=drivesdk" TargetMode="External"/><Relationship Id="rId11" Type="http://schemas.openxmlformats.org/officeDocument/2006/relationships/hyperlink" Target="https://drive.google.com/file/d/1rRVavZ62LS6GDbXfEcGUry5Wx3aBdYAG/view?usp=drivesdk" TargetMode="External"/><Relationship Id="rId55" Type="http://schemas.openxmlformats.org/officeDocument/2006/relationships/hyperlink" Target="https://drive.google.com/file/d/16sT3hHuMLowarxAxZHYUPRMJkjtioYmF/view?usp=drivesdk" TargetMode="External"/><Relationship Id="rId10" Type="http://schemas.openxmlformats.org/officeDocument/2006/relationships/hyperlink" Target="https://drive.google.com/file/d/1kHQA556Kdl97G_b1l-XlqmCKeCvyro4b/view?usp=drivesdk" TargetMode="External"/><Relationship Id="rId54" Type="http://schemas.openxmlformats.org/officeDocument/2006/relationships/hyperlink" Target="https://drive.google.com/file/d/14pHFNY8PVRD313ZFEYsdNXeSd8sG8Ma6/view?usp=drivesdk" TargetMode="External"/><Relationship Id="rId13" Type="http://schemas.openxmlformats.org/officeDocument/2006/relationships/hyperlink" Target="https://drive.google.com/file/d/18wcYUMcagJYdgbbJJJZFj9Ds8V2akAKr/view?usp=drivesdk" TargetMode="External"/><Relationship Id="rId57" Type="http://schemas.openxmlformats.org/officeDocument/2006/relationships/hyperlink" Target="https://drive.google.com/file/d/1fYKDAcpVaop5M7ssMmS8pGP1j1OmJPzx/view?usp=drivesdk" TargetMode="External"/><Relationship Id="rId12" Type="http://schemas.openxmlformats.org/officeDocument/2006/relationships/hyperlink" Target="https://drive.google.com/file/d/1DzxFJC-41risALT-_yesN6r3Br6u-XIO/view?usp=drivesdk" TargetMode="External"/><Relationship Id="rId56" Type="http://schemas.openxmlformats.org/officeDocument/2006/relationships/hyperlink" Target="https://drive.google.com/file/d/1zeCibiPP-dvxpRr1JqYSrP7AiJBOaQGQ/view?usp=drivesdk" TargetMode="External"/><Relationship Id="rId15" Type="http://schemas.openxmlformats.org/officeDocument/2006/relationships/hyperlink" Target="https://drive.google.com/file/d/1yrQ3wWNi7kcpMpfDERroZBqWw-Izbaa5/view?usp=drivesdk" TargetMode="External"/><Relationship Id="rId59" Type="http://schemas.openxmlformats.org/officeDocument/2006/relationships/hyperlink" Target="https://drive.google.com/file/d/1W1FKZ3lIVERktPtj-J6KLCAQIc3qmtdI/view?usp=drivesdk" TargetMode="External"/><Relationship Id="rId14" Type="http://schemas.openxmlformats.org/officeDocument/2006/relationships/hyperlink" Target="https://drive.google.com/file/d/1pItXxRpFri0pfWiVyzDgYDW1cA3brI5U/view?usp=drivesdk" TargetMode="External"/><Relationship Id="rId58" Type="http://schemas.openxmlformats.org/officeDocument/2006/relationships/hyperlink" Target="https://drive.google.com/file/d/1nBy8nYhOsdhNnpR3CQFIwRGzCwY5roMU/view?usp=drivesdk" TargetMode="External"/><Relationship Id="rId17" Type="http://schemas.openxmlformats.org/officeDocument/2006/relationships/hyperlink" Target="https://drive.google.com/file/d/1lFfXyhlqR0CcoYQ749UqelZBdlB8ZRcs/view?usp=drivesdk" TargetMode="External"/><Relationship Id="rId16" Type="http://schemas.openxmlformats.org/officeDocument/2006/relationships/hyperlink" Target="https://drive.google.com/file/d/1DVgJIGa2X5D-xGdGHRY5aAZI2eh2A_PN/view?usp=drivesdk" TargetMode="External"/><Relationship Id="rId19" Type="http://schemas.openxmlformats.org/officeDocument/2006/relationships/hyperlink" Target="https://drive.google.com/file/d/14WrEWlJ_jBUXqsIL4E1dlhQj2P91yluk/view?usp=drivesdk" TargetMode="External"/><Relationship Id="rId18" Type="http://schemas.openxmlformats.org/officeDocument/2006/relationships/hyperlink" Target="https://drive.google.com/file/d/1q7nnEeewBj0JnzQbaDgmf-fNzz03UdY2/view?usp=drivesdk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41" Type="http://schemas.openxmlformats.org/officeDocument/2006/relationships/table" Target="../tables/table7.xml"/><Relationship Id="rId1" Type="http://schemas.openxmlformats.org/officeDocument/2006/relationships/hyperlink" Target="mailto:adrianabrauerb@gmail.com" TargetMode="External"/><Relationship Id="rId2" Type="http://schemas.openxmlformats.org/officeDocument/2006/relationships/hyperlink" Target="mailto:atlas_ofc@uol.com.br" TargetMode="External"/><Relationship Id="rId3" Type="http://schemas.openxmlformats.org/officeDocument/2006/relationships/hyperlink" Target="mailto:betofava@uol.com.br" TargetMode="External"/><Relationship Id="rId4" Type="http://schemas.openxmlformats.org/officeDocument/2006/relationships/hyperlink" Target="mailto:bmsilva0108@gmail.com" TargetMode="External"/><Relationship Id="rId9" Type="http://schemas.openxmlformats.org/officeDocument/2006/relationships/hyperlink" Target="mailto:contato@maxfire.com.br" TargetMode="External"/><Relationship Id="rId5" Type="http://schemas.openxmlformats.org/officeDocument/2006/relationships/hyperlink" Target="mailto:c.garcia@on-conveyors.com.br" TargetMode="External"/><Relationship Id="rId6" Type="http://schemas.openxmlformats.org/officeDocument/2006/relationships/hyperlink" Target="mailto:contato@alfasoldas.com.br" TargetMode="External"/><Relationship Id="rId7" Type="http://schemas.openxmlformats.org/officeDocument/2006/relationships/hyperlink" Target="mailto:contato@garagemdasfibras.com.br" TargetMode="External"/><Relationship Id="rId8" Type="http://schemas.openxmlformats.org/officeDocument/2006/relationships/hyperlink" Target="mailto:contato@joalmi.com.br" TargetMode="External"/><Relationship Id="rId31" Type="http://schemas.openxmlformats.org/officeDocument/2006/relationships/hyperlink" Target="mailto:roberta@vrpunidademovel.com.br" TargetMode="External"/><Relationship Id="rId30" Type="http://schemas.openxmlformats.org/officeDocument/2006/relationships/hyperlink" Target="mailto:renatofr81@gmail.com" TargetMode="External"/><Relationship Id="rId33" Type="http://schemas.openxmlformats.org/officeDocument/2006/relationships/hyperlink" Target="mailto:sos.hidraulica.cg@gmail.com" TargetMode="External"/><Relationship Id="rId32" Type="http://schemas.openxmlformats.org/officeDocument/2006/relationships/hyperlink" Target="mailto:solucoes.art@hotmail.com" TargetMode="External"/><Relationship Id="rId35" Type="http://schemas.openxmlformats.org/officeDocument/2006/relationships/hyperlink" Target="mailto:thermambrasil@gmail.com" TargetMode="External"/><Relationship Id="rId34" Type="http://schemas.openxmlformats.org/officeDocument/2006/relationships/hyperlink" Target="mailto:thallys864@gmail.com" TargetMode="External"/><Relationship Id="rId37" Type="http://schemas.openxmlformats.org/officeDocument/2006/relationships/hyperlink" Target="mailto:vigacontabilidade@gmail.com" TargetMode="External"/><Relationship Id="rId36" Type="http://schemas.openxmlformats.org/officeDocument/2006/relationships/hyperlink" Target="mailto:tubaferram@gmail.com" TargetMode="External"/><Relationship Id="rId39" Type="http://schemas.openxmlformats.org/officeDocument/2006/relationships/drawing" Target="../drawings/drawing9.xml"/><Relationship Id="rId38" Type="http://schemas.openxmlformats.org/officeDocument/2006/relationships/hyperlink" Target="mailto:bmsilva0108@gmail.com" TargetMode="External"/><Relationship Id="rId20" Type="http://schemas.openxmlformats.org/officeDocument/2006/relationships/hyperlink" Target="mailto:kiriamartinez@ig.com.br" TargetMode="External"/><Relationship Id="rId22" Type="http://schemas.openxmlformats.org/officeDocument/2006/relationships/hyperlink" Target="mailto:legalizacao.numes@terra.com.br" TargetMode="External"/><Relationship Id="rId21" Type="http://schemas.openxmlformats.org/officeDocument/2006/relationships/hyperlink" Target="mailto:korg@korgcarretas.com.br" TargetMode="External"/><Relationship Id="rId24" Type="http://schemas.openxmlformats.org/officeDocument/2006/relationships/hyperlink" Target="mailto:marcio@techassist.com.br" TargetMode="External"/><Relationship Id="rId23" Type="http://schemas.openxmlformats.org/officeDocument/2006/relationships/hyperlink" Target="mailto:m.cintra@nldiagnostica.com.br" TargetMode="External"/><Relationship Id="rId26" Type="http://schemas.openxmlformats.org/officeDocument/2006/relationships/hyperlink" Target="mailto:nfe@ribatec.com.br" TargetMode="External"/><Relationship Id="rId25" Type="http://schemas.openxmlformats.org/officeDocument/2006/relationships/hyperlink" Target="mailto:mcmetais.comercial@outlook.com" TargetMode="External"/><Relationship Id="rId28" Type="http://schemas.openxmlformats.org/officeDocument/2006/relationships/hyperlink" Target="mailto:paralegalassis@oscpaulistana.com.br" TargetMode="External"/><Relationship Id="rId27" Type="http://schemas.openxmlformats.org/officeDocument/2006/relationships/hyperlink" Target="mailto:nt.hiraulica@gmail.com" TargetMode="External"/><Relationship Id="rId29" Type="http://schemas.openxmlformats.org/officeDocument/2006/relationships/hyperlink" Target="mailto:raquel.paes@gaspec.com.br" TargetMode="External"/><Relationship Id="rId11" Type="http://schemas.openxmlformats.org/officeDocument/2006/relationships/hyperlink" Target="mailto:cris@tecnigrav.com" TargetMode="External"/><Relationship Id="rId10" Type="http://schemas.openxmlformats.org/officeDocument/2006/relationships/hyperlink" Target="mailto:contato@primordialcarretas.com.br" TargetMode="External"/><Relationship Id="rId13" Type="http://schemas.openxmlformats.org/officeDocument/2006/relationships/hyperlink" Target="mailto:dec@assessoriacontabil.net" TargetMode="External"/><Relationship Id="rId12" Type="http://schemas.openxmlformats.org/officeDocument/2006/relationships/hyperlink" Target="mailto:cris@tecnigrav.com" TargetMode="External"/><Relationship Id="rId15" Type="http://schemas.openxmlformats.org/officeDocument/2006/relationships/hyperlink" Target="mailto:elisabete@legasmetal.com.br" TargetMode="External"/><Relationship Id="rId14" Type="http://schemas.openxmlformats.org/officeDocument/2006/relationships/hyperlink" Target="mailto:doriventura@yahoo.com.br" TargetMode="External"/><Relationship Id="rId17" Type="http://schemas.openxmlformats.org/officeDocument/2006/relationships/hyperlink" Target="mailto:fiscal@elllo.com.br" TargetMode="External"/><Relationship Id="rId16" Type="http://schemas.openxmlformats.org/officeDocument/2006/relationships/hyperlink" Target="mailto:financeiro@henrypecas.com.br" TargetMode="External"/><Relationship Id="rId19" Type="http://schemas.openxmlformats.org/officeDocument/2006/relationships/hyperlink" Target="mailto:joara@jvmesquadrias.com.br" TargetMode="External"/><Relationship Id="rId18" Type="http://schemas.openxmlformats.org/officeDocument/2006/relationships/hyperlink" Target="mailto:hirokuramochi@terra.com.br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9" Type="http://schemas.openxmlformats.org/officeDocument/2006/relationships/table" Target="../tables/table10.xml"/><Relationship Id="rId11" Type="http://schemas.openxmlformats.org/officeDocument/2006/relationships/table" Target="../tables/table12.xml"/><Relationship Id="rId10" Type="http://schemas.openxmlformats.org/officeDocument/2006/relationships/table" Target="../tables/table11.xml"/><Relationship Id="rId13" Type="http://schemas.openxmlformats.org/officeDocument/2006/relationships/table" Target="../tables/table14.xml"/><Relationship Id="rId12" Type="http://schemas.openxmlformats.org/officeDocument/2006/relationships/table" Target="../tables/table13.xml"/><Relationship Id="rId15" Type="http://schemas.openxmlformats.org/officeDocument/2006/relationships/table" Target="../tables/table16.xml"/><Relationship Id="rId14" Type="http://schemas.openxmlformats.org/officeDocument/2006/relationships/table" Target="../tables/table15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9.38"/>
    <col customWidth="1" min="2" max="2" width="39.88"/>
    <col customWidth="1" min="3" max="3" width="23.75"/>
    <col customWidth="1" min="4" max="4" width="59.75"/>
    <col customWidth="1" min="5" max="5" width="19.25"/>
    <col customWidth="1" min="6" max="6" width="12.88"/>
    <col customWidth="1" min="7" max="7" width="76.38"/>
    <col customWidth="1" min="8" max="9" width="37.63"/>
    <col customWidth="1" min="10" max="12" width="24.38"/>
  </cols>
  <sheetData>
    <row r="1" ht="39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1.75" customHeight="1">
      <c r="A2" s="2" t="s">
        <v>12</v>
      </c>
      <c r="B2" s="2" t="s">
        <v>13</v>
      </c>
      <c r="C2" s="3"/>
      <c r="D2" s="2">
        <v>250913.0</v>
      </c>
      <c r="E2" s="4"/>
      <c r="F2" s="5">
        <v>45890.0</v>
      </c>
      <c r="G2" s="6"/>
      <c r="H2" s="2"/>
      <c r="I2" s="7"/>
      <c r="J2" s="8" t="s">
        <v>14</v>
      </c>
      <c r="K2" s="3"/>
      <c r="L2" s="3"/>
    </row>
    <row r="3" ht="21.75" customHeight="1">
      <c r="A3" s="2" t="s">
        <v>15</v>
      </c>
      <c r="B3" s="2" t="s">
        <v>16</v>
      </c>
      <c r="C3" s="3"/>
      <c r="D3" s="2" t="s">
        <v>17</v>
      </c>
      <c r="E3" s="4"/>
      <c r="F3" s="5">
        <v>45971.0</v>
      </c>
      <c r="G3" s="6"/>
      <c r="H3" s="2"/>
      <c r="I3" s="7"/>
      <c r="J3" s="8" t="s">
        <v>14</v>
      </c>
      <c r="K3" s="9"/>
      <c r="L3" s="3"/>
    </row>
    <row r="4" ht="21.75" customHeight="1">
      <c r="A4" s="2" t="s">
        <v>15</v>
      </c>
      <c r="B4" s="2" t="s">
        <v>18</v>
      </c>
      <c r="C4" s="3"/>
      <c r="D4" s="2" t="s">
        <v>19</v>
      </c>
      <c r="E4" s="4"/>
      <c r="F4" s="5">
        <v>45901.0</v>
      </c>
      <c r="G4" s="6"/>
      <c r="H4" s="2"/>
      <c r="I4" s="7"/>
      <c r="J4" s="8" t="s">
        <v>14</v>
      </c>
      <c r="K4" s="3"/>
      <c r="L4" s="3"/>
    </row>
    <row r="5" ht="21.75" customHeight="1">
      <c r="A5" s="2" t="s">
        <v>20</v>
      </c>
      <c r="B5" s="2"/>
      <c r="C5" s="3" t="s">
        <v>21</v>
      </c>
      <c r="D5" s="2" t="s">
        <v>22</v>
      </c>
      <c r="E5" s="4"/>
      <c r="F5" s="5">
        <v>45961.0</v>
      </c>
      <c r="G5" s="6"/>
      <c r="H5" s="2"/>
      <c r="I5" s="7"/>
      <c r="J5" s="8" t="s">
        <v>14</v>
      </c>
      <c r="K5" s="3"/>
      <c r="L5" s="3"/>
    </row>
    <row r="6" ht="21.75" customHeight="1">
      <c r="A6" s="2" t="s">
        <v>20</v>
      </c>
      <c r="B6" s="2"/>
      <c r="C6" s="3"/>
      <c r="D6" s="2" t="s">
        <v>23</v>
      </c>
      <c r="E6" s="4"/>
      <c r="F6" s="5">
        <v>45960.0</v>
      </c>
      <c r="G6" s="6"/>
      <c r="H6" s="2"/>
      <c r="I6" s="7"/>
      <c r="J6" s="8" t="s">
        <v>14</v>
      </c>
      <c r="K6" s="3"/>
      <c r="L6" s="3"/>
    </row>
    <row r="7" ht="21.75" customHeight="1">
      <c r="A7" s="2" t="s">
        <v>24</v>
      </c>
      <c r="B7" s="2"/>
      <c r="C7" s="3"/>
      <c r="D7" s="2" t="s">
        <v>25</v>
      </c>
      <c r="E7" s="4"/>
      <c r="F7" s="5">
        <v>45890.0</v>
      </c>
      <c r="G7" s="6"/>
      <c r="H7" s="2"/>
      <c r="I7" s="7"/>
      <c r="J7" s="8" t="s">
        <v>26</v>
      </c>
      <c r="K7" s="3"/>
      <c r="L7" s="3"/>
    </row>
    <row r="8" ht="21.75" customHeight="1">
      <c r="A8" s="2" t="s">
        <v>27</v>
      </c>
      <c r="B8" s="2"/>
      <c r="C8" s="3"/>
      <c r="D8" s="2" t="s">
        <v>28</v>
      </c>
      <c r="E8" s="4"/>
      <c r="F8" s="5">
        <v>45908.0</v>
      </c>
      <c r="G8" s="6"/>
      <c r="H8" s="10" t="s">
        <v>29</v>
      </c>
      <c r="I8" s="7"/>
      <c r="J8" s="8" t="s">
        <v>14</v>
      </c>
      <c r="K8" s="3"/>
      <c r="L8" s="3"/>
    </row>
    <row r="9" ht="21.75" customHeight="1">
      <c r="A9" s="2" t="s">
        <v>30</v>
      </c>
      <c r="B9" s="2"/>
      <c r="C9" s="2" t="s">
        <v>31</v>
      </c>
      <c r="D9" s="2" t="s">
        <v>32</v>
      </c>
      <c r="E9" s="4">
        <v>150.54123733333333</v>
      </c>
      <c r="F9" s="5">
        <v>45943.0</v>
      </c>
      <c r="G9" s="6" t="s">
        <v>33</v>
      </c>
      <c r="H9" s="11" t="s">
        <v>34</v>
      </c>
      <c r="I9" s="10" t="s">
        <v>35</v>
      </c>
      <c r="J9" s="8" t="s">
        <v>14</v>
      </c>
      <c r="K9" s="3"/>
      <c r="L9" s="3"/>
    </row>
    <row r="10" ht="21.75" customHeight="1">
      <c r="A10" s="2" t="s">
        <v>36</v>
      </c>
      <c r="B10" s="2"/>
      <c r="C10" s="12" t="s">
        <v>37</v>
      </c>
      <c r="D10" s="2" t="s">
        <v>38</v>
      </c>
      <c r="E10" s="4">
        <v>1319.6586291788929</v>
      </c>
      <c r="F10" s="5">
        <v>45943.0</v>
      </c>
      <c r="G10" s="6" t="s">
        <v>39</v>
      </c>
      <c r="H10" s="11" t="s">
        <v>40</v>
      </c>
      <c r="I10" s="10" t="s">
        <v>41</v>
      </c>
      <c r="J10" s="8" t="s">
        <v>26</v>
      </c>
      <c r="K10" s="3"/>
      <c r="L10" s="3"/>
    </row>
    <row r="11" ht="21.75" customHeight="1">
      <c r="A11" s="2" t="s">
        <v>42</v>
      </c>
      <c r="B11" s="2"/>
      <c r="C11" s="3"/>
      <c r="D11" s="2" t="s">
        <v>43</v>
      </c>
      <c r="E11" s="4"/>
      <c r="F11" s="5">
        <v>45966.0</v>
      </c>
      <c r="G11" s="6"/>
      <c r="H11" s="2"/>
      <c r="I11" s="7"/>
      <c r="J11" s="8" t="s">
        <v>14</v>
      </c>
      <c r="K11" s="3"/>
      <c r="L11" s="3"/>
    </row>
    <row r="12" ht="21.75" customHeight="1">
      <c r="A12" s="2" t="s">
        <v>44</v>
      </c>
      <c r="B12" s="2"/>
      <c r="C12" s="3"/>
      <c r="D12" s="2" t="s">
        <v>45</v>
      </c>
      <c r="E12" s="4"/>
      <c r="F12" s="5">
        <v>45966.0</v>
      </c>
      <c r="G12" s="6"/>
      <c r="H12" s="13" t="s">
        <v>46</v>
      </c>
      <c r="I12" s="7"/>
      <c r="J12" s="8" t="s">
        <v>14</v>
      </c>
      <c r="K12" s="3"/>
      <c r="L12" s="3"/>
    </row>
    <row r="13" ht="21.75" customHeight="1">
      <c r="A13" s="2" t="s">
        <v>47</v>
      </c>
      <c r="B13" s="2"/>
      <c r="C13" s="3"/>
      <c r="D13" s="2" t="s">
        <v>48</v>
      </c>
      <c r="E13" s="4"/>
      <c r="F13" s="5">
        <v>45967.0</v>
      </c>
      <c r="G13" s="6"/>
      <c r="H13" s="2"/>
      <c r="I13" s="7"/>
      <c r="J13" s="8" t="s">
        <v>14</v>
      </c>
      <c r="K13" s="3"/>
      <c r="L13" s="3"/>
    </row>
    <row r="14" ht="21.75" customHeight="1">
      <c r="A14" s="2" t="s">
        <v>49</v>
      </c>
      <c r="B14" s="2"/>
      <c r="C14" s="3"/>
      <c r="D14" s="2" t="s">
        <v>50</v>
      </c>
      <c r="E14" s="4"/>
      <c r="F14" s="5">
        <v>45967.0</v>
      </c>
      <c r="G14" s="6" t="s">
        <v>51</v>
      </c>
      <c r="H14" s="11" t="s">
        <v>52</v>
      </c>
      <c r="I14" s="7"/>
      <c r="J14" s="8" t="s">
        <v>14</v>
      </c>
      <c r="K14" s="3"/>
      <c r="L14" s="3"/>
    </row>
    <row r="15" ht="21.75" customHeight="1">
      <c r="A15" s="2" t="s">
        <v>53</v>
      </c>
      <c r="B15" s="2" t="s">
        <v>54</v>
      </c>
      <c r="C15" s="3"/>
      <c r="D15" s="2" t="s">
        <v>55</v>
      </c>
      <c r="E15" s="4"/>
      <c r="F15" s="5">
        <v>45890.0</v>
      </c>
      <c r="G15" s="6" t="s">
        <v>56</v>
      </c>
      <c r="H15" s="2"/>
      <c r="I15" s="7"/>
      <c r="J15" s="8" t="s">
        <v>26</v>
      </c>
      <c r="K15" s="3"/>
      <c r="L15" s="3"/>
    </row>
    <row r="16" ht="21.75" customHeight="1">
      <c r="A16" s="2" t="s">
        <v>49</v>
      </c>
      <c r="B16" s="2"/>
      <c r="C16" s="3"/>
      <c r="D16" s="2" t="s">
        <v>57</v>
      </c>
      <c r="E16" s="4">
        <v>2728.51</v>
      </c>
      <c r="F16" s="5">
        <v>45971.0</v>
      </c>
      <c r="G16" s="6"/>
      <c r="H16" s="11" t="s">
        <v>58</v>
      </c>
      <c r="I16" s="7"/>
      <c r="J16" s="8" t="s">
        <v>14</v>
      </c>
      <c r="K16" s="3"/>
      <c r="L16" s="3"/>
    </row>
    <row r="17" ht="21.75" customHeight="1">
      <c r="A17" s="2" t="s">
        <v>59</v>
      </c>
      <c r="B17" s="2"/>
      <c r="C17" s="3"/>
      <c r="D17" s="2" t="s">
        <v>60</v>
      </c>
      <c r="E17" s="4">
        <v>905.1</v>
      </c>
      <c r="F17" s="5">
        <v>45971.0</v>
      </c>
      <c r="G17" s="6"/>
      <c r="H17" s="11" t="s">
        <v>61</v>
      </c>
      <c r="I17" s="7"/>
      <c r="J17" s="8" t="s">
        <v>14</v>
      </c>
      <c r="K17" s="3"/>
      <c r="L17" s="3"/>
    </row>
    <row r="18" ht="21.75" customHeight="1">
      <c r="A18" s="2" t="s">
        <v>62</v>
      </c>
      <c r="B18" s="2"/>
      <c r="C18" s="3" t="s">
        <v>63</v>
      </c>
      <c r="D18" s="2" t="s">
        <v>64</v>
      </c>
      <c r="E18" s="4"/>
      <c r="F18" s="5">
        <v>45972.0</v>
      </c>
      <c r="G18" s="6"/>
      <c r="H18" s="2"/>
      <c r="I18" s="7"/>
      <c r="J18" s="8" t="s">
        <v>14</v>
      </c>
      <c r="K18" s="3"/>
      <c r="L18" s="3"/>
    </row>
    <row r="19" ht="21.75" customHeight="1">
      <c r="A19" s="2" t="s">
        <v>49</v>
      </c>
      <c r="B19" s="2"/>
      <c r="C19" s="3"/>
      <c r="D19" s="2" t="s">
        <v>65</v>
      </c>
      <c r="E19" s="4">
        <v>748.16</v>
      </c>
      <c r="F19" s="5">
        <v>45972.0</v>
      </c>
      <c r="G19" s="6"/>
      <c r="H19" s="11" t="s">
        <v>66</v>
      </c>
      <c r="I19" s="7"/>
      <c r="J19" s="8" t="s">
        <v>14</v>
      </c>
      <c r="K19" s="3"/>
      <c r="L19" s="3"/>
    </row>
    <row r="20" ht="21.75" customHeight="1">
      <c r="A20" s="2" t="s">
        <v>67</v>
      </c>
      <c r="B20" s="2" t="s">
        <v>68</v>
      </c>
      <c r="C20" s="3"/>
      <c r="D20" s="2" t="s">
        <v>69</v>
      </c>
      <c r="E20" s="4"/>
      <c r="F20" s="5">
        <v>45972.0</v>
      </c>
      <c r="G20" s="6"/>
      <c r="H20" s="2"/>
      <c r="I20" s="7"/>
      <c r="J20" s="8" t="s">
        <v>14</v>
      </c>
      <c r="K20" s="3"/>
      <c r="L20" s="3"/>
    </row>
    <row r="21" ht="21.75" customHeight="1">
      <c r="A21" s="2" t="s">
        <v>70</v>
      </c>
      <c r="B21" s="2"/>
      <c r="C21" s="3"/>
      <c r="D21" s="2" t="s">
        <v>71</v>
      </c>
      <c r="E21" s="4"/>
      <c r="F21" s="5">
        <v>45972.0</v>
      </c>
      <c r="G21" s="6"/>
      <c r="H21" s="2"/>
      <c r="I21" s="7"/>
      <c r="J21" s="8" t="s">
        <v>14</v>
      </c>
      <c r="K21" s="3"/>
      <c r="L21" s="3"/>
    </row>
    <row r="22" ht="21.75" customHeight="1">
      <c r="A22" s="2" t="s">
        <v>47</v>
      </c>
      <c r="B22" s="2"/>
      <c r="C22" s="3"/>
      <c r="D22" s="2" t="s">
        <v>72</v>
      </c>
      <c r="E22" s="4">
        <v>1960.8</v>
      </c>
      <c r="F22" s="5"/>
      <c r="G22" s="6"/>
      <c r="H22" s="2"/>
      <c r="I22" s="7"/>
      <c r="J22" s="8" t="s">
        <v>14</v>
      </c>
      <c r="K22" s="3"/>
      <c r="L22" s="3"/>
    </row>
    <row r="23" ht="21.75" customHeight="1">
      <c r="A23" s="2" t="s">
        <v>73</v>
      </c>
      <c r="B23" s="2" t="s">
        <v>74</v>
      </c>
      <c r="C23" s="3" t="s">
        <v>75</v>
      </c>
      <c r="D23" s="2" t="s">
        <v>76</v>
      </c>
      <c r="E23" s="4"/>
      <c r="F23" s="5">
        <v>45973.0</v>
      </c>
      <c r="G23" s="6" t="s">
        <v>77</v>
      </c>
      <c r="H23" s="7"/>
      <c r="I23" s="7"/>
      <c r="J23" s="8" t="s">
        <v>14</v>
      </c>
      <c r="K23" s="3"/>
      <c r="L23" s="3"/>
    </row>
    <row r="24" ht="21.75" customHeight="1">
      <c r="A24" s="2" t="s">
        <v>78</v>
      </c>
      <c r="B24" s="2"/>
      <c r="C24" s="3"/>
      <c r="D24" s="2" t="s">
        <v>79</v>
      </c>
      <c r="E24" s="4"/>
      <c r="F24" s="5"/>
      <c r="G24" s="6"/>
      <c r="H24" s="2"/>
      <c r="I24" s="7"/>
      <c r="J24" s="8" t="s">
        <v>14</v>
      </c>
      <c r="K24" s="3"/>
      <c r="L24" s="3"/>
    </row>
    <row r="25" ht="21.75" customHeight="1">
      <c r="A25" s="2" t="s">
        <v>80</v>
      </c>
      <c r="B25" s="2" t="s">
        <v>81</v>
      </c>
      <c r="C25" s="3" t="s">
        <v>82</v>
      </c>
      <c r="D25" s="2" t="s">
        <v>83</v>
      </c>
      <c r="E25" s="4"/>
      <c r="F25" s="5">
        <v>45975.0</v>
      </c>
      <c r="G25" s="6" t="s">
        <v>77</v>
      </c>
      <c r="H25" s="2"/>
      <c r="I25" s="7"/>
      <c r="J25" s="8" t="s">
        <v>14</v>
      </c>
      <c r="K25" s="3"/>
      <c r="L25" s="3" t="s">
        <v>84</v>
      </c>
    </row>
    <row r="26" ht="21.75" customHeight="1">
      <c r="A26" s="2" t="s">
        <v>85</v>
      </c>
      <c r="B26" s="2"/>
      <c r="C26" s="3"/>
      <c r="D26" s="2" t="s">
        <v>86</v>
      </c>
      <c r="E26" s="4">
        <v>236.76</v>
      </c>
      <c r="F26" s="5"/>
      <c r="G26" s="6"/>
      <c r="H26" s="2"/>
      <c r="I26" s="7"/>
      <c r="J26" s="8" t="s">
        <v>14</v>
      </c>
      <c r="K26" s="3"/>
      <c r="L26" s="3"/>
    </row>
    <row r="27" ht="21.75" customHeight="1">
      <c r="A27" s="2" t="s">
        <v>87</v>
      </c>
      <c r="B27" s="2"/>
      <c r="C27" s="3"/>
      <c r="D27" s="2" t="s">
        <v>88</v>
      </c>
      <c r="E27" s="4">
        <v>3140.0</v>
      </c>
      <c r="F27" s="5">
        <v>45978.0</v>
      </c>
      <c r="G27" s="6"/>
      <c r="H27" s="2"/>
      <c r="I27" s="7"/>
      <c r="J27" s="8" t="s">
        <v>14</v>
      </c>
      <c r="K27" s="3"/>
      <c r="L27" s="3"/>
    </row>
    <row r="28" ht="21.75" customHeight="1">
      <c r="A28" s="2" t="s">
        <v>89</v>
      </c>
      <c r="B28" s="2"/>
      <c r="C28" s="3"/>
      <c r="D28" s="2" t="s">
        <v>90</v>
      </c>
      <c r="E28" s="4">
        <v>2254.68</v>
      </c>
      <c r="F28" s="5"/>
      <c r="G28" s="6"/>
      <c r="H28" s="2"/>
      <c r="I28" s="7"/>
      <c r="J28" s="8" t="s">
        <v>14</v>
      </c>
      <c r="K28" s="3"/>
      <c r="L28" s="3"/>
    </row>
    <row r="29" ht="21.75" customHeight="1">
      <c r="A29" s="2" t="s">
        <v>89</v>
      </c>
      <c r="B29" s="2"/>
      <c r="C29" s="3"/>
      <c r="D29" s="2" t="s">
        <v>91</v>
      </c>
      <c r="E29" s="4">
        <v>1186.57</v>
      </c>
      <c r="F29" s="5"/>
      <c r="G29" s="6"/>
      <c r="H29" s="2"/>
      <c r="I29" s="7"/>
      <c r="J29" s="8" t="s">
        <v>14</v>
      </c>
      <c r="K29" s="3"/>
      <c r="L29" s="3"/>
    </row>
    <row r="30" ht="21.75" customHeight="1">
      <c r="A30" s="2" t="s">
        <v>85</v>
      </c>
      <c r="B30" s="2"/>
      <c r="C30" s="3"/>
      <c r="D30" s="2" t="s">
        <v>92</v>
      </c>
      <c r="E30" s="4">
        <v>970.48</v>
      </c>
      <c r="F30" s="5">
        <v>45979.0</v>
      </c>
      <c r="G30" s="6"/>
      <c r="H30" s="2"/>
      <c r="I30" s="7"/>
      <c r="J30" s="8" t="s">
        <v>14</v>
      </c>
      <c r="K30" s="3"/>
      <c r="L30" s="3"/>
    </row>
    <row r="31" ht="21.75" customHeight="1">
      <c r="A31" s="2" t="s">
        <v>78</v>
      </c>
      <c r="B31" s="2"/>
      <c r="C31" s="3"/>
      <c r="D31" s="2" t="s">
        <v>93</v>
      </c>
      <c r="E31" s="4">
        <v>128.96</v>
      </c>
      <c r="F31" s="5">
        <v>45979.0</v>
      </c>
      <c r="G31" s="6" t="s">
        <v>94</v>
      </c>
      <c r="H31" s="2"/>
      <c r="I31" s="7"/>
      <c r="J31" s="8" t="s">
        <v>14</v>
      </c>
      <c r="K31" s="3"/>
      <c r="L31" s="3"/>
    </row>
    <row r="32" ht="21.75" customHeight="1">
      <c r="A32" s="2" t="s">
        <v>95</v>
      </c>
      <c r="B32" s="2" t="s">
        <v>96</v>
      </c>
      <c r="C32" s="3"/>
      <c r="D32" s="2" t="s">
        <v>97</v>
      </c>
      <c r="E32" s="4">
        <v>14313.66</v>
      </c>
      <c r="F32" s="5">
        <v>45987.0</v>
      </c>
      <c r="G32" s="6" t="s">
        <v>77</v>
      </c>
      <c r="H32" s="2"/>
      <c r="I32" s="7"/>
      <c r="J32" s="8" t="s">
        <v>14</v>
      </c>
      <c r="K32" s="3"/>
      <c r="L32" s="3"/>
    </row>
    <row r="33" ht="21.75" customHeight="1">
      <c r="A33" s="2" t="s">
        <v>98</v>
      </c>
      <c r="B33" s="2" t="s">
        <v>99</v>
      </c>
      <c r="C33" s="3" t="s">
        <v>100</v>
      </c>
      <c r="D33" s="2" t="s">
        <v>101</v>
      </c>
      <c r="E33" s="4"/>
      <c r="F33" s="5">
        <v>45980.0</v>
      </c>
      <c r="G33" s="6"/>
      <c r="H33" s="2"/>
      <c r="I33" s="7"/>
      <c r="J33" s="8" t="s">
        <v>14</v>
      </c>
      <c r="K33" s="3"/>
      <c r="L33" s="3"/>
    </row>
    <row r="34" ht="21.75" customHeight="1">
      <c r="A34" s="2" t="s">
        <v>70</v>
      </c>
      <c r="B34" s="2"/>
      <c r="C34" s="3"/>
      <c r="D34" s="2" t="s">
        <v>102</v>
      </c>
      <c r="E34" s="4">
        <v>485.8</v>
      </c>
      <c r="F34" s="5">
        <v>45985.0</v>
      </c>
      <c r="G34" s="6"/>
      <c r="H34" s="2"/>
      <c r="I34" s="7"/>
      <c r="J34" s="8" t="s">
        <v>14</v>
      </c>
      <c r="K34" s="3"/>
      <c r="L34" s="3"/>
    </row>
    <row r="35" ht="21.75" customHeight="1">
      <c r="A35" s="2" t="s">
        <v>70</v>
      </c>
      <c r="B35" s="2"/>
      <c r="C35" s="3"/>
      <c r="D35" s="2" t="s">
        <v>103</v>
      </c>
      <c r="E35" s="4">
        <v>3049.95</v>
      </c>
      <c r="F35" s="5">
        <v>45985.0</v>
      </c>
      <c r="G35" s="6"/>
      <c r="H35" s="2"/>
      <c r="I35" s="7"/>
      <c r="J35" s="8" t="s">
        <v>14</v>
      </c>
      <c r="K35" s="3"/>
      <c r="L35" s="3"/>
    </row>
    <row r="36" ht="21.75" customHeight="1">
      <c r="A36" s="2" t="s">
        <v>59</v>
      </c>
      <c r="B36" s="2"/>
      <c r="C36" s="3"/>
      <c r="D36" s="2" t="s">
        <v>104</v>
      </c>
      <c r="E36" s="4">
        <v>1376.46</v>
      </c>
      <c r="F36" s="5">
        <v>45985.0</v>
      </c>
      <c r="G36" s="6"/>
      <c r="H36" s="2"/>
      <c r="I36" s="7"/>
      <c r="J36" s="8" t="s">
        <v>14</v>
      </c>
      <c r="K36" s="3"/>
      <c r="L36" s="3"/>
    </row>
    <row r="37" ht="21.75" customHeight="1">
      <c r="A37" s="2" t="s">
        <v>78</v>
      </c>
      <c r="B37" s="2"/>
      <c r="C37" s="3"/>
      <c r="D37" s="2" t="s">
        <v>105</v>
      </c>
      <c r="E37" s="4">
        <v>104.33</v>
      </c>
      <c r="F37" s="5">
        <v>45985.0</v>
      </c>
      <c r="G37" s="6"/>
      <c r="H37" s="2"/>
      <c r="I37" s="7"/>
      <c r="J37" s="8" t="s">
        <v>14</v>
      </c>
      <c r="K37" s="3"/>
      <c r="L37" s="3"/>
    </row>
    <row r="38" ht="21.75" customHeight="1">
      <c r="A38" s="2" t="s">
        <v>85</v>
      </c>
      <c r="B38" s="2"/>
      <c r="C38" s="3"/>
      <c r="D38" s="2" t="s">
        <v>106</v>
      </c>
      <c r="E38" s="4">
        <v>332.7</v>
      </c>
      <c r="F38" s="5">
        <v>45985.0</v>
      </c>
      <c r="G38" s="6"/>
      <c r="H38" s="2"/>
      <c r="I38" s="7"/>
      <c r="J38" s="8" t="s">
        <v>14</v>
      </c>
      <c r="K38" s="3"/>
      <c r="L38" s="3"/>
    </row>
    <row r="39" ht="21.75" customHeight="1">
      <c r="A39" s="2" t="s">
        <v>47</v>
      </c>
      <c r="B39" s="2"/>
      <c r="C39" s="3"/>
      <c r="D39" s="2" t="s">
        <v>107</v>
      </c>
      <c r="E39" s="4">
        <v>125.0</v>
      </c>
      <c r="F39" s="5">
        <v>45985.0</v>
      </c>
      <c r="G39" s="6"/>
      <c r="H39" s="2"/>
      <c r="I39" s="7"/>
      <c r="J39" s="8" t="s">
        <v>14</v>
      </c>
      <c r="K39" s="3"/>
      <c r="L39" s="3"/>
    </row>
    <row r="40" ht="21.75" customHeight="1">
      <c r="A40" s="2" t="s">
        <v>108</v>
      </c>
      <c r="B40" s="2"/>
      <c r="C40" s="3"/>
      <c r="D40" s="2" t="s">
        <v>109</v>
      </c>
      <c r="E40" s="4">
        <v>186.0</v>
      </c>
      <c r="F40" s="5">
        <v>45985.0</v>
      </c>
      <c r="G40" s="6"/>
      <c r="H40" s="2"/>
      <c r="I40" s="7"/>
      <c r="J40" s="8" t="s">
        <v>14</v>
      </c>
      <c r="K40" s="3"/>
      <c r="L40" s="3"/>
    </row>
    <row r="41" ht="21.75" customHeight="1">
      <c r="A41" s="2" t="s">
        <v>59</v>
      </c>
      <c r="B41" s="2"/>
      <c r="C41" s="3"/>
      <c r="D41" s="2" t="s">
        <v>110</v>
      </c>
      <c r="E41" s="4">
        <v>1000.0</v>
      </c>
      <c r="F41" s="5">
        <v>45985.0</v>
      </c>
      <c r="G41" s="6"/>
      <c r="H41" s="2"/>
      <c r="I41" s="7"/>
      <c r="J41" s="8" t="s">
        <v>14</v>
      </c>
      <c r="K41" s="3"/>
      <c r="L41" s="3"/>
    </row>
    <row r="42" ht="21.75" customHeight="1">
      <c r="A42" s="2" t="s">
        <v>89</v>
      </c>
      <c r="B42" s="2"/>
      <c r="C42" s="3"/>
      <c r="D42" s="2" t="s">
        <v>111</v>
      </c>
      <c r="E42" s="4">
        <v>718.66</v>
      </c>
      <c r="F42" s="5">
        <v>45986.0</v>
      </c>
      <c r="G42" s="6"/>
      <c r="H42" s="2"/>
      <c r="I42" s="7"/>
      <c r="J42" s="8" t="s">
        <v>14</v>
      </c>
      <c r="K42" s="3"/>
      <c r="L42" s="3"/>
    </row>
    <row r="43" ht="21.75" customHeight="1">
      <c r="A43" s="2" t="s">
        <v>85</v>
      </c>
      <c r="B43" s="2"/>
      <c r="C43" s="3"/>
      <c r="D43" s="2" t="s">
        <v>112</v>
      </c>
      <c r="E43" s="4">
        <v>279.24</v>
      </c>
      <c r="F43" s="5">
        <v>45986.0</v>
      </c>
      <c r="G43" s="6"/>
      <c r="H43" s="2"/>
      <c r="I43" s="7"/>
      <c r="J43" s="8" t="s">
        <v>14</v>
      </c>
      <c r="K43" s="3"/>
      <c r="L43" s="3"/>
    </row>
    <row r="44" ht="21.75" customHeight="1">
      <c r="A44" s="2" t="s">
        <v>59</v>
      </c>
      <c r="B44" s="2"/>
      <c r="C44" s="3" t="s">
        <v>113</v>
      </c>
      <c r="D44" s="2" t="s">
        <v>114</v>
      </c>
      <c r="E44" s="4">
        <v>1031.33</v>
      </c>
      <c r="F44" s="5">
        <v>45987.0</v>
      </c>
      <c r="G44" s="6"/>
      <c r="H44" s="2"/>
      <c r="I44" s="7"/>
      <c r="J44" s="8" t="s">
        <v>14</v>
      </c>
      <c r="K44" s="3"/>
      <c r="L44" s="3"/>
    </row>
    <row r="45" ht="21.75" customHeight="1">
      <c r="A45" s="2" t="s">
        <v>89</v>
      </c>
      <c r="B45" s="2"/>
      <c r="C45" s="3"/>
      <c r="D45" s="2" t="s">
        <v>115</v>
      </c>
      <c r="E45" s="4">
        <v>503.63</v>
      </c>
      <c r="F45" s="5">
        <v>45987.0</v>
      </c>
      <c r="G45" s="6"/>
      <c r="H45" s="2"/>
      <c r="I45" s="7"/>
      <c r="J45" s="8" t="s">
        <v>14</v>
      </c>
      <c r="K45" s="3"/>
      <c r="L45" s="3"/>
    </row>
    <row r="46" ht="21.75" customHeight="1">
      <c r="A46" s="2" t="s">
        <v>70</v>
      </c>
      <c r="B46" s="2"/>
      <c r="C46" s="3"/>
      <c r="D46" s="2" t="s">
        <v>116</v>
      </c>
      <c r="E46" s="4">
        <v>5574.85</v>
      </c>
      <c r="F46" s="5">
        <v>45987.0</v>
      </c>
      <c r="G46" s="6"/>
      <c r="H46" s="2"/>
      <c r="I46" s="7"/>
      <c r="J46" s="8" t="s">
        <v>14</v>
      </c>
      <c r="K46" s="3"/>
      <c r="L46" s="3"/>
    </row>
    <row r="47" ht="21.75" customHeight="1">
      <c r="A47" s="2" t="s">
        <v>85</v>
      </c>
      <c r="B47" s="2"/>
      <c r="C47" s="3"/>
      <c r="D47" s="2" t="s">
        <v>117</v>
      </c>
      <c r="E47" s="4">
        <v>130.0</v>
      </c>
      <c r="F47" s="5">
        <v>45988.0</v>
      </c>
      <c r="G47" s="6"/>
      <c r="H47" s="2"/>
      <c r="I47" s="7"/>
      <c r="J47" s="8" t="s">
        <v>14</v>
      </c>
      <c r="K47" s="3"/>
      <c r="L47" s="3"/>
    </row>
    <row r="48" ht="21.75" customHeight="1">
      <c r="A48" s="2" t="s">
        <v>118</v>
      </c>
      <c r="B48" s="2" t="s">
        <v>119</v>
      </c>
      <c r="C48" s="3"/>
      <c r="D48" s="2" t="s">
        <v>117</v>
      </c>
      <c r="E48" s="4"/>
      <c r="F48" s="5">
        <v>45988.0</v>
      </c>
      <c r="G48" s="6" t="s">
        <v>120</v>
      </c>
      <c r="H48" s="2"/>
      <c r="I48" s="7"/>
      <c r="J48" s="8" t="s">
        <v>14</v>
      </c>
      <c r="K48" s="3"/>
      <c r="L48" s="3"/>
    </row>
    <row r="49" ht="21.75" customHeight="1">
      <c r="A49" s="2" t="s">
        <v>89</v>
      </c>
      <c r="B49" s="2"/>
      <c r="C49" s="3"/>
      <c r="D49" s="2" t="s">
        <v>121</v>
      </c>
      <c r="E49" s="4">
        <v>375.0</v>
      </c>
      <c r="F49" s="5">
        <v>45988.0</v>
      </c>
      <c r="G49" s="6"/>
      <c r="H49" s="2"/>
      <c r="I49" s="7"/>
      <c r="J49" s="8" t="s">
        <v>14</v>
      </c>
      <c r="K49" s="3"/>
      <c r="L49" s="3"/>
    </row>
    <row r="50" ht="21.75" customHeight="1">
      <c r="A50" s="2" t="s">
        <v>59</v>
      </c>
      <c r="B50" s="2"/>
      <c r="C50" s="3"/>
      <c r="D50" s="2" t="s">
        <v>122</v>
      </c>
      <c r="E50" s="4">
        <v>919.84</v>
      </c>
      <c r="F50" s="5">
        <v>46020.0</v>
      </c>
      <c r="G50" s="6"/>
      <c r="H50" s="2"/>
      <c r="I50" s="7"/>
      <c r="J50" s="8" t="s">
        <v>14</v>
      </c>
      <c r="K50" s="3"/>
      <c r="L50" s="3"/>
    </row>
    <row r="51" ht="21.75" customHeight="1">
      <c r="A51" s="2" t="s">
        <v>123</v>
      </c>
      <c r="B51" s="2"/>
      <c r="C51" s="3"/>
      <c r="D51" s="2" t="s">
        <v>124</v>
      </c>
      <c r="E51" s="4">
        <v>257.89</v>
      </c>
      <c r="F51" s="5">
        <v>45989.0</v>
      </c>
      <c r="G51" s="6"/>
      <c r="H51" s="2"/>
      <c r="I51" s="7"/>
      <c r="J51" s="8" t="s">
        <v>14</v>
      </c>
      <c r="K51" s="3"/>
      <c r="L51" s="3"/>
    </row>
    <row r="52" ht="21.75" customHeight="1">
      <c r="A52" s="2" t="s">
        <v>47</v>
      </c>
      <c r="B52" s="2"/>
      <c r="C52" s="3"/>
      <c r="D52" s="2" t="s">
        <v>125</v>
      </c>
      <c r="E52" s="4">
        <v>1752.35</v>
      </c>
      <c r="F52" s="5">
        <v>45989.0</v>
      </c>
      <c r="G52" s="6"/>
      <c r="H52" s="2"/>
      <c r="I52" s="7"/>
      <c r="J52" s="8" t="s">
        <v>14</v>
      </c>
      <c r="K52" s="3"/>
      <c r="L52" s="3"/>
    </row>
    <row r="53" ht="21.75" customHeight="1">
      <c r="A53" s="2" t="s">
        <v>126</v>
      </c>
      <c r="B53" s="2"/>
      <c r="C53" s="3"/>
      <c r="D53" s="2" t="s">
        <v>127</v>
      </c>
      <c r="E53" s="4">
        <v>150.0</v>
      </c>
      <c r="F53" s="5">
        <v>45992.0</v>
      </c>
      <c r="G53" s="6"/>
      <c r="H53" s="2"/>
      <c r="I53" s="7"/>
      <c r="J53" s="8" t="s">
        <v>14</v>
      </c>
      <c r="K53" s="3"/>
      <c r="L53" s="3"/>
    </row>
    <row r="54" ht="21.75" customHeight="1">
      <c r="A54" s="2" t="s">
        <v>128</v>
      </c>
      <c r="B54" s="2"/>
      <c r="C54" s="3"/>
      <c r="D54" s="2" t="s">
        <v>129</v>
      </c>
      <c r="E54" s="4">
        <v>1205.67</v>
      </c>
      <c r="F54" s="5">
        <v>45993.0</v>
      </c>
      <c r="G54" s="6"/>
      <c r="H54" s="2"/>
      <c r="I54" s="7"/>
      <c r="J54" s="8" t="s">
        <v>14</v>
      </c>
      <c r="K54" s="3"/>
      <c r="L54" s="3"/>
    </row>
    <row r="55" ht="21.75" customHeight="1">
      <c r="A55" s="2" t="s">
        <v>59</v>
      </c>
      <c r="B55" s="2"/>
      <c r="C55" s="3"/>
      <c r="D55" s="2" t="s">
        <v>130</v>
      </c>
      <c r="E55" s="4">
        <v>314.93</v>
      </c>
      <c r="F55" s="5">
        <v>45993.0</v>
      </c>
      <c r="G55" s="6"/>
      <c r="H55" s="2"/>
      <c r="I55" s="7"/>
      <c r="J55" s="8" t="s">
        <v>14</v>
      </c>
      <c r="K55" s="3"/>
      <c r="L55" s="3"/>
    </row>
    <row r="56" ht="21.75" customHeight="1">
      <c r="A56" s="2" t="s">
        <v>78</v>
      </c>
      <c r="B56" s="2"/>
      <c r="C56" s="3"/>
      <c r="D56" s="2" t="s">
        <v>131</v>
      </c>
      <c r="E56" s="4">
        <v>168.72</v>
      </c>
      <c r="F56" s="5">
        <v>45994.0</v>
      </c>
      <c r="G56" s="6"/>
      <c r="H56" s="2"/>
      <c r="I56" s="7"/>
      <c r="J56" s="8" t="s">
        <v>14</v>
      </c>
      <c r="K56" s="3"/>
      <c r="L56" s="3"/>
    </row>
    <row r="57" ht="21.75" customHeight="1">
      <c r="A57" s="2" t="s">
        <v>70</v>
      </c>
      <c r="B57" s="2"/>
      <c r="C57" s="3"/>
      <c r="D57" s="2" t="s">
        <v>132</v>
      </c>
      <c r="E57" s="4">
        <v>3648.56</v>
      </c>
      <c r="F57" s="5">
        <v>45994.0</v>
      </c>
      <c r="G57" s="6"/>
      <c r="H57" s="2"/>
      <c r="I57" s="7"/>
      <c r="J57" s="8" t="s">
        <v>14</v>
      </c>
      <c r="K57" s="3"/>
      <c r="L57" s="3"/>
    </row>
    <row r="58" ht="21.75" customHeight="1">
      <c r="A58" s="2" t="s">
        <v>59</v>
      </c>
      <c r="B58" s="2"/>
      <c r="C58" s="3"/>
      <c r="D58" s="2" t="s">
        <v>133</v>
      </c>
      <c r="E58" s="4">
        <v>496.9</v>
      </c>
      <c r="F58" s="5">
        <v>45995.0</v>
      </c>
      <c r="G58" s="6"/>
      <c r="H58" s="2"/>
      <c r="I58" s="7"/>
      <c r="J58" s="8" t="s">
        <v>14</v>
      </c>
      <c r="K58" s="3"/>
      <c r="L58" s="3"/>
    </row>
    <row r="59" ht="21.75" customHeight="1">
      <c r="A59" s="2" t="s">
        <v>73</v>
      </c>
      <c r="B59" s="2" t="s">
        <v>134</v>
      </c>
      <c r="C59" s="3" t="s">
        <v>135</v>
      </c>
      <c r="D59" s="2" t="s">
        <v>136</v>
      </c>
      <c r="E59" s="4">
        <v>109.8</v>
      </c>
      <c r="F59" s="5">
        <v>45996.0</v>
      </c>
      <c r="G59" s="6"/>
      <c r="H59" s="11" t="s">
        <v>137</v>
      </c>
      <c r="I59" s="10" t="s">
        <v>138</v>
      </c>
      <c r="J59" s="8" t="s">
        <v>14</v>
      </c>
      <c r="K59" s="14"/>
      <c r="L59" s="3" t="s">
        <v>139</v>
      </c>
    </row>
    <row r="60" ht="21.75" customHeight="1">
      <c r="A60" s="2" t="s">
        <v>140</v>
      </c>
      <c r="B60" s="2" t="s">
        <v>141</v>
      </c>
      <c r="C60" s="3"/>
      <c r="D60" s="2" t="s">
        <v>142</v>
      </c>
      <c r="E60" s="4">
        <v>156.38</v>
      </c>
      <c r="F60" s="5">
        <v>45996.0</v>
      </c>
      <c r="G60" s="6"/>
      <c r="H60" s="2"/>
      <c r="I60" s="7"/>
      <c r="J60" s="8" t="s">
        <v>14</v>
      </c>
      <c r="K60" s="3"/>
      <c r="L60" s="3"/>
    </row>
    <row r="61" ht="21.75" customHeight="1">
      <c r="A61" s="2" t="s">
        <v>143</v>
      </c>
      <c r="B61" s="2"/>
      <c r="C61" s="3"/>
      <c r="D61" s="2" t="s">
        <v>144</v>
      </c>
      <c r="E61" s="4">
        <v>478.0</v>
      </c>
      <c r="F61" s="5">
        <v>45996.0</v>
      </c>
      <c r="G61" s="6"/>
      <c r="H61" s="2"/>
      <c r="I61" s="7"/>
      <c r="J61" s="8" t="s">
        <v>14</v>
      </c>
      <c r="K61" s="3"/>
      <c r="L61" s="3"/>
    </row>
    <row r="62" ht="21.75" customHeight="1">
      <c r="A62" s="2" t="s">
        <v>73</v>
      </c>
      <c r="B62" s="2"/>
      <c r="C62" s="3" t="s">
        <v>135</v>
      </c>
      <c r="D62" s="2" t="s">
        <v>145</v>
      </c>
      <c r="E62" s="4">
        <v>105.23</v>
      </c>
      <c r="F62" s="5">
        <v>45999.0</v>
      </c>
      <c r="G62" s="6"/>
      <c r="H62" s="11" t="s">
        <v>146</v>
      </c>
      <c r="I62" s="10" t="s">
        <v>147</v>
      </c>
      <c r="J62" s="8" t="s">
        <v>26</v>
      </c>
      <c r="K62" s="3"/>
      <c r="L62" s="3" t="s">
        <v>148</v>
      </c>
    </row>
    <row r="63" ht="21.75" customHeight="1">
      <c r="A63" s="2" t="s">
        <v>70</v>
      </c>
      <c r="B63" s="2"/>
      <c r="C63" s="3"/>
      <c r="D63" s="2" t="s">
        <v>149</v>
      </c>
      <c r="E63" s="4">
        <v>144.52</v>
      </c>
      <c r="F63" s="5">
        <v>45996.0</v>
      </c>
      <c r="G63" s="6"/>
      <c r="H63" s="2"/>
      <c r="I63" s="7"/>
      <c r="J63" s="8" t="s">
        <v>14</v>
      </c>
      <c r="K63" s="3"/>
      <c r="L63" s="3"/>
    </row>
    <row r="64" ht="21.75" customHeight="1">
      <c r="A64" s="2" t="s">
        <v>78</v>
      </c>
      <c r="B64" s="2"/>
      <c r="C64" s="3"/>
      <c r="D64" s="2" t="s">
        <v>150</v>
      </c>
      <c r="E64" s="4">
        <v>221.22</v>
      </c>
      <c r="F64" s="5">
        <v>45999.0</v>
      </c>
      <c r="G64" s="6"/>
      <c r="H64" s="2"/>
      <c r="I64" s="7"/>
      <c r="J64" s="8" t="s">
        <v>14</v>
      </c>
      <c r="K64" s="3"/>
      <c r="L64" s="3"/>
    </row>
    <row r="65" ht="21.75" customHeight="1">
      <c r="A65" s="2" t="s">
        <v>44</v>
      </c>
      <c r="B65" s="2"/>
      <c r="C65" s="3"/>
      <c r="D65" s="2" t="s">
        <v>151</v>
      </c>
      <c r="E65" s="4">
        <v>504.61</v>
      </c>
      <c r="F65" s="5">
        <v>45999.0</v>
      </c>
      <c r="G65" s="6"/>
      <c r="H65" s="2"/>
      <c r="I65" s="7"/>
      <c r="J65" s="8" t="s">
        <v>14</v>
      </c>
      <c r="K65" s="3"/>
      <c r="L65" s="3"/>
    </row>
    <row r="66" ht="21.75" customHeight="1">
      <c r="A66" s="2" t="s">
        <v>152</v>
      </c>
      <c r="B66" s="2"/>
      <c r="C66" s="3"/>
      <c r="D66" s="2" t="s">
        <v>153</v>
      </c>
      <c r="E66" s="4">
        <v>1395.62</v>
      </c>
      <c r="F66" s="5">
        <v>45999.0</v>
      </c>
      <c r="G66" s="6"/>
      <c r="H66" s="2"/>
      <c r="I66" s="7"/>
      <c r="J66" s="8" t="s">
        <v>14</v>
      </c>
      <c r="K66" s="3"/>
      <c r="L66" s="3"/>
    </row>
    <row r="67" ht="21.75" customHeight="1">
      <c r="A67" s="2" t="s">
        <v>89</v>
      </c>
      <c r="B67" s="2"/>
      <c r="C67" s="3"/>
      <c r="D67" s="2" t="s">
        <v>154</v>
      </c>
      <c r="E67" s="4">
        <v>1515.56</v>
      </c>
      <c r="F67" s="5">
        <v>45995.0</v>
      </c>
      <c r="G67" s="6"/>
      <c r="H67" s="2"/>
      <c r="I67" s="7"/>
      <c r="J67" s="8" t="s">
        <v>14</v>
      </c>
      <c r="K67" s="3"/>
      <c r="L67" s="3"/>
    </row>
    <row r="68" ht="21.75" customHeight="1">
      <c r="A68" s="2" t="s">
        <v>89</v>
      </c>
      <c r="B68" s="2"/>
      <c r="C68" s="3"/>
      <c r="D68" s="2" t="s">
        <v>155</v>
      </c>
      <c r="E68" s="4">
        <v>1330.35</v>
      </c>
      <c r="F68" s="5">
        <v>45996.0</v>
      </c>
      <c r="G68" s="6"/>
      <c r="H68" s="2"/>
      <c r="I68" s="7"/>
      <c r="J68" s="8" t="s">
        <v>14</v>
      </c>
      <c r="K68" s="3"/>
      <c r="L68" s="3"/>
    </row>
    <row r="69" ht="21.75" customHeight="1">
      <c r="A69" s="2" t="s">
        <v>49</v>
      </c>
      <c r="B69" s="2" t="s">
        <v>156</v>
      </c>
      <c r="C69" s="3"/>
      <c r="D69" s="2" t="s">
        <v>157</v>
      </c>
      <c r="E69" s="4">
        <v>1629.4</v>
      </c>
      <c r="F69" s="5">
        <v>45999.0</v>
      </c>
      <c r="G69" s="6"/>
      <c r="H69" s="2"/>
      <c r="I69" s="7"/>
      <c r="J69" s="8" t="s">
        <v>14</v>
      </c>
      <c r="K69" s="3"/>
      <c r="L69" s="3"/>
    </row>
    <row r="70" ht="21.75" customHeight="1">
      <c r="A70" s="2" t="s">
        <v>47</v>
      </c>
      <c r="B70" s="2"/>
      <c r="C70" s="3"/>
      <c r="D70" s="2" t="s">
        <v>158</v>
      </c>
      <c r="E70" s="4">
        <v>2916.76</v>
      </c>
      <c r="F70" s="5">
        <v>46000.0</v>
      </c>
      <c r="G70" s="6"/>
      <c r="H70" s="2"/>
      <c r="I70" s="7"/>
      <c r="J70" s="8" t="s">
        <v>14</v>
      </c>
      <c r="K70" s="3"/>
      <c r="L70" s="3"/>
    </row>
    <row r="71" ht="21.75" customHeight="1">
      <c r="A71" s="2" t="s">
        <v>159</v>
      </c>
      <c r="B71" s="2" t="s">
        <v>160</v>
      </c>
      <c r="C71" s="3" t="s">
        <v>161</v>
      </c>
      <c r="D71" s="2" t="s">
        <v>162</v>
      </c>
      <c r="E71" s="4"/>
      <c r="F71" s="5">
        <v>46002.0</v>
      </c>
      <c r="G71" s="6"/>
      <c r="H71" s="2"/>
      <c r="I71" s="7"/>
      <c r="J71" s="8" t="s">
        <v>14</v>
      </c>
      <c r="K71" s="15">
        <v>46007.0</v>
      </c>
      <c r="L71" s="3" t="s">
        <v>163</v>
      </c>
    </row>
    <row r="72" ht="21.75" customHeight="1">
      <c r="A72" s="2" t="s">
        <v>164</v>
      </c>
      <c r="B72" s="2" t="s">
        <v>165</v>
      </c>
      <c r="C72" s="3"/>
      <c r="D72" s="2" t="s">
        <v>166</v>
      </c>
      <c r="E72" s="4">
        <v>400.0</v>
      </c>
      <c r="F72" s="5">
        <v>46002.0</v>
      </c>
      <c r="G72" s="6"/>
      <c r="H72" s="2"/>
      <c r="I72" s="7"/>
      <c r="J72" s="8" t="s">
        <v>14</v>
      </c>
      <c r="K72" s="3"/>
      <c r="L72" s="3"/>
    </row>
    <row r="73" ht="21.75" customHeight="1">
      <c r="A73" s="2" t="s">
        <v>42</v>
      </c>
      <c r="B73" s="2" t="s">
        <v>81</v>
      </c>
      <c r="C73" s="3"/>
      <c r="D73" s="2" t="s">
        <v>167</v>
      </c>
      <c r="E73" s="4">
        <v>657.17</v>
      </c>
      <c r="F73" s="5">
        <v>46002.0</v>
      </c>
      <c r="G73" s="6"/>
      <c r="H73" s="2"/>
      <c r="I73" s="7"/>
      <c r="J73" s="8" t="s">
        <v>14</v>
      </c>
      <c r="K73" s="3"/>
      <c r="L73" s="3"/>
    </row>
    <row r="74" ht="21.75" customHeight="1">
      <c r="A74" s="2" t="s">
        <v>168</v>
      </c>
      <c r="B74" s="2" t="s">
        <v>169</v>
      </c>
      <c r="C74" s="3"/>
      <c r="D74" s="2" t="s">
        <v>170</v>
      </c>
      <c r="E74" s="4"/>
      <c r="F74" s="5">
        <v>46003.0</v>
      </c>
      <c r="G74" s="6" t="s">
        <v>77</v>
      </c>
      <c r="H74" s="2"/>
      <c r="I74" s="7"/>
      <c r="J74" s="8" t="s">
        <v>14</v>
      </c>
      <c r="K74" s="9">
        <v>46007.0</v>
      </c>
      <c r="L74" s="3"/>
    </row>
    <row r="75" ht="21.75" customHeight="1">
      <c r="A75" s="2" t="s">
        <v>89</v>
      </c>
      <c r="B75" s="2"/>
      <c r="C75" s="3"/>
      <c r="D75" s="2" t="s">
        <v>154</v>
      </c>
      <c r="E75" s="4">
        <v>2025.85</v>
      </c>
      <c r="F75" s="5"/>
      <c r="G75" s="6"/>
      <c r="H75" s="2"/>
      <c r="I75" s="7"/>
      <c r="J75" s="8" t="s">
        <v>14</v>
      </c>
      <c r="K75" s="3"/>
      <c r="L75" s="3"/>
    </row>
    <row r="76" ht="21.75" customHeight="1">
      <c r="A76" s="2" t="s">
        <v>47</v>
      </c>
      <c r="B76" s="2"/>
      <c r="C76" s="3"/>
      <c r="D76" s="2" t="s">
        <v>171</v>
      </c>
      <c r="E76" s="4">
        <v>739.96</v>
      </c>
      <c r="F76" s="5"/>
      <c r="G76" s="6"/>
      <c r="H76" s="2"/>
      <c r="I76" s="7"/>
      <c r="J76" s="8" t="s">
        <v>14</v>
      </c>
      <c r="K76" s="3"/>
      <c r="L76" s="3"/>
    </row>
    <row r="77" ht="21.75" customHeight="1">
      <c r="A77" s="2" t="s">
        <v>168</v>
      </c>
      <c r="B77" s="2" t="s">
        <v>172</v>
      </c>
      <c r="C77" s="3" t="s">
        <v>173</v>
      </c>
      <c r="D77" s="2" t="s">
        <v>174</v>
      </c>
      <c r="E77" s="4"/>
      <c r="F77" s="5">
        <v>46004.0</v>
      </c>
      <c r="G77" s="6" t="s">
        <v>77</v>
      </c>
      <c r="H77" s="2"/>
      <c r="I77" s="7"/>
      <c r="J77" s="8" t="s">
        <v>14</v>
      </c>
      <c r="K77" s="9">
        <v>46007.0</v>
      </c>
      <c r="L77" s="3"/>
    </row>
    <row r="78" ht="21.75" customHeight="1">
      <c r="A78" s="2" t="s">
        <v>118</v>
      </c>
      <c r="B78" s="2" t="s">
        <v>175</v>
      </c>
      <c r="C78" s="3"/>
      <c r="D78" s="2" t="s">
        <v>176</v>
      </c>
      <c r="E78" s="4">
        <v>189.9401834199134</v>
      </c>
      <c r="F78" s="5">
        <v>46006.0</v>
      </c>
      <c r="G78" s="6" t="s">
        <v>177</v>
      </c>
      <c r="H78" s="11" t="s">
        <v>178</v>
      </c>
      <c r="I78" s="10" t="s">
        <v>179</v>
      </c>
      <c r="J78" s="8" t="s">
        <v>26</v>
      </c>
      <c r="K78" s="9"/>
      <c r="L78" s="3" t="s">
        <v>180</v>
      </c>
    </row>
    <row r="79" ht="21.75" customHeight="1">
      <c r="A79" s="2" t="s">
        <v>181</v>
      </c>
      <c r="B79" s="2" t="s">
        <v>182</v>
      </c>
      <c r="C79" s="3"/>
      <c r="D79" s="2" t="s">
        <v>183</v>
      </c>
      <c r="E79" s="4">
        <v>350.0</v>
      </c>
      <c r="F79" s="5">
        <v>46006.0</v>
      </c>
      <c r="G79" s="6"/>
      <c r="H79" s="2"/>
      <c r="I79" s="7"/>
      <c r="J79" s="8" t="s">
        <v>14</v>
      </c>
      <c r="K79" s="3"/>
      <c r="L79" s="3"/>
    </row>
    <row r="80" ht="21.75" customHeight="1">
      <c r="A80" s="2"/>
      <c r="B80" s="2"/>
      <c r="C80" s="3"/>
      <c r="D80" s="2"/>
      <c r="E80" s="4"/>
      <c r="F80" s="5"/>
      <c r="G80" s="6"/>
      <c r="H80" s="2"/>
      <c r="I80" s="7"/>
      <c r="J80" s="8"/>
      <c r="K80" s="3"/>
      <c r="L80" s="3"/>
    </row>
    <row r="81" ht="21.75" customHeight="1">
      <c r="A81" s="2"/>
      <c r="B81" s="2"/>
      <c r="C81" s="3"/>
      <c r="D81" s="2"/>
      <c r="E81" s="4"/>
      <c r="F81" s="5"/>
      <c r="G81" s="6"/>
      <c r="H81" s="2"/>
      <c r="I81" s="7"/>
      <c r="J81" s="8"/>
      <c r="K81" s="3"/>
      <c r="L81" s="3"/>
    </row>
    <row r="82" ht="21.75" customHeight="1">
      <c r="A82" s="2"/>
      <c r="B82" s="2"/>
      <c r="C82" s="3"/>
      <c r="D82" s="2"/>
      <c r="E82" s="4"/>
      <c r="F82" s="5"/>
      <c r="G82" s="6"/>
      <c r="H82" s="2"/>
      <c r="I82" s="7"/>
      <c r="J82" s="8"/>
      <c r="K82" s="3"/>
      <c r="L82" s="3"/>
    </row>
    <row r="83" ht="21.75" customHeight="1">
      <c r="A83" s="2"/>
      <c r="B83" s="2"/>
      <c r="C83" s="3"/>
      <c r="D83" s="2"/>
      <c r="E83" s="4"/>
      <c r="F83" s="5"/>
      <c r="G83" s="6"/>
      <c r="H83" s="2"/>
      <c r="I83" s="7"/>
      <c r="J83" s="8"/>
      <c r="K83" s="3"/>
      <c r="L83" s="3"/>
    </row>
    <row r="84" ht="21.75" customHeight="1">
      <c r="A84" s="2"/>
      <c r="B84" s="2"/>
      <c r="C84" s="3"/>
      <c r="D84" s="2"/>
      <c r="E84" s="4"/>
      <c r="F84" s="5"/>
      <c r="G84" s="6"/>
      <c r="H84" s="2"/>
      <c r="I84" s="7"/>
      <c r="J84" s="8"/>
      <c r="K84" s="3"/>
      <c r="L84" s="3"/>
    </row>
    <row r="85" ht="21.75" customHeight="1">
      <c r="A85" s="2"/>
      <c r="B85" s="2"/>
      <c r="C85" s="3"/>
      <c r="D85" s="2"/>
      <c r="E85" s="4"/>
      <c r="F85" s="5"/>
      <c r="G85" s="6"/>
      <c r="H85" s="2"/>
      <c r="I85" s="7"/>
      <c r="J85" s="8"/>
      <c r="K85" s="3"/>
      <c r="L85" s="3"/>
    </row>
    <row r="86" ht="21.75" customHeight="1">
      <c r="A86" s="2"/>
      <c r="B86" s="2"/>
      <c r="C86" s="3"/>
      <c r="D86" s="2"/>
      <c r="E86" s="4"/>
      <c r="F86" s="5"/>
      <c r="G86" s="6"/>
      <c r="H86" s="2"/>
      <c r="I86" s="7"/>
      <c r="J86" s="8"/>
      <c r="K86" s="3"/>
      <c r="L86" s="3"/>
    </row>
    <row r="87" ht="21.75" customHeight="1">
      <c r="A87" s="2"/>
      <c r="B87" s="2"/>
      <c r="C87" s="3"/>
      <c r="D87" s="2"/>
      <c r="E87" s="4"/>
      <c r="F87" s="5"/>
      <c r="G87" s="6"/>
      <c r="H87" s="2"/>
      <c r="I87" s="7"/>
      <c r="J87" s="8"/>
      <c r="K87" s="3"/>
      <c r="L87" s="3"/>
    </row>
    <row r="88" ht="21.75" customHeight="1">
      <c r="A88" s="2"/>
      <c r="B88" s="2"/>
      <c r="C88" s="3"/>
      <c r="D88" s="2"/>
      <c r="E88" s="4"/>
      <c r="F88" s="5"/>
      <c r="G88" s="6"/>
      <c r="H88" s="2"/>
      <c r="I88" s="7"/>
      <c r="J88" s="8"/>
      <c r="K88" s="3"/>
      <c r="L88" s="3"/>
    </row>
    <row r="89" ht="21.75" customHeight="1">
      <c r="A89" s="2"/>
      <c r="B89" s="2"/>
      <c r="C89" s="3"/>
      <c r="D89" s="2"/>
      <c r="E89" s="4"/>
      <c r="F89" s="5"/>
      <c r="G89" s="6"/>
      <c r="H89" s="2"/>
      <c r="I89" s="7"/>
      <c r="J89" s="8"/>
      <c r="K89" s="3"/>
      <c r="L89" s="3"/>
    </row>
    <row r="90" ht="21.75" customHeight="1">
      <c r="A90" s="2"/>
      <c r="B90" s="2"/>
      <c r="C90" s="3"/>
      <c r="D90" s="2"/>
      <c r="E90" s="4"/>
      <c r="F90" s="5"/>
      <c r="G90" s="6"/>
      <c r="H90" s="2"/>
      <c r="I90" s="7"/>
      <c r="J90" s="8"/>
      <c r="K90" s="3"/>
      <c r="L90" s="3"/>
    </row>
    <row r="91" ht="21.75" customHeight="1">
      <c r="A91" s="2"/>
      <c r="B91" s="2"/>
      <c r="C91" s="3"/>
      <c r="D91" s="2"/>
      <c r="E91" s="4"/>
      <c r="F91" s="5"/>
      <c r="G91" s="6"/>
      <c r="H91" s="2"/>
      <c r="I91" s="7"/>
      <c r="J91" s="8"/>
      <c r="K91" s="3"/>
      <c r="L91" s="3"/>
    </row>
    <row r="92" ht="21.75" customHeight="1">
      <c r="A92" s="2"/>
      <c r="B92" s="2"/>
      <c r="C92" s="3"/>
      <c r="D92" s="2"/>
      <c r="E92" s="4"/>
      <c r="F92" s="5"/>
      <c r="G92" s="6"/>
      <c r="H92" s="2"/>
      <c r="I92" s="7"/>
      <c r="J92" s="8"/>
      <c r="K92" s="3"/>
      <c r="L92" s="3"/>
    </row>
    <row r="93" ht="21.75" customHeight="1">
      <c r="A93" s="2"/>
      <c r="B93" s="2"/>
      <c r="C93" s="3"/>
      <c r="D93" s="2"/>
      <c r="E93" s="4"/>
      <c r="F93" s="5"/>
      <c r="G93" s="6"/>
      <c r="H93" s="2"/>
      <c r="I93" s="7"/>
      <c r="J93" s="8"/>
      <c r="K93" s="3"/>
      <c r="L93" s="3"/>
    </row>
    <row r="94" ht="21.75" customHeight="1">
      <c r="A94" s="2"/>
      <c r="B94" s="2"/>
      <c r="C94" s="3"/>
      <c r="D94" s="2"/>
      <c r="E94" s="4"/>
      <c r="F94" s="5"/>
      <c r="G94" s="6"/>
      <c r="H94" s="2"/>
      <c r="I94" s="7"/>
      <c r="J94" s="8"/>
      <c r="K94" s="3"/>
      <c r="L94" s="3"/>
    </row>
    <row r="95" ht="21.75" customHeight="1">
      <c r="A95" s="2"/>
      <c r="B95" s="2"/>
      <c r="C95" s="3"/>
      <c r="D95" s="2"/>
      <c r="E95" s="4"/>
      <c r="F95" s="5"/>
      <c r="G95" s="6"/>
      <c r="H95" s="2"/>
      <c r="I95" s="7"/>
      <c r="J95" s="8"/>
      <c r="K95" s="3"/>
      <c r="L95" s="3"/>
    </row>
    <row r="96" ht="21.75" customHeight="1">
      <c r="A96" s="2"/>
      <c r="B96" s="2"/>
      <c r="C96" s="3"/>
      <c r="D96" s="2"/>
      <c r="E96" s="4"/>
      <c r="F96" s="5"/>
      <c r="G96" s="6"/>
      <c r="H96" s="2"/>
      <c r="I96" s="7"/>
      <c r="J96" s="8"/>
      <c r="K96" s="3"/>
      <c r="L96" s="3"/>
    </row>
    <row r="97" ht="21.75" customHeight="1">
      <c r="A97" s="2"/>
      <c r="B97" s="2"/>
      <c r="C97" s="3"/>
      <c r="D97" s="2"/>
      <c r="E97" s="4"/>
      <c r="F97" s="5"/>
      <c r="G97" s="6"/>
      <c r="H97" s="2"/>
      <c r="I97" s="7"/>
      <c r="J97" s="8"/>
      <c r="K97" s="3"/>
      <c r="L97" s="3"/>
    </row>
    <row r="98" ht="21.75" customHeight="1">
      <c r="A98" s="2"/>
      <c r="B98" s="2"/>
      <c r="C98" s="3"/>
      <c r="D98" s="2"/>
      <c r="E98" s="4"/>
      <c r="F98" s="5"/>
      <c r="G98" s="6"/>
      <c r="H98" s="2"/>
      <c r="I98" s="7"/>
      <c r="J98" s="8"/>
      <c r="K98" s="3"/>
      <c r="L98" s="3"/>
    </row>
    <row r="99" ht="21.75" customHeight="1">
      <c r="A99" s="2"/>
      <c r="B99" s="2"/>
      <c r="C99" s="3"/>
      <c r="D99" s="2"/>
      <c r="E99" s="4"/>
      <c r="F99" s="5"/>
      <c r="G99" s="6"/>
      <c r="H99" s="2"/>
      <c r="I99" s="7"/>
      <c r="J99" s="8"/>
      <c r="K99" s="3"/>
      <c r="L99" s="3"/>
    </row>
    <row r="100" ht="21.75" customHeight="1">
      <c r="A100" s="2"/>
      <c r="B100" s="2"/>
      <c r="C100" s="3"/>
      <c r="D100" s="2"/>
      <c r="E100" s="4"/>
      <c r="F100" s="5"/>
      <c r="G100" s="6"/>
      <c r="H100" s="2"/>
      <c r="I100" s="7"/>
      <c r="J100" s="8"/>
      <c r="K100" s="3"/>
      <c r="L100" s="3"/>
    </row>
    <row r="101" ht="21.75" customHeight="1">
      <c r="A101" s="2"/>
      <c r="B101" s="2"/>
      <c r="C101" s="3"/>
      <c r="D101" s="2"/>
      <c r="E101" s="4"/>
      <c r="F101" s="5"/>
      <c r="G101" s="6"/>
      <c r="H101" s="2"/>
      <c r="I101" s="7"/>
      <c r="J101" s="8"/>
      <c r="K101" s="3"/>
      <c r="L101" s="3"/>
    </row>
    <row r="102" ht="21.75" customHeight="1">
      <c r="A102" s="2"/>
      <c r="B102" s="2"/>
      <c r="C102" s="3"/>
      <c r="D102" s="2"/>
      <c r="E102" s="4"/>
      <c r="F102" s="5"/>
      <c r="G102" s="6"/>
      <c r="H102" s="2"/>
      <c r="I102" s="7"/>
      <c r="J102" s="8"/>
      <c r="K102" s="3"/>
      <c r="L102" s="3"/>
    </row>
    <row r="103" ht="21.75" customHeight="1">
      <c r="A103" s="2"/>
      <c r="B103" s="2"/>
      <c r="C103" s="3"/>
      <c r="D103" s="2"/>
      <c r="E103" s="4"/>
      <c r="F103" s="5"/>
      <c r="G103" s="6"/>
      <c r="H103" s="2"/>
      <c r="I103" s="7"/>
      <c r="J103" s="8"/>
      <c r="K103" s="3"/>
      <c r="L103" s="3"/>
    </row>
    <row r="104" ht="21.75" customHeight="1">
      <c r="A104" s="2"/>
      <c r="B104" s="2"/>
      <c r="C104" s="3"/>
      <c r="D104" s="2"/>
      <c r="E104" s="4"/>
      <c r="F104" s="5"/>
      <c r="G104" s="6"/>
      <c r="H104" s="2"/>
      <c r="I104" s="7"/>
      <c r="J104" s="8"/>
      <c r="K104" s="3"/>
      <c r="L104" s="3"/>
    </row>
    <row r="105" ht="21.75" customHeight="1">
      <c r="A105" s="2"/>
      <c r="B105" s="2"/>
      <c r="C105" s="3"/>
      <c r="D105" s="2"/>
      <c r="E105" s="4"/>
      <c r="F105" s="5"/>
      <c r="G105" s="6"/>
      <c r="H105" s="2"/>
      <c r="I105" s="7"/>
      <c r="J105" s="8"/>
      <c r="K105" s="3"/>
      <c r="L105" s="3"/>
    </row>
    <row r="106" ht="21.75" customHeight="1">
      <c r="A106" s="2"/>
      <c r="B106" s="2"/>
      <c r="C106" s="3"/>
      <c r="D106" s="2"/>
      <c r="E106" s="4"/>
      <c r="F106" s="5"/>
      <c r="G106" s="6"/>
      <c r="H106" s="2"/>
      <c r="I106" s="7"/>
      <c r="J106" s="8"/>
      <c r="K106" s="3"/>
      <c r="L106" s="3"/>
    </row>
    <row r="107" ht="21.75" customHeight="1">
      <c r="A107" s="2"/>
      <c r="B107" s="2"/>
      <c r="C107" s="3"/>
      <c r="D107" s="2"/>
      <c r="E107" s="4"/>
      <c r="F107" s="5"/>
      <c r="G107" s="6"/>
      <c r="H107" s="2"/>
      <c r="I107" s="7"/>
      <c r="J107" s="8"/>
      <c r="K107" s="3"/>
      <c r="L107" s="3"/>
    </row>
    <row r="108" ht="21.75" customHeight="1">
      <c r="A108" s="2"/>
      <c r="B108" s="2"/>
      <c r="C108" s="3"/>
      <c r="D108" s="2"/>
      <c r="E108" s="4"/>
      <c r="F108" s="5"/>
      <c r="G108" s="6"/>
      <c r="H108" s="2"/>
      <c r="I108" s="7"/>
      <c r="J108" s="8"/>
      <c r="K108" s="3"/>
      <c r="L108" s="3"/>
    </row>
    <row r="109" ht="21.75" customHeight="1">
      <c r="A109" s="2"/>
      <c r="B109" s="2"/>
      <c r="C109" s="3"/>
      <c r="D109" s="2"/>
      <c r="E109" s="4"/>
      <c r="F109" s="5"/>
      <c r="G109" s="6"/>
      <c r="H109" s="2"/>
      <c r="I109" s="7"/>
      <c r="J109" s="8"/>
      <c r="K109" s="3"/>
      <c r="L109" s="3"/>
    </row>
    <row r="110" ht="21.75" customHeight="1">
      <c r="A110" s="2"/>
      <c r="B110" s="2"/>
      <c r="C110" s="3"/>
      <c r="D110" s="2"/>
      <c r="E110" s="4"/>
      <c r="F110" s="5"/>
      <c r="G110" s="6"/>
      <c r="H110" s="2"/>
      <c r="I110" s="7"/>
      <c r="J110" s="8"/>
      <c r="K110" s="3"/>
      <c r="L110" s="3"/>
    </row>
    <row r="111" ht="21.75" customHeight="1">
      <c r="A111" s="2"/>
      <c r="B111" s="2"/>
      <c r="C111" s="3"/>
      <c r="D111" s="2"/>
      <c r="E111" s="4"/>
      <c r="F111" s="5"/>
      <c r="G111" s="6"/>
      <c r="H111" s="2"/>
      <c r="I111" s="7"/>
      <c r="J111" s="8"/>
      <c r="K111" s="3"/>
      <c r="L111" s="3"/>
    </row>
    <row r="112" ht="21.75" customHeight="1">
      <c r="A112" s="2"/>
      <c r="B112" s="2"/>
      <c r="C112" s="3"/>
      <c r="D112" s="2"/>
      <c r="E112" s="4"/>
      <c r="F112" s="5"/>
      <c r="G112" s="6"/>
      <c r="H112" s="2"/>
      <c r="I112" s="7"/>
      <c r="J112" s="8"/>
      <c r="K112" s="3"/>
      <c r="L112" s="3"/>
    </row>
    <row r="113" ht="21.75" customHeight="1">
      <c r="A113" s="2"/>
      <c r="B113" s="2"/>
      <c r="C113" s="3"/>
      <c r="D113" s="2"/>
      <c r="E113" s="4"/>
      <c r="F113" s="5"/>
      <c r="G113" s="6"/>
      <c r="H113" s="2"/>
      <c r="I113" s="7"/>
      <c r="J113" s="8"/>
      <c r="K113" s="3"/>
      <c r="L113" s="3"/>
    </row>
    <row r="114" ht="21.75" customHeight="1">
      <c r="A114" s="2"/>
      <c r="B114" s="2"/>
      <c r="C114" s="3"/>
      <c r="D114" s="2"/>
      <c r="E114" s="4"/>
      <c r="F114" s="5"/>
      <c r="G114" s="6"/>
      <c r="H114" s="2"/>
      <c r="I114" s="7"/>
      <c r="J114" s="8"/>
      <c r="K114" s="3"/>
      <c r="L114" s="3"/>
    </row>
    <row r="115" ht="21.75" customHeight="1">
      <c r="A115" s="2"/>
      <c r="B115" s="2"/>
      <c r="C115" s="3"/>
      <c r="D115" s="2"/>
      <c r="E115" s="4"/>
      <c r="F115" s="5"/>
      <c r="G115" s="6"/>
      <c r="H115" s="2"/>
      <c r="I115" s="7"/>
      <c r="J115" s="8"/>
      <c r="K115" s="3"/>
      <c r="L115" s="3"/>
    </row>
    <row r="116" ht="21.75" customHeight="1">
      <c r="A116" s="2"/>
      <c r="B116" s="2"/>
      <c r="C116" s="3"/>
      <c r="D116" s="2"/>
      <c r="E116" s="4"/>
      <c r="F116" s="5"/>
      <c r="G116" s="6"/>
      <c r="H116" s="2"/>
      <c r="I116" s="7"/>
      <c r="J116" s="8"/>
      <c r="K116" s="3"/>
      <c r="L116" s="3"/>
    </row>
    <row r="117" ht="21.75" customHeight="1">
      <c r="A117" s="2"/>
      <c r="B117" s="2"/>
      <c r="C117" s="3"/>
      <c r="D117" s="2"/>
      <c r="E117" s="4"/>
      <c r="F117" s="5"/>
      <c r="G117" s="6"/>
      <c r="H117" s="2"/>
      <c r="I117" s="7"/>
      <c r="J117" s="8"/>
      <c r="K117" s="3"/>
      <c r="L117" s="3"/>
    </row>
    <row r="118" ht="21.75" customHeight="1">
      <c r="A118" s="2"/>
      <c r="B118" s="2"/>
      <c r="C118" s="3"/>
      <c r="D118" s="2"/>
      <c r="E118" s="4"/>
      <c r="F118" s="5"/>
      <c r="G118" s="6"/>
      <c r="H118" s="2"/>
      <c r="I118" s="7"/>
      <c r="J118" s="8"/>
      <c r="K118" s="3"/>
      <c r="L118" s="3"/>
    </row>
    <row r="119" ht="21.75" customHeight="1">
      <c r="A119" s="2"/>
      <c r="B119" s="2"/>
      <c r="C119" s="3"/>
      <c r="D119" s="2"/>
      <c r="E119" s="4"/>
      <c r="F119" s="5"/>
      <c r="G119" s="6"/>
      <c r="H119" s="2"/>
      <c r="I119" s="7"/>
      <c r="J119" s="8"/>
      <c r="K119" s="3"/>
      <c r="L119" s="3"/>
    </row>
    <row r="120" ht="21.75" customHeight="1">
      <c r="A120" s="2"/>
      <c r="B120" s="2"/>
      <c r="C120" s="3"/>
      <c r="D120" s="2"/>
      <c r="E120" s="4"/>
      <c r="F120" s="5"/>
      <c r="G120" s="6"/>
      <c r="H120" s="2"/>
      <c r="I120" s="7"/>
      <c r="J120" s="8"/>
      <c r="K120" s="3"/>
      <c r="L120" s="3"/>
    </row>
    <row r="121" ht="21.75" customHeight="1">
      <c r="A121" s="2"/>
      <c r="B121" s="2"/>
      <c r="C121" s="3"/>
      <c r="D121" s="2"/>
      <c r="E121" s="4"/>
      <c r="F121" s="5"/>
      <c r="G121" s="6"/>
      <c r="H121" s="2"/>
      <c r="I121" s="7"/>
      <c r="J121" s="8"/>
      <c r="K121" s="3"/>
      <c r="L121" s="3"/>
    </row>
    <row r="122" ht="21.75" customHeight="1">
      <c r="A122" s="2"/>
      <c r="B122" s="2"/>
      <c r="C122" s="3"/>
      <c r="D122" s="2"/>
      <c r="E122" s="4"/>
      <c r="F122" s="5"/>
      <c r="G122" s="6"/>
      <c r="H122" s="2"/>
      <c r="I122" s="7"/>
      <c r="J122" s="8"/>
      <c r="K122" s="3"/>
      <c r="L122" s="3"/>
    </row>
    <row r="123" ht="21.75" customHeight="1">
      <c r="A123" s="2"/>
      <c r="B123" s="2"/>
      <c r="C123" s="3"/>
      <c r="D123" s="2"/>
      <c r="E123" s="4"/>
      <c r="F123" s="5"/>
      <c r="G123" s="6"/>
      <c r="H123" s="2"/>
      <c r="I123" s="7"/>
      <c r="J123" s="8"/>
      <c r="K123" s="3"/>
      <c r="L123" s="3"/>
    </row>
    <row r="124" ht="21.75" customHeight="1">
      <c r="A124" s="2"/>
      <c r="B124" s="2"/>
      <c r="C124" s="3"/>
      <c r="D124" s="2"/>
      <c r="E124" s="4"/>
      <c r="F124" s="5"/>
      <c r="G124" s="6"/>
      <c r="H124" s="2"/>
      <c r="I124" s="7"/>
      <c r="J124" s="8"/>
      <c r="K124" s="3"/>
      <c r="L124" s="3"/>
    </row>
    <row r="125" ht="21.75" customHeight="1">
      <c r="A125" s="2"/>
      <c r="B125" s="2"/>
      <c r="C125" s="3"/>
      <c r="D125" s="2"/>
      <c r="E125" s="4"/>
      <c r="F125" s="5"/>
      <c r="G125" s="6"/>
      <c r="H125" s="2"/>
      <c r="I125" s="7"/>
      <c r="J125" s="8"/>
      <c r="K125" s="3"/>
      <c r="L125" s="3"/>
    </row>
    <row r="126" ht="21.75" customHeight="1">
      <c r="A126" s="2"/>
      <c r="B126" s="2"/>
      <c r="C126" s="3"/>
      <c r="D126" s="2"/>
      <c r="E126" s="4"/>
      <c r="F126" s="5"/>
      <c r="G126" s="6"/>
      <c r="H126" s="2"/>
      <c r="I126" s="7"/>
      <c r="J126" s="8"/>
      <c r="K126" s="3"/>
      <c r="L126" s="3"/>
    </row>
    <row r="127" ht="21.75" customHeight="1">
      <c r="A127" s="2"/>
      <c r="B127" s="2"/>
      <c r="C127" s="3"/>
      <c r="D127" s="2"/>
      <c r="E127" s="4"/>
      <c r="F127" s="5"/>
      <c r="G127" s="6"/>
      <c r="H127" s="2"/>
      <c r="I127" s="7"/>
      <c r="J127" s="8"/>
      <c r="K127" s="3"/>
      <c r="L127" s="3"/>
    </row>
    <row r="128" ht="21.75" customHeight="1">
      <c r="A128" s="2"/>
      <c r="B128" s="2"/>
      <c r="C128" s="3"/>
      <c r="D128" s="2"/>
      <c r="E128" s="4"/>
      <c r="F128" s="5"/>
      <c r="G128" s="6"/>
      <c r="H128" s="2"/>
      <c r="I128" s="7"/>
      <c r="J128" s="8"/>
      <c r="K128" s="3"/>
      <c r="L128" s="3"/>
    </row>
    <row r="129" ht="21.75" customHeight="1">
      <c r="A129" s="2"/>
      <c r="B129" s="2"/>
      <c r="C129" s="3"/>
      <c r="D129" s="2"/>
      <c r="E129" s="4"/>
      <c r="F129" s="5"/>
      <c r="G129" s="6"/>
      <c r="H129" s="2"/>
      <c r="I129" s="7"/>
      <c r="J129" s="8"/>
      <c r="K129" s="3"/>
      <c r="L129" s="3"/>
    </row>
    <row r="130" ht="21.75" customHeight="1">
      <c r="A130" s="2"/>
      <c r="B130" s="2"/>
      <c r="C130" s="3"/>
      <c r="D130" s="2"/>
      <c r="E130" s="4"/>
      <c r="F130" s="5"/>
      <c r="G130" s="6"/>
      <c r="H130" s="2"/>
      <c r="I130" s="7"/>
      <c r="J130" s="8"/>
      <c r="K130" s="3"/>
      <c r="L130" s="3"/>
    </row>
    <row r="131" ht="21.75" customHeight="1">
      <c r="A131" s="2"/>
      <c r="B131" s="2"/>
      <c r="C131" s="3"/>
      <c r="D131" s="2"/>
      <c r="E131" s="4"/>
      <c r="F131" s="5"/>
      <c r="G131" s="6"/>
      <c r="H131" s="2"/>
      <c r="I131" s="7"/>
      <c r="J131" s="8"/>
      <c r="K131" s="3"/>
      <c r="L131" s="3"/>
    </row>
    <row r="132" ht="21.75" customHeight="1">
      <c r="A132" s="2"/>
      <c r="B132" s="2"/>
      <c r="C132" s="3"/>
      <c r="D132" s="2"/>
      <c r="E132" s="4"/>
      <c r="F132" s="5"/>
      <c r="G132" s="6"/>
      <c r="H132" s="2"/>
      <c r="I132" s="7"/>
      <c r="J132" s="8"/>
      <c r="K132" s="3"/>
      <c r="L132" s="3"/>
    </row>
    <row r="133" ht="21.75" customHeight="1">
      <c r="A133" s="2"/>
      <c r="B133" s="2"/>
      <c r="C133" s="3"/>
      <c r="D133" s="2"/>
      <c r="E133" s="4"/>
      <c r="F133" s="5"/>
      <c r="G133" s="6"/>
      <c r="H133" s="2"/>
      <c r="I133" s="7"/>
      <c r="J133" s="8"/>
      <c r="K133" s="3"/>
      <c r="L133" s="3"/>
    </row>
    <row r="134" ht="21.75" customHeight="1">
      <c r="A134" s="2"/>
      <c r="B134" s="2"/>
      <c r="C134" s="3"/>
      <c r="D134" s="2"/>
      <c r="E134" s="4"/>
      <c r="F134" s="5"/>
      <c r="G134" s="6"/>
      <c r="H134" s="2"/>
      <c r="I134" s="7"/>
      <c r="J134" s="8"/>
      <c r="K134" s="3"/>
      <c r="L134" s="3"/>
    </row>
    <row r="135" ht="21.75" customHeight="1">
      <c r="A135" s="2"/>
      <c r="B135" s="2"/>
      <c r="C135" s="3"/>
      <c r="D135" s="2"/>
      <c r="E135" s="4"/>
      <c r="F135" s="5"/>
      <c r="G135" s="6"/>
      <c r="H135" s="2"/>
      <c r="I135" s="7"/>
      <c r="J135" s="8"/>
      <c r="K135" s="3"/>
      <c r="L135" s="3"/>
    </row>
    <row r="136" ht="21.75" customHeight="1">
      <c r="A136" s="2"/>
      <c r="B136" s="2"/>
      <c r="C136" s="3"/>
      <c r="D136" s="2"/>
      <c r="E136" s="4"/>
      <c r="F136" s="5"/>
      <c r="G136" s="6"/>
      <c r="H136" s="2"/>
      <c r="I136" s="7"/>
      <c r="J136" s="8"/>
      <c r="K136" s="3"/>
      <c r="L136" s="3"/>
    </row>
    <row r="137" ht="21.75" customHeight="1">
      <c r="A137" s="2"/>
      <c r="B137" s="2"/>
      <c r="C137" s="3"/>
      <c r="D137" s="2"/>
      <c r="E137" s="4"/>
      <c r="F137" s="5"/>
      <c r="G137" s="6"/>
      <c r="H137" s="2"/>
      <c r="I137" s="7"/>
      <c r="J137" s="8"/>
      <c r="K137" s="3"/>
      <c r="L137" s="3"/>
    </row>
    <row r="138" ht="21.75" customHeight="1">
      <c r="A138" s="2"/>
      <c r="B138" s="2"/>
      <c r="C138" s="3"/>
      <c r="D138" s="2"/>
      <c r="E138" s="4"/>
      <c r="F138" s="5"/>
      <c r="G138" s="6"/>
      <c r="H138" s="2"/>
      <c r="I138" s="7"/>
      <c r="J138" s="8"/>
      <c r="K138" s="3"/>
      <c r="L138" s="3"/>
    </row>
    <row r="139" ht="21.75" customHeight="1">
      <c r="A139" s="2"/>
      <c r="B139" s="2"/>
      <c r="C139" s="3"/>
      <c r="D139" s="2"/>
      <c r="E139" s="4"/>
      <c r="F139" s="5"/>
      <c r="G139" s="6"/>
      <c r="H139" s="2"/>
      <c r="I139" s="7"/>
      <c r="J139" s="8"/>
      <c r="K139" s="3"/>
      <c r="L139" s="3"/>
    </row>
    <row r="140" ht="21.75" customHeight="1">
      <c r="A140" s="2"/>
      <c r="B140" s="2"/>
      <c r="C140" s="3"/>
      <c r="D140" s="2"/>
      <c r="E140" s="4"/>
      <c r="F140" s="5"/>
      <c r="G140" s="6"/>
      <c r="H140" s="2"/>
      <c r="I140" s="7"/>
      <c r="J140" s="8"/>
      <c r="K140" s="3"/>
      <c r="L140" s="3"/>
    </row>
    <row r="141" ht="21.75" customHeight="1">
      <c r="A141" s="2"/>
      <c r="B141" s="2"/>
      <c r="C141" s="3"/>
      <c r="D141" s="2"/>
      <c r="E141" s="4"/>
      <c r="F141" s="5"/>
      <c r="G141" s="6"/>
      <c r="H141" s="2"/>
      <c r="I141" s="7"/>
      <c r="J141" s="8"/>
      <c r="K141" s="3"/>
      <c r="L141" s="3"/>
    </row>
    <row r="142" ht="21.75" customHeight="1">
      <c r="A142" s="2"/>
      <c r="B142" s="2"/>
      <c r="C142" s="3"/>
      <c r="D142" s="2"/>
      <c r="E142" s="4"/>
      <c r="F142" s="5"/>
      <c r="G142" s="6"/>
      <c r="H142" s="2"/>
      <c r="I142" s="7"/>
      <c r="J142" s="8"/>
      <c r="K142" s="3"/>
      <c r="L142" s="3"/>
    </row>
    <row r="143" ht="21.75" customHeight="1">
      <c r="A143" s="2"/>
      <c r="B143" s="2"/>
      <c r="C143" s="3"/>
      <c r="D143" s="2"/>
      <c r="E143" s="4"/>
      <c r="F143" s="5"/>
      <c r="G143" s="6"/>
      <c r="H143" s="2"/>
      <c r="I143" s="7"/>
      <c r="J143" s="8"/>
      <c r="K143" s="3"/>
      <c r="L143" s="3"/>
    </row>
    <row r="144" ht="21.75" customHeight="1">
      <c r="A144" s="2"/>
      <c r="B144" s="2"/>
      <c r="C144" s="3"/>
      <c r="D144" s="2"/>
      <c r="E144" s="4"/>
      <c r="F144" s="5"/>
      <c r="G144" s="6"/>
      <c r="H144" s="2"/>
      <c r="I144" s="7"/>
      <c r="J144" s="8"/>
      <c r="K144" s="3"/>
      <c r="L144" s="3"/>
    </row>
    <row r="145" ht="21.75" customHeight="1">
      <c r="A145" s="2"/>
      <c r="B145" s="2"/>
      <c r="C145" s="3"/>
      <c r="D145" s="2"/>
      <c r="E145" s="4"/>
      <c r="F145" s="5"/>
      <c r="G145" s="6"/>
      <c r="H145" s="2"/>
      <c r="I145" s="7"/>
      <c r="J145" s="8"/>
      <c r="K145" s="3"/>
      <c r="L145" s="3"/>
    </row>
    <row r="146" ht="21.75" customHeight="1">
      <c r="A146" s="2"/>
      <c r="B146" s="2"/>
      <c r="C146" s="3"/>
      <c r="D146" s="2"/>
      <c r="E146" s="4"/>
      <c r="F146" s="5"/>
      <c r="G146" s="6"/>
      <c r="H146" s="2"/>
      <c r="I146" s="7"/>
      <c r="J146" s="8"/>
      <c r="K146" s="3"/>
      <c r="L146" s="3"/>
    </row>
    <row r="147" ht="21.75" customHeight="1">
      <c r="A147" s="2"/>
      <c r="B147" s="2"/>
      <c r="C147" s="3"/>
      <c r="D147" s="2"/>
      <c r="E147" s="4"/>
      <c r="F147" s="5"/>
      <c r="G147" s="6"/>
      <c r="H147" s="2"/>
      <c r="I147" s="7"/>
      <c r="J147" s="8"/>
      <c r="K147" s="3"/>
      <c r="L147" s="3"/>
    </row>
    <row r="148" ht="21.75" customHeight="1">
      <c r="A148" s="2"/>
      <c r="B148" s="2"/>
      <c r="C148" s="3"/>
      <c r="D148" s="2"/>
      <c r="E148" s="4"/>
      <c r="F148" s="5"/>
      <c r="G148" s="6"/>
      <c r="H148" s="2"/>
      <c r="I148" s="7"/>
      <c r="J148" s="8"/>
      <c r="K148" s="3"/>
      <c r="L148" s="3"/>
    </row>
    <row r="149" ht="21.75" customHeight="1">
      <c r="A149" s="2"/>
      <c r="B149" s="2"/>
      <c r="C149" s="3"/>
      <c r="D149" s="2"/>
      <c r="E149" s="4"/>
      <c r="F149" s="5"/>
      <c r="G149" s="6"/>
      <c r="H149" s="2"/>
      <c r="I149" s="7"/>
      <c r="J149" s="8"/>
      <c r="K149" s="3"/>
      <c r="L149" s="3"/>
    </row>
    <row r="150" ht="21.75" customHeight="1">
      <c r="A150" s="2"/>
      <c r="B150" s="2"/>
      <c r="C150" s="3"/>
      <c r="D150" s="2"/>
      <c r="E150" s="4"/>
      <c r="F150" s="5"/>
      <c r="G150" s="6"/>
      <c r="H150" s="2"/>
      <c r="I150" s="7"/>
      <c r="J150" s="8"/>
      <c r="K150" s="3"/>
      <c r="L150" s="3"/>
    </row>
    <row r="151" ht="21.75" customHeight="1">
      <c r="A151" s="2"/>
      <c r="B151" s="2"/>
      <c r="C151" s="3"/>
      <c r="D151" s="2"/>
      <c r="E151" s="4"/>
      <c r="F151" s="5"/>
      <c r="G151" s="6"/>
      <c r="H151" s="2"/>
      <c r="I151" s="7"/>
      <c r="J151" s="8"/>
      <c r="K151" s="3"/>
      <c r="L151" s="3"/>
    </row>
    <row r="152" ht="21.75" customHeight="1">
      <c r="A152" s="2"/>
      <c r="B152" s="2"/>
      <c r="C152" s="3"/>
      <c r="D152" s="2"/>
      <c r="E152" s="4"/>
      <c r="F152" s="5"/>
      <c r="G152" s="6"/>
      <c r="H152" s="2"/>
      <c r="I152" s="7"/>
      <c r="J152" s="8"/>
      <c r="K152" s="3"/>
      <c r="L152" s="3"/>
    </row>
    <row r="153" ht="21.75" customHeight="1">
      <c r="A153" s="2"/>
      <c r="B153" s="2"/>
      <c r="C153" s="3"/>
      <c r="D153" s="2"/>
      <c r="E153" s="4"/>
      <c r="F153" s="5"/>
      <c r="G153" s="6"/>
      <c r="H153" s="2"/>
      <c r="I153" s="7"/>
      <c r="J153" s="8"/>
      <c r="K153" s="3"/>
      <c r="L153" s="3"/>
    </row>
    <row r="154" ht="21.75" customHeight="1">
      <c r="A154" s="2"/>
      <c r="B154" s="2"/>
      <c r="C154" s="3"/>
      <c r="D154" s="2"/>
      <c r="E154" s="4"/>
      <c r="F154" s="5"/>
      <c r="G154" s="6"/>
      <c r="H154" s="2"/>
      <c r="I154" s="7"/>
      <c r="J154" s="8"/>
      <c r="K154" s="3"/>
      <c r="L154" s="3"/>
    </row>
    <row r="155" ht="21.75" customHeight="1">
      <c r="A155" s="2"/>
      <c r="B155" s="2"/>
      <c r="C155" s="3"/>
      <c r="D155" s="2"/>
      <c r="E155" s="4"/>
      <c r="F155" s="5"/>
      <c r="G155" s="6"/>
      <c r="H155" s="2"/>
      <c r="I155" s="7"/>
      <c r="J155" s="8"/>
      <c r="K155" s="3"/>
      <c r="L155" s="3"/>
    </row>
    <row r="156" ht="21.75" customHeight="1">
      <c r="A156" s="2"/>
      <c r="B156" s="2"/>
      <c r="C156" s="3"/>
      <c r="D156" s="2"/>
      <c r="E156" s="4"/>
      <c r="F156" s="5"/>
      <c r="G156" s="6"/>
      <c r="H156" s="2"/>
      <c r="I156" s="7"/>
      <c r="J156" s="8"/>
      <c r="K156" s="3"/>
      <c r="L156" s="3"/>
    </row>
    <row r="157" ht="21.75" customHeight="1">
      <c r="A157" s="2"/>
      <c r="B157" s="2"/>
      <c r="C157" s="3"/>
      <c r="D157" s="2"/>
      <c r="E157" s="4"/>
      <c r="F157" s="5"/>
      <c r="G157" s="6"/>
      <c r="H157" s="2"/>
      <c r="I157" s="7"/>
      <c r="J157" s="8"/>
      <c r="K157" s="3"/>
      <c r="L157" s="3"/>
    </row>
    <row r="158" ht="21.75" customHeight="1">
      <c r="A158" s="2"/>
      <c r="B158" s="2"/>
      <c r="C158" s="3"/>
      <c r="D158" s="2"/>
      <c r="E158" s="4"/>
      <c r="F158" s="5"/>
      <c r="G158" s="6"/>
      <c r="H158" s="2"/>
      <c r="I158" s="7"/>
      <c r="J158" s="8"/>
      <c r="K158" s="3"/>
      <c r="L158" s="3"/>
    </row>
    <row r="159" ht="21.75" customHeight="1">
      <c r="A159" s="2"/>
      <c r="B159" s="2"/>
      <c r="C159" s="3"/>
      <c r="D159" s="2"/>
      <c r="E159" s="4"/>
      <c r="F159" s="5"/>
      <c r="G159" s="6"/>
      <c r="H159" s="2"/>
      <c r="I159" s="7"/>
      <c r="J159" s="8"/>
      <c r="K159" s="3"/>
      <c r="L159" s="3"/>
    </row>
    <row r="160" ht="21.75" customHeight="1">
      <c r="A160" s="2"/>
      <c r="B160" s="2"/>
      <c r="C160" s="3"/>
      <c r="D160" s="2"/>
      <c r="E160" s="4"/>
      <c r="F160" s="5"/>
      <c r="G160" s="6"/>
      <c r="H160" s="2"/>
      <c r="I160" s="7"/>
      <c r="J160" s="8"/>
      <c r="K160" s="3"/>
      <c r="L160" s="3"/>
    </row>
    <row r="161" ht="21.75" customHeight="1">
      <c r="A161" s="2"/>
      <c r="B161" s="2"/>
      <c r="C161" s="3"/>
      <c r="D161" s="2"/>
      <c r="E161" s="4"/>
      <c r="F161" s="5"/>
      <c r="G161" s="6"/>
      <c r="H161" s="2"/>
      <c r="I161" s="7"/>
      <c r="J161" s="8"/>
      <c r="K161" s="3"/>
      <c r="L161" s="3"/>
    </row>
    <row r="162" ht="21.75" customHeight="1">
      <c r="A162" s="2"/>
      <c r="B162" s="2"/>
      <c r="C162" s="3"/>
      <c r="D162" s="2"/>
      <c r="E162" s="4"/>
      <c r="F162" s="5"/>
      <c r="G162" s="6"/>
      <c r="H162" s="2"/>
      <c r="I162" s="7"/>
      <c r="J162" s="8"/>
      <c r="K162" s="3"/>
      <c r="L162" s="3"/>
    </row>
    <row r="163" ht="21.75" customHeight="1">
      <c r="A163" s="2"/>
      <c r="B163" s="2"/>
      <c r="C163" s="3"/>
      <c r="D163" s="2"/>
      <c r="E163" s="4"/>
      <c r="F163" s="5"/>
      <c r="G163" s="6"/>
      <c r="H163" s="2"/>
      <c r="I163" s="7"/>
      <c r="J163" s="8"/>
      <c r="K163" s="3"/>
      <c r="L163" s="3"/>
    </row>
    <row r="164" ht="21.75" customHeight="1">
      <c r="A164" s="2"/>
      <c r="B164" s="2"/>
      <c r="C164" s="3"/>
      <c r="D164" s="2"/>
      <c r="E164" s="4"/>
      <c r="F164" s="5"/>
      <c r="G164" s="6"/>
      <c r="H164" s="2"/>
      <c r="I164" s="7"/>
      <c r="J164" s="8"/>
      <c r="K164" s="3"/>
      <c r="L164" s="3"/>
    </row>
    <row r="165" ht="21.75" customHeight="1">
      <c r="A165" s="2"/>
      <c r="B165" s="2"/>
      <c r="C165" s="3"/>
      <c r="D165" s="2"/>
      <c r="E165" s="4"/>
      <c r="F165" s="5"/>
      <c r="G165" s="6"/>
      <c r="H165" s="2"/>
      <c r="I165" s="7"/>
      <c r="J165" s="8"/>
      <c r="K165" s="3"/>
      <c r="L165" s="3"/>
    </row>
    <row r="166" ht="21.75" customHeight="1">
      <c r="A166" s="2"/>
      <c r="B166" s="2"/>
      <c r="C166" s="3"/>
      <c r="D166" s="2"/>
      <c r="E166" s="4"/>
      <c r="F166" s="5"/>
      <c r="G166" s="6"/>
      <c r="H166" s="2"/>
      <c r="I166" s="7"/>
      <c r="J166" s="8"/>
      <c r="K166" s="3"/>
      <c r="L166" s="3"/>
    </row>
    <row r="167" ht="21.75" customHeight="1">
      <c r="A167" s="2"/>
      <c r="B167" s="2"/>
      <c r="C167" s="3"/>
      <c r="D167" s="2"/>
      <c r="E167" s="4"/>
      <c r="F167" s="5"/>
      <c r="G167" s="6"/>
      <c r="H167" s="2"/>
      <c r="I167" s="7"/>
      <c r="J167" s="8"/>
      <c r="K167" s="3"/>
      <c r="L167" s="3"/>
    </row>
    <row r="168" ht="21.75" customHeight="1">
      <c r="A168" s="2"/>
      <c r="B168" s="2"/>
      <c r="C168" s="3"/>
      <c r="D168" s="2"/>
      <c r="E168" s="4"/>
      <c r="F168" s="5"/>
      <c r="G168" s="6"/>
      <c r="H168" s="2"/>
      <c r="I168" s="7"/>
      <c r="J168" s="8"/>
      <c r="K168" s="3"/>
      <c r="L168" s="3"/>
    </row>
    <row r="169" ht="21.75" customHeight="1">
      <c r="A169" s="2"/>
      <c r="B169" s="2"/>
      <c r="C169" s="3"/>
      <c r="D169" s="2"/>
      <c r="E169" s="4"/>
      <c r="F169" s="5"/>
      <c r="G169" s="6"/>
      <c r="H169" s="2"/>
      <c r="I169" s="7"/>
      <c r="J169" s="8"/>
      <c r="K169" s="3"/>
      <c r="L169" s="3"/>
    </row>
    <row r="170" ht="21.75" customHeight="1">
      <c r="A170" s="2"/>
      <c r="B170" s="2"/>
      <c r="C170" s="3"/>
      <c r="D170" s="2"/>
      <c r="E170" s="4"/>
      <c r="F170" s="5"/>
      <c r="G170" s="6"/>
      <c r="H170" s="2"/>
      <c r="I170" s="7"/>
      <c r="J170" s="8"/>
      <c r="K170" s="3"/>
      <c r="L170" s="3"/>
    </row>
    <row r="171" ht="21.75" customHeight="1">
      <c r="A171" s="2"/>
      <c r="B171" s="2"/>
      <c r="C171" s="3"/>
      <c r="D171" s="2"/>
      <c r="E171" s="4"/>
      <c r="F171" s="5"/>
      <c r="G171" s="6"/>
      <c r="H171" s="2"/>
      <c r="I171" s="7"/>
      <c r="J171" s="8"/>
      <c r="K171" s="3"/>
      <c r="L171" s="3"/>
    </row>
    <row r="172" ht="21.75" customHeight="1">
      <c r="A172" s="2"/>
      <c r="B172" s="2"/>
      <c r="C172" s="3"/>
      <c r="D172" s="2"/>
      <c r="E172" s="4"/>
      <c r="F172" s="5"/>
      <c r="G172" s="6"/>
      <c r="H172" s="2"/>
      <c r="I172" s="7"/>
      <c r="J172" s="8"/>
      <c r="K172" s="3"/>
      <c r="L172" s="3"/>
    </row>
    <row r="173" ht="21.75" customHeight="1">
      <c r="A173" s="2"/>
      <c r="B173" s="2"/>
      <c r="C173" s="3"/>
      <c r="D173" s="2"/>
      <c r="E173" s="4"/>
      <c r="F173" s="5"/>
      <c r="G173" s="6"/>
      <c r="H173" s="2"/>
      <c r="I173" s="7"/>
      <c r="J173" s="8"/>
      <c r="K173" s="3"/>
      <c r="L173" s="3"/>
    </row>
    <row r="174" ht="21.75" customHeight="1">
      <c r="A174" s="2"/>
      <c r="B174" s="2"/>
      <c r="C174" s="3"/>
      <c r="D174" s="2"/>
      <c r="E174" s="4"/>
      <c r="F174" s="5"/>
      <c r="G174" s="6"/>
      <c r="H174" s="2"/>
      <c r="I174" s="7"/>
      <c r="J174" s="8"/>
      <c r="K174" s="3"/>
      <c r="L174" s="3"/>
    </row>
    <row r="175" ht="21.75" customHeight="1">
      <c r="A175" s="2"/>
      <c r="B175" s="2"/>
      <c r="C175" s="3"/>
      <c r="D175" s="2"/>
      <c r="E175" s="4"/>
      <c r="F175" s="5"/>
      <c r="G175" s="6"/>
      <c r="H175" s="2"/>
      <c r="I175" s="7"/>
      <c r="J175" s="8"/>
      <c r="K175" s="3"/>
      <c r="L175" s="3"/>
    </row>
    <row r="176" ht="21.75" customHeight="1">
      <c r="A176" s="2"/>
      <c r="B176" s="2"/>
      <c r="C176" s="3"/>
      <c r="D176" s="2"/>
      <c r="E176" s="4"/>
      <c r="F176" s="5"/>
      <c r="G176" s="6"/>
      <c r="H176" s="2"/>
      <c r="I176" s="7"/>
      <c r="J176" s="8"/>
      <c r="K176" s="3"/>
      <c r="L176" s="3"/>
    </row>
    <row r="177" ht="21.75" customHeight="1">
      <c r="A177" s="2"/>
      <c r="B177" s="2"/>
      <c r="C177" s="3"/>
      <c r="D177" s="2"/>
      <c r="E177" s="4"/>
      <c r="F177" s="5"/>
      <c r="G177" s="6"/>
      <c r="H177" s="2"/>
      <c r="I177" s="7"/>
      <c r="J177" s="8"/>
      <c r="K177" s="3"/>
      <c r="L177" s="3"/>
    </row>
    <row r="178" ht="21.75" customHeight="1">
      <c r="A178" s="2"/>
      <c r="B178" s="2"/>
      <c r="C178" s="3"/>
      <c r="D178" s="2"/>
      <c r="E178" s="4"/>
      <c r="F178" s="5"/>
      <c r="G178" s="6"/>
      <c r="H178" s="2"/>
      <c r="I178" s="7"/>
      <c r="J178" s="8"/>
      <c r="K178" s="3"/>
      <c r="L178" s="3"/>
    </row>
    <row r="179" ht="21.75" customHeight="1">
      <c r="A179" s="2"/>
      <c r="B179" s="2"/>
      <c r="C179" s="3"/>
      <c r="D179" s="2"/>
      <c r="E179" s="4"/>
      <c r="F179" s="5"/>
      <c r="G179" s="6"/>
      <c r="H179" s="2"/>
      <c r="I179" s="7"/>
      <c r="J179" s="8"/>
      <c r="K179" s="3"/>
      <c r="L179" s="3"/>
    </row>
    <row r="180" ht="21.75" customHeight="1">
      <c r="A180" s="2"/>
      <c r="B180" s="2"/>
      <c r="C180" s="3"/>
      <c r="D180" s="2"/>
      <c r="E180" s="4"/>
      <c r="F180" s="5"/>
      <c r="G180" s="6"/>
      <c r="H180" s="2"/>
      <c r="I180" s="7"/>
      <c r="J180" s="8"/>
      <c r="K180" s="3"/>
      <c r="L180" s="3"/>
    </row>
    <row r="181" ht="21.75" customHeight="1">
      <c r="A181" s="2"/>
      <c r="B181" s="2"/>
      <c r="C181" s="3"/>
      <c r="D181" s="2"/>
      <c r="E181" s="4"/>
      <c r="F181" s="5"/>
      <c r="G181" s="6"/>
      <c r="H181" s="2"/>
      <c r="I181" s="7"/>
      <c r="J181" s="8"/>
      <c r="K181" s="3"/>
      <c r="L181" s="3"/>
    </row>
    <row r="182" ht="21.75" customHeight="1">
      <c r="A182" s="2"/>
      <c r="B182" s="2"/>
      <c r="C182" s="3"/>
      <c r="D182" s="2"/>
      <c r="E182" s="4"/>
      <c r="F182" s="5"/>
      <c r="G182" s="6"/>
      <c r="H182" s="2"/>
      <c r="I182" s="7"/>
      <c r="J182" s="8"/>
      <c r="K182" s="3"/>
      <c r="L182" s="3"/>
    </row>
    <row r="183" ht="21.75" customHeight="1">
      <c r="A183" s="2"/>
      <c r="B183" s="2"/>
      <c r="C183" s="3"/>
      <c r="D183" s="2"/>
      <c r="E183" s="4"/>
      <c r="F183" s="5"/>
      <c r="G183" s="6"/>
      <c r="H183" s="2"/>
      <c r="I183" s="7"/>
      <c r="J183" s="8"/>
      <c r="K183" s="3"/>
      <c r="L183" s="3"/>
    </row>
    <row r="184" ht="21.75" customHeight="1">
      <c r="A184" s="2"/>
      <c r="B184" s="2"/>
      <c r="C184" s="3"/>
      <c r="D184" s="2"/>
      <c r="E184" s="4"/>
      <c r="F184" s="5"/>
      <c r="G184" s="6"/>
      <c r="H184" s="2"/>
      <c r="I184" s="7"/>
      <c r="J184" s="8"/>
      <c r="K184" s="3"/>
      <c r="L184" s="3"/>
    </row>
    <row r="185" ht="21.75" customHeight="1">
      <c r="A185" s="2"/>
      <c r="B185" s="2"/>
      <c r="C185" s="3"/>
      <c r="D185" s="2"/>
      <c r="E185" s="4"/>
      <c r="F185" s="5"/>
      <c r="G185" s="6"/>
      <c r="H185" s="2"/>
      <c r="I185" s="7"/>
      <c r="J185" s="8"/>
      <c r="K185" s="3"/>
      <c r="L185" s="3"/>
    </row>
    <row r="186" ht="21.75" customHeight="1">
      <c r="A186" s="2"/>
      <c r="B186" s="2"/>
      <c r="C186" s="3"/>
      <c r="D186" s="2"/>
      <c r="E186" s="4"/>
      <c r="F186" s="5"/>
      <c r="G186" s="6"/>
      <c r="H186" s="2"/>
      <c r="I186" s="7"/>
      <c r="J186" s="8"/>
      <c r="K186" s="3"/>
      <c r="L186" s="3"/>
    </row>
    <row r="187" ht="21.75" customHeight="1">
      <c r="A187" s="2"/>
      <c r="B187" s="2"/>
      <c r="C187" s="3"/>
      <c r="D187" s="2"/>
      <c r="E187" s="4"/>
      <c r="F187" s="5"/>
      <c r="G187" s="6"/>
      <c r="H187" s="2"/>
      <c r="I187" s="7"/>
      <c r="J187" s="8"/>
      <c r="K187" s="3"/>
      <c r="L187" s="3"/>
    </row>
    <row r="188" ht="21.75" customHeight="1">
      <c r="A188" s="2"/>
      <c r="B188" s="2"/>
      <c r="C188" s="3"/>
      <c r="D188" s="2"/>
      <c r="E188" s="4"/>
      <c r="F188" s="5"/>
      <c r="G188" s="6"/>
      <c r="H188" s="2"/>
      <c r="I188" s="7"/>
      <c r="J188" s="8"/>
      <c r="K188" s="3"/>
      <c r="L188" s="3"/>
    </row>
    <row r="189" ht="21.75" customHeight="1">
      <c r="A189" s="2"/>
      <c r="B189" s="2"/>
      <c r="C189" s="3"/>
      <c r="D189" s="2"/>
      <c r="E189" s="4"/>
      <c r="F189" s="5"/>
      <c r="G189" s="6"/>
      <c r="H189" s="2"/>
      <c r="I189" s="7"/>
      <c r="J189" s="8"/>
      <c r="K189" s="3"/>
      <c r="L189" s="3"/>
    </row>
    <row r="190" ht="21.75" customHeight="1">
      <c r="A190" s="2"/>
      <c r="B190" s="2"/>
      <c r="C190" s="3"/>
      <c r="D190" s="2"/>
      <c r="E190" s="4"/>
      <c r="F190" s="5"/>
      <c r="G190" s="6"/>
      <c r="H190" s="2"/>
      <c r="I190" s="7"/>
      <c r="J190" s="8"/>
      <c r="K190" s="3"/>
      <c r="L190" s="3"/>
    </row>
    <row r="191" ht="21.75" customHeight="1">
      <c r="A191" s="2"/>
      <c r="B191" s="2"/>
      <c r="C191" s="3"/>
      <c r="D191" s="2"/>
      <c r="E191" s="4"/>
      <c r="F191" s="5"/>
      <c r="G191" s="6"/>
      <c r="H191" s="2"/>
      <c r="I191" s="7"/>
      <c r="J191" s="8"/>
      <c r="K191" s="3"/>
      <c r="L191" s="3"/>
    </row>
    <row r="192" ht="21.75" customHeight="1">
      <c r="A192" s="2"/>
      <c r="B192" s="2"/>
      <c r="C192" s="3"/>
      <c r="D192" s="2"/>
      <c r="E192" s="4"/>
      <c r="F192" s="5"/>
      <c r="G192" s="6"/>
      <c r="H192" s="2"/>
      <c r="I192" s="7"/>
      <c r="J192" s="8"/>
      <c r="K192" s="3"/>
      <c r="L192" s="3"/>
    </row>
    <row r="193" ht="21.75" customHeight="1">
      <c r="A193" s="2"/>
      <c r="B193" s="2"/>
      <c r="C193" s="3"/>
      <c r="D193" s="2"/>
      <c r="E193" s="4"/>
      <c r="F193" s="5"/>
      <c r="G193" s="6"/>
      <c r="H193" s="2"/>
      <c r="I193" s="7"/>
      <c r="J193" s="8"/>
      <c r="K193" s="3"/>
      <c r="L193" s="3"/>
    </row>
    <row r="194" ht="21.75" customHeight="1">
      <c r="A194" s="2"/>
      <c r="B194" s="2"/>
      <c r="C194" s="3"/>
      <c r="D194" s="2"/>
      <c r="E194" s="4"/>
      <c r="F194" s="5"/>
      <c r="G194" s="6"/>
      <c r="H194" s="2"/>
      <c r="I194" s="7"/>
      <c r="J194" s="8"/>
      <c r="K194" s="3"/>
      <c r="L194" s="3"/>
    </row>
    <row r="195" ht="21.75" customHeight="1">
      <c r="A195" s="2"/>
      <c r="B195" s="2"/>
      <c r="C195" s="3"/>
      <c r="D195" s="2"/>
      <c r="E195" s="4"/>
      <c r="F195" s="5"/>
      <c r="G195" s="6"/>
      <c r="H195" s="2"/>
      <c r="I195" s="7"/>
      <c r="J195" s="8"/>
      <c r="K195" s="3"/>
      <c r="L195" s="3"/>
    </row>
    <row r="196" ht="21.75" customHeight="1">
      <c r="A196" s="2"/>
      <c r="B196" s="2"/>
      <c r="C196" s="3"/>
      <c r="D196" s="2"/>
      <c r="E196" s="4"/>
      <c r="F196" s="5"/>
      <c r="G196" s="6"/>
      <c r="H196" s="2"/>
      <c r="I196" s="7"/>
      <c r="J196" s="8"/>
      <c r="K196" s="3"/>
      <c r="L196" s="3"/>
    </row>
    <row r="197" ht="21.75" customHeight="1">
      <c r="A197" s="2"/>
      <c r="B197" s="2"/>
      <c r="C197" s="3"/>
      <c r="D197" s="2"/>
      <c r="E197" s="4"/>
      <c r="F197" s="5"/>
      <c r="G197" s="6"/>
      <c r="H197" s="2"/>
      <c r="I197" s="7"/>
      <c r="J197" s="8"/>
      <c r="K197" s="3"/>
      <c r="L197" s="3"/>
    </row>
    <row r="198" ht="21.75" customHeight="1">
      <c r="A198" s="2"/>
      <c r="B198" s="2"/>
      <c r="C198" s="3"/>
      <c r="D198" s="2"/>
      <c r="E198" s="4"/>
      <c r="F198" s="5"/>
      <c r="G198" s="6"/>
      <c r="H198" s="2"/>
      <c r="I198" s="7"/>
      <c r="J198" s="8"/>
      <c r="K198" s="3"/>
      <c r="L198" s="3"/>
    </row>
    <row r="199" ht="21.75" customHeight="1">
      <c r="A199" s="2"/>
      <c r="B199" s="2"/>
      <c r="C199" s="3"/>
      <c r="D199" s="2"/>
      <c r="E199" s="4"/>
      <c r="F199" s="5"/>
      <c r="G199" s="6"/>
      <c r="H199" s="2"/>
      <c r="I199" s="7"/>
      <c r="J199" s="8"/>
      <c r="K199" s="3"/>
      <c r="L199" s="3"/>
    </row>
    <row r="200" ht="21.75" customHeight="1">
      <c r="A200" s="2"/>
      <c r="B200" s="2"/>
      <c r="C200" s="3"/>
      <c r="D200" s="2"/>
      <c r="E200" s="4"/>
      <c r="F200" s="5"/>
      <c r="G200" s="6"/>
      <c r="H200" s="2"/>
      <c r="I200" s="7"/>
      <c r="J200" s="8"/>
      <c r="K200" s="3"/>
      <c r="L200" s="3"/>
    </row>
    <row r="201" ht="21.75" customHeight="1">
      <c r="A201" s="2"/>
      <c r="B201" s="2"/>
      <c r="C201" s="3"/>
      <c r="D201" s="2"/>
      <c r="E201" s="4"/>
      <c r="F201" s="5"/>
      <c r="G201" s="6"/>
      <c r="H201" s="2"/>
      <c r="I201" s="7"/>
      <c r="J201" s="8"/>
      <c r="K201" s="3"/>
      <c r="L201" s="3"/>
    </row>
    <row r="202" ht="21.75" customHeight="1">
      <c r="A202" s="2"/>
      <c r="B202" s="2"/>
      <c r="C202" s="3"/>
      <c r="D202" s="2"/>
      <c r="E202" s="4"/>
      <c r="F202" s="5"/>
      <c r="G202" s="6"/>
      <c r="H202" s="2"/>
      <c r="I202" s="7"/>
      <c r="J202" s="8"/>
      <c r="K202" s="3"/>
      <c r="L202" s="3"/>
    </row>
    <row r="203" ht="21.75" customHeight="1">
      <c r="A203" s="2"/>
      <c r="B203" s="2"/>
      <c r="C203" s="3"/>
      <c r="D203" s="2"/>
      <c r="E203" s="4"/>
      <c r="F203" s="5"/>
      <c r="G203" s="6"/>
      <c r="H203" s="2"/>
      <c r="I203" s="7"/>
      <c r="J203" s="8"/>
      <c r="K203" s="3"/>
      <c r="L203" s="3"/>
    </row>
    <row r="204" ht="21.75" customHeight="1">
      <c r="A204" s="2"/>
      <c r="B204" s="2"/>
      <c r="C204" s="3"/>
      <c r="D204" s="2"/>
      <c r="E204" s="4"/>
      <c r="F204" s="5"/>
      <c r="G204" s="6"/>
      <c r="H204" s="2"/>
      <c r="I204" s="7"/>
      <c r="J204" s="8"/>
      <c r="K204" s="3"/>
      <c r="L204" s="3"/>
    </row>
    <row r="205" ht="21.75" customHeight="1">
      <c r="A205" s="2"/>
      <c r="B205" s="2"/>
      <c r="C205" s="3"/>
      <c r="D205" s="2"/>
      <c r="E205" s="4"/>
      <c r="F205" s="5"/>
      <c r="G205" s="6"/>
      <c r="H205" s="2"/>
      <c r="I205" s="7"/>
      <c r="J205" s="8"/>
      <c r="K205" s="3"/>
      <c r="L205" s="3"/>
    </row>
    <row r="206" ht="21.75" customHeight="1">
      <c r="A206" s="2"/>
      <c r="B206" s="2"/>
      <c r="C206" s="3"/>
      <c r="D206" s="2"/>
      <c r="E206" s="4"/>
      <c r="F206" s="5"/>
      <c r="G206" s="6"/>
      <c r="H206" s="2"/>
      <c r="I206" s="7"/>
      <c r="J206" s="8"/>
      <c r="K206" s="3"/>
      <c r="L206" s="3"/>
    </row>
    <row r="207" ht="21.75" customHeight="1">
      <c r="A207" s="2"/>
      <c r="B207" s="2"/>
      <c r="C207" s="3"/>
      <c r="D207" s="2"/>
      <c r="E207" s="4"/>
      <c r="F207" s="5"/>
      <c r="G207" s="6"/>
      <c r="H207" s="2"/>
      <c r="I207" s="7"/>
      <c r="J207" s="8"/>
      <c r="K207" s="3"/>
      <c r="L207" s="3"/>
    </row>
    <row r="208" ht="21.75" customHeight="1">
      <c r="A208" s="2"/>
      <c r="B208" s="2"/>
      <c r="C208" s="3"/>
      <c r="D208" s="2"/>
      <c r="E208" s="4"/>
      <c r="F208" s="5"/>
      <c r="G208" s="6"/>
      <c r="H208" s="2"/>
      <c r="I208" s="7"/>
      <c r="J208" s="8"/>
      <c r="K208" s="3"/>
      <c r="L208" s="3"/>
    </row>
    <row r="209" ht="21.75" customHeight="1">
      <c r="A209" s="2"/>
      <c r="B209" s="2"/>
      <c r="C209" s="3"/>
      <c r="D209" s="2"/>
      <c r="E209" s="4"/>
      <c r="F209" s="5"/>
      <c r="G209" s="6"/>
      <c r="H209" s="2"/>
      <c r="I209" s="7"/>
      <c r="J209" s="8"/>
      <c r="K209" s="3"/>
      <c r="L209" s="3"/>
    </row>
    <row r="210" ht="21.75" customHeight="1">
      <c r="A210" s="2"/>
      <c r="B210" s="2"/>
      <c r="C210" s="3"/>
      <c r="D210" s="2"/>
      <c r="E210" s="4"/>
      <c r="F210" s="5"/>
      <c r="G210" s="6"/>
      <c r="H210" s="2"/>
      <c r="I210" s="7"/>
      <c r="J210" s="8"/>
      <c r="K210" s="3"/>
      <c r="L210" s="3"/>
    </row>
    <row r="211" ht="21.75" customHeight="1">
      <c r="A211" s="2"/>
      <c r="B211" s="2"/>
      <c r="C211" s="3"/>
      <c r="D211" s="2"/>
      <c r="E211" s="4"/>
      <c r="F211" s="5"/>
      <c r="G211" s="6"/>
      <c r="H211" s="2"/>
      <c r="I211" s="7"/>
      <c r="J211" s="8"/>
      <c r="K211" s="3"/>
      <c r="L211" s="3"/>
    </row>
    <row r="212" ht="21.75" customHeight="1">
      <c r="A212" s="2"/>
      <c r="B212" s="2"/>
      <c r="C212" s="3"/>
      <c r="D212" s="2"/>
      <c r="E212" s="4"/>
      <c r="F212" s="5"/>
      <c r="G212" s="6"/>
      <c r="H212" s="2"/>
      <c r="I212" s="7"/>
      <c r="J212" s="8"/>
      <c r="K212" s="3"/>
      <c r="L212" s="3"/>
    </row>
    <row r="213" ht="21.75" customHeight="1">
      <c r="A213" s="2"/>
      <c r="B213" s="2"/>
      <c r="C213" s="3"/>
      <c r="D213" s="2"/>
      <c r="E213" s="4"/>
      <c r="F213" s="5"/>
      <c r="G213" s="6"/>
      <c r="H213" s="2"/>
      <c r="I213" s="7"/>
      <c r="J213" s="8"/>
      <c r="K213" s="3"/>
      <c r="L213" s="3"/>
    </row>
    <row r="214" ht="21.75" customHeight="1">
      <c r="A214" s="2"/>
      <c r="B214" s="2"/>
      <c r="C214" s="3"/>
      <c r="D214" s="2"/>
      <c r="E214" s="4"/>
      <c r="F214" s="5"/>
      <c r="G214" s="6"/>
      <c r="H214" s="2"/>
      <c r="I214" s="7"/>
      <c r="J214" s="8"/>
      <c r="K214" s="3"/>
      <c r="L214" s="3"/>
    </row>
    <row r="215" ht="21.75" customHeight="1">
      <c r="A215" s="2"/>
      <c r="B215" s="2"/>
      <c r="C215" s="3"/>
      <c r="D215" s="2"/>
      <c r="E215" s="4"/>
      <c r="F215" s="5"/>
      <c r="G215" s="6"/>
      <c r="H215" s="2"/>
      <c r="I215" s="7"/>
      <c r="J215" s="8"/>
      <c r="K215" s="3"/>
      <c r="L215" s="3"/>
    </row>
    <row r="216" ht="21.75" customHeight="1">
      <c r="A216" s="2"/>
      <c r="B216" s="2"/>
      <c r="C216" s="3"/>
      <c r="D216" s="2"/>
      <c r="E216" s="4"/>
      <c r="F216" s="5"/>
      <c r="G216" s="6"/>
      <c r="H216" s="2"/>
      <c r="I216" s="7"/>
      <c r="J216" s="8"/>
      <c r="K216" s="3"/>
      <c r="L216" s="3"/>
    </row>
    <row r="217" ht="21.75" customHeight="1">
      <c r="A217" s="2"/>
      <c r="B217" s="2"/>
      <c r="C217" s="3"/>
      <c r="D217" s="2"/>
      <c r="E217" s="4"/>
      <c r="F217" s="5"/>
      <c r="G217" s="6"/>
      <c r="H217" s="2"/>
      <c r="I217" s="7"/>
      <c r="J217" s="8"/>
      <c r="K217" s="3"/>
      <c r="L217" s="3"/>
    </row>
    <row r="218" ht="21.75" customHeight="1">
      <c r="A218" s="2"/>
      <c r="B218" s="2"/>
      <c r="C218" s="3"/>
      <c r="D218" s="2"/>
      <c r="E218" s="4"/>
      <c r="F218" s="5"/>
      <c r="G218" s="6"/>
      <c r="H218" s="2"/>
      <c r="I218" s="7"/>
      <c r="J218" s="8"/>
      <c r="K218" s="3"/>
      <c r="L218" s="3"/>
    </row>
    <row r="219" ht="21.75" customHeight="1">
      <c r="A219" s="2"/>
      <c r="B219" s="2"/>
      <c r="C219" s="3"/>
      <c r="D219" s="2"/>
      <c r="E219" s="4"/>
      <c r="F219" s="5"/>
      <c r="G219" s="6"/>
      <c r="H219" s="2"/>
      <c r="I219" s="7"/>
      <c r="J219" s="8"/>
      <c r="K219" s="3"/>
      <c r="L219" s="3"/>
    </row>
    <row r="220" ht="21.75" customHeight="1">
      <c r="A220" s="2"/>
      <c r="B220" s="2"/>
      <c r="C220" s="3"/>
      <c r="D220" s="2"/>
      <c r="E220" s="4"/>
      <c r="F220" s="5"/>
      <c r="G220" s="6"/>
      <c r="H220" s="2"/>
      <c r="I220" s="7"/>
      <c r="J220" s="8"/>
      <c r="K220" s="3"/>
      <c r="L220" s="3"/>
    </row>
    <row r="221" ht="21.75" customHeight="1">
      <c r="A221" s="2"/>
      <c r="B221" s="2"/>
      <c r="C221" s="3"/>
      <c r="D221" s="2"/>
      <c r="E221" s="4"/>
      <c r="F221" s="5"/>
      <c r="G221" s="6"/>
      <c r="H221" s="2"/>
      <c r="I221" s="7"/>
      <c r="J221" s="8"/>
      <c r="K221" s="3"/>
      <c r="L221" s="3"/>
    </row>
    <row r="222" ht="21.75" customHeight="1">
      <c r="A222" s="2"/>
      <c r="B222" s="2"/>
      <c r="C222" s="3"/>
      <c r="D222" s="2"/>
      <c r="E222" s="4"/>
      <c r="F222" s="5"/>
      <c r="G222" s="6"/>
      <c r="H222" s="2"/>
      <c r="I222" s="7"/>
      <c r="J222" s="8"/>
      <c r="K222" s="3"/>
      <c r="L222" s="3"/>
    </row>
    <row r="223" ht="21.75" customHeight="1">
      <c r="A223" s="2"/>
      <c r="B223" s="2"/>
      <c r="C223" s="3"/>
      <c r="D223" s="2"/>
      <c r="E223" s="4"/>
      <c r="F223" s="5"/>
      <c r="G223" s="6"/>
      <c r="H223" s="2"/>
      <c r="I223" s="7"/>
      <c r="J223" s="8"/>
      <c r="K223" s="3"/>
      <c r="L223" s="3"/>
    </row>
    <row r="224" ht="21.75" customHeight="1">
      <c r="A224" s="2"/>
      <c r="B224" s="2"/>
      <c r="C224" s="3"/>
      <c r="D224" s="2"/>
      <c r="E224" s="4"/>
      <c r="F224" s="5"/>
      <c r="G224" s="6"/>
      <c r="H224" s="2"/>
      <c r="I224" s="7"/>
      <c r="J224" s="8"/>
      <c r="K224" s="3"/>
      <c r="L224" s="3"/>
    </row>
    <row r="225" ht="21.75" customHeight="1">
      <c r="A225" s="2"/>
      <c r="B225" s="2"/>
      <c r="C225" s="3"/>
      <c r="D225" s="2"/>
      <c r="E225" s="4"/>
      <c r="F225" s="5"/>
      <c r="G225" s="6"/>
      <c r="H225" s="2"/>
      <c r="I225" s="7"/>
      <c r="J225" s="8"/>
      <c r="K225" s="3"/>
      <c r="L225" s="3"/>
    </row>
    <row r="226" ht="21.75" customHeight="1">
      <c r="A226" s="2"/>
      <c r="B226" s="2"/>
      <c r="C226" s="3"/>
      <c r="D226" s="2"/>
      <c r="E226" s="4"/>
      <c r="F226" s="5"/>
      <c r="G226" s="6"/>
      <c r="H226" s="2"/>
      <c r="I226" s="7"/>
      <c r="J226" s="8"/>
      <c r="K226" s="3"/>
      <c r="L226" s="3"/>
    </row>
    <row r="227" ht="21.75" customHeight="1">
      <c r="A227" s="2"/>
      <c r="B227" s="2"/>
      <c r="C227" s="3"/>
      <c r="D227" s="2"/>
      <c r="E227" s="4"/>
      <c r="F227" s="5"/>
      <c r="G227" s="6"/>
      <c r="H227" s="2"/>
      <c r="I227" s="7"/>
      <c r="J227" s="8"/>
      <c r="K227" s="3"/>
      <c r="L227" s="3"/>
    </row>
    <row r="228" ht="21.75" customHeight="1">
      <c r="A228" s="2"/>
      <c r="B228" s="2"/>
      <c r="C228" s="3"/>
      <c r="D228" s="2"/>
      <c r="E228" s="4"/>
      <c r="F228" s="5"/>
      <c r="G228" s="6"/>
      <c r="H228" s="2"/>
      <c r="I228" s="7"/>
      <c r="J228" s="8"/>
      <c r="K228" s="3"/>
      <c r="L228" s="3"/>
    </row>
    <row r="229" ht="21.75" customHeight="1">
      <c r="A229" s="2"/>
      <c r="B229" s="2"/>
      <c r="C229" s="3"/>
      <c r="D229" s="2"/>
      <c r="E229" s="4"/>
      <c r="F229" s="5"/>
      <c r="G229" s="6"/>
      <c r="H229" s="2"/>
      <c r="I229" s="7"/>
      <c r="J229" s="8"/>
      <c r="K229" s="3"/>
      <c r="L229" s="3"/>
    </row>
    <row r="230" ht="21.75" customHeight="1">
      <c r="A230" s="2"/>
      <c r="B230" s="2"/>
      <c r="C230" s="3"/>
      <c r="D230" s="2"/>
      <c r="E230" s="4"/>
      <c r="F230" s="5"/>
      <c r="G230" s="6"/>
      <c r="H230" s="2"/>
      <c r="I230" s="7"/>
      <c r="J230" s="8"/>
      <c r="K230" s="3"/>
      <c r="L230" s="3"/>
    </row>
    <row r="231" ht="21.75" customHeight="1">
      <c r="A231" s="2"/>
      <c r="B231" s="2"/>
      <c r="C231" s="3"/>
      <c r="D231" s="2"/>
      <c r="E231" s="4"/>
      <c r="F231" s="5"/>
      <c r="G231" s="6"/>
      <c r="H231" s="2"/>
      <c r="I231" s="7"/>
      <c r="J231" s="8"/>
      <c r="K231" s="3"/>
      <c r="L231" s="3"/>
    </row>
    <row r="232" ht="21.75" customHeight="1">
      <c r="A232" s="2"/>
      <c r="B232" s="2"/>
      <c r="C232" s="3"/>
      <c r="D232" s="2"/>
      <c r="E232" s="4"/>
      <c r="F232" s="5"/>
      <c r="G232" s="6"/>
      <c r="H232" s="2"/>
      <c r="I232" s="7"/>
      <c r="J232" s="8"/>
      <c r="K232" s="3"/>
      <c r="L232" s="3"/>
    </row>
    <row r="233" ht="21.75" customHeight="1">
      <c r="A233" s="2"/>
      <c r="B233" s="2"/>
      <c r="C233" s="3"/>
      <c r="D233" s="2"/>
      <c r="E233" s="4"/>
      <c r="F233" s="5"/>
      <c r="G233" s="6"/>
      <c r="H233" s="2"/>
      <c r="I233" s="7"/>
      <c r="J233" s="8"/>
      <c r="K233" s="3"/>
      <c r="L233" s="3"/>
    </row>
    <row r="234" ht="21.75" customHeight="1">
      <c r="A234" s="2"/>
      <c r="B234" s="2"/>
      <c r="C234" s="3"/>
      <c r="D234" s="2"/>
      <c r="E234" s="4"/>
      <c r="F234" s="5"/>
      <c r="G234" s="6"/>
      <c r="H234" s="2"/>
      <c r="I234" s="7"/>
      <c r="J234" s="8"/>
      <c r="K234" s="3"/>
      <c r="L234" s="3"/>
    </row>
    <row r="235" ht="21.75" customHeight="1">
      <c r="A235" s="2"/>
      <c r="B235" s="2"/>
      <c r="C235" s="3"/>
      <c r="D235" s="2"/>
      <c r="E235" s="4"/>
      <c r="F235" s="5"/>
      <c r="G235" s="6"/>
      <c r="H235" s="2"/>
      <c r="I235" s="7"/>
      <c r="J235" s="8"/>
      <c r="K235" s="3"/>
      <c r="L235" s="3"/>
    </row>
    <row r="236" ht="21.75" customHeight="1">
      <c r="A236" s="2"/>
      <c r="B236" s="2"/>
      <c r="C236" s="3"/>
      <c r="D236" s="2"/>
      <c r="E236" s="4"/>
      <c r="F236" s="5"/>
      <c r="G236" s="6"/>
      <c r="H236" s="2"/>
      <c r="I236" s="7"/>
      <c r="J236" s="8"/>
      <c r="K236" s="3"/>
      <c r="L236" s="3"/>
    </row>
    <row r="237" ht="21.75" customHeight="1">
      <c r="A237" s="2"/>
      <c r="B237" s="2"/>
      <c r="C237" s="3"/>
      <c r="D237" s="2"/>
      <c r="E237" s="4"/>
      <c r="F237" s="5"/>
      <c r="G237" s="6"/>
      <c r="H237" s="2"/>
      <c r="I237" s="7"/>
      <c r="J237" s="8"/>
      <c r="K237" s="3"/>
      <c r="L237" s="3"/>
    </row>
    <row r="238" ht="21.75" customHeight="1">
      <c r="A238" s="2"/>
      <c r="B238" s="2"/>
      <c r="C238" s="3"/>
      <c r="D238" s="2"/>
      <c r="E238" s="4"/>
      <c r="F238" s="5"/>
      <c r="G238" s="6"/>
      <c r="H238" s="2"/>
      <c r="I238" s="7"/>
      <c r="J238" s="8"/>
      <c r="K238" s="3"/>
      <c r="L238" s="3"/>
    </row>
    <row r="239" ht="21.75" customHeight="1">
      <c r="A239" s="2"/>
      <c r="B239" s="2"/>
      <c r="C239" s="3"/>
      <c r="D239" s="2"/>
      <c r="E239" s="4"/>
      <c r="F239" s="5"/>
      <c r="G239" s="6"/>
      <c r="H239" s="2"/>
      <c r="I239" s="7"/>
      <c r="J239" s="8"/>
      <c r="K239" s="3"/>
      <c r="L239" s="3"/>
    </row>
    <row r="240" ht="21.75" customHeight="1">
      <c r="A240" s="2"/>
      <c r="B240" s="2"/>
      <c r="C240" s="3"/>
      <c r="D240" s="2"/>
      <c r="E240" s="4"/>
      <c r="F240" s="5"/>
      <c r="G240" s="6"/>
      <c r="H240" s="2"/>
      <c r="I240" s="7"/>
      <c r="J240" s="8"/>
      <c r="K240" s="3"/>
      <c r="L240" s="3"/>
    </row>
    <row r="241" ht="21.75" customHeight="1">
      <c r="A241" s="2"/>
      <c r="B241" s="2"/>
      <c r="C241" s="3"/>
      <c r="D241" s="2"/>
      <c r="E241" s="4"/>
      <c r="F241" s="5"/>
      <c r="G241" s="6"/>
      <c r="H241" s="2"/>
      <c r="I241" s="7"/>
      <c r="J241" s="8"/>
      <c r="K241" s="3"/>
      <c r="L241" s="3"/>
    </row>
    <row r="242" ht="21.75" customHeight="1">
      <c r="A242" s="2"/>
      <c r="B242" s="2"/>
      <c r="C242" s="3"/>
      <c r="D242" s="2"/>
      <c r="E242" s="4"/>
      <c r="F242" s="5"/>
      <c r="G242" s="6"/>
      <c r="H242" s="2"/>
      <c r="I242" s="7"/>
      <c r="J242" s="8"/>
      <c r="K242" s="3"/>
      <c r="L242" s="3"/>
    </row>
    <row r="243" ht="21.75" customHeight="1">
      <c r="A243" s="2"/>
      <c r="B243" s="2"/>
      <c r="C243" s="3"/>
      <c r="D243" s="2"/>
      <c r="E243" s="4"/>
      <c r="F243" s="5"/>
      <c r="G243" s="6"/>
      <c r="H243" s="2"/>
      <c r="I243" s="7"/>
      <c r="J243" s="8"/>
      <c r="K243" s="3"/>
      <c r="L243" s="3"/>
    </row>
    <row r="244" ht="21.75" customHeight="1">
      <c r="A244" s="2"/>
      <c r="B244" s="2"/>
      <c r="C244" s="3"/>
      <c r="D244" s="2"/>
      <c r="E244" s="4"/>
      <c r="F244" s="5"/>
      <c r="G244" s="6"/>
      <c r="H244" s="2"/>
      <c r="I244" s="7"/>
      <c r="J244" s="8"/>
      <c r="K244" s="3"/>
      <c r="L244" s="3"/>
    </row>
    <row r="245" ht="21.75" customHeight="1">
      <c r="A245" s="2"/>
      <c r="B245" s="2"/>
      <c r="C245" s="3"/>
      <c r="D245" s="2"/>
      <c r="E245" s="4"/>
      <c r="F245" s="5"/>
      <c r="G245" s="6"/>
      <c r="H245" s="2"/>
      <c r="I245" s="7"/>
      <c r="J245" s="8"/>
      <c r="K245" s="3"/>
      <c r="L245" s="3"/>
    </row>
    <row r="246" ht="21.75" customHeight="1">
      <c r="A246" s="2"/>
      <c r="B246" s="2"/>
      <c r="C246" s="3"/>
      <c r="D246" s="2"/>
      <c r="E246" s="4"/>
      <c r="F246" s="5"/>
      <c r="G246" s="6"/>
      <c r="H246" s="2"/>
      <c r="I246" s="7"/>
      <c r="J246" s="8"/>
      <c r="K246" s="3"/>
      <c r="L246" s="3"/>
    </row>
    <row r="247" ht="21.75" customHeight="1">
      <c r="A247" s="2"/>
      <c r="B247" s="2"/>
      <c r="C247" s="3"/>
      <c r="D247" s="2"/>
      <c r="E247" s="4"/>
      <c r="F247" s="5"/>
      <c r="G247" s="6"/>
      <c r="H247" s="2"/>
      <c r="I247" s="7"/>
      <c r="J247" s="8"/>
      <c r="K247" s="3"/>
      <c r="L247" s="3"/>
    </row>
    <row r="248" ht="21.75" customHeight="1">
      <c r="A248" s="2"/>
      <c r="B248" s="2"/>
      <c r="C248" s="3"/>
      <c r="D248" s="2"/>
      <c r="E248" s="4"/>
      <c r="F248" s="5"/>
      <c r="G248" s="6"/>
      <c r="H248" s="2"/>
      <c r="I248" s="7"/>
      <c r="J248" s="8"/>
      <c r="K248" s="3"/>
      <c r="L248" s="3"/>
    </row>
    <row r="249" ht="21.75" customHeight="1">
      <c r="A249" s="2"/>
      <c r="B249" s="2"/>
      <c r="C249" s="3"/>
      <c r="D249" s="2"/>
      <c r="E249" s="4"/>
      <c r="F249" s="5"/>
      <c r="G249" s="6"/>
      <c r="H249" s="2"/>
      <c r="I249" s="7"/>
      <c r="J249" s="8"/>
      <c r="K249" s="3"/>
      <c r="L249" s="3"/>
    </row>
    <row r="250" ht="21.75" customHeight="1">
      <c r="A250" s="2"/>
      <c r="B250" s="2"/>
      <c r="C250" s="3"/>
      <c r="D250" s="2"/>
      <c r="E250" s="4"/>
      <c r="F250" s="5"/>
      <c r="G250" s="6"/>
      <c r="H250" s="2"/>
      <c r="I250" s="7"/>
      <c r="J250" s="8"/>
      <c r="K250" s="3"/>
      <c r="L250" s="3"/>
    </row>
    <row r="251" ht="21.75" customHeight="1">
      <c r="A251" s="2"/>
      <c r="B251" s="2"/>
      <c r="C251" s="3"/>
      <c r="D251" s="2"/>
      <c r="E251" s="4"/>
      <c r="F251" s="5"/>
      <c r="G251" s="6"/>
      <c r="H251" s="2"/>
      <c r="I251" s="7"/>
      <c r="J251" s="8"/>
      <c r="K251" s="3"/>
      <c r="L251" s="3"/>
    </row>
    <row r="252" ht="21.75" customHeight="1">
      <c r="A252" s="2"/>
      <c r="B252" s="2"/>
      <c r="C252" s="3"/>
      <c r="D252" s="2"/>
      <c r="E252" s="4"/>
      <c r="F252" s="5"/>
      <c r="G252" s="6"/>
      <c r="H252" s="2"/>
      <c r="I252" s="7"/>
      <c r="J252" s="8"/>
      <c r="K252" s="3"/>
      <c r="L252" s="3"/>
    </row>
    <row r="253" ht="21.75" customHeight="1">
      <c r="A253" s="2"/>
      <c r="B253" s="2"/>
      <c r="C253" s="3"/>
      <c r="D253" s="2"/>
      <c r="E253" s="4"/>
      <c r="F253" s="5"/>
      <c r="G253" s="6"/>
      <c r="H253" s="2"/>
      <c r="I253" s="7"/>
      <c r="J253" s="8"/>
      <c r="K253" s="3"/>
      <c r="L253" s="3"/>
    </row>
    <row r="254" ht="21.75" customHeight="1">
      <c r="A254" s="2"/>
      <c r="B254" s="2"/>
      <c r="C254" s="3"/>
      <c r="D254" s="2"/>
      <c r="E254" s="4"/>
      <c r="F254" s="5"/>
      <c r="G254" s="6"/>
      <c r="H254" s="2"/>
      <c r="I254" s="7"/>
      <c r="J254" s="8"/>
      <c r="K254" s="3"/>
      <c r="L254" s="3"/>
    </row>
    <row r="255" ht="21.75" customHeight="1">
      <c r="A255" s="2"/>
      <c r="B255" s="2"/>
      <c r="C255" s="3"/>
      <c r="D255" s="2"/>
      <c r="E255" s="4"/>
      <c r="F255" s="5"/>
      <c r="G255" s="6"/>
      <c r="H255" s="2"/>
      <c r="I255" s="7"/>
      <c r="J255" s="8"/>
      <c r="K255" s="3"/>
      <c r="L255" s="3"/>
    </row>
    <row r="256" ht="21.75" customHeight="1">
      <c r="A256" s="2"/>
      <c r="B256" s="2"/>
      <c r="C256" s="3"/>
      <c r="D256" s="2"/>
      <c r="E256" s="4"/>
      <c r="F256" s="5"/>
      <c r="G256" s="6"/>
      <c r="H256" s="2"/>
      <c r="I256" s="7"/>
      <c r="J256" s="8"/>
      <c r="K256" s="3"/>
      <c r="L256" s="3"/>
    </row>
    <row r="257" ht="21.75" customHeight="1">
      <c r="A257" s="2"/>
      <c r="B257" s="2"/>
      <c r="C257" s="3"/>
      <c r="D257" s="2"/>
      <c r="E257" s="4"/>
      <c r="F257" s="5"/>
      <c r="G257" s="6"/>
      <c r="H257" s="2"/>
      <c r="I257" s="7"/>
      <c r="J257" s="8"/>
      <c r="K257" s="3"/>
      <c r="L257" s="3"/>
    </row>
    <row r="258" ht="21.75" customHeight="1">
      <c r="A258" s="2"/>
      <c r="B258" s="2"/>
      <c r="C258" s="3"/>
      <c r="D258" s="2"/>
      <c r="E258" s="4"/>
      <c r="F258" s="5"/>
      <c r="G258" s="6"/>
      <c r="H258" s="2"/>
      <c r="I258" s="7"/>
      <c r="J258" s="8"/>
      <c r="K258" s="3"/>
      <c r="L258" s="3"/>
    </row>
    <row r="259" ht="21.75" customHeight="1">
      <c r="A259" s="2"/>
      <c r="B259" s="2"/>
      <c r="C259" s="3"/>
      <c r="D259" s="2"/>
      <c r="E259" s="4"/>
      <c r="F259" s="5"/>
      <c r="G259" s="6"/>
      <c r="H259" s="2"/>
      <c r="I259" s="7"/>
      <c r="J259" s="8"/>
      <c r="K259" s="3"/>
      <c r="L259" s="3"/>
    </row>
    <row r="260" ht="21.75" customHeight="1">
      <c r="A260" s="2"/>
      <c r="B260" s="2"/>
      <c r="C260" s="3"/>
      <c r="D260" s="2"/>
      <c r="E260" s="4"/>
      <c r="F260" s="5"/>
      <c r="G260" s="6"/>
      <c r="H260" s="2"/>
      <c r="I260" s="7"/>
      <c r="J260" s="8"/>
      <c r="K260" s="3"/>
      <c r="L260" s="3"/>
    </row>
    <row r="261" ht="21.75" customHeight="1">
      <c r="A261" s="2"/>
      <c r="B261" s="2"/>
      <c r="C261" s="3"/>
      <c r="D261" s="2"/>
      <c r="E261" s="4"/>
      <c r="F261" s="5"/>
      <c r="G261" s="6"/>
      <c r="H261" s="2"/>
      <c r="I261" s="7"/>
      <c r="J261" s="8"/>
      <c r="K261" s="3"/>
      <c r="L261" s="3"/>
    </row>
    <row r="262" ht="21.75" customHeight="1">
      <c r="A262" s="2"/>
      <c r="B262" s="2"/>
      <c r="C262" s="3"/>
      <c r="D262" s="2"/>
      <c r="E262" s="4"/>
      <c r="F262" s="5"/>
      <c r="G262" s="6"/>
      <c r="H262" s="2"/>
      <c r="I262" s="7"/>
      <c r="J262" s="8"/>
      <c r="K262" s="3"/>
      <c r="L262" s="3"/>
    </row>
    <row r="263" ht="21.75" customHeight="1">
      <c r="A263" s="2"/>
      <c r="B263" s="2"/>
      <c r="C263" s="3"/>
      <c r="D263" s="2"/>
      <c r="E263" s="4"/>
      <c r="F263" s="5"/>
      <c r="G263" s="6"/>
      <c r="H263" s="2"/>
      <c r="I263" s="7"/>
      <c r="J263" s="8"/>
      <c r="K263" s="3"/>
      <c r="L263" s="3"/>
    </row>
    <row r="264" ht="21.75" customHeight="1">
      <c r="A264" s="2"/>
      <c r="B264" s="2"/>
      <c r="C264" s="3"/>
      <c r="D264" s="2"/>
      <c r="E264" s="4"/>
      <c r="F264" s="5"/>
      <c r="G264" s="6"/>
      <c r="H264" s="2"/>
      <c r="I264" s="7"/>
      <c r="J264" s="8"/>
      <c r="K264" s="3"/>
      <c r="L264" s="3"/>
    </row>
    <row r="265" ht="21.75" customHeight="1">
      <c r="A265" s="2"/>
      <c r="B265" s="2"/>
      <c r="C265" s="3"/>
      <c r="D265" s="2"/>
      <c r="E265" s="4"/>
      <c r="F265" s="5"/>
      <c r="G265" s="6"/>
      <c r="H265" s="2"/>
      <c r="I265" s="7"/>
      <c r="J265" s="8"/>
      <c r="K265" s="3"/>
      <c r="L265" s="3"/>
    </row>
    <row r="266" ht="21.75" customHeight="1">
      <c r="A266" s="2"/>
      <c r="B266" s="2"/>
      <c r="C266" s="3"/>
      <c r="D266" s="2"/>
      <c r="E266" s="4"/>
      <c r="F266" s="5"/>
      <c r="G266" s="6"/>
      <c r="H266" s="2"/>
      <c r="I266" s="7"/>
      <c r="J266" s="8"/>
      <c r="K266" s="3"/>
      <c r="L266" s="3"/>
    </row>
    <row r="267" ht="21.75" customHeight="1">
      <c r="A267" s="2"/>
      <c r="B267" s="2"/>
      <c r="C267" s="3"/>
      <c r="D267" s="2"/>
      <c r="E267" s="4"/>
      <c r="F267" s="5"/>
      <c r="G267" s="6"/>
      <c r="H267" s="2"/>
      <c r="I267" s="7"/>
      <c r="J267" s="8"/>
      <c r="K267" s="3"/>
      <c r="L267" s="3"/>
    </row>
    <row r="268" ht="21.75" customHeight="1">
      <c r="A268" s="2"/>
      <c r="B268" s="2"/>
      <c r="C268" s="3"/>
      <c r="D268" s="2"/>
      <c r="E268" s="4"/>
      <c r="F268" s="5"/>
      <c r="G268" s="6"/>
      <c r="H268" s="2"/>
      <c r="I268" s="7"/>
      <c r="J268" s="8"/>
      <c r="K268" s="3"/>
      <c r="L268" s="3"/>
    </row>
    <row r="269" ht="21.75" customHeight="1">
      <c r="A269" s="2"/>
      <c r="B269" s="2"/>
      <c r="C269" s="3"/>
      <c r="D269" s="2"/>
      <c r="E269" s="4"/>
      <c r="F269" s="5"/>
      <c r="G269" s="6"/>
      <c r="H269" s="2"/>
      <c r="I269" s="7"/>
      <c r="J269" s="8"/>
      <c r="K269" s="3"/>
      <c r="L269" s="3"/>
    </row>
    <row r="270" ht="21.75" customHeight="1">
      <c r="A270" s="2"/>
      <c r="B270" s="2"/>
      <c r="C270" s="3"/>
      <c r="D270" s="2"/>
      <c r="E270" s="4"/>
      <c r="F270" s="5"/>
      <c r="G270" s="6"/>
      <c r="H270" s="2"/>
      <c r="I270" s="7"/>
      <c r="J270" s="8"/>
      <c r="K270" s="3"/>
      <c r="L270" s="3"/>
    </row>
    <row r="271" ht="21.75" customHeight="1">
      <c r="A271" s="2"/>
      <c r="B271" s="2"/>
      <c r="C271" s="3"/>
      <c r="D271" s="2"/>
      <c r="E271" s="4"/>
      <c r="F271" s="5"/>
      <c r="G271" s="6"/>
      <c r="H271" s="2"/>
      <c r="I271" s="7"/>
      <c r="J271" s="8"/>
      <c r="K271" s="3"/>
      <c r="L271" s="3"/>
    </row>
    <row r="272" ht="21.75" customHeight="1">
      <c r="A272" s="2"/>
      <c r="B272" s="2"/>
      <c r="C272" s="3"/>
      <c r="D272" s="2"/>
      <c r="E272" s="4"/>
      <c r="F272" s="5"/>
      <c r="G272" s="6"/>
      <c r="H272" s="2"/>
      <c r="I272" s="7"/>
      <c r="J272" s="8"/>
      <c r="K272" s="3"/>
      <c r="L272" s="3"/>
    </row>
    <row r="273" ht="21.75" customHeight="1">
      <c r="A273" s="2"/>
      <c r="B273" s="2"/>
      <c r="C273" s="3"/>
      <c r="D273" s="2"/>
      <c r="E273" s="4"/>
      <c r="F273" s="5"/>
      <c r="G273" s="6"/>
      <c r="H273" s="2"/>
      <c r="I273" s="7"/>
      <c r="J273" s="8"/>
      <c r="K273" s="3"/>
      <c r="L273" s="3"/>
    </row>
    <row r="274" ht="21.75" customHeight="1">
      <c r="A274" s="2"/>
      <c r="B274" s="2"/>
      <c r="C274" s="3"/>
      <c r="D274" s="2"/>
      <c r="E274" s="4"/>
      <c r="F274" s="5"/>
      <c r="G274" s="6"/>
      <c r="H274" s="2"/>
      <c r="I274" s="7"/>
      <c r="J274" s="8"/>
      <c r="K274" s="3"/>
      <c r="L274" s="3"/>
    </row>
    <row r="275" ht="21.75" customHeight="1">
      <c r="A275" s="2"/>
      <c r="B275" s="2"/>
      <c r="C275" s="3"/>
      <c r="D275" s="2"/>
      <c r="E275" s="4"/>
      <c r="F275" s="5"/>
      <c r="G275" s="6"/>
      <c r="H275" s="2"/>
      <c r="I275" s="7"/>
      <c r="J275" s="8"/>
      <c r="K275" s="3"/>
      <c r="L275" s="3"/>
    </row>
    <row r="276" ht="21.75" customHeight="1">
      <c r="A276" s="2"/>
      <c r="B276" s="2"/>
      <c r="C276" s="3"/>
      <c r="D276" s="2"/>
      <c r="E276" s="4"/>
      <c r="F276" s="5"/>
      <c r="G276" s="6"/>
      <c r="H276" s="2"/>
      <c r="I276" s="7"/>
      <c r="J276" s="8"/>
      <c r="K276" s="3"/>
      <c r="L276" s="3"/>
    </row>
    <row r="277" ht="21.75" customHeight="1">
      <c r="A277" s="2"/>
      <c r="B277" s="2"/>
      <c r="C277" s="3"/>
      <c r="D277" s="2"/>
      <c r="E277" s="4"/>
      <c r="F277" s="5"/>
      <c r="G277" s="6"/>
      <c r="H277" s="2"/>
      <c r="I277" s="7"/>
      <c r="J277" s="8"/>
      <c r="K277" s="3"/>
      <c r="L277" s="3"/>
    </row>
    <row r="278" ht="21.75" customHeight="1">
      <c r="A278" s="2"/>
      <c r="B278" s="2"/>
      <c r="C278" s="3"/>
      <c r="D278" s="2"/>
      <c r="E278" s="4"/>
      <c r="F278" s="5"/>
      <c r="G278" s="6"/>
      <c r="H278" s="2"/>
      <c r="I278" s="7"/>
      <c r="J278" s="8"/>
      <c r="K278" s="3"/>
      <c r="L278" s="3"/>
    </row>
    <row r="279" ht="21.75" customHeight="1">
      <c r="A279" s="2"/>
      <c r="B279" s="2"/>
      <c r="C279" s="3"/>
      <c r="D279" s="2"/>
      <c r="E279" s="4"/>
      <c r="F279" s="5"/>
      <c r="G279" s="6"/>
      <c r="H279" s="2"/>
      <c r="I279" s="7"/>
      <c r="J279" s="8"/>
      <c r="K279" s="3"/>
      <c r="L279" s="3"/>
    </row>
    <row r="280" ht="21.75" customHeight="1">
      <c r="A280" s="2"/>
      <c r="B280" s="2"/>
      <c r="C280" s="3"/>
      <c r="D280" s="2"/>
      <c r="E280" s="4"/>
      <c r="F280" s="5"/>
      <c r="G280" s="6"/>
      <c r="H280" s="2"/>
      <c r="I280" s="7"/>
      <c r="J280" s="8"/>
      <c r="K280" s="3"/>
      <c r="L280" s="3"/>
    </row>
    <row r="281" ht="21.75" customHeight="1">
      <c r="A281" s="2"/>
      <c r="B281" s="2"/>
      <c r="C281" s="3"/>
      <c r="D281" s="2"/>
      <c r="E281" s="4"/>
      <c r="F281" s="5"/>
      <c r="G281" s="6"/>
      <c r="H281" s="2"/>
      <c r="I281" s="7"/>
      <c r="J281" s="8"/>
      <c r="K281" s="3"/>
      <c r="L281" s="3"/>
    </row>
    <row r="282" ht="21.75" customHeight="1">
      <c r="A282" s="2"/>
      <c r="B282" s="2"/>
      <c r="C282" s="3"/>
      <c r="D282" s="2"/>
      <c r="E282" s="4"/>
      <c r="F282" s="5"/>
      <c r="G282" s="6"/>
      <c r="H282" s="2"/>
      <c r="I282" s="7"/>
      <c r="J282" s="8"/>
      <c r="K282" s="3"/>
      <c r="L282" s="3"/>
    </row>
    <row r="283" ht="21.75" customHeight="1">
      <c r="A283" s="2"/>
      <c r="B283" s="2"/>
      <c r="C283" s="3"/>
      <c r="D283" s="2"/>
      <c r="E283" s="4"/>
      <c r="F283" s="5"/>
      <c r="G283" s="6"/>
      <c r="H283" s="2"/>
      <c r="I283" s="7"/>
      <c r="J283" s="8"/>
      <c r="K283" s="3"/>
      <c r="L283" s="3"/>
    </row>
    <row r="284" ht="21.75" customHeight="1">
      <c r="A284" s="2"/>
      <c r="B284" s="2"/>
      <c r="C284" s="3"/>
      <c r="D284" s="2"/>
      <c r="E284" s="4"/>
      <c r="F284" s="5"/>
      <c r="G284" s="6"/>
      <c r="H284" s="2"/>
      <c r="I284" s="7"/>
      <c r="J284" s="8"/>
      <c r="K284" s="3"/>
      <c r="L284" s="3"/>
    </row>
    <row r="285" ht="21.75" customHeight="1">
      <c r="A285" s="2"/>
      <c r="B285" s="2"/>
      <c r="C285" s="3"/>
      <c r="D285" s="2"/>
      <c r="E285" s="4"/>
      <c r="F285" s="5"/>
      <c r="G285" s="6"/>
      <c r="H285" s="2"/>
      <c r="I285" s="7"/>
      <c r="J285" s="8"/>
      <c r="K285" s="3"/>
      <c r="L285" s="3"/>
    </row>
    <row r="286" ht="21.75" customHeight="1">
      <c r="A286" s="2"/>
      <c r="B286" s="2"/>
      <c r="C286" s="3"/>
      <c r="D286" s="2"/>
      <c r="E286" s="4"/>
      <c r="F286" s="5"/>
      <c r="G286" s="6"/>
      <c r="H286" s="2"/>
      <c r="I286" s="7"/>
      <c r="J286" s="8"/>
      <c r="K286" s="3"/>
      <c r="L286" s="3"/>
    </row>
    <row r="287" ht="21.75" customHeight="1">
      <c r="A287" s="2"/>
      <c r="B287" s="2"/>
      <c r="C287" s="3"/>
      <c r="D287" s="2"/>
      <c r="E287" s="4"/>
      <c r="F287" s="5"/>
      <c r="G287" s="6"/>
      <c r="H287" s="2"/>
      <c r="I287" s="7"/>
      <c r="J287" s="8"/>
      <c r="K287" s="3"/>
      <c r="L287" s="3"/>
    </row>
    <row r="288" ht="21.75" customHeight="1">
      <c r="A288" s="2"/>
      <c r="B288" s="2"/>
      <c r="C288" s="3"/>
      <c r="D288" s="2"/>
      <c r="E288" s="4"/>
      <c r="F288" s="5"/>
      <c r="G288" s="6"/>
      <c r="H288" s="2"/>
      <c r="I288" s="7"/>
      <c r="J288" s="8"/>
      <c r="K288" s="3"/>
      <c r="L288" s="3"/>
    </row>
    <row r="289" ht="21.75" customHeight="1">
      <c r="A289" s="2"/>
      <c r="B289" s="2"/>
      <c r="C289" s="3"/>
      <c r="D289" s="2"/>
      <c r="E289" s="4"/>
      <c r="F289" s="5"/>
      <c r="G289" s="6"/>
      <c r="H289" s="2"/>
      <c r="I289" s="7"/>
      <c r="J289" s="8"/>
      <c r="K289" s="3"/>
      <c r="L289" s="3"/>
    </row>
    <row r="290" ht="21.75" customHeight="1">
      <c r="A290" s="2"/>
      <c r="B290" s="2"/>
      <c r="C290" s="3"/>
      <c r="D290" s="2"/>
      <c r="E290" s="4"/>
      <c r="F290" s="5"/>
      <c r="G290" s="6"/>
      <c r="H290" s="2"/>
      <c r="I290" s="7"/>
      <c r="J290" s="8"/>
      <c r="K290" s="3"/>
      <c r="L290" s="3"/>
    </row>
    <row r="291" ht="21.75" customHeight="1">
      <c r="A291" s="2"/>
      <c r="B291" s="2"/>
      <c r="C291" s="3"/>
      <c r="D291" s="2"/>
      <c r="E291" s="4"/>
      <c r="F291" s="5"/>
      <c r="G291" s="6"/>
      <c r="H291" s="2"/>
      <c r="I291" s="7"/>
      <c r="J291" s="8"/>
      <c r="K291" s="3"/>
      <c r="L291" s="3"/>
    </row>
    <row r="292" ht="21.75" customHeight="1">
      <c r="A292" s="2"/>
      <c r="B292" s="2"/>
      <c r="C292" s="3"/>
      <c r="D292" s="2"/>
      <c r="E292" s="4"/>
      <c r="F292" s="5"/>
      <c r="G292" s="6"/>
      <c r="H292" s="2"/>
      <c r="I292" s="7"/>
      <c r="J292" s="8"/>
      <c r="K292" s="3"/>
      <c r="L292" s="3"/>
    </row>
    <row r="293" ht="21.75" customHeight="1">
      <c r="A293" s="2"/>
      <c r="B293" s="2"/>
      <c r="C293" s="3"/>
      <c r="D293" s="2"/>
      <c r="E293" s="4"/>
      <c r="F293" s="5"/>
      <c r="G293" s="6"/>
      <c r="H293" s="2"/>
      <c r="I293" s="7"/>
      <c r="J293" s="8"/>
      <c r="K293" s="3"/>
      <c r="L293" s="3"/>
    </row>
    <row r="294" ht="21.75" customHeight="1">
      <c r="A294" s="2"/>
      <c r="B294" s="2"/>
      <c r="C294" s="3"/>
      <c r="D294" s="2"/>
      <c r="E294" s="4"/>
      <c r="F294" s="5"/>
      <c r="G294" s="6"/>
      <c r="H294" s="2"/>
      <c r="I294" s="7"/>
      <c r="J294" s="8"/>
      <c r="K294" s="3"/>
      <c r="L294" s="3"/>
    </row>
    <row r="295" ht="21.75" customHeight="1">
      <c r="A295" s="2"/>
      <c r="B295" s="2"/>
      <c r="C295" s="3"/>
      <c r="D295" s="2"/>
      <c r="E295" s="4"/>
      <c r="F295" s="5"/>
      <c r="G295" s="6"/>
      <c r="H295" s="2"/>
      <c r="I295" s="7"/>
      <c r="J295" s="8"/>
      <c r="K295" s="3"/>
      <c r="L295" s="3"/>
    </row>
    <row r="296" ht="21.75" customHeight="1">
      <c r="A296" s="2"/>
      <c r="B296" s="2"/>
      <c r="C296" s="3"/>
      <c r="D296" s="2"/>
      <c r="E296" s="4"/>
      <c r="F296" s="5"/>
      <c r="G296" s="6"/>
      <c r="H296" s="2"/>
      <c r="I296" s="7"/>
      <c r="J296" s="8"/>
      <c r="K296" s="3"/>
      <c r="L296" s="3"/>
    </row>
    <row r="297" ht="21.75" customHeight="1">
      <c r="A297" s="2"/>
      <c r="B297" s="2"/>
      <c r="C297" s="3"/>
      <c r="D297" s="2"/>
      <c r="E297" s="4"/>
      <c r="F297" s="5"/>
      <c r="G297" s="6"/>
      <c r="H297" s="2"/>
      <c r="I297" s="7"/>
      <c r="J297" s="8"/>
      <c r="K297" s="3"/>
      <c r="L297" s="3"/>
    </row>
    <row r="298" ht="21.75" customHeight="1">
      <c r="A298" s="2"/>
      <c r="B298" s="2"/>
      <c r="C298" s="3"/>
      <c r="D298" s="2"/>
      <c r="E298" s="4"/>
      <c r="F298" s="5"/>
      <c r="G298" s="6"/>
      <c r="H298" s="2"/>
      <c r="I298" s="7"/>
      <c r="J298" s="8"/>
      <c r="K298" s="3"/>
      <c r="L298" s="3"/>
    </row>
    <row r="299" ht="21.75" customHeight="1">
      <c r="A299" s="2"/>
      <c r="B299" s="2"/>
      <c r="C299" s="3"/>
      <c r="D299" s="2"/>
      <c r="E299" s="4"/>
      <c r="F299" s="5"/>
      <c r="G299" s="6"/>
      <c r="H299" s="2"/>
      <c r="I299" s="7"/>
      <c r="J299" s="8"/>
      <c r="K299" s="3"/>
      <c r="L299" s="3"/>
    </row>
    <row r="300" ht="21.75" customHeight="1">
      <c r="A300" s="2"/>
      <c r="B300" s="2"/>
      <c r="C300" s="3"/>
      <c r="D300" s="2"/>
      <c r="E300" s="4"/>
      <c r="F300" s="5"/>
      <c r="G300" s="6"/>
      <c r="H300" s="2"/>
      <c r="I300" s="7"/>
      <c r="J300" s="8"/>
      <c r="K300" s="3"/>
      <c r="L300" s="3"/>
    </row>
    <row r="301" ht="21.75" customHeight="1">
      <c r="A301" s="2"/>
      <c r="B301" s="2"/>
      <c r="C301" s="3"/>
      <c r="D301" s="2"/>
      <c r="E301" s="4"/>
      <c r="F301" s="5"/>
      <c r="G301" s="6"/>
      <c r="H301" s="2"/>
      <c r="I301" s="7"/>
      <c r="J301" s="8"/>
      <c r="K301" s="3"/>
      <c r="L301" s="3"/>
    </row>
    <row r="302" ht="21.75" customHeight="1">
      <c r="A302" s="2"/>
      <c r="B302" s="2"/>
      <c r="C302" s="3"/>
      <c r="D302" s="2"/>
      <c r="E302" s="4"/>
      <c r="F302" s="5"/>
      <c r="G302" s="6"/>
      <c r="H302" s="2"/>
      <c r="I302" s="7"/>
      <c r="J302" s="8"/>
      <c r="K302" s="3"/>
      <c r="L302" s="3"/>
    </row>
    <row r="303" ht="21.75" customHeight="1">
      <c r="A303" s="2"/>
      <c r="B303" s="2"/>
      <c r="C303" s="3"/>
      <c r="D303" s="2"/>
      <c r="E303" s="4"/>
      <c r="F303" s="5"/>
      <c r="G303" s="6"/>
      <c r="H303" s="2"/>
      <c r="I303" s="7"/>
      <c r="J303" s="8"/>
      <c r="K303" s="3"/>
      <c r="L303" s="3"/>
    </row>
    <row r="304" ht="21.75" customHeight="1">
      <c r="A304" s="2"/>
      <c r="B304" s="2"/>
      <c r="C304" s="3"/>
      <c r="D304" s="2"/>
      <c r="E304" s="4"/>
      <c r="F304" s="5"/>
      <c r="G304" s="6"/>
      <c r="H304" s="2"/>
      <c r="I304" s="7"/>
      <c r="J304" s="8"/>
      <c r="K304" s="3"/>
      <c r="L304" s="3"/>
    </row>
    <row r="305" ht="21.75" customHeight="1">
      <c r="A305" s="2"/>
      <c r="B305" s="2"/>
      <c r="C305" s="3"/>
      <c r="D305" s="2"/>
      <c r="E305" s="4"/>
      <c r="F305" s="5"/>
      <c r="G305" s="6"/>
      <c r="H305" s="2"/>
      <c r="I305" s="7"/>
      <c r="J305" s="8"/>
      <c r="K305" s="3"/>
      <c r="L305" s="3"/>
    </row>
    <row r="306" ht="21.75" customHeight="1">
      <c r="A306" s="2"/>
      <c r="B306" s="2"/>
      <c r="C306" s="3"/>
      <c r="D306" s="2"/>
      <c r="E306" s="4"/>
      <c r="F306" s="5"/>
      <c r="G306" s="6"/>
      <c r="H306" s="2"/>
      <c r="I306" s="7"/>
      <c r="J306" s="8"/>
      <c r="K306" s="3"/>
      <c r="L306" s="3"/>
    </row>
    <row r="307" ht="21.75" customHeight="1">
      <c r="A307" s="2"/>
      <c r="B307" s="2"/>
      <c r="C307" s="3"/>
      <c r="D307" s="2"/>
      <c r="E307" s="4"/>
      <c r="F307" s="5"/>
      <c r="G307" s="6"/>
      <c r="H307" s="2"/>
      <c r="I307" s="7"/>
      <c r="J307" s="8"/>
      <c r="K307" s="3"/>
      <c r="L307" s="3"/>
    </row>
    <row r="308" ht="21.75" customHeight="1">
      <c r="A308" s="2"/>
      <c r="B308" s="2"/>
      <c r="C308" s="3"/>
      <c r="D308" s="2"/>
      <c r="E308" s="4"/>
      <c r="F308" s="5"/>
      <c r="G308" s="6"/>
      <c r="H308" s="2"/>
      <c r="I308" s="7"/>
      <c r="J308" s="8"/>
      <c r="K308" s="3"/>
      <c r="L308" s="3"/>
    </row>
    <row r="309" ht="21.75" customHeight="1">
      <c r="A309" s="2"/>
      <c r="B309" s="2"/>
      <c r="C309" s="3"/>
      <c r="D309" s="2"/>
      <c r="E309" s="4"/>
      <c r="F309" s="5"/>
      <c r="G309" s="6"/>
      <c r="H309" s="2"/>
      <c r="I309" s="7"/>
      <c r="J309" s="8"/>
      <c r="K309" s="3"/>
      <c r="L309" s="3"/>
    </row>
    <row r="310" ht="21.75" customHeight="1">
      <c r="A310" s="2"/>
      <c r="B310" s="2"/>
      <c r="C310" s="3"/>
      <c r="D310" s="2"/>
      <c r="E310" s="4"/>
      <c r="F310" s="5"/>
      <c r="G310" s="6"/>
      <c r="H310" s="2"/>
      <c r="I310" s="7"/>
      <c r="J310" s="8"/>
      <c r="K310" s="3"/>
      <c r="L310" s="3"/>
    </row>
    <row r="311" ht="21.75" customHeight="1">
      <c r="A311" s="2"/>
      <c r="B311" s="2"/>
      <c r="C311" s="3"/>
      <c r="D311" s="2"/>
      <c r="E311" s="4"/>
      <c r="F311" s="5"/>
      <c r="G311" s="6"/>
      <c r="H311" s="2"/>
      <c r="I311" s="7"/>
      <c r="J311" s="8"/>
      <c r="K311" s="3"/>
      <c r="L311" s="3"/>
    </row>
    <row r="312" ht="21.75" customHeight="1">
      <c r="A312" s="2"/>
      <c r="B312" s="2"/>
      <c r="C312" s="3"/>
      <c r="D312" s="2"/>
      <c r="E312" s="4"/>
      <c r="F312" s="5"/>
      <c r="G312" s="6"/>
      <c r="H312" s="2"/>
      <c r="I312" s="7"/>
      <c r="J312" s="8"/>
      <c r="K312" s="3"/>
      <c r="L312" s="3"/>
    </row>
    <row r="313" ht="21.75" customHeight="1">
      <c r="A313" s="2"/>
      <c r="B313" s="2"/>
      <c r="C313" s="3"/>
      <c r="D313" s="2"/>
      <c r="E313" s="4"/>
      <c r="F313" s="5"/>
      <c r="G313" s="6"/>
      <c r="H313" s="2"/>
      <c r="I313" s="7"/>
      <c r="J313" s="8"/>
      <c r="K313" s="3"/>
      <c r="L313" s="3"/>
    </row>
    <row r="314" ht="21.75" customHeight="1">
      <c r="A314" s="2"/>
      <c r="B314" s="2"/>
      <c r="C314" s="3"/>
      <c r="D314" s="2"/>
      <c r="E314" s="4"/>
      <c r="F314" s="5"/>
      <c r="G314" s="6"/>
      <c r="H314" s="2"/>
      <c r="I314" s="7"/>
      <c r="J314" s="8"/>
      <c r="K314" s="3"/>
      <c r="L314" s="3"/>
    </row>
    <row r="315" ht="21.75" customHeight="1">
      <c r="A315" s="2"/>
      <c r="B315" s="2"/>
      <c r="C315" s="3"/>
      <c r="D315" s="2"/>
      <c r="E315" s="4"/>
      <c r="F315" s="5"/>
      <c r="G315" s="6"/>
      <c r="H315" s="2"/>
      <c r="I315" s="7"/>
      <c r="J315" s="8"/>
      <c r="K315" s="3"/>
      <c r="L315" s="3"/>
    </row>
    <row r="316" ht="21.75" customHeight="1">
      <c r="A316" s="2"/>
      <c r="B316" s="2"/>
      <c r="C316" s="3"/>
      <c r="D316" s="2"/>
      <c r="E316" s="4"/>
      <c r="F316" s="5"/>
      <c r="G316" s="6"/>
      <c r="H316" s="2"/>
      <c r="I316" s="7"/>
      <c r="J316" s="8"/>
      <c r="K316" s="3"/>
      <c r="L316" s="3"/>
    </row>
    <row r="317" ht="21.75" customHeight="1">
      <c r="A317" s="2"/>
      <c r="B317" s="2"/>
      <c r="C317" s="3"/>
      <c r="D317" s="2"/>
      <c r="E317" s="4"/>
      <c r="F317" s="5"/>
      <c r="G317" s="6"/>
      <c r="H317" s="2"/>
      <c r="I317" s="7"/>
      <c r="J317" s="8"/>
      <c r="K317" s="3"/>
      <c r="L317" s="3"/>
    </row>
    <row r="318" ht="21.75" customHeight="1">
      <c r="A318" s="2"/>
      <c r="B318" s="2"/>
      <c r="C318" s="3"/>
      <c r="D318" s="2"/>
      <c r="E318" s="4"/>
      <c r="F318" s="5"/>
      <c r="G318" s="6"/>
      <c r="H318" s="2"/>
      <c r="I318" s="7"/>
      <c r="J318" s="8"/>
      <c r="K318" s="3"/>
      <c r="L318" s="3"/>
    </row>
    <row r="319" ht="21.75" customHeight="1">
      <c r="A319" s="2"/>
      <c r="B319" s="2"/>
      <c r="C319" s="3"/>
      <c r="D319" s="2"/>
      <c r="E319" s="4"/>
      <c r="F319" s="5"/>
      <c r="G319" s="6"/>
      <c r="H319" s="2"/>
      <c r="I319" s="7"/>
      <c r="J319" s="8"/>
      <c r="K319" s="3"/>
      <c r="L319" s="3"/>
    </row>
    <row r="320" ht="21.75" customHeight="1">
      <c r="A320" s="2"/>
      <c r="B320" s="2"/>
      <c r="C320" s="3"/>
      <c r="D320" s="2"/>
      <c r="E320" s="4"/>
      <c r="F320" s="5"/>
      <c r="G320" s="6"/>
      <c r="H320" s="2"/>
      <c r="I320" s="7"/>
      <c r="J320" s="8"/>
      <c r="K320" s="3"/>
      <c r="L320" s="3"/>
    </row>
    <row r="321" ht="21.75" customHeight="1">
      <c r="A321" s="2"/>
      <c r="B321" s="2"/>
      <c r="C321" s="3"/>
      <c r="D321" s="2"/>
      <c r="E321" s="4"/>
      <c r="F321" s="5"/>
      <c r="G321" s="6"/>
      <c r="H321" s="2"/>
      <c r="I321" s="7"/>
      <c r="J321" s="8"/>
      <c r="K321" s="3"/>
      <c r="L321" s="3"/>
    </row>
    <row r="322" ht="21.75" customHeight="1">
      <c r="A322" s="2"/>
      <c r="B322" s="2"/>
      <c r="C322" s="3"/>
      <c r="D322" s="2"/>
      <c r="E322" s="4"/>
      <c r="F322" s="5"/>
      <c r="G322" s="6"/>
      <c r="H322" s="2"/>
      <c r="I322" s="7"/>
      <c r="J322" s="8"/>
      <c r="K322" s="3"/>
      <c r="L322" s="3"/>
    </row>
    <row r="323" ht="21.75" customHeight="1">
      <c r="A323" s="2"/>
      <c r="B323" s="2"/>
      <c r="C323" s="3"/>
      <c r="D323" s="2"/>
      <c r="E323" s="4"/>
      <c r="F323" s="5"/>
      <c r="G323" s="6"/>
      <c r="H323" s="2"/>
      <c r="I323" s="7"/>
      <c r="J323" s="8"/>
      <c r="K323" s="3"/>
      <c r="L323" s="3"/>
    </row>
    <row r="324" ht="21.75" customHeight="1">
      <c r="A324" s="2"/>
      <c r="B324" s="2"/>
      <c r="C324" s="3"/>
      <c r="D324" s="2"/>
      <c r="E324" s="4"/>
      <c r="F324" s="5"/>
      <c r="G324" s="6"/>
      <c r="H324" s="2"/>
      <c r="I324" s="7"/>
      <c r="J324" s="8"/>
      <c r="K324" s="3"/>
      <c r="L324" s="3"/>
    </row>
    <row r="325" ht="21.75" customHeight="1">
      <c r="A325" s="2"/>
      <c r="B325" s="2"/>
      <c r="C325" s="3"/>
      <c r="D325" s="2"/>
      <c r="E325" s="4"/>
      <c r="F325" s="5"/>
      <c r="G325" s="6"/>
      <c r="H325" s="2"/>
      <c r="I325" s="7"/>
      <c r="J325" s="8"/>
      <c r="K325" s="3"/>
      <c r="L325" s="3"/>
    </row>
    <row r="326" ht="21.75" customHeight="1">
      <c r="A326" s="2"/>
      <c r="B326" s="2"/>
      <c r="C326" s="3"/>
      <c r="D326" s="2"/>
      <c r="E326" s="4"/>
      <c r="F326" s="5"/>
      <c r="G326" s="6"/>
      <c r="H326" s="2"/>
      <c r="I326" s="7"/>
      <c r="J326" s="8"/>
      <c r="K326" s="3"/>
      <c r="L326" s="3"/>
    </row>
    <row r="327" ht="21.75" customHeight="1">
      <c r="A327" s="2"/>
      <c r="B327" s="2"/>
      <c r="C327" s="3"/>
      <c r="D327" s="2"/>
      <c r="E327" s="4"/>
      <c r="F327" s="5"/>
      <c r="G327" s="6"/>
      <c r="H327" s="2"/>
      <c r="I327" s="7"/>
      <c r="J327" s="8"/>
      <c r="K327" s="3"/>
      <c r="L327" s="3"/>
    </row>
    <row r="328" ht="21.75" customHeight="1">
      <c r="A328" s="2"/>
      <c r="B328" s="2"/>
      <c r="C328" s="3"/>
      <c r="D328" s="2"/>
      <c r="E328" s="4"/>
      <c r="F328" s="5"/>
      <c r="G328" s="6"/>
      <c r="H328" s="2"/>
      <c r="I328" s="7"/>
      <c r="J328" s="8"/>
      <c r="K328" s="3"/>
      <c r="L328" s="3"/>
    </row>
    <row r="329" ht="21.75" customHeight="1">
      <c r="A329" s="2"/>
      <c r="B329" s="2"/>
      <c r="C329" s="3"/>
      <c r="D329" s="2"/>
      <c r="E329" s="4"/>
      <c r="F329" s="5"/>
      <c r="G329" s="6"/>
      <c r="H329" s="2"/>
      <c r="I329" s="7"/>
      <c r="J329" s="8"/>
      <c r="K329" s="3"/>
      <c r="L329" s="3"/>
    </row>
    <row r="330" ht="21.75" customHeight="1">
      <c r="A330" s="2"/>
      <c r="B330" s="2"/>
      <c r="C330" s="3"/>
      <c r="D330" s="2"/>
      <c r="E330" s="4"/>
      <c r="F330" s="5"/>
      <c r="G330" s="6"/>
      <c r="H330" s="2"/>
      <c r="I330" s="7"/>
      <c r="J330" s="8"/>
      <c r="K330" s="3"/>
      <c r="L330" s="3"/>
    </row>
    <row r="331" ht="21.75" customHeight="1">
      <c r="A331" s="2"/>
      <c r="B331" s="2"/>
      <c r="C331" s="3"/>
      <c r="D331" s="2"/>
      <c r="E331" s="4"/>
      <c r="F331" s="5"/>
      <c r="G331" s="6"/>
      <c r="H331" s="2"/>
      <c r="I331" s="7"/>
      <c r="J331" s="8"/>
      <c r="K331" s="3"/>
      <c r="L331" s="3"/>
    </row>
    <row r="332" ht="21.75" customHeight="1">
      <c r="A332" s="2"/>
      <c r="B332" s="2"/>
      <c r="C332" s="3"/>
      <c r="D332" s="2"/>
      <c r="E332" s="4"/>
      <c r="F332" s="5"/>
      <c r="G332" s="6"/>
      <c r="H332" s="2"/>
      <c r="I332" s="7"/>
      <c r="J332" s="8"/>
      <c r="K332" s="3"/>
      <c r="L332" s="3"/>
    </row>
    <row r="333" ht="21.75" customHeight="1">
      <c r="A333" s="2"/>
      <c r="B333" s="2"/>
      <c r="C333" s="3"/>
      <c r="D333" s="2"/>
      <c r="E333" s="4"/>
      <c r="F333" s="5"/>
      <c r="G333" s="6"/>
      <c r="H333" s="2"/>
      <c r="I333" s="7"/>
      <c r="J333" s="8"/>
      <c r="K333" s="3"/>
      <c r="L333" s="3"/>
    </row>
    <row r="334" ht="21.75" customHeight="1">
      <c r="A334" s="2"/>
      <c r="B334" s="2"/>
      <c r="C334" s="3"/>
      <c r="D334" s="2"/>
      <c r="E334" s="4"/>
      <c r="F334" s="5"/>
      <c r="G334" s="6"/>
      <c r="H334" s="2"/>
      <c r="I334" s="7"/>
      <c r="J334" s="8"/>
      <c r="K334" s="3"/>
      <c r="L334" s="3"/>
    </row>
    <row r="335" ht="21.75" customHeight="1">
      <c r="A335" s="2"/>
      <c r="B335" s="2"/>
      <c r="C335" s="3"/>
      <c r="D335" s="2"/>
      <c r="E335" s="4"/>
      <c r="F335" s="5"/>
      <c r="G335" s="6"/>
      <c r="H335" s="2"/>
      <c r="I335" s="7"/>
      <c r="J335" s="8"/>
      <c r="K335" s="3"/>
      <c r="L335" s="3"/>
    </row>
    <row r="336" ht="21.75" customHeight="1">
      <c r="A336" s="2"/>
      <c r="B336" s="2"/>
      <c r="C336" s="3"/>
      <c r="D336" s="2"/>
      <c r="E336" s="4"/>
      <c r="F336" s="5"/>
      <c r="G336" s="6"/>
      <c r="H336" s="2"/>
      <c r="I336" s="7"/>
      <c r="J336" s="8"/>
      <c r="K336" s="3"/>
      <c r="L336" s="3"/>
    </row>
    <row r="337" ht="21.75" customHeight="1">
      <c r="A337" s="2"/>
      <c r="B337" s="2"/>
      <c r="C337" s="3"/>
      <c r="D337" s="2"/>
      <c r="E337" s="4"/>
      <c r="F337" s="5"/>
      <c r="G337" s="6"/>
      <c r="H337" s="2"/>
      <c r="I337" s="7"/>
      <c r="J337" s="8"/>
      <c r="K337" s="3"/>
      <c r="L337" s="3"/>
    </row>
    <row r="338" ht="21.75" customHeight="1">
      <c r="A338" s="2"/>
      <c r="B338" s="2"/>
      <c r="C338" s="3"/>
      <c r="D338" s="2"/>
      <c r="E338" s="4"/>
      <c r="F338" s="5"/>
      <c r="G338" s="6"/>
      <c r="H338" s="2"/>
      <c r="I338" s="7"/>
      <c r="J338" s="8"/>
      <c r="K338" s="3"/>
      <c r="L338" s="3"/>
    </row>
    <row r="339" ht="21.75" customHeight="1">
      <c r="A339" s="2"/>
      <c r="B339" s="2"/>
      <c r="C339" s="3"/>
      <c r="D339" s="2"/>
      <c r="E339" s="4"/>
      <c r="F339" s="5"/>
      <c r="G339" s="6"/>
      <c r="H339" s="2"/>
      <c r="I339" s="7"/>
      <c r="J339" s="8"/>
      <c r="K339" s="3"/>
      <c r="L339" s="3"/>
    </row>
    <row r="340" ht="21.75" customHeight="1">
      <c r="A340" s="2"/>
      <c r="B340" s="2"/>
      <c r="C340" s="3"/>
      <c r="D340" s="2"/>
      <c r="E340" s="4"/>
      <c r="F340" s="5"/>
      <c r="G340" s="6"/>
      <c r="H340" s="2"/>
      <c r="I340" s="7"/>
      <c r="J340" s="8"/>
      <c r="K340" s="3"/>
      <c r="L340" s="3"/>
    </row>
    <row r="341" ht="21.75" customHeight="1">
      <c r="A341" s="2"/>
      <c r="B341" s="2"/>
      <c r="C341" s="3"/>
      <c r="D341" s="2"/>
      <c r="E341" s="4"/>
      <c r="F341" s="5"/>
      <c r="G341" s="6"/>
      <c r="H341" s="2"/>
      <c r="I341" s="7"/>
      <c r="J341" s="8"/>
      <c r="K341" s="3"/>
      <c r="L341" s="3"/>
    </row>
    <row r="342" ht="21.75" customHeight="1">
      <c r="A342" s="2"/>
      <c r="B342" s="2"/>
      <c r="C342" s="3"/>
      <c r="D342" s="2"/>
      <c r="E342" s="4"/>
      <c r="F342" s="5"/>
      <c r="G342" s="6"/>
      <c r="H342" s="2"/>
      <c r="I342" s="7"/>
      <c r="J342" s="8"/>
      <c r="K342" s="3"/>
      <c r="L342" s="3"/>
    </row>
    <row r="343" ht="21.75" customHeight="1">
      <c r="A343" s="2"/>
      <c r="B343" s="2"/>
      <c r="C343" s="3"/>
      <c r="D343" s="2"/>
      <c r="E343" s="4"/>
      <c r="F343" s="5"/>
      <c r="G343" s="6"/>
      <c r="H343" s="2"/>
      <c r="I343" s="7"/>
      <c r="J343" s="8"/>
      <c r="K343" s="3"/>
      <c r="L343" s="3"/>
    </row>
    <row r="344" ht="21.75" customHeight="1">
      <c r="A344" s="2"/>
      <c r="B344" s="2"/>
      <c r="C344" s="3"/>
      <c r="D344" s="2"/>
      <c r="E344" s="4"/>
      <c r="F344" s="5"/>
      <c r="G344" s="6"/>
      <c r="H344" s="2"/>
      <c r="I344" s="7"/>
      <c r="J344" s="8"/>
      <c r="K344" s="3"/>
      <c r="L344" s="3"/>
    </row>
    <row r="345" ht="21.75" customHeight="1">
      <c r="A345" s="2"/>
      <c r="B345" s="2"/>
      <c r="C345" s="3"/>
      <c r="D345" s="2"/>
      <c r="E345" s="4"/>
      <c r="F345" s="5"/>
      <c r="G345" s="6"/>
      <c r="H345" s="2"/>
      <c r="I345" s="7"/>
      <c r="J345" s="8"/>
      <c r="K345" s="3"/>
      <c r="L345" s="3"/>
    </row>
    <row r="346" ht="21.75" customHeight="1">
      <c r="A346" s="2"/>
      <c r="B346" s="2"/>
      <c r="C346" s="3"/>
      <c r="D346" s="2"/>
      <c r="E346" s="4"/>
      <c r="F346" s="5"/>
      <c r="G346" s="6"/>
      <c r="H346" s="2"/>
      <c r="I346" s="7"/>
      <c r="J346" s="8"/>
      <c r="K346" s="3"/>
      <c r="L346" s="3"/>
    </row>
    <row r="347" ht="21.75" customHeight="1">
      <c r="A347" s="2"/>
      <c r="B347" s="2"/>
      <c r="C347" s="3"/>
      <c r="D347" s="2"/>
      <c r="E347" s="4"/>
      <c r="F347" s="5"/>
      <c r="G347" s="6"/>
      <c r="H347" s="2"/>
      <c r="I347" s="7"/>
      <c r="J347" s="8"/>
      <c r="K347" s="3"/>
      <c r="L347" s="3"/>
    </row>
    <row r="348" ht="21.75" customHeight="1">
      <c r="A348" s="2"/>
      <c r="B348" s="2"/>
      <c r="C348" s="3"/>
      <c r="D348" s="2"/>
      <c r="E348" s="4"/>
      <c r="F348" s="5"/>
      <c r="G348" s="6"/>
      <c r="H348" s="2"/>
      <c r="I348" s="7"/>
      <c r="J348" s="8"/>
      <c r="K348" s="3"/>
      <c r="L348" s="3"/>
    </row>
    <row r="349" ht="21.75" customHeight="1">
      <c r="A349" s="2"/>
      <c r="B349" s="2"/>
      <c r="C349" s="3"/>
      <c r="D349" s="2"/>
      <c r="E349" s="4"/>
      <c r="F349" s="5"/>
      <c r="G349" s="6"/>
      <c r="H349" s="2"/>
      <c r="I349" s="7"/>
      <c r="J349" s="8"/>
      <c r="K349" s="3"/>
      <c r="L349" s="3"/>
    </row>
    <row r="350" ht="21.75" customHeight="1">
      <c r="A350" s="2"/>
      <c r="B350" s="2"/>
      <c r="C350" s="3"/>
      <c r="D350" s="2"/>
      <c r="E350" s="4"/>
      <c r="F350" s="5"/>
      <c r="G350" s="6"/>
      <c r="H350" s="2"/>
      <c r="I350" s="7"/>
      <c r="J350" s="8"/>
      <c r="K350" s="3"/>
      <c r="L350" s="3"/>
    </row>
    <row r="351" ht="21.75" customHeight="1">
      <c r="A351" s="2"/>
      <c r="B351" s="2"/>
      <c r="C351" s="3"/>
      <c r="D351" s="2"/>
      <c r="E351" s="4"/>
      <c r="F351" s="5"/>
      <c r="G351" s="6"/>
      <c r="H351" s="2"/>
      <c r="I351" s="7"/>
      <c r="J351" s="8"/>
      <c r="K351" s="3"/>
      <c r="L351" s="3"/>
    </row>
    <row r="352" ht="21.75" customHeight="1">
      <c r="A352" s="2"/>
      <c r="B352" s="2"/>
      <c r="C352" s="3"/>
      <c r="D352" s="2"/>
      <c r="E352" s="4"/>
      <c r="F352" s="5"/>
      <c r="G352" s="6"/>
      <c r="H352" s="2"/>
      <c r="I352" s="7"/>
      <c r="J352" s="8"/>
      <c r="K352" s="3"/>
      <c r="L352" s="3"/>
    </row>
    <row r="353" ht="21.75" customHeight="1">
      <c r="A353" s="2"/>
      <c r="B353" s="2"/>
      <c r="C353" s="3"/>
      <c r="D353" s="2"/>
      <c r="E353" s="4"/>
      <c r="F353" s="5"/>
      <c r="G353" s="6"/>
      <c r="H353" s="2"/>
      <c r="I353" s="7"/>
      <c r="J353" s="8"/>
      <c r="K353" s="3"/>
      <c r="L353" s="3"/>
    </row>
    <row r="354" ht="21.75" customHeight="1">
      <c r="A354" s="2"/>
      <c r="B354" s="2"/>
      <c r="C354" s="3"/>
      <c r="D354" s="2"/>
      <c r="E354" s="4"/>
      <c r="F354" s="5"/>
      <c r="G354" s="6"/>
      <c r="H354" s="2"/>
      <c r="I354" s="7"/>
      <c r="J354" s="8"/>
      <c r="K354" s="3"/>
      <c r="L354" s="3"/>
    </row>
    <row r="355" ht="21.75" customHeight="1">
      <c r="A355" s="2"/>
      <c r="B355" s="2"/>
      <c r="C355" s="3"/>
      <c r="D355" s="2"/>
      <c r="E355" s="4"/>
      <c r="F355" s="5"/>
      <c r="G355" s="6"/>
      <c r="H355" s="2"/>
      <c r="I355" s="7"/>
      <c r="J355" s="8"/>
      <c r="K355" s="3"/>
      <c r="L355" s="3"/>
    </row>
    <row r="356" ht="21.75" customHeight="1">
      <c r="A356" s="2"/>
      <c r="B356" s="2"/>
      <c r="C356" s="3"/>
      <c r="D356" s="2"/>
      <c r="E356" s="4"/>
      <c r="F356" s="5"/>
      <c r="G356" s="6"/>
      <c r="H356" s="2"/>
      <c r="I356" s="7"/>
      <c r="J356" s="8"/>
      <c r="K356" s="3"/>
      <c r="L356" s="3"/>
    </row>
    <row r="357" ht="21.75" customHeight="1">
      <c r="A357" s="2"/>
      <c r="B357" s="2"/>
      <c r="C357" s="3"/>
      <c r="D357" s="2"/>
      <c r="E357" s="4"/>
      <c r="F357" s="5"/>
      <c r="G357" s="6"/>
      <c r="H357" s="2"/>
      <c r="I357" s="7"/>
      <c r="J357" s="8"/>
      <c r="K357" s="3"/>
      <c r="L357" s="3"/>
    </row>
    <row r="358" ht="21.75" customHeight="1">
      <c r="A358" s="2"/>
      <c r="B358" s="2"/>
      <c r="C358" s="3"/>
      <c r="D358" s="2"/>
      <c r="E358" s="4"/>
      <c r="F358" s="5"/>
      <c r="G358" s="6"/>
      <c r="H358" s="2"/>
      <c r="I358" s="7"/>
      <c r="J358" s="8"/>
      <c r="K358" s="3"/>
      <c r="L358" s="3"/>
    </row>
    <row r="359" ht="21.75" customHeight="1">
      <c r="A359" s="2"/>
      <c r="B359" s="2"/>
      <c r="C359" s="3"/>
      <c r="D359" s="2"/>
      <c r="E359" s="4"/>
      <c r="F359" s="5"/>
      <c r="G359" s="6"/>
      <c r="H359" s="2"/>
      <c r="I359" s="7"/>
      <c r="J359" s="8"/>
      <c r="K359" s="3"/>
      <c r="L359" s="3"/>
    </row>
    <row r="360" ht="21.75" customHeight="1">
      <c r="A360" s="2"/>
      <c r="B360" s="2"/>
      <c r="C360" s="3"/>
      <c r="D360" s="2"/>
      <c r="E360" s="4"/>
      <c r="F360" s="5"/>
      <c r="G360" s="6"/>
      <c r="H360" s="2"/>
      <c r="I360" s="7"/>
      <c r="J360" s="8"/>
      <c r="K360" s="3"/>
      <c r="L360" s="3"/>
    </row>
    <row r="361" ht="21.75" customHeight="1">
      <c r="A361" s="2"/>
      <c r="B361" s="2"/>
      <c r="C361" s="3"/>
      <c r="D361" s="2"/>
      <c r="E361" s="4"/>
      <c r="F361" s="5"/>
      <c r="G361" s="6"/>
      <c r="H361" s="2"/>
      <c r="I361" s="7"/>
      <c r="J361" s="8"/>
      <c r="K361" s="3"/>
      <c r="L361" s="3"/>
    </row>
    <row r="362" ht="21.75" customHeight="1">
      <c r="A362" s="2"/>
      <c r="B362" s="2"/>
      <c r="C362" s="3"/>
      <c r="D362" s="2"/>
      <c r="E362" s="4"/>
      <c r="F362" s="5"/>
      <c r="G362" s="6"/>
      <c r="H362" s="2"/>
      <c r="I362" s="7"/>
      <c r="J362" s="8"/>
      <c r="K362" s="3"/>
      <c r="L362" s="3"/>
    </row>
    <row r="363" ht="21.75" customHeight="1">
      <c r="A363" s="2"/>
      <c r="B363" s="2"/>
      <c r="C363" s="3"/>
      <c r="D363" s="2"/>
      <c r="E363" s="4"/>
      <c r="F363" s="5"/>
      <c r="G363" s="6"/>
      <c r="H363" s="2"/>
      <c r="I363" s="7"/>
      <c r="J363" s="8"/>
      <c r="K363" s="3"/>
      <c r="L363" s="3"/>
    </row>
    <row r="364" ht="21.75" customHeight="1">
      <c r="A364" s="2"/>
      <c r="B364" s="2"/>
      <c r="C364" s="3"/>
      <c r="D364" s="2"/>
      <c r="E364" s="4"/>
      <c r="F364" s="5"/>
      <c r="G364" s="6"/>
      <c r="H364" s="2"/>
      <c r="I364" s="7"/>
      <c r="J364" s="8"/>
      <c r="K364" s="3"/>
      <c r="L364" s="3"/>
    </row>
    <row r="365" ht="21.75" customHeight="1">
      <c r="A365" s="2"/>
      <c r="B365" s="2"/>
      <c r="C365" s="3"/>
      <c r="D365" s="2"/>
      <c r="E365" s="4"/>
      <c r="F365" s="5"/>
      <c r="G365" s="6"/>
      <c r="H365" s="2"/>
      <c r="I365" s="7"/>
      <c r="J365" s="8"/>
      <c r="K365" s="3"/>
      <c r="L365" s="3"/>
    </row>
    <row r="366" ht="21.75" customHeight="1">
      <c r="A366" s="2"/>
      <c r="B366" s="2"/>
      <c r="C366" s="3"/>
      <c r="D366" s="2"/>
      <c r="E366" s="4"/>
      <c r="F366" s="5"/>
      <c r="G366" s="6"/>
      <c r="H366" s="2"/>
      <c r="I366" s="7"/>
      <c r="J366" s="8"/>
      <c r="K366" s="3"/>
      <c r="L366" s="3"/>
    </row>
    <row r="367" ht="21.75" customHeight="1">
      <c r="A367" s="2"/>
      <c r="B367" s="2"/>
      <c r="C367" s="3"/>
      <c r="D367" s="2"/>
      <c r="E367" s="4"/>
      <c r="F367" s="5"/>
      <c r="G367" s="6"/>
      <c r="H367" s="2"/>
      <c r="I367" s="7"/>
      <c r="J367" s="8"/>
      <c r="K367" s="3"/>
      <c r="L367" s="3"/>
    </row>
    <row r="368" ht="21.75" customHeight="1">
      <c r="A368" s="2"/>
      <c r="B368" s="2"/>
      <c r="C368" s="3"/>
      <c r="D368" s="2"/>
      <c r="E368" s="4"/>
      <c r="F368" s="5"/>
      <c r="G368" s="6"/>
      <c r="H368" s="2"/>
      <c r="I368" s="7"/>
      <c r="J368" s="8"/>
      <c r="K368" s="3"/>
      <c r="L368" s="3"/>
    </row>
    <row r="369" ht="21.75" customHeight="1">
      <c r="A369" s="2"/>
      <c r="B369" s="2"/>
      <c r="C369" s="3"/>
      <c r="D369" s="2"/>
      <c r="E369" s="4"/>
      <c r="F369" s="5"/>
      <c r="G369" s="6"/>
      <c r="H369" s="2"/>
      <c r="I369" s="7"/>
      <c r="J369" s="8"/>
      <c r="K369" s="3"/>
      <c r="L369" s="3"/>
    </row>
    <row r="370" ht="21.75" customHeight="1">
      <c r="A370" s="2"/>
      <c r="B370" s="2"/>
      <c r="C370" s="3"/>
      <c r="D370" s="2"/>
      <c r="E370" s="4"/>
      <c r="F370" s="5"/>
      <c r="G370" s="6"/>
      <c r="H370" s="2"/>
      <c r="I370" s="7"/>
      <c r="J370" s="8"/>
      <c r="K370" s="3"/>
      <c r="L370" s="3"/>
    </row>
    <row r="371" ht="21.75" customHeight="1">
      <c r="A371" s="2"/>
      <c r="B371" s="2"/>
      <c r="C371" s="3"/>
      <c r="D371" s="2"/>
      <c r="E371" s="4"/>
      <c r="F371" s="5"/>
      <c r="G371" s="6"/>
      <c r="H371" s="2"/>
      <c r="I371" s="7"/>
      <c r="J371" s="8"/>
      <c r="K371" s="3"/>
      <c r="L371" s="3"/>
    </row>
    <row r="372" ht="21.75" customHeight="1">
      <c r="A372" s="2"/>
      <c r="B372" s="2"/>
      <c r="C372" s="3"/>
      <c r="D372" s="2"/>
      <c r="E372" s="4"/>
      <c r="F372" s="5"/>
      <c r="G372" s="6"/>
      <c r="H372" s="2"/>
      <c r="I372" s="7"/>
      <c r="J372" s="8"/>
      <c r="K372" s="3"/>
      <c r="L372" s="3"/>
    </row>
    <row r="373" ht="21.75" customHeight="1">
      <c r="A373" s="2"/>
      <c r="B373" s="2"/>
      <c r="C373" s="3"/>
      <c r="D373" s="2"/>
      <c r="E373" s="4"/>
      <c r="F373" s="5"/>
      <c r="G373" s="6"/>
      <c r="H373" s="2"/>
      <c r="I373" s="7"/>
      <c r="J373" s="8"/>
      <c r="K373" s="3"/>
      <c r="L373" s="3"/>
    </row>
    <row r="374" ht="21.75" customHeight="1">
      <c r="A374" s="2"/>
      <c r="B374" s="2"/>
      <c r="C374" s="3"/>
      <c r="D374" s="2"/>
      <c r="E374" s="4"/>
      <c r="F374" s="5"/>
      <c r="G374" s="6"/>
      <c r="H374" s="2"/>
      <c r="I374" s="7"/>
      <c r="J374" s="8"/>
      <c r="K374" s="3"/>
      <c r="L374" s="3"/>
    </row>
    <row r="375" ht="21.75" customHeight="1">
      <c r="A375" s="2"/>
      <c r="B375" s="2"/>
      <c r="C375" s="3"/>
      <c r="D375" s="2"/>
      <c r="E375" s="4"/>
      <c r="F375" s="5"/>
      <c r="G375" s="6"/>
      <c r="H375" s="2"/>
      <c r="I375" s="7"/>
      <c r="J375" s="8"/>
      <c r="K375" s="3"/>
      <c r="L375" s="3"/>
    </row>
    <row r="376" ht="21.75" customHeight="1">
      <c r="A376" s="2"/>
      <c r="B376" s="2"/>
      <c r="C376" s="3"/>
      <c r="D376" s="2"/>
      <c r="E376" s="4"/>
      <c r="F376" s="5"/>
      <c r="G376" s="6"/>
      <c r="H376" s="2"/>
      <c r="I376" s="7"/>
      <c r="J376" s="8"/>
      <c r="K376" s="3"/>
      <c r="L376" s="3"/>
    </row>
    <row r="377" ht="21.75" customHeight="1">
      <c r="A377" s="2"/>
      <c r="B377" s="2"/>
      <c r="C377" s="3"/>
      <c r="D377" s="2"/>
      <c r="E377" s="4"/>
      <c r="F377" s="5"/>
      <c r="G377" s="6"/>
      <c r="H377" s="2"/>
      <c r="I377" s="7"/>
      <c r="J377" s="8"/>
      <c r="K377" s="3"/>
      <c r="L377" s="3"/>
    </row>
    <row r="378" ht="21.75" customHeight="1">
      <c r="A378" s="2"/>
      <c r="B378" s="2"/>
      <c r="C378" s="3"/>
      <c r="D378" s="2"/>
      <c r="E378" s="4"/>
      <c r="F378" s="5"/>
      <c r="G378" s="6"/>
      <c r="H378" s="2"/>
      <c r="I378" s="7"/>
      <c r="J378" s="8"/>
      <c r="K378" s="3"/>
      <c r="L378" s="3"/>
    </row>
    <row r="379" ht="21.75" customHeight="1">
      <c r="A379" s="2"/>
      <c r="B379" s="2"/>
      <c r="C379" s="3"/>
      <c r="D379" s="2"/>
      <c r="E379" s="4"/>
      <c r="F379" s="5"/>
      <c r="G379" s="6"/>
      <c r="H379" s="2"/>
      <c r="I379" s="7"/>
      <c r="J379" s="8"/>
      <c r="K379" s="3"/>
      <c r="L379" s="3"/>
    </row>
    <row r="380" ht="21.75" customHeight="1">
      <c r="A380" s="2"/>
      <c r="B380" s="2"/>
      <c r="C380" s="3"/>
      <c r="D380" s="2"/>
      <c r="E380" s="4"/>
      <c r="F380" s="5"/>
      <c r="G380" s="6"/>
      <c r="H380" s="2"/>
      <c r="I380" s="7"/>
      <c r="J380" s="8"/>
      <c r="K380" s="3"/>
      <c r="L380" s="3"/>
    </row>
    <row r="381" ht="21.75" customHeight="1">
      <c r="A381" s="2"/>
      <c r="B381" s="2"/>
      <c r="C381" s="3"/>
      <c r="D381" s="2"/>
      <c r="E381" s="4"/>
      <c r="F381" s="5"/>
      <c r="G381" s="6"/>
      <c r="H381" s="2"/>
      <c r="I381" s="7"/>
      <c r="J381" s="8"/>
      <c r="K381" s="3"/>
      <c r="L381" s="3"/>
    </row>
    <row r="382" ht="21.75" customHeight="1">
      <c r="A382" s="2"/>
      <c r="B382" s="2"/>
      <c r="C382" s="3"/>
      <c r="D382" s="2"/>
      <c r="E382" s="4"/>
      <c r="F382" s="5"/>
      <c r="G382" s="6"/>
      <c r="H382" s="2"/>
      <c r="I382" s="7"/>
      <c r="J382" s="8"/>
      <c r="K382" s="3"/>
      <c r="L382" s="3"/>
    </row>
    <row r="383" ht="21.75" customHeight="1">
      <c r="A383" s="2"/>
      <c r="B383" s="2"/>
      <c r="C383" s="3"/>
      <c r="D383" s="2"/>
      <c r="E383" s="4"/>
      <c r="F383" s="5"/>
      <c r="G383" s="6"/>
      <c r="H383" s="2"/>
      <c r="I383" s="7"/>
      <c r="J383" s="8"/>
      <c r="K383" s="3"/>
      <c r="L383" s="3"/>
    </row>
    <row r="384" ht="21.75" customHeight="1">
      <c r="A384" s="2"/>
      <c r="B384" s="2"/>
      <c r="C384" s="3"/>
      <c r="D384" s="2"/>
      <c r="E384" s="4"/>
      <c r="F384" s="5"/>
      <c r="G384" s="6"/>
      <c r="H384" s="2"/>
      <c r="I384" s="7"/>
      <c r="J384" s="8"/>
      <c r="K384" s="3"/>
      <c r="L384" s="3"/>
    </row>
    <row r="385" ht="21.75" customHeight="1">
      <c r="A385" s="2"/>
      <c r="B385" s="2"/>
      <c r="C385" s="3"/>
      <c r="D385" s="2"/>
      <c r="E385" s="4"/>
      <c r="F385" s="5"/>
      <c r="G385" s="6"/>
      <c r="H385" s="2"/>
      <c r="I385" s="7"/>
      <c r="J385" s="8"/>
      <c r="K385" s="3"/>
      <c r="L385" s="3"/>
    </row>
    <row r="386" ht="21.75" customHeight="1">
      <c r="A386" s="2"/>
      <c r="B386" s="2"/>
      <c r="C386" s="3"/>
      <c r="D386" s="2"/>
      <c r="E386" s="4"/>
      <c r="F386" s="5"/>
      <c r="G386" s="6"/>
      <c r="H386" s="2"/>
      <c r="I386" s="7"/>
      <c r="J386" s="8"/>
      <c r="K386" s="3"/>
      <c r="L386" s="3"/>
    </row>
    <row r="387" ht="21.75" customHeight="1">
      <c r="A387" s="2"/>
      <c r="B387" s="2"/>
      <c r="C387" s="3"/>
      <c r="D387" s="2"/>
      <c r="E387" s="4"/>
      <c r="F387" s="5"/>
      <c r="G387" s="6"/>
      <c r="H387" s="2"/>
      <c r="I387" s="7"/>
      <c r="J387" s="8"/>
      <c r="K387" s="3"/>
      <c r="L387" s="3"/>
    </row>
    <row r="388" ht="21.75" customHeight="1">
      <c r="A388" s="2"/>
      <c r="B388" s="2"/>
      <c r="C388" s="3"/>
      <c r="D388" s="2"/>
      <c r="E388" s="4"/>
      <c r="F388" s="5"/>
      <c r="G388" s="6"/>
      <c r="H388" s="2"/>
      <c r="I388" s="7"/>
      <c r="J388" s="8"/>
      <c r="K388" s="3"/>
      <c r="L388" s="3"/>
    </row>
    <row r="389" ht="21.75" customHeight="1">
      <c r="A389" s="2"/>
      <c r="B389" s="2"/>
      <c r="C389" s="3"/>
      <c r="D389" s="2"/>
      <c r="E389" s="4"/>
      <c r="F389" s="5"/>
      <c r="G389" s="6"/>
      <c r="H389" s="2"/>
      <c r="I389" s="7"/>
      <c r="J389" s="8"/>
      <c r="K389" s="3"/>
      <c r="L389" s="3"/>
    </row>
    <row r="390" ht="21.75" customHeight="1">
      <c r="A390" s="2"/>
      <c r="B390" s="2"/>
      <c r="C390" s="3"/>
      <c r="D390" s="2"/>
      <c r="E390" s="4"/>
      <c r="F390" s="5"/>
      <c r="G390" s="6"/>
      <c r="H390" s="2"/>
      <c r="I390" s="7"/>
      <c r="J390" s="8"/>
      <c r="K390" s="3"/>
      <c r="L390" s="3"/>
    </row>
    <row r="391" ht="21.75" customHeight="1">
      <c r="A391" s="2"/>
      <c r="B391" s="2"/>
      <c r="C391" s="3"/>
      <c r="D391" s="2"/>
      <c r="E391" s="4"/>
      <c r="F391" s="5"/>
      <c r="G391" s="6"/>
      <c r="H391" s="2"/>
      <c r="I391" s="7"/>
      <c r="J391" s="8"/>
      <c r="K391" s="3"/>
      <c r="L391" s="3"/>
    </row>
    <row r="392" ht="21.75" customHeight="1">
      <c r="A392" s="2"/>
      <c r="B392" s="2"/>
      <c r="C392" s="3"/>
      <c r="D392" s="2"/>
      <c r="E392" s="4"/>
      <c r="F392" s="5"/>
      <c r="G392" s="6"/>
      <c r="H392" s="2"/>
      <c r="I392" s="7"/>
      <c r="J392" s="8"/>
      <c r="K392" s="3"/>
      <c r="L392" s="3"/>
    </row>
    <row r="393" ht="21.75" customHeight="1">
      <c r="A393" s="2"/>
      <c r="B393" s="2"/>
      <c r="C393" s="3"/>
      <c r="D393" s="2"/>
      <c r="E393" s="4"/>
      <c r="F393" s="5"/>
      <c r="G393" s="6"/>
      <c r="H393" s="2"/>
      <c r="I393" s="7"/>
      <c r="J393" s="8"/>
      <c r="K393" s="3"/>
      <c r="L393" s="3"/>
    </row>
    <row r="394" ht="21.75" customHeight="1">
      <c r="A394" s="2"/>
      <c r="B394" s="2"/>
      <c r="C394" s="3"/>
      <c r="D394" s="2"/>
      <c r="E394" s="4"/>
      <c r="F394" s="5"/>
      <c r="G394" s="6"/>
      <c r="H394" s="2"/>
      <c r="I394" s="7"/>
      <c r="J394" s="8"/>
      <c r="K394" s="3"/>
      <c r="L394" s="3"/>
    </row>
    <row r="395" ht="21.75" customHeight="1">
      <c r="A395" s="2"/>
      <c r="B395" s="2"/>
      <c r="C395" s="3"/>
      <c r="D395" s="2"/>
      <c r="E395" s="4"/>
      <c r="F395" s="5"/>
      <c r="G395" s="6"/>
      <c r="H395" s="2"/>
      <c r="I395" s="7"/>
      <c r="J395" s="8"/>
      <c r="K395" s="3"/>
      <c r="L395" s="3"/>
    </row>
    <row r="396" ht="21.75" customHeight="1">
      <c r="A396" s="2"/>
      <c r="B396" s="2"/>
      <c r="C396" s="3"/>
      <c r="D396" s="2"/>
      <c r="E396" s="4"/>
      <c r="F396" s="5"/>
      <c r="G396" s="6"/>
      <c r="H396" s="2"/>
      <c r="I396" s="7"/>
      <c r="J396" s="8"/>
      <c r="K396" s="3"/>
      <c r="L396" s="3"/>
    </row>
    <row r="397" ht="21.75" customHeight="1">
      <c r="A397" s="2"/>
      <c r="B397" s="2"/>
      <c r="C397" s="3"/>
      <c r="D397" s="2"/>
      <c r="E397" s="4"/>
      <c r="F397" s="5"/>
      <c r="G397" s="6"/>
      <c r="H397" s="2"/>
      <c r="I397" s="7"/>
      <c r="J397" s="8"/>
      <c r="K397" s="3"/>
      <c r="L397" s="3"/>
    </row>
    <row r="398" ht="21.75" customHeight="1">
      <c r="A398" s="2"/>
      <c r="B398" s="2"/>
      <c r="C398" s="3"/>
      <c r="D398" s="2"/>
      <c r="E398" s="4"/>
      <c r="F398" s="5"/>
      <c r="G398" s="6"/>
      <c r="H398" s="2"/>
      <c r="I398" s="7"/>
      <c r="J398" s="8"/>
      <c r="K398" s="3"/>
      <c r="L398" s="3"/>
    </row>
    <row r="399" ht="21.75" customHeight="1">
      <c r="A399" s="2"/>
      <c r="B399" s="2"/>
      <c r="C399" s="3"/>
      <c r="D399" s="2"/>
      <c r="E399" s="4"/>
      <c r="F399" s="5"/>
      <c r="G399" s="6"/>
      <c r="H399" s="2"/>
      <c r="I399" s="7"/>
      <c r="J399" s="8"/>
      <c r="K399" s="3"/>
      <c r="L399" s="3"/>
    </row>
    <row r="400" ht="21.75" customHeight="1">
      <c r="A400" s="2"/>
      <c r="B400" s="2"/>
      <c r="C400" s="3"/>
      <c r="D400" s="2"/>
      <c r="E400" s="4"/>
      <c r="F400" s="5"/>
      <c r="G400" s="6"/>
      <c r="H400" s="2"/>
      <c r="I400" s="7"/>
      <c r="J400" s="8"/>
      <c r="K400" s="3"/>
      <c r="L400" s="3"/>
    </row>
    <row r="401" ht="21.75" customHeight="1">
      <c r="A401" s="2"/>
      <c r="B401" s="2"/>
      <c r="C401" s="3"/>
      <c r="D401" s="2"/>
      <c r="E401" s="4"/>
      <c r="F401" s="5"/>
      <c r="G401" s="6"/>
      <c r="H401" s="2"/>
      <c r="I401" s="7"/>
      <c r="J401" s="8"/>
      <c r="K401" s="3"/>
      <c r="L401" s="3"/>
    </row>
    <row r="402" ht="21.75" customHeight="1">
      <c r="A402" s="2"/>
      <c r="B402" s="2"/>
      <c r="C402" s="3"/>
      <c r="D402" s="2"/>
      <c r="E402" s="4"/>
      <c r="F402" s="5"/>
      <c r="G402" s="6"/>
      <c r="H402" s="2"/>
      <c r="I402" s="7"/>
      <c r="J402" s="8"/>
      <c r="K402" s="3"/>
      <c r="L402" s="3"/>
    </row>
    <row r="403" ht="21.75" customHeight="1">
      <c r="A403" s="2"/>
      <c r="B403" s="2"/>
      <c r="C403" s="3"/>
      <c r="D403" s="2"/>
      <c r="E403" s="4"/>
      <c r="F403" s="5"/>
      <c r="G403" s="6"/>
      <c r="H403" s="2"/>
      <c r="I403" s="7"/>
      <c r="J403" s="8"/>
      <c r="K403" s="3"/>
      <c r="L403" s="3"/>
    </row>
    <row r="404" ht="21.75" customHeight="1">
      <c r="A404" s="2"/>
      <c r="B404" s="2"/>
      <c r="C404" s="3"/>
      <c r="D404" s="2"/>
      <c r="E404" s="4"/>
      <c r="F404" s="5"/>
      <c r="G404" s="6"/>
      <c r="H404" s="2"/>
      <c r="I404" s="7"/>
      <c r="J404" s="8"/>
      <c r="K404" s="3"/>
      <c r="L404" s="3"/>
    </row>
    <row r="405" ht="21.75" customHeight="1">
      <c r="A405" s="2"/>
      <c r="B405" s="2"/>
      <c r="C405" s="3"/>
      <c r="D405" s="2"/>
      <c r="E405" s="4"/>
      <c r="F405" s="5"/>
      <c r="G405" s="6"/>
      <c r="H405" s="2"/>
      <c r="I405" s="7"/>
      <c r="J405" s="8"/>
      <c r="K405" s="3"/>
      <c r="L405" s="3"/>
    </row>
    <row r="406" ht="21.75" customHeight="1">
      <c r="A406" s="2"/>
      <c r="B406" s="2"/>
      <c r="C406" s="3"/>
      <c r="D406" s="2"/>
      <c r="E406" s="4"/>
      <c r="F406" s="5"/>
      <c r="G406" s="6"/>
      <c r="H406" s="2"/>
      <c r="I406" s="7"/>
      <c r="J406" s="8"/>
      <c r="K406" s="3"/>
      <c r="L406" s="3"/>
    </row>
    <row r="407" ht="21.75" customHeight="1">
      <c r="A407" s="2"/>
      <c r="B407" s="2"/>
      <c r="C407" s="3"/>
      <c r="D407" s="2"/>
      <c r="E407" s="4"/>
      <c r="F407" s="5"/>
      <c r="G407" s="6"/>
      <c r="H407" s="2"/>
      <c r="I407" s="7"/>
      <c r="J407" s="8"/>
      <c r="K407" s="3"/>
      <c r="L407" s="3"/>
    </row>
    <row r="408" ht="21.75" customHeight="1">
      <c r="A408" s="2"/>
      <c r="B408" s="2"/>
      <c r="C408" s="3"/>
      <c r="D408" s="2"/>
      <c r="E408" s="4"/>
      <c r="F408" s="5"/>
      <c r="G408" s="6"/>
      <c r="H408" s="2"/>
      <c r="I408" s="7"/>
      <c r="J408" s="8"/>
      <c r="K408" s="3"/>
      <c r="L408" s="3"/>
    </row>
    <row r="409" ht="21.75" customHeight="1">
      <c r="A409" s="2"/>
      <c r="B409" s="2"/>
      <c r="C409" s="3"/>
      <c r="D409" s="2"/>
      <c r="E409" s="4"/>
      <c r="F409" s="5"/>
      <c r="G409" s="6"/>
      <c r="H409" s="2"/>
      <c r="I409" s="7"/>
      <c r="J409" s="8"/>
      <c r="K409" s="3"/>
      <c r="L409" s="3"/>
    </row>
    <row r="410" ht="21.75" customHeight="1">
      <c r="A410" s="2"/>
      <c r="B410" s="2"/>
      <c r="C410" s="3"/>
      <c r="D410" s="2"/>
      <c r="E410" s="4"/>
      <c r="F410" s="5"/>
      <c r="G410" s="6"/>
      <c r="H410" s="2"/>
      <c r="I410" s="7"/>
      <c r="J410" s="8"/>
      <c r="K410" s="3"/>
      <c r="L410" s="3"/>
    </row>
    <row r="411" ht="21.75" customHeight="1">
      <c r="A411" s="2"/>
      <c r="B411" s="2"/>
      <c r="C411" s="3"/>
      <c r="D411" s="2"/>
      <c r="E411" s="4"/>
      <c r="F411" s="5"/>
      <c r="G411" s="6"/>
      <c r="H411" s="2"/>
      <c r="I411" s="7"/>
      <c r="J411" s="8"/>
      <c r="K411" s="3"/>
      <c r="L411" s="3"/>
    </row>
    <row r="412" ht="21.75" customHeight="1">
      <c r="A412" s="2"/>
      <c r="B412" s="2"/>
      <c r="C412" s="3"/>
      <c r="D412" s="2"/>
      <c r="E412" s="4"/>
      <c r="F412" s="5"/>
      <c r="G412" s="6"/>
      <c r="H412" s="2"/>
      <c r="I412" s="7"/>
      <c r="J412" s="8"/>
      <c r="K412" s="3"/>
      <c r="L412" s="3"/>
    </row>
    <row r="413" ht="21.75" customHeight="1">
      <c r="A413" s="2"/>
      <c r="B413" s="2"/>
      <c r="C413" s="3"/>
      <c r="D413" s="2"/>
      <c r="E413" s="4"/>
      <c r="F413" s="5"/>
      <c r="G413" s="6"/>
      <c r="H413" s="2"/>
      <c r="I413" s="7"/>
      <c r="J413" s="8"/>
      <c r="K413" s="3"/>
      <c r="L413" s="3"/>
    </row>
    <row r="414" ht="21.75" customHeight="1">
      <c r="A414" s="2"/>
      <c r="B414" s="2"/>
      <c r="C414" s="3"/>
      <c r="D414" s="2"/>
      <c r="E414" s="4"/>
      <c r="F414" s="5"/>
      <c r="G414" s="6"/>
      <c r="H414" s="2"/>
      <c r="I414" s="7"/>
      <c r="J414" s="8"/>
      <c r="K414" s="3"/>
      <c r="L414" s="3"/>
    </row>
    <row r="415" ht="21.75" customHeight="1">
      <c r="A415" s="2"/>
      <c r="B415" s="2"/>
      <c r="C415" s="3"/>
      <c r="D415" s="2"/>
      <c r="E415" s="4"/>
      <c r="F415" s="5"/>
      <c r="G415" s="6"/>
      <c r="H415" s="2"/>
      <c r="I415" s="7"/>
      <c r="J415" s="8"/>
      <c r="K415" s="3"/>
      <c r="L415" s="3"/>
    </row>
    <row r="416" ht="21.75" customHeight="1">
      <c r="A416" s="2"/>
      <c r="B416" s="2"/>
      <c r="C416" s="3"/>
      <c r="D416" s="2"/>
      <c r="E416" s="4"/>
      <c r="F416" s="5"/>
      <c r="G416" s="6"/>
      <c r="H416" s="2"/>
      <c r="I416" s="7"/>
      <c r="J416" s="8"/>
      <c r="K416" s="3"/>
      <c r="L416" s="3"/>
    </row>
    <row r="417" ht="21.75" customHeight="1">
      <c r="A417" s="2"/>
      <c r="B417" s="2"/>
      <c r="C417" s="3"/>
      <c r="D417" s="2"/>
      <c r="E417" s="4"/>
      <c r="F417" s="5"/>
      <c r="G417" s="6"/>
      <c r="H417" s="2"/>
      <c r="I417" s="7"/>
      <c r="J417" s="8"/>
      <c r="K417" s="3"/>
      <c r="L417" s="3"/>
    </row>
    <row r="418" ht="21.75" customHeight="1">
      <c r="A418" s="2"/>
      <c r="B418" s="2"/>
      <c r="C418" s="3"/>
      <c r="D418" s="2"/>
      <c r="E418" s="4"/>
      <c r="F418" s="5"/>
      <c r="G418" s="6"/>
      <c r="H418" s="2"/>
      <c r="I418" s="7"/>
      <c r="J418" s="8"/>
      <c r="K418" s="3"/>
      <c r="L418" s="3"/>
    </row>
    <row r="419" ht="21.75" customHeight="1">
      <c r="A419" s="2"/>
      <c r="B419" s="2"/>
      <c r="C419" s="3"/>
      <c r="D419" s="2"/>
      <c r="E419" s="4"/>
      <c r="F419" s="5"/>
      <c r="G419" s="6"/>
      <c r="H419" s="2"/>
      <c r="I419" s="7"/>
      <c r="J419" s="8"/>
      <c r="K419" s="3"/>
      <c r="L419" s="3"/>
    </row>
    <row r="420" ht="21.75" customHeight="1">
      <c r="A420" s="2"/>
      <c r="B420" s="2"/>
      <c r="C420" s="3"/>
      <c r="D420" s="2"/>
      <c r="E420" s="4"/>
      <c r="F420" s="5"/>
      <c r="G420" s="6"/>
      <c r="H420" s="2"/>
      <c r="I420" s="7"/>
      <c r="J420" s="8"/>
      <c r="K420" s="3"/>
      <c r="L420" s="3"/>
    </row>
    <row r="421" ht="21.75" customHeight="1">
      <c r="A421" s="2"/>
      <c r="B421" s="2"/>
      <c r="C421" s="3"/>
      <c r="D421" s="2"/>
      <c r="E421" s="4"/>
      <c r="F421" s="5"/>
      <c r="G421" s="6"/>
      <c r="H421" s="2"/>
      <c r="I421" s="7"/>
      <c r="J421" s="8"/>
      <c r="K421" s="3"/>
      <c r="L421" s="3"/>
    </row>
    <row r="422" ht="21.75" customHeight="1">
      <c r="A422" s="2"/>
      <c r="B422" s="2"/>
      <c r="C422" s="3"/>
      <c r="D422" s="2"/>
      <c r="E422" s="4"/>
      <c r="F422" s="5"/>
      <c r="G422" s="6"/>
      <c r="H422" s="2"/>
      <c r="I422" s="7"/>
      <c r="J422" s="8"/>
      <c r="K422" s="3"/>
      <c r="L422" s="3"/>
    </row>
    <row r="423" ht="21.75" customHeight="1">
      <c r="A423" s="2"/>
      <c r="B423" s="2"/>
      <c r="C423" s="3"/>
      <c r="D423" s="2"/>
      <c r="E423" s="4"/>
      <c r="F423" s="5"/>
      <c r="G423" s="6"/>
      <c r="H423" s="2"/>
      <c r="I423" s="7"/>
      <c r="J423" s="8"/>
      <c r="K423" s="3"/>
      <c r="L423" s="3"/>
    </row>
    <row r="424" ht="21.75" customHeight="1">
      <c r="A424" s="2"/>
      <c r="B424" s="2"/>
      <c r="C424" s="3"/>
      <c r="D424" s="2"/>
      <c r="E424" s="4"/>
      <c r="F424" s="5"/>
      <c r="G424" s="6"/>
      <c r="H424" s="2"/>
      <c r="I424" s="7"/>
      <c r="J424" s="8"/>
      <c r="K424" s="3"/>
      <c r="L424" s="3"/>
    </row>
    <row r="425" ht="21.75" customHeight="1">
      <c r="A425" s="2"/>
      <c r="B425" s="2"/>
      <c r="C425" s="3"/>
      <c r="D425" s="2"/>
      <c r="E425" s="4"/>
      <c r="F425" s="5"/>
      <c r="G425" s="6"/>
      <c r="H425" s="2"/>
      <c r="I425" s="7"/>
      <c r="J425" s="8"/>
      <c r="K425" s="3"/>
      <c r="L425" s="3"/>
    </row>
    <row r="426" ht="21.75" customHeight="1">
      <c r="A426" s="2"/>
      <c r="B426" s="2"/>
      <c r="C426" s="3"/>
      <c r="D426" s="2"/>
      <c r="E426" s="4"/>
      <c r="F426" s="5"/>
      <c r="G426" s="6"/>
      <c r="H426" s="2"/>
      <c r="I426" s="7"/>
      <c r="J426" s="8"/>
      <c r="K426" s="3"/>
      <c r="L426" s="3"/>
    </row>
    <row r="427" ht="21.75" customHeight="1">
      <c r="A427" s="2"/>
      <c r="B427" s="2"/>
      <c r="C427" s="3"/>
      <c r="D427" s="2"/>
      <c r="E427" s="4"/>
      <c r="F427" s="5"/>
      <c r="G427" s="6"/>
      <c r="H427" s="2"/>
      <c r="I427" s="7"/>
      <c r="J427" s="8"/>
      <c r="K427" s="3"/>
      <c r="L427" s="3"/>
    </row>
    <row r="428" ht="21.75" customHeight="1">
      <c r="A428" s="2"/>
      <c r="B428" s="2"/>
      <c r="C428" s="3"/>
      <c r="D428" s="2"/>
      <c r="E428" s="4"/>
      <c r="F428" s="5"/>
      <c r="G428" s="6"/>
      <c r="H428" s="2"/>
      <c r="I428" s="7"/>
      <c r="J428" s="8"/>
      <c r="K428" s="3"/>
      <c r="L428" s="3"/>
    </row>
    <row r="429" ht="21.75" customHeight="1">
      <c r="A429" s="2"/>
      <c r="B429" s="2"/>
      <c r="C429" s="3"/>
      <c r="D429" s="2"/>
      <c r="E429" s="4"/>
      <c r="F429" s="5"/>
      <c r="G429" s="6"/>
      <c r="H429" s="2"/>
      <c r="I429" s="7"/>
      <c r="J429" s="8"/>
      <c r="K429" s="3"/>
      <c r="L429" s="3"/>
    </row>
    <row r="430" ht="21.75" customHeight="1">
      <c r="A430" s="2"/>
      <c r="B430" s="2"/>
      <c r="C430" s="3"/>
      <c r="D430" s="2"/>
      <c r="E430" s="4"/>
      <c r="F430" s="5"/>
      <c r="G430" s="6"/>
      <c r="H430" s="2"/>
      <c r="I430" s="7"/>
      <c r="J430" s="8"/>
      <c r="K430" s="3"/>
      <c r="L430" s="3"/>
    </row>
    <row r="431" ht="21.75" customHeight="1">
      <c r="A431" s="2"/>
      <c r="B431" s="2"/>
      <c r="C431" s="3"/>
      <c r="D431" s="2"/>
      <c r="E431" s="4"/>
      <c r="F431" s="5"/>
      <c r="G431" s="6"/>
      <c r="H431" s="2"/>
      <c r="I431" s="7"/>
      <c r="J431" s="8"/>
      <c r="K431" s="3"/>
      <c r="L431" s="3"/>
    </row>
    <row r="432" ht="21.75" customHeight="1">
      <c r="A432" s="2"/>
      <c r="B432" s="2"/>
      <c r="C432" s="3"/>
      <c r="D432" s="2"/>
      <c r="E432" s="4"/>
      <c r="F432" s="5"/>
      <c r="G432" s="6"/>
      <c r="H432" s="2"/>
      <c r="I432" s="7"/>
      <c r="J432" s="8"/>
      <c r="K432" s="3"/>
      <c r="L432" s="3"/>
    </row>
    <row r="433" ht="21.75" customHeight="1">
      <c r="A433" s="2"/>
      <c r="B433" s="2"/>
      <c r="C433" s="3"/>
      <c r="D433" s="2"/>
      <c r="E433" s="4"/>
      <c r="F433" s="5"/>
      <c r="G433" s="6"/>
      <c r="H433" s="2"/>
      <c r="I433" s="7"/>
      <c r="J433" s="8"/>
      <c r="K433" s="3"/>
      <c r="L433" s="3"/>
    </row>
    <row r="434" ht="21.75" customHeight="1">
      <c r="A434" s="2"/>
      <c r="B434" s="2"/>
      <c r="C434" s="3"/>
      <c r="D434" s="2"/>
      <c r="E434" s="4"/>
      <c r="F434" s="5"/>
      <c r="G434" s="6"/>
      <c r="H434" s="2"/>
      <c r="I434" s="7"/>
      <c r="J434" s="8"/>
      <c r="K434" s="3"/>
      <c r="L434" s="3"/>
    </row>
    <row r="435" ht="21.75" customHeight="1">
      <c r="A435" s="2"/>
      <c r="B435" s="2"/>
      <c r="C435" s="3"/>
      <c r="D435" s="2"/>
      <c r="E435" s="4"/>
      <c r="F435" s="5"/>
      <c r="G435" s="6"/>
      <c r="H435" s="2"/>
      <c r="I435" s="7"/>
      <c r="J435" s="8"/>
      <c r="K435" s="3"/>
      <c r="L435" s="3"/>
    </row>
    <row r="436" ht="21.75" customHeight="1">
      <c r="A436" s="2"/>
      <c r="B436" s="2"/>
      <c r="C436" s="3"/>
      <c r="D436" s="2"/>
      <c r="E436" s="4"/>
      <c r="F436" s="5"/>
      <c r="G436" s="6"/>
      <c r="H436" s="2"/>
      <c r="I436" s="7"/>
      <c r="J436" s="8"/>
      <c r="K436" s="3"/>
      <c r="L436" s="3"/>
    </row>
    <row r="437" ht="21.75" customHeight="1">
      <c r="A437" s="2"/>
      <c r="B437" s="2"/>
      <c r="C437" s="3"/>
      <c r="D437" s="2"/>
      <c r="E437" s="4"/>
      <c r="F437" s="5"/>
      <c r="G437" s="6"/>
      <c r="H437" s="2"/>
      <c r="I437" s="7"/>
      <c r="J437" s="8"/>
      <c r="K437" s="3"/>
      <c r="L437" s="3"/>
    </row>
    <row r="438" ht="21.75" customHeight="1">
      <c r="A438" s="2"/>
      <c r="B438" s="2"/>
      <c r="C438" s="3"/>
      <c r="D438" s="2"/>
      <c r="E438" s="4"/>
      <c r="F438" s="5"/>
      <c r="G438" s="6"/>
      <c r="H438" s="2"/>
      <c r="I438" s="7"/>
      <c r="J438" s="8"/>
      <c r="K438" s="3"/>
      <c r="L438" s="3"/>
    </row>
    <row r="439" ht="21.75" customHeight="1">
      <c r="A439" s="2"/>
      <c r="B439" s="2"/>
      <c r="C439" s="3"/>
      <c r="D439" s="2"/>
      <c r="E439" s="4"/>
      <c r="F439" s="5"/>
      <c r="G439" s="6"/>
      <c r="H439" s="2"/>
      <c r="I439" s="7"/>
      <c r="J439" s="8"/>
      <c r="K439" s="3"/>
      <c r="L439" s="3"/>
    </row>
    <row r="440" ht="21.75" customHeight="1">
      <c r="A440" s="2"/>
      <c r="B440" s="2"/>
      <c r="C440" s="3"/>
      <c r="D440" s="2"/>
      <c r="E440" s="4"/>
      <c r="F440" s="5"/>
      <c r="G440" s="6"/>
      <c r="H440" s="2"/>
      <c r="I440" s="7"/>
      <c r="J440" s="8"/>
      <c r="K440" s="3"/>
      <c r="L440" s="3"/>
    </row>
    <row r="441" ht="21.75" customHeight="1">
      <c r="A441" s="2"/>
      <c r="B441" s="2"/>
      <c r="C441" s="3"/>
      <c r="D441" s="2"/>
      <c r="E441" s="4"/>
      <c r="F441" s="5"/>
      <c r="G441" s="6"/>
      <c r="H441" s="2"/>
      <c r="I441" s="7"/>
      <c r="J441" s="8"/>
      <c r="K441" s="3"/>
      <c r="L441" s="3"/>
    </row>
    <row r="442" ht="21.75" customHeight="1">
      <c r="A442" s="2"/>
      <c r="B442" s="2"/>
      <c r="C442" s="3"/>
      <c r="D442" s="2"/>
      <c r="E442" s="4"/>
      <c r="F442" s="5"/>
      <c r="G442" s="6"/>
      <c r="H442" s="2"/>
      <c r="I442" s="7"/>
      <c r="J442" s="8"/>
      <c r="K442" s="3"/>
      <c r="L442" s="3"/>
    </row>
    <row r="443" ht="21.75" customHeight="1">
      <c r="A443" s="2"/>
      <c r="B443" s="2"/>
      <c r="C443" s="3"/>
      <c r="D443" s="2"/>
      <c r="E443" s="4"/>
      <c r="F443" s="5"/>
      <c r="G443" s="6"/>
      <c r="H443" s="2"/>
      <c r="I443" s="7"/>
      <c r="J443" s="8"/>
      <c r="K443" s="3"/>
      <c r="L443" s="3"/>
    </row>
    <row r="444" ht="21.75" customHeight="1">
      <c r="A444" s="2"/>
      <c r="B444" s="2"/>
      <c r="C444" s="3"/>
      <c r="D444" s="2"/>
      <c r="E444" s="4"/>
      <c r="F444" s="5"/>
      <c r="G444" s="6"/>
      <c r="H444" s="2"/>
      <c r="I444" s="7"/>
      <c r="J444" s="8"/>
      <c r="K444" s="3"/>
      <c r="L444" s="3"/>
    </row>
    <row r="445" ht="21.75" customHeight="1">
      <c r="A445" s="2"/>
      <c r="B445" s="2"/>
      <c r="C445" s="3"/>
      <c r="D445" s="2"/>
      <c r="E445" s="4"/>
      <c r="F445" s="5"/>
      <c r="G445" s="6"/>
      <c r="H445" s="2"/>
      <c r="I445" s="7"/>
      <c r="J445" s="8"/>
      <c r="K445" s="3"/>
      <c r="L445" s="3"/>
    </row>
    <row r="446" ht="21.75" customHeight="1">
      <c r="A446" s="2"/>
      <c r="B446" s="2"/>
      <c r="C446" s="3"/>
      <c r="D446" s="2"/>
      <c r="E446" s="4"/>
      <c r="F446" s="5"/>
      <c r="G446" s="6"/>
      <c r="H446" s="2"/>
      <c r="I446" s="7"/>
      <c r="J446" s="8"/>
      <c r="K446" s="3"/>
      <c r="L446" s="3"/>
    </row>
    <row r="447" ht="21.75" customHeight="1">
      <c r="A447" s="2"/>
      <c r="B447" s="2"/>
      <c r="C447" s="3"/>
      <c r="D447" s="2"/>
      <c r="E447" s="4"/>
      <c r="F447" s="5"/>
      <c r="G447" s="6"/>
      <c r="H447" s="2"/>
      <c r="I447" s="7"/>
      <c r="J447" s="8"/>
      <c r="K447" s="3"/>
      <c r="L447" s="3"/>
    </row>
    <row r="448" ht="21.75" customHeight="1">
      <c r="A448" s="2"/>
      <c r="B448" s="2"/>
      <c r="C448" s="3"/>
      <c r="D448" s="2"/>
      <c r="E448" s="4"/>
      <c r="F448" s="5"/>
      <c r="G448" s="6"/>
      <c r="H448" s="2"/>
      <c r="I448" s="7"/>
      <c r="J448" s="8"/>
      <c r="K448" s="3"/>
      <c r="L448" s="3"/>
    </row>
    <row r="449" ht="21.75" customHeight="1">
      <c r="A449" s="2"/>
      <c r="B449" s="2"/>
      <c r="C449" s="3"/>
      <c r="D449" s="2"/>
      <c r="E449" s="4"/>
      <c r="F449" s="5"/>
      <c r="G449" s="6"/>
      <c r="H449" s="2"/>
      <c r="I449" s="7"/>
      <c r="J449" s="8"/>
      <c r="K449" s="3"/>
      <c r="L449" s="3"/>
    </row>
    <row r="450" ht="21.75" customHeight="1">
      <c r="A450" s="2"/>
      <c r="B450" s="2"/>
      <c r="C450" s="3"/>
      <c r="D450" s="2"/>
      <c r="E450" s="4"/>
      <c r="F450" s="5"/>
      <c r="G450" s="6"/>
      <c r="H450" s="2"/>
      <c r="I450" s="7"/>
      <c r="J450" s="8"/>
      <c r="K450" s="3"/>
      <c r="L450" s="3"/>
    </row>
    <row r="451" ht="21.75" customHeight="1">
      <c r="A451" s="2"/>
      <c r="B451" s="2"/>
      <c r="C451" s="3"/>
      <c r="D451" s="2"/>
      <c r="E451" s="4"/>
      <c r="F451" s="5"/>
      <c r="G451" s="6"/>
      <c r="H451" s="2"/>
      <c r="I451" s="7"/>
      <c r="J451" s="8"/>
      <c r="K451" s="3"/>
      <c r="L451" s="3"/>
    </row>
    <row r="452" ht="21.75" customHeight="1">
      <c r="A452" s="2"/>
      <c r="B452" s="2"/>
      <c r="C452" s="3"/>
      <c r="D452" s="2"/>
      <c r="E452" s="4"/>
      <c r="F452" s="5"/>
      <c r="G452" s="6"/>
      <c r="H452" s="2"/>
      <c r="I452" s="7"/>
      <c r="J452" s="8"/>
      <c r="K452" s="3"/>
      <c r="L452" s="3"/>
    </row>
    <row r="453" ht="21.75" customHeight="1">
      <c r="A453" s="2"/>
      <c r="B453" s="2"/>
      <c r="C453" s="3"/>
      <c r="D453" s="2"/>
      <c r="E453" s="4"/>
      <c r="F453" s="5"/>
      <c r="G453" s="6"/>
      <c r="H453" s="2"/>
      <c r="I453" s="7"/>
      <c r="J453" s="8"/>
      <c r="K453" s="3"/>
      <c r="L453" s="3"/>
    </row>
    <row r="454" ht="21.75" customHeight="1">
      <c r="A454" s="2"/>
      <c r="B454" s="2"/>
      <c r="C454" s="3"/>
      <c r="D454" s="2"/>
      <c r="E454" s="4"/>
      <c r="F454" s="5"/>
      <c r="G454" s="6"/>
      <c r="H454" s="2"/>
      <c r="I454" s="7"/>
      <c r="J454" s="8"/>
      <c r="K454" s="3"/>
      <c r="L454" s="3"/>
    </row>
    <row r="455" ht="21.75" customHeight="1">
      <c r="A455" s="2"/>
      <c r="B455" s="2"/>
      <c r="C455" s="3"/>
      <c r="D455" s="2"/>
      <c r="E455" s="4"/>
      <c r="F455" s="5"/>
      <c r="G455" s="6"/>
      <c r="H455" s="2"/>
      <c r="I455" s="7"/>
      <c r="J455" s="8"/>
      <c r="K455" s="3"/>
      <c r="L455" s="3"/>
    </row>
    <row r="456" ht="21.75" customHeight="1">
      <c r="A456" s="2"/>
      <c r="B456" s="2"/>
      <c r="C456" s="3"/>
      <c r="D456" s="2"/>
      <c r="E456" s="4"/>
      <c r="F456" s="5"/>
      <c r="G456" s="6"/>
      <c r="H456" s="2"/>
      <c r="I456" s="7"/>
      <c r="J456" s="8"/>
      <c r="K456" s="3"/>
      <c r="L456" s="3"/>
    </row>
    <row r="457" ht="21.75" customHeight="1">
      <c r="A457" s="2"/>
      <c r="B457" s="2"/>
      <c r="C457" s="3"/>
      <c r="D457" s="2"/>
      <c r="E457" s="4"/>
      <c r="F457" s="5"/>
      <c r="G457" s="6"/>
      <c r="H457" s="2"/>
      <c r="I457" s="7"/>
      <c r="J457" s="8"/>
      <c r="K457" s="3"/>
      <c r="L457" s="3"/>
    </row>
    <row r="458" ht="21.75" customHeight="1">
      <c r="A458" s="2"/>
      <c r="B458" s="2"/>
      <c r="C458" s="3"/>
      <c r="D458" s="2"/>
      <c r="E458" s="4"/>
      <c r="F458" s="5"/>
      <c r="G458" s="6"/>
      <c r="H458" s="2"/>
      <c r="I458" s="7"/>
      <c r="J458" s="8"/>
      <c r="K458" s="3"/>
      <c r="L458" s="3"/>
    </row>
    <row r="459" ht="21.75" customHeight="1">
      <c r="A459" s="2"/>
      <c r="B459" s="2"/>
      <c r="C459" s="3"/>
      <c r="D459" s="2"/>
      <c r="E459" s="4"/>
      <c r="F459" s="5"/>
      <c r="G459" s="6"/>
      <c r="H459" s="2"/>
      <c r="I459" s="7"/>
      <c r="J459" s="8"/>
      <c r="K459" s="3"/>
      <c r="L459" s="3"/>
    </row>
    <row r="460" ht="21.75" customHeight="1">
      <c r="A460" s="2"/>
      <c r="B460" s="2"/>
      <c r="C460" s="3"/>
      <c r="D460" s="2"/>
      <c r="E460" s="4"/>
      <c r="F460" s="5"/>
      <c r="G460" s="6"/>
      <c r="H460" s="2"/>
      <c r="I460" s="7"/>
      <c r="J460" s="8"/>
      <c r="K460" s="3"/>
      <c r="L460" s="3"/>
    </row>
    <row r="461" ht="21.75" customHeight="1">
      <c r="A461" s="2"/>
      <c r="B461" s="2"/>
      <c r="C461" s="3"/>
      <c r="D461" s="2"/>
      <c r="E461" s="4"/>
      <c r="F461" s="5"/>
      <c r="G461" s="6"/>
      <c r="H461" s="2"/>
      <c r="I461" s="7"/>
      <c r="J461" s="8"/>
      <c r="K461" s="3"/>
      <c r="L461" s="3"/>
    </row>
    <row r="462" ht="21.75" customHeight="1">
      <c r="A462" s="2"/>
      <c r="B462" s="2"/>
      <c r="C462" s="3"/>
      <c r="D462" s="2"/>
      <c r="E462" s="4"/>
      <c r="F462" s="5"/>
      <c r="G462" s="6"/>
      <c r="H462" s="2"/>
      <c r="I462" s="7"/>
      <c r="J462" s="8"/>
      <c r="K462" s="3"/>
      <c r="L462" s="3"/>
    </row>
    <row r="463" ht="21.75" customHeight="1">
      <c r="A463" s="2"/>
      <c r="B463" s="2"/>
      <c r="C463" s="3"/>
      <c r="D463" s="2"/>
      <c r="E463" s="4"/>
      <c r="F463" s="5"/>
      <c r="G463" s="6"/>
      <c r="H463" s="2"/>
      <c r="I463" s="7"/>
      <c r="J463" s="8"/>
      <c r="K463" s="3"/>
      <c r="L463" s="3"/>
    </row>
    <row r="464" ht="21.75" customHeight="1">
      <c r="A464" s="2"/>
      <c r="B464" s="2"/>
      <c r="C464" s="3"/>
      <c r="D464" s="2"/>
      <c r="E464" s="4"/>
      <c r="F464" s="5"/>
      <c r="G464" s="6"/>
      <c r="H464" s="2"/>
      <c r="I464" s="7"/>
      <c r="J464" s="8"/>
      <c r="K464" s="3"/>
      <c r="L464" s="3"/>
    </row>
    <row r="465" ht="21.75" customHeight="1">
      <c r="A465" s="2"/>
      <c r="B465" s="2"/>
      <c r="C465" s="3"/>
      <c r="D465" s="2"/>
      <c r="E465" s="4"/>
      <c r="F465" s="5"/>
      <c r="G465" s="6"/>
      <c r="H465" s="2"/>
      <c r="I465" s="7"/>
      <c r="J465" s="8"/>
      <c r="K465" s="3"/>
      <c r="L465" s="3"/>
    </row>
    <row r="466" ht="21.75" customHeight="1">
      <c r="A466" s="2"/>
      <c r="B466" s="2"/>
      <c r="C466" s="3"/>
      <c r="D466" s="2"/>
      <c r="E466" s="4"/>
      <c r="F466" s="5"/>
      <c r="G466" s="6"/>
      <c r="H466" s="2"/>
      <c r="I466" s="7"/>
      <c r="J466" s="8"/>
      <c r="K466" s="3"/>
      <c r="L466" s="3"/>
    </row>
    <row r="467" ht="21.75" customHeight="1">
      <c r="A467" s="2"/>
      <c r="B467" s="2"/>
      <c r="C467" s="3"/>
      <c r="D467" s="2"/>
      <c r="E467" s="4"/>
      <c r="F467" s="5"/>
      <c r="G467" s="6"/>
      <c r="H467" s="2"/>
      <c r="I467" s="7"/>
      <c r="J467" s="8"/>
      <c r="K467" s="3"/>
      <c r="L467" s="3"/>
    </row>
    <row r="468" ht="21.75" customHeight="1">
      <c r="A468" s="2"/>
      <c r="B468" s="2"/>
      <c r="C468" s="3"/>
      <c r="D468" s="2"/>
      <c r="E468" s="4"/>
      <c r="F468" s="5"/>
      <c r="G468" s="6"/>
      <c r="H468" s="2"/>
      <c r="I468" s="7"/>
      <c r="J468" s="8"/>
      <c r="K468" s="3"/>
      <c r="L468" s="3"/>
    </row>
    <row r="469" ht="21.75" customHeight="1">
      <c r="A469" s="2"/>
      <c r="B469" s="2"/>
      <c r="C469" s="3"/>
      <c r="D469" s="2"/>
      <c r="E469" s="4"/>
      <c r="F469" s="5"/>
      <c r="G469" s="6"/>
      <c r="H469" s="2"/>
      <c r="I469" s="7"/>
      <c r="J469" s="8"/>
      <c r="K469" s="3"/>
      <c r="L469" s="3"/>
    </row>
    <row r="470" ht="21.75" customHeight="1">
      <c r="A470" s="2"/>
      <c r="B470" s="2"/>
      <c r="C470" s="3"/>
      <c r="D470" s="2"/>
      <c r="E470" s="4"/>
      <c r="F470" s="5"/>
      <c r="G470" s="6"/>
      <c r="H470" s="2"/>
      <c r="I470" s="7"/>
      <c r="J470" s="8"/>
      <c r="K470" s="3"/>
      <c r="L470" s="3"/>
    </row>
    <row r="471" ht="21.75" customHeight="1">
      <c r="A471" s="2"/>
      <c r="B471" s="2"/>
      <c r="C471" s="3"/>
      <c r="D471" s="2"/>
      <c r="E471" s="4"/>
      <c r="F471" s="5"/>
      <c r="G471" s="6"/>
      <c r="H471" s="2"/>
      <c r="I471" s="7"/>
      <c r="J471" s="8"/>
      <c r="K471" s="3"/>
      <c r="L471" s="3"/>
    </row>
    <row r="472" ht="21.75" customHeight="1">
      <c r="A472" s="2"/>
      <c r="B472" s="2"/>
      <c r="C472" s="3"/>
      <c r="D472" s="2"/>
      <c r="E472" s="4"/>
      <c r="F472" s="5"/>
      <c r="G472" s="6"/>
      <c r="H472" s="2"/>
      <c r="I472" s="7"/>
      <c r="J472" s="8"/>
      <c r="K472" s="3"/>
      <c r="L472" s="3"/>
    </row>
    <row r="473" ht="21.75" customHeight="1">
      <c r="A473" s="2"/>
      <c r="B473" s="2"/>
      <c r="C473" s="3"/>
      <c r="D473" s="2"/>
      <c r="E473" s="4"/>
      <c r="F473" s="5"/>
      <c r="G473" s="6"/>
      <c r="H473" s="2"/>
      <c r="I473" s="7"/>
      <c r="J473" s="8"/>
      <c r="K473" s="3"/>
      <c r="L473" s="3"/>
    </row>
    <row r="474" ht="21.75" customHeight="1">
      <c r="A474" s="2"/>
      <c r="B474" s="2"/>
      <c r="C474" s="3"/>
      <c r="D474" s="2"/>
      <c r="E474" s="4"/>
      <c r="F474" s="5"/>
      <c r="G474" s="6"/>
      <c r="H474" s="2"/>
      <c r="I474" s="7"/>
      <c r="J474" s="8"/>
      <c r="K474" s="3"/>
      <c r="L474" s="3"/>
    </row>
    <row r="475" ht="21.75" customHeight="1">
      <c r="A475" s="2"/>
      <c r="B475" s="2"/>
      <c r="C475" s="3"/>
      <c r="D475" s="2"/>
      <c r="E475" s="4"/>
      <c r="F475" s="5"/>
      <c r="G475" s="6"/>
      <c r="H475" s="2"/>
      <c r="I475" s="7"/>
      <c r="J475" s="8"/>
      <c r="K475" s="3"/>
      <c r="L475" s="3"/>
    </row>
    <row r="476" ht="21.75" customHeight="1">
      <c r="A476" s="2"/>
      <c r="B476" s="2"/>
      <c r="C476" s="3"/>
      <c r="D476" s="2"/>
      <c r="E476" s="4"/>
      <c r="F476" s="5"/>
      <c r="G476" s="6"/>
      <c r="H476" s="2"/>
      <c r="I476" s="7"/>
      <c r="J476" s="8"/>
      <c r="K476" s="3"/>
      <c r="L476" s="3"/>
    </row>
    <row r="477" ht="21.75" customHeight="1">
      <c r="A477" s="2"/>
      <c r="B477" s="2"/>
      <c r="C477" s="3"/>
      <c r="D477" s="2"/>
      <c r="E477" s="4"/>
      <c r="F477" s="5"/>
      <c r="G477" s="6"/>
      <c r="H477" s="2"/>
      <c r="I477" s="7"/>
      <c r="J477" s="8"/>
      <c r="K477" s="3"/>
      <c r="L477" s="3"/>
    </row>
    <row r="478" ht="21.75" customHeight="1">
      <c r="A478" s="2"/>
      <c r="B478" s="2"/>
      <c r="C478" s="3"/>
      <c r="D478" s="2"/>
      <c r="E478" s="4"/>
      <c r="F478" s="5"/>
      <c r="G478" s="6"/>
      <c r="H478" s="2"/>
      <c r="I478" s="7"/>
      <c r="J478" s="8"/>
      <c r="K478" s="3"/>
      <c r="L478" s="3"/>
    </row>
    <row r="479" ht="21.75" customHeight="1">
      <c r="A479" s="2"/>
      <c r="B479" s="2"/>
      <c r="C479" s="3"/>
      <c r="D479" s="2"/>
      <c r="E479" s="4"/>
      <c r="F479" s="5"/>
      <c r="G479" s="6"/>
      <c r="H479" s="2"/>
      <c r="I479" s="7"/>
      <c r="J479" s="8"/>
      <c r="K479" s="3"/>
      <c r="L479" s="3"/>
    </row>
    <row r="480" ht="21.75" customHeight="1">
      <c r="A480" s="2"/>
      <c r="B480" s="2"/>
      <c r="C480" s="3"/>
      <c r="D480" s="2"/>
      <c r="E480" s="4"/>
      <c r="F480" s="5"/>
      <c r="G480" s="6"/>
      <c r="H480" s="2"/>
      <c r="I480" s="7"/>
      <c r="J480" s="8"/>
      <c r="K480" s="3"/>
      <c r="L480" s="3"/>
    </row>
    <row r="481" ht="21.75" customHeight="1">
      <c r="A481" s="2"/>
      <c r="B481" s="2"/>
      <c r="C481" s="3"/>
      <c r="D481" s="2"/>
      <c r="E481" s="4"/>
      <c r="F481" s="5"/>
      <c r="G481" s="6"/>
      <c r="H481" s="2"/>
      <c r="I481" s="7"/>
      <c r="J481" s="8"/>
      <c r="K481" s="3"/>
      <c r="L481" s="3"/>
    </row>
    <row r="482" ht="21.75" customHeight="1">
      <c r="A482" s="2"/>
      <c r="B482" s="2"/>
      <c r="C482" s="3"/>
      <c r="D482" s="2"/>
      <c r="E482" s="4"/>
      <c r="F482" s="5"/>
      <c r="G482" s="6"/>
      <c r="H482" s="2"/>
      <c r="I482" s="7"/>
      <c r="J482" s="8"/>
      <c r="K482" s="3"/>
      <c r="L482" s="3"/>
    </row>
    <row r="483" ht="21.75" customHeight="1">
      <c r="A483" s="2"/>
      <c r="B483" s="2"/>
      <c r="C483" s="3"/>
      <c r="D483" s="2"/>
      <c r="E483" s="4"/>
      <c r="F483" s="5"/>
      <c r="G483" s="6"/>
      <c r="H483" s="2"/>
      <c r="I483" s="7"/>
      <c r="J483" s="8"/>
      <c r="K483" s="3"/>
      <c r="L483" s="3"/>
    </row>
    <row r="484" ht="21.75" customHeight="1">
      <c r="A484" s="2"/>
      <c r="B484" s="2"/>
      <c r="C484" s="3"/>
      <c r="D484" s="2"/>
      <c r="E484" s="4"/>
      <c r="F484" s="5"/>
      <c r="G484" s="6"/>
      <c r="H484" s="2"/>
      <c r="I484" s="7"/>
      <c r="J484" s="8"/>
      <c r="K484" s="3"/>
      <c r="L484" s="3"/>
    </row>
    <row r="485" ht="21.75" customHeight="1">
      <c r="A485" s="2"/>
      <c r="B485" s="2"/>
      <c r="C485" s="3"/>
      <c r="D485" s="2"/>
      <c r="E485" s="4"/>
      <c r="F485" s="5"/>
      <c r="G485" s="6"/>
      <c r="H485" s="2"/>
      <c r="I485" s="7"/>
      <c r="J485" s="8"/>
      <c r="K485" s="3"/>
      <c r="L485" s="3"/>
    </row>
    <row r="486" ht="21.75" customHeight="1">
      <c r="A486" s="2"/>
      <c r="B486" s="2"/>
      <c r="C486" s="3"/>
      <c r="D486" s="2"/>
      <c r="E486" s="4"/>
      <c r="F486" s="5"/>
      <c r="G486" s="6"/>
      <c r="H486" s="2"/>
      <c r="I486" s="7"/>
      <c r="J486" s="8"/>
      <c r="K486" s="3"/>
      <c r="L486" s="3"/>
    </row>
    <row r="487" ht="21.75" customHeight="1">
      <c r="A487" s="2"/>
      <c r="B487" s="2"/>
      <c r="C487" s="3"/>
      <c r="D487" s="2"/>
      <c r="E487" s="4"/>
      <c r="F487" s="5"/>
      <c r="G487" s="6"/>
      <c r="H487" s="2"/>
      <c r="I487" s="7"/>
      <c r="J487" s="8"/>
      <c r="K487" s="3"/>
      <c r="L487" s="3"/>
    </row>
    <row r="488" ht="21.75" customHeight="1">
      <c r="A488" s="2"/>
      <c r="B488" s="2"/>
      <c r="C488" s="3"/>
      <c r="D488" s="2"/>
      <c r="E488" s="4"/>
      <c r="F488" s="5"/>
      <c r="G488" s="6"/>
      <c r="H488" s="2"/>
      <c r="I488" s="7"/>
      <c r="J488" s="8"/>
      <c r="K488" s="3"/>
      <c r="L488" s="3"/>
    </row>
    <row r="489" ht="21.75" customHeight="1">
      <c r="A489" s="2"/>
      <c r="B489" s="2"/>
      <c r="C489" s="3"/>
      <c r="D489" s="2"/>
      <c r="E489" s="4"/>
      <c r="F489" s="5"/>
      <c r="G489" s="6"/>
      <c r="H489" s="2"/>
      <c r="I489" s="7"/>
      <c r="J489" s="8"/>
      <c r="K489" s="3"/>
      <c r="L489" s="3"/>
    </row>
    <row r="490" ht="21.75" customHeight="1">
      <c r="A490" s="2"/>
      <c r="B490" s="2"/>
      <c r="C490" s="3"/>
      <c r="D490" s="2"/>
      <c r="E490" s="4"/>
      <c r="F490" s="5"/>
      <c r="G490" s="6"/>
      <c r="H490" s="2"/>
      <c r="I490" s="7"/>
      <c r="J490" s="8"/>
      <c r="K490" s="3"/>
      <c r="L490" s="3"/>
    </row>
    <row r="491" ht="21.75" customHeight="1">
      <c r="A491" s="2"/>
      <c r="B491" s="2"/>
      <c r="C491" s="3"/>
      <c r="D491" s="2"/>
      <c r="E491" s="4"/>
      <c r="F491" s="5"/>
      <c r="G491" s="6"/>
      <c r="H491" s="2"/>
      <c r="I491" s="7"/>
      <c r="J491" s="8"/>
      <c r="K491" s="3"/>
      <c r="L491" s="3"/>
    </row>
    <row r="492" ht="21.75" customHeight="1">
      <c r="A492" s="2"/>
      <c r="B492" s="2"/>
      <c r="C492" s="3"/>
      <c r="D492" s="2"/>
      <c r="E492" s="4"/>
      <c r="F492" s="5"/>
      <c r="G492" s="6"/>
      <c r="H492" s="2"/>
      <c r="I492" s="7"/>
      <c r="J492" s="8"/>
      <c r="K492" s="3"/>
      <c r="L492" s="3"/>
    </row>
    <row r="493" ht="21.75" customHeight="1">
      <c r="A493" s="2"/>
      <c r="B493" s="2"/>
      <c r="C493" s="3"/>
      <c r="D493" s="2"/>
      <c r="E493" s="4"/>
      <c r="F493" s="5"/>
      <c r="G493" s="6"/>
      <c r="H493" s="2"/>
      <c r="I493" s="7"/>
      <c r="J493" s="8"/>
      <c r="K493" s="3"/>
      <c r="L493" s="3"/>
    </row>
    <row r="494" ht="21.75" customHeight="1">
      <c r="A494" s="2"/>
      <c r="B494" s="2"/>
      <c r="C494" s="3"/>
      <c r="D494" s="2"/>
      <c r="E494" s="4"/>
      <c r="F494" s="5"/>
      <c r="G494" s="6"/>
      <c r="H494" s="2"/>
      <c r="I494" s="7"/>
      <c r="J494" s="8"/>
      <c r="K494" s="3"/>
      <c r="L494" s="3"/>
    </row>
    <row r="495" ht="21.75" customHeight="1">
      <c r="A495" s="2"/>
      <c r="B495" s="2"/>
      <c r="C495" s="3"/>
      <c r="D495" s="2"/>
      <c r="E495" s="4"/>
      <c r="F495" s="5"/>
      <c r="G495" s="6"/>
      <c r="H495" s="2"/>
      <c r="I495" s="7"/>
      <c r="J495" s="8"/>
      <c r="K495" s="3"/>
      <c r="L495" s="3"/>
    </row>
    <row r="496" ht="21.75" customHeight="1">
      <c r="A496" s="2"/>
      <c r="B496" s="2"/>
      <c r="C496" s="3"/>
      <c r="D496" s="2"/>
      <c r="E496" s="4"/>
      <c r="F496" s="5"/>
      <c r="G496" s="6"/>
      <c r="H496" s="2"/>
      <c r="I496" s="7"/>
      <c r="J496" s="8"/>
      <c r="K496" s="3"/>
      <c r="L496" s="3"/>
    </row>
    <row r="497" ht="21.75" customHeight="1">
      <c r="A497" s="2"/>
      <c r="B497" s="2"/>
      <c r="C497" s="3"/>
      <c r="D497" s="2"/>
      <c r="E497" s="4"/>
      <c r="F497" s="5"/>
      <c r="G497" s="6"/>
      <c r="H497" s="2"/>
      <c r="I497" s="7"/>
      <c r="J497" s="8"/>
      <c r="K497" s="3"/>
      <c r="L497" s="3"/>
    </row>
    <row r="498" ht="21.75" customHeight="1">
      <c r="A498" s="2"/>
      <c r="B498" s="2"/>
      <c r="C498" s="3"/>
      <c r="D498" s="2"/>
      <c r="E498" s="4"/>
      <c r="F498" s="5"/>
      <c r="G498" s="6"/>
      <c r="H498" s="2"/>
      <c r="I498" s="7"/>
      <c r="J498" s="8"/>
      <c r="K498" s="3"/>
      <c r="L498" s="3"/>
    </row>
    <row r="499" ht="21.75" customHeight="1">
      <c r="A499" s="2"/>
      <c r="B499" s="2"/>
      <c r="C499" s="3"/>
      <c r="D499" s="2"/>
      <c r="E499" s="4"/>
      <c r="F499" s="5"/>
      <c r="G499" s="6"/>
      <c r="H499" s="2"/>
      <c r="I499" s="7"/>
      <c r="J499" s="8"/>
      <c r="K499" s="3"/>
      <c r="L499" s="3"/>
    </row>
    <row r="500" ht="21.75" customHeight="1">
      <c r="A500" s="2"/>
      <c r="B500" s="2"/>
      <c r="C500" s="3"/>
      <c r="D500" s="2"/>
      <c r="E500" s="4"/>
      <c r="F500" s="5"/>
      <c r="G500" s="6"/>
      <c r="H500" s="2"/>
      <c r="I500" s="7"/>
      <c r="J500" s="8"/>
      <c r="K500" s="3"/>
      <c r="L500" s="3"/>
    </row>
    <row r="501" ht="21.75" customHeight="1">
      <c r="A501" s="2"/>
      <c r="B501" s="2"/>
      <c r="C501" s="3"/>
      <c r="D501" s="2"/>
      <c r="E501" s="4"/>
      <c r="F501" s="5"/>
      <c r="G501" s="6"/>
      <c r="H501" s="2"/>
      <c r="I501" s="7"/>
      <c r="J501" s="8"/>
      <c r="K501" s="3"/>
      <c r="L501" s="3"/>
    </row>
    <row r="502" ht="21.75" customHeight="1">
      <c r="A502" s="2"/>
      <c r="B502" s="2"/>
      <c r="C502" s="3"/>
      <c r="D502" s="2"/>
      <c r="E502" s="4"/>
      <c r="F502" s="5"/>
      <c r="G502" s="6"/>
      <c r="H502" s="2"/>
      <c r="I502" s="7"/>
      <c r="J502" s="8"/>
      <c r="K502" s="3"/>
      <c r="L502" s="3"/>
    </row>
    <row r="503" ht="21.75" customHeight="1">
      <c r="A503" s="2"/>
      <c r="B503" s="2"/>
      <c r="C503" s="3"/>
      <c r="D503" s="2"/>
      <c r="E503" s="4"/>
      <c r="F503" s="5"/>
      <c r="G503" s="6"/>
      <c r="H503" s="2"/>
      <c r="I503" s="7"/>
      <c r="J503" s="8"/>
      <c r="K503" s="3"/>
      <c r="L503" s="3"/>
    </row>
    <row r="504" ht="21.75" customHeight="1">
      <c r="A504" s="2"/>
      <c r="B504" s="2"/>
      <c r="C504" s="3"/>
      <c r="D504" s="2"/>
      <c r="E504" s="4"/>
      <c r="F504" s="5"/>
      <c r="G504" s="6"/>
      <c r="H504" s="2"/>
      <c r="I504" s="7"/>
      <c r="J504" s="8"/>
      <c r="K504" s="3"/>
      <c r="L504" s="3"/>
    </row>
    <row r="505" ht="21.75" customHeight="1">
      <c r="A505" s="2"/>
      <c r="B505" s="2"/>
      <c r="C505" s="3"/>
      <c r="D505" s="2"/>
      <c r="E505" s="4"/>
      <c r="F505" s="5"/>
      <c r="G505" s="6"/>
      <c r="H505" s="2"/>
      <c r="I505" s="7"/>
      <c r="J505" s="8"/>
      <c r="K505" s="3"/>
      <c r="L505" s="3"/>
    </row>
    <row r="506" ht="21.75" customHeight="1">
      <c r="A506" s="2"/>
      <c r="B506" s="2"/>
      <c r="C506" s="3"/>
      <c r="D506" s="2"/>
      <c r="E506" s="4"/>
      <c r="F506" s="5"/>
      <c r="G506" s="6"/>
      <c r="H506" s="2"/>
      <c r="I506" s="7"/>
      <c r="J506" s="8"/>
      <c r="K506" s="3"/>
      <c r="L506" s="3"/>
    </row>
    <row r="507" ht="21.75" customHeight="1">
      <c r="A507" s="2"/>
      <c r="B507" s="2"/>
      <c r="C507" s="3"/>
      <c r="D507" s="2"/>
      <c r="E507" s="4"/>
      <c r="F507" s="5"/>
      <c r="G507" s="6"/>
      <c r="H507" s="2"/>
      <c r="I507" s="7"/>
      <c r="J507" s="8"/>
      <c r="K507" s="3"/>
      <c r="L507" s="3"/>
    </row>
    <row r="508" ht="21.75" customHeight="1">
      <c r="A508" s="2"/>
      <c r="B508" s="2"/>
      <c r="C508" s="3"/>
      <c r="D508" s="2"/>
      <c r="E508" s="4"/>
      <c r="F508" s="5"/>
      <c r="G508" s="6"/>
      <c r="H508" s="2"/>
      <c r="I508" s="7"/>
      <c r="J508" s="8"/>
      <c r="K508" s="3"/>
      <c r="L508" s="3"/>
    </row>
    <row r="509" ht="21.75" customHeight="1">
      <c r="A509" s="2"/>
      <c r="B509" s="2"/>
      <c r="C509" s="3"/>
      <c r="D509" s="2"/>
      <c r="E509" s="4"/>
      <c r="F509" s="5"/>
      <c r="G509" s="6"/>
      <c r="H509" s="2"/>
      <c r="I509" s="7"/>
      <c r="J509" s="8"/>
      <c r="K509" s="3"/>
      <c r="L509" s="3"/>
    </row>
    <row r="510" ht="21.75" customHeight="1">
      <c r="A510" s="2"/>
      <c r="B510" s="2"/>
      <c r="C510" s="3"/>
      <c r="D510" s="2"/>
      <c r="E510" s="4"/>
      <c r="F510" s="5"/>
      <c r="G510" s="6"/>
      <c r="H510" s="2"/>
      <c r="I510" s="7"/>
      <c r="J510" s="8"/>
      <c r="K510" s="3"/>
      <c r="L510" s="3"/>
    </row>
    <row r="511" ht="21.75" customHeight="1">
      <c r="A511" s="2"/>
      <c r="B511" s="2"/>
      <c r="C511" s="3"/>
      <c r="D511" s="2"/>
      <c r="E511" s="4"/>
      <c r="F511" s="5"/>
      <c r="G511" s="6"/>
      <c r="H511" s="2"/>
      <c r="I511" s="7"/>
      <c r="J511" s="8"/>
      <c r="K511" s="3"/>
      <c r="L511" s="3"/>
    </row>
    <row r="512" ht="21.75" customHeight="1">
      <c r="A512" s="2"/>
      <c r="B512" s="2"/>
      <c r="C512" s="3"/>
      <c r="D512" s="2"/>
      <c r="E512" s="4"/>
      <c r="F512" s="5"/>
      <c r="G512" s="6"/>
      <c r="H512" s="2"/>
      <c r="I512" s="7"/>
      <c r="J512" s="8"/>
      <c r="K512" s="3"/>
      <c r="L512" s="3"/>
    </row>
    <row r="513" ht="21.75" customHeight="1">
      <c r="A513" s="2"/>
      <c r="B513" s="2"/>
      <c r="C513" s="3"/>
      <c r="D513" s="2"/>
      <c r="E513" s="4"/>
      <c r="F513" s="5"/>
      <c r="G513" s="6"/>
      <c r="H513" s="2"/>
      <c r="I513" s="7"/>
      <c r="J513" s="8"/>
      <c r="K513" s="3"/>
      <c r="L513" s="3"/>
    </row>
    <row r="514" ht="21.75" customHeight="1">
      <c r="A514" s="2"/>
      <c r="B514" s="2"/>
      <c r="C514" s="3"/>
      <c r="D514" s="2"/>
      <c r="E514" s="4"/>
      <c r="F514" s="5"/>
      <c r="G514" s="6"/>
      <c r="H514" s="2"/>
      <c r="I514" s="7"/>
      <c r="J514" s="8"/>
      <c r="K514" s="3"/>
      <c r="L514" s="3"/>
    </row>
    <row r="515" ht="21.75" customHeight="1">
      <c r="A515" s="2"/>
      <c r="B515" s="2"/>
      <c r="C515" s="3"/>
      <c r="D515" s="2"/>
      <c r="E515" s="4"/>
      <c r="F515" s="5"/>
      <c r="G515" s="6"/>
      <c r="H515" s="2"/>
      <c r="I515" s="7"/>
      <c r="J515" s="8"/>
      <c r="K515" s="3"/>
      <c r="L515" s="3"/>
    </row>
    <row r="516" ht="21.75" customHeight="1">
      <c r="A516" s="2"/>
      <c r="B516" s="2"/>
      <c r="C516" s="3"/>
      <c r="D516" s="2"/>
      <c r="E516" s="4"/>
      <c r="F516" s="5"/>
      <c r="G516" s="6"/>
      <c r="H516" s="2"/>
      <c r="I516" s="7"/>
      <c r="J516" s="8"/>
      <c r="K516" s="3"/>
      <c r="L516" s="3"/>
    </row>
    <row r="517" ht="21.75" customHeight="1">
      <c r="A517" s="2"/>
      <c r="B517" s="2"/>
      <c r="C517" s="3"/>
      <c r="D517" s="2"/>
      <c r="E517" s="4"/>
      <c r="F517" s="5"/>
      <c r="G517" s="6"/>
      <c r="H517" s="2"/>
      <c r="I517" s="7"/>
      <c r="J517" s="8"/>
      <c r="K517" s="3"/>
      <c r="L517" s="3"/>
    </row>
    <row r="518" ht="21.75" customHeight="1">
      <c r="A518" s="2"/>
      <c r="B518" s="2"/>
      <c r="C518" s="3"/>
      <c r="D518" s="2"/>
      <c r="E518" s="4"/>
      <c r="F518" s="5"/>
      <c r="G518" s="6"/>
      <c r="H518" s="2"/>
      <c r="I518" s="7"/>
      <c r="J518" s="8"/>
      <c r="K518" s="3"/>
      <c r="L518" s="3"/>
    </row>
    <row r="519" ht="21.75" customHeight="1">
      <c r="A519" s="2"/>
      <c r="B519" s="2"/>
      <c r="C519" s="3"/>
      <c r="D519" s="2"/>
      <c r="E519" s="4"/>
      <c r="F519" s="5"/>
      <c r="G519" s="6"/>
      <c r="H519" s="2"/>
      <c r="I519" s="7"/>
      <c r="J519" s="8"/>
      <c r="K519" s="3"/>
      <c r="L519" s="3"/>
    </row>
    <row r="520" ht="21.75" customHeight="1">
      <c r="A520" s="2"/>
      <c r="B520" s="2"/>
      <c r="C520" s="3"/>
      <c r="D520" s="2"/>
      <c r="E520" s="4"/>
      <c r="F520" s="5"/>
      <c r="G520" s="6"/>
      <c r="H520" s="2"/>
      <c r="I520" s="7"/>
      <c r="J520" s="8"/>
      <c r="K520" s="3"/>
      <c r="L520" s="3"/>
    </row>
    <row r="521" ht="21.75" customHeight="1">
      <c r="A521" s="2"/>
      <c r="B521" s="2"/>
      <c r="C521" s="3"/>
      <c r="D521" s="2"/>
      <c r="E521" s="4"/>
      <c r="F521" s="5"/>
      <c r="G521" s="6"/>
      <c r="H521" s="2"/>
      <c r="I521" s="7"/>
      <c r="J521" s="8"/>
      <c r="K521" s="3"/>
      <c r="L521" s="3"/>
    </row>
    <row r="522" ht="21.75" customHeight="1">
      <c r="A522" s="2"/>
      <c r="B522" s="2"/>
      <c r="C522" s="3"/>
      <c r="D522" s="2"/>
      <c r="E522" s="4"/>
      <c r="F522" s="5"/>
      <c r="G522" s="6"/>
      <c r="H522" s="2"/>
      <c r="I522" s="7"/>
      <c r="J522" s="8"/>
      <c r="K522" s="3"/>
      <c r="L522" s="3"/>
    </row>
    <row r="523" ht="21.75" customHeight="1">
      <c r="A523" s="2"/>
      <c r="B523" s="2"/>
      <c r="C523" s="3"/>
      <c r="D523" s="2"/>
      <c r="E523" s="4"/>
      <c r="F523" s="5"/>
      <c r="G523" s="6"/>
      <c r="H523" s="2"/>
      <c r="I523" s="7"/>
      <c r="J523" s="8"/>
      <c r="K523" s="3"/>
      <c r="L523" s="3"/>
    </row>
    <row r="524" ht="21.75" customHeight="1">
      <c r="A524" s="2"/>
      <c r="B524" s="2"/>
      <c r="C524" s="3"/>
      <c r="D524" s="2"/>
      <c r="E524" s="4"/>
      <c r="F524" s="5"/>
      <c r="G524" s="6"/>
      <c r="H524" s="2"/>
      <c r="I524" s="7"/>
      <c r="J524" s="8"/>
      <c r="K524" s="3"/>
      <c r="L524" s="3"/>
    </row>
    <row r="525" ht="21.75" customHeight="1">
      <c r="A525" s="2"/>
      <c r="B525" s="2"/>
      <c r="C525" s="3"/>
      <c r="D525" s="2"/>
      <c r="E525" s="4"/>
      <c r="F525" s="5"/>
      <c r="G525" s="6"/>
      <c r="H525" s="2"/>
      <c r="I525" s="7"/>
      <c r="J525" s="8"/>
      <c r="K525" s="3"/>
      <c r="L525" s="3"/>
    </row>
    <row r="526" ht="21.75" customHeight="1">
      <c r="A526" s="2"/>
      <c r="B526" s="2"/>
      <c r="C526" s="3"/>
      <c r="D526" s="2"/>
      <c r="E526" s="4"/>
      <c r="F526" s="5"/>
      <c r="G526" s="6"/>
      <c r="H526" s="2"/>
      <c r="I526" s="7"/>
      <c r="J526" s="8"/>
      <c r="K526" s="3"/>
      <c r="L526" s="3"/>
    </row>
    <row r="527" ht="21.75" customHeight="1">
      <c r="A527" s="2"/>
      <c r="B527" s="2"/>
      <c r="C527" s="3"/>
      <c r="D527" s="2"/>
      <c r="E527" s="4"/>
      <c r="F527" s="5"/>
      <c r="G527" s="6"/>
      <c r="H527" s="2"/>
      <c r="I527" s="7"/>
      <c r="J527" s="8"/>
      <c r="K527" s="3"/>
      <c r="L527" s="3"/>
    </row>
    <row r="528" ht="21.75" customHeight="1">
      <c r="A528" s="2"/>
      <c r="B528" s="2"/>
      <c r="C528" s="3"/>
      <c r="D528" s="2"/>
      <c r="E528" s="4"/>
      <c r="F528" s="5"/>
      <c r="G528" s="6"/>
      <c r="H528" s="2"/>
      <c r="I528" s="7"/>
      <c r="J528" s="8"/>
      <c r="K528" s="3"/>
      <c r="L528" s="3"/>
    </row>
    <row r="529" ht="21.75" customHeight="1">
      <c r="A529" s="2"/>
      <c r="B529" s="2"/>
      <c r="C529" s="3"/>
      <c r="D529" s="2"/>
      <c r="E529" s="4"/>
      <c r="F529" s="5"/>
      <c r="G529" s="6"/>
      <c r="H529" s="2"/>
      <c r="I529" s="7"/>
      <c r="J529" s="8"/>
      <c r="K529" s="3"/>
      <c r="L529" s="3"/>
    </row>
    <row r="530" ht="21.75" customHeight="1">
      <c r="A530" s="2"/>
      <c r="B530" s="2"/>
      <c r="C530" s="3"/>
      <c r="D530" s="2"/>
      <c r="E530" s="4"/>
      <c r="F530" s="5"/>
      <c r="G530" s="6"/>
      <c r="H530" s="2"/>
      <c r="I530" s="7"/>
      <c r="J530" s="8"/>
      <c r="K530" s="3"/>
      <c r="L530" s="3"/>
    </row>
    <row r="531" ht="21.75" customHeight="1">
      <c r="A531" s="2"/>
      <c r="B531" s="2"/>
      <c r="C531" s="3"/>
      <c r="D531" s="2"/>
      <c r="E531" s="4"/>
      <c r="F531" s="5"/>
      <c r="G531" s="6"/>
      <c r="H531" s="2"/>
      <c r="I531" s="7"/>
      <c r="J531" s="8"/>
      <c r="K531" s="3"/>
      <c r="L531" s="3"/>
    </row>
    <row r="532" ht="21.75" customHeight="1">
      <c r="A532" s="2"/>
      <c r="B532" s="2"/>
      <c r="C532" s="3"/>
      <c r="D532" s="2"/>
      <c r="E532" s="4"/>
      <c r="F532" s="5"/>
      <c r="G532" s="6"/>
      <c r="H532" s="2"/>
      <c r="I532" s="7"/>
      <c r="J532" s="8"/>
      <c r="K532" s="3"/>
      <c r="L532" s="3"/>
    </row>
    <row r="533" ht="21.75" customHeight="1">
      <c r="A533" s="2"/>
      <c r="B533" s="2"/>
      <c r="C533" s="3"/>
      <c r="D533" s="2"/>
      <c r="E533" s="4"/>
      <c r="F533" s="5"/>
      <c r="G533" s="6"/>
      <c r="H533" s="2"/>
      <c r="I533" s="7"/>
      <c r="J533" s="8"/>
      <c r="K533" s="3"/>
      <c r="L533" s="3"/>
    </row>
    <row r="534" ht="21.75" customHeight="1">
      <c r="A534" s="2"/>
      <c r="B534" s="2"/>
      <c r="C534" s="3"/>
      <c r="D534" s="2"/>
      <c r="E534" s="4"/>
      <c r="F534" s="5"/>
      <c r="G534" s="6"/>
      <c r="H534" s="2"/>
      <c r="I534" s="7"/>
      <c r="J534" s="8"/>
      <c r="K534" s="3"/>
      <c r="L534" s="3"/>
    </row>
    <row r="535" ht="21.75" customHeight="1">
      <c r="A535" s="2"/>
      <c r="B535" s="2"/>
      <c r="C535" s="3"/>
      <c r="D535" s="2"/>
      <c r="E535" s="4"/>
      <c r="F535" s="5"/>
      <c r="G535" s="6"/>
      <c r="H535" s="2"/>
      <c r="I535" s="7"/>
      <c r="J535" s="8"/>
      <c r="K535" s="3"/>
      <c r="L535" s="3"/>
    </row>
    <row r="536" ht="21.75" customHeight="1">
      <c r="A536" s="2"/>
      <c r="B536" s="2"/>
      <c r="C536" s="3"/>
      <c r="D536" s="2"/>
      <c r="E536" s="4"/>
      <c r="F536" s="5"/>
      <c r="G536" s="6"/>
      <c r="H536" s="2"/>
      <c r="I536" s="7"/>
      <c r="J536" s="8"/>
      <c r="K536" s="3"/>
      <c r="L536" s="3"/>
    </row>
    <row r="537" ht="21.75" customHeight="1">
      <c r="A537" s="2"/>
      <c r="B537" s="2"/>
      <c r="C537" s="3"/>
      <c r="D537" s="2"/>
      <c r="E537" s="4"/>
      <c r="F537" s="5"/>
      <c r="G537" s="6"/>
      <c r="H537" s="2"/>
      <c r="I537" s="7"/>
      <c r="J537" s="8"/>
      <c r="K537" s="3"/>
      <c r="L537" s="3"/>
    </row>
    <row r="538" ht="21.75" customHeight="1">
      <c r="A538" s="2"/>
      <c r="B538" s="2"/>
      <c r="C538" s="3"/>
      <c r="D538" s="2"/>
      <c r="E538" s="4"/>
      <c r="F538" s="5"/>
      <c r="G538" s="6"/>
      <c r="H538" s="2"/>
      <c r="I538" s="7"/>
      <c r="J538" s="8"/>
      <c r="K538" s="3"/>
      <c r="L538" s="3"/>
    </row>
    <row r="539" ht="21.75" customHeight="1">
      <c r="A539" s="2"/>
      <c r="B539" s="2"/>
      <c r="C539" s="3"/>
      <c r="D539" s="2"/>
      <c r="E539" s="4"/>
      <c r="F539" s="5"/>
      <c r="G539" s="6"/>
      <c r="H539" s="2"/>
      <c r="I539" s="7"/>
      <c r="J539" s="8"/>
      <c r="K539" s="3"/>
      <c r="L539" s="3"/>
    </row>
    <row r="540" ht="21.75" customHeight="1">
      <c r="A540" s="2"/>
      <c r="B540" s="2"/>
      <c r="C540" s="3"/>
      <c r="D540" s="2"/>
      <c r="E540" s="4"/>
      <c r="F540" s="5"/>
      <c r="G540" s="6"/>
      <c r="H540" s="2"/>
      <c r="I540" s="7"/>
      <c r="J540" s="8"/>
      <c r="K540" s="3"/>
      <c r="L540" s="3"/>
    </row>
    <row r="541" ht="21.75" customHeight="1">
      <c r="A541" s="2"/>
      <c r="B541" s="2"/>
      <c r="C541" s="3"/>
      <c r="D541" s="2"/>
      <c r="E541" s="4"/>
      <c r="F541" s="5"/>
      <c r="G541" s="6"/>
      <c r="H541" s="2"/>
      <c r="I541" s="7"/>
      <c r="J541" s="8"/>
      <c r="K541" s="3"/>
      <c r="L541" s="3"/>
    </row>
    <row r="542" ht="21.75" customHeight="1">
      <c r="A542" s="2"/>
      <c r="B542" s="2"/>
      <c r="C542" s="3"/>
      <c r="D542" s="2"/>
      <c r="E542" s="4"/>
      <c r="F542" s="5"/>
      <c r="G542" s="6"/>
      <c r="H542" s="2"/>
      <c r="I542" s="7"/>
      <c r="J542" s="8"/>
      <c r="K542" s="3"/>
      <c r="L542" s="3"/>
    </row>
    <row r="543" ht="21.75" customHeight="1">
      <c r="A543" s="2"/>
      <c r="B543" s="2"/>
      <c r="C543" s="3"/>
      <c r="D543" s="2"/>
      <c r="E543" s="4"/>
      <c r="F543" s="5"/>
      <c r="G543" s="6"/>
      <c r="H543" s="2"/>
      <c r="I543" s="7"/>
      <c r="J543" s="8"/>
      <c r="K543" s="3"/>
      <c r="L543" s="3"/>
    </row>
    <row r="544" ht="21.75" customHeight="1">
      <c r="A544" s="2"/>
      <c r="B544" s="2"/>
      <c r="C544" s="3"/>
      <c r="D544" s="2"/>
      <c r="E544" s="4"/>
      <c r="F544" s="5"/>
      <c r="G544" s="6"/>
      <c r="H544" s="2"/>
      <c r="I544" s="7"/>
      <c r="J544" s="8"/>
      <c r="K544" s="3"/>
      <c r="L544" s="3"/>
    </row>
    <row r="545" ht="21.75" customHeight="1">
      <c r="A545" s="2"/>
      <c r="B545" s="2"/>
      <c r="C545" s="3"/>
      <c r="D545" s="2"/>
      <c r="E545" s="4"/>
      <c r="F545" s="5"/>
      <c r="G545" s="6"/>
      <c r="H545" s="2"/>
      <c r="I545" s="7"/>
      <c r="J545" s="8"/>
      <c r="K545" s="3"/>
      <c r="L545" s="3"/>
    </row>
    <row r="546" ht="21.75" customHeight="1">
      <c r="A546" s="2"/>
      <c r="B546" s="2"/>
      <c r="C546" s="3"/>
      <c r="D546" s="2"/>
      <c r="E546" s="4"/>
      <c r="F546" s="5"/>
      <c r="G546" s="6"/>
      <c r="H546" s="2"/>
      <c r="I546" s="7"/>
      <c r="J546" s="8"/>
      <c r="K546" s="3"/>
      <c r="L546" s="3"/>
    </row>
    <row r="547" ht="21.75" customHeight="1">
      <c r="A547" s="2"/>
      <c r="B547" s="2"/>
      <c r="C547" s="3"/>
      <c r="D547" s="2"/>
      <c r="E547" s="4"/>
      <c r="F547" s="5"/>
      <c r="G547" s="6"/>
      <c r="H547" s="2"/>
      <c r="I547" s="7"/>
      <c r="J547" s="8"/>
      <c r="K547" s="3"/>
      <c r="L547" s="3"/>
    </row>
    <row r="548" ht="21.75" customHeight="1">
      <c r="A548" s="2"/>
      <c r="B548" s="2"/>
      <c r="C548" s="3"/>
      <c r="D548" s="2"/>
      <c r="E548" s="4"/>
      <c r="F548" s="5"/>
      <c r="G548" s="6"/>
      <c r="H548" s="2"/>
      <c r="I548" s="7"/>
      <c r="J548" s="8"/>
      <c r="K548" s="3"/>
      <c r="L548" s="3"/>
    </row>
    <row r="549" ht="21.75" customHeight="1">
      <c r="A549" s="2"/>
      <c r="B549" s="2"/>
      <c r="C549" s="3"/>
      <c r="D549" s="2"/>
      <c r="E549" s="4"/>
      <c r="F549" s="5"/>
      <c r="G549" s="6"/>
      <c r="H549" s="2"/>
      <c r="I549" s="7"/>
      <c r="J549" s="8"/>
      <c r="K549" s="3"/>
      <c r="L549" s="3"/>
    </row>
    <row r="550" ht="21.75" customHeight="1">
      <c r="A550" s="2"/>
      <c r="B550" s="2"/>
      <c r="C550" s="3"/>
      <c r="D550" s="2"/>
      <c r="E550" s="4"/>
      <c r="F550" s="5"/>
      <c r="G550" s="6"/>
      <c r="H550" s="2"/>
      <c r="I550" s="7"/>
      <c r="J550" s="8"/>
      <c r="K550" s="3"/>
      <c r="L550" s="3"/>
    </row>
    <row r="551" ht="21.75" customHeight="1">
      <c r="A551" s="2"/>
      <c r="B551" s="2"/>
      <c r="C551" s="3"/>
      <c r="D551" s="2"/>
      <c r="E551" s="4"/>
      <c r="F551" s="5"/>
      <c r="G551" s="6"/>
      <c r="H551" s="2"/>
      <c r="I551" s="7"/>
      <c r="J551" s="8"/>
      <c r="K551" s="3"/>
      <c r="L551" s="3"/>
    </row>
    <row r="552" ht="21.75" customHeight="1">
      <c r="A552" s="2"/>
      <c r="B552" s="2"/>
      <c r="C552" s="3"/>
      <c r="D552" s="2"/>
      <c r="E552" s="4"/>
      <c r="F552" s="5"/>
      <c r="G552" s="6"/>
      <c r="H552" s="2"/>
      <c r="I552" s="7"/>
      <c r="J552" s="8"/>
      <c r="K552" s="3"/>
      <c r="L552" s="3"/>
    </row>
    <row r="553" ht="21.75" customHeight="1">
      <c r="A553" s="2"/>
      <c r="B553" s="2"/>
      <c r="C553" s="3"/>
      <c r="D553" s="2"/>
      <c r="E553" s="4"/>
      <c r="F553" s="5"/>
      <c r="G553" s="6"/>
      <c r="H553" s="2"/>
      <c r="I553" s="7"/>
      <c r="J553" s="8"/>
      <c r="K553" s="3"/>
      <c r="L553" s="3"/>
    </row>
    <row r="554" ht="21.75" customHeight="1">
      <c r="A554" s="2"/>
      <c r="B554" s="2"/>
      <c r="C554" s="3"/>
      <c r="D554" s="2"/>
      <c r="E554" s="4"/>
      <c r="F554" s="5"/>
      <c r="G554" s="6"/>
      <c r="H554" s="2"/>
      <c r="I554" s="7"/>
      <c r="J554" s="8"/>
      <c r="K554" s="3"/>
      <c r="L554" s="3"/>
    </row>
    <row r="555" ht="21.75" customHeight="1">
      <c r="A555" s="2"/>
      <c r="B555" s="2"/>
      <c r="C555" s="3"/>
      <c r="D555" s="2"/>
      <c r="E555" s="4"/>
      <c r="F555" s="5"/>
      <c r="G555" s="6"/>
      <c r="H555" s="2"/>
      <c r="I555" s="7"/>
      <c r="J555" s="8"/>
      <c r="K555" s="3"/>
      <c r="L555" s="3"/>
    </row>
    <row r="556" ht="21.75" customHeight="1">
      <c r="A556" s="2"/>
      <c r="B556" s="2"/>
      <c r="C556" s="3"/>
      <c r="D556" s="2"/>
      <c r="E556" s="4"/>
      <c r="F556" s="5"/>
      <c r="G556" s="6"/>
      <c r="H556" s="2"/>
      <c r="I556" s="7"/>
      <c r="J556" s="8"/>
      <c r="K556" s="3"/>
      <c r="L556" s="3"/>
    </row>
    <row r="557" ht="21.75" customHeight="1">
      <c r="A557" s="2"/>
      <c r="B557" s="2"/>
      <c r="C557" s="3"/>
      <c r="D557" s="2"/>
      <c r="E557" s="4"/>
      <c r="F557" s="5"/>
      <c r="G557" s="6"/>
      <c r="H557" s="2"/>
      <c r="I557" s="7"/>
      <c r="J557" s="8"/>
      <c r="K557" s="3"/>
      <c r="L557" s="3"/>
    </row>
    <row r="558" ht="21.75" customHeight="1">
      <c r="A558" s="2"/>
      <c r="B558" s="2"/>
      <c r="C558" s="3"/>
      <c r="D558" s="2"/>
      <c r="E558" s="4"/>
      <c r="F558" s="5"/>
      <c r="G558" s="6"/>
      <c r="H558" s="2"/>
      <c r="I558" s="7"/>
      <c r="J558" s="8"/>
      <c r="K558" s="3"/>
      <c r="L558" s="3"/>
    </row>
    <row r="559" ht="21.75" customHeight="1">
      <c r="A559" s="2"/>
      <c r="B559" s="2"/>
      <c r="C559" s="3"/>
      <c r="D559" s="2"/>
      <c r="E559" s="4"/>
      <c r="F559" s="5"/>
      <c r="G559" s="6"/>
      <c r="H559" s="2"/>
      <c r="I559" s="7"/>
      <c r="J559" s="8"/>
      <c r="K559" s="3"/>
      <c r="L559" s="3"/>
    </row>
    <row r="560" ht="21.75" customHeight="1">
      <c r="A560" s="2"/>
      <c r="B560" s="2"/>
      <c r="C560" s="3"/>
      <c r="D560" s="2"/>
      <c r="E560" s="4"/>
      <c r="F560" s="5"/>
      <c r="G560" s="6"/>
      <c r="H560" s="2"/>
      <c r="I560" s="7"/>
      <c r="J560" s="8"/>
      <c r="K560" s="3"/>
      <c r="L560" s="3"/>
    </row>
    <row r="561" ht="21.75" customHeight="1">
      <c r="A561" s="2"/>
      <c r="B561" s="2"/>
      <c r="C561" s="3"/>
      <c r="D561" s="2"/>
      <c r="E561" s="4"/>
      <c r="F561" s="5"/>
      <c r="G561" s="6"/>
      <c r="H561" s="2"/>
      <c r="I561" s="7"/>
      <c r="J561" s="8"/>
      <c r="K561" s="3"/>
      <c r="L561" s="3"/>
    </row>
    <row r="562" ht="21.75" customHeight="1">
      <c r="A562" s="2"/>
      <c r="B562" s="2"/>
      <c r="C562" s="3"/>
      <c r="D562" s="2"/>
      <c r="E562" s="4"/>
      <c r="F562" s="5"/>
      <c r="G562" s="6"/>
      <c r="H562" s="2"/>
      <c r="I562" s="7"/>
      <c r="J562" s="8"/>
      <c r="K562" s="3"/>
      <c r="L562" s="3"/>
    </row>
    <row r="563" ht="21.75" customHeight="1">
      <c r="A563" s="2"/>
      <c r="B563" s="2"/>
      <c r="C563" s="3"/>
      <c r="D563" s="2"/>
      <c r="E563" s="4"/>
      <c r="F563" s="5"/>
      <c r="G563" s="6"/>
      <c r="H563" s="2"/>
      <c r="I563" s="7"/>
      <c r="J563" s="8"/>
      <c r="K563" s="3"/>
      <c r="L563" s="3"/>
    </row>
    <row r="564" ht="21.75" customHeight="1">
      <c r="A564" s="2"/>
      <c r="B564" s="2"/>
      <c r="C564" s="3"/>
      <c r="D564" s="2"/>
      <c r="E564" s="4"/>
      <c r="F564" s="5"/>
      <c r="G564" s="6"/>
      <c r="H564" s="2"/>
      <c r="I564" s="7"/>
      <c r="J564" s="8"/>
      <c r="K564" s="3"/>
      <c r="L564" s="3"/>
    </row>
    <row r="565" ht="21.75" customHeight="1">
      <c r="A565" s="2"/>
      <c r="B565" s="2"/>
      <c r="C565" s="3"/>
      <c r="D565" s="2"/>
      <c r="E565" s="4"/>
      <c r="F565" s="5"/>
      <c r="G565" s="6"/>
      <c r="H565" s="2"/>
      <c r="I565" s="7"/>
      <c r="J565" s="8"/>
      <c r="K565" s="3"/>
      <c r="L565" s="3"/>
    </row>
    <row r="566" ht="21.75" customHeight="1">
      <c r="A566" s="2"/>
      <c r="B566" s="2"/>
      <c r="C566" s="3"/>
      <c r="D566" s="2"/>
      <c r="E566" s="4"/>
      <c r="F566" s="5"/>
      <c r="G566" s="6"/>
      <c r="H566" s="2"/>
      <c r="I566" s="7"/>
      <c r="J566" s="8"/>
      <c r="K566" s="3"/>
      <c r="L566" s="3"/>
    </row>
    <row r="567" ht="21.75" customHeight="1">
      <c r="A567" s="2"/>
      <c r="B567" s="2"/>
      <c r="C567" s="3"/>
      <c r="D567" s="2"/>
      <c r="E567" s="4"/>
      <c r="F567" s="5"/>
      <c r="G567" s="6"/>
      <c r="H567" s="2"/>
      <c r="I567" s="7"/>
      <c r="J567" s="8"/>
      <c r="K567" s="3"/>
      <c r="L567" s="3"/>
    </row>
    <row r="568" ht="21.75" customHeight="1">
      <c r="A568" s="2"/>
      <c r="B568" s="2"/>
      <c r="C568" s="3"/>
      <c r="D568" s="2"/>
      <c r="E568" s="4"/>
      <c r="F568" s="5"/>
      <c r="G568" s="6"/>
      <c r="H568" s="2"/>
      <c r="I568" s="7"/>
      <c r="J568" s="8"/>
      <c r="K568" s="3"/>
      <c r="L568" s="3"/>
    </row>
    <row r="569" ht="21.75" customHeight="1">
      <c r="A569" s="2"/>
      <c r="B569" s="2"/>
      <c r="C569" s="3"/>
      <c r="D569" s="2"/>
      <c r="E569" s="4"/>
      <c r="F569" s="5"/>
      <c r="G569" s="6"/>
      <c r="H569" s="2"/>
      <c r="I569" s="7"/>
      <c r="J569" s="8"/>
      <c r="K569" s="3"/>
      <c r="L569" s="3"/>
    </row>
    <row r="570" ht="21.75" customHeight="1">
      <c r="A570" s="2"/>
      <c r="B570" s="2"/>
      <c r="C570" s="3"/>
      <c r="D570" s="2"/>
      <c r="E570" s="4"/>
      <c r="F570" s="5"/>
      <c r="G570" s="6"/>
      <c r="H570" s="2"/>
      <c r="I570" s="7"/>
      <c r="J570" s="8"/>
      <c r="K570" s="3"/>
      <c r="L570" s="3"/>
    </row>
    <row r="571" ht="21.75" customHeight="1">
      <c r="A571" s="2"/>
      <c r="B571" s="2"/>
      <c r="C571" s="3"/>
      <c r="D571" s="2"/>
      <c r="E571" s="4"/>
      <c r="F571" s="5"/>
      <c r="G571" s="6"/>
      <c r="H571" s="2"/>
      <c r="I571" s="7"/>
      <c r="J571" s="8"/>
      <c r="K571" s="3"/>
      <c r="L571" s="3"/>
    </row>
    <row r="572" ht="21.75" customHeight="1">
      <c r="A572" s="2"/>
      <c r="B572" s="2"/>
      <c r="C572" s="3"/>
      <c r="D572" s="2"/>
      <c r="E572" s="4"/>
      <c r="F572" s="5"/>
      <c r="G572" s="6"/>
      <c r="H572" s="2"/>
      <c r="I572" s="7"/>
      <c r="J572" s="8"/>
      <c r="K572" s="3"/>
      <c r="L572" s="3"/>
    </row>
    <row r="573" ht="21.75" customHeight="1">
      <c r="A573" s="2"/>
      <c r="B573" s="2"/>
      <c r="C573" s="3"/>
      <c r="D573" s="2"/>
      <c r="E573" s="4"/>
      <c r="F573" s="5"/>
      <c r="G573" s="6"/>
      <c r="H573" s="2"/>
      <c r="I573" s="7"/>
      <c r="J573" s="8"/>
      <c r="K573" s="3"/>
      <c r="L573" s="3"/>
    </row>
    <row r="574" ht="21.75" customHeight="1">
      <c r="A574" s="2"/>
      <c r="B574" s="2"/>
      <c r="C574" s="3"/>
      <c r="D574" s="2"/>
      <c r="E574" s="4"/>
      <c r="F574" s="5"/>
      <c r="G574" s="6"/>
      <c r="H574" s="2"/>
      <c r="I574" s="7"/>
      <c r="J574" s="8"/>
      <c r="K574" s="3"/>
      <c r="L574" s="3"/>
    </row>
    <row r="575" ht="21.75" customHeight="1">
      <c r="A575" s="2"/>
      <c r="B575" s="2"/>
      <c r="C575" s="3"/>
      <c r="D575" s="2"/>
      <c r="E575" s="4"/>
      <c r="F575" s="5"/>
      <c r="G575" s="6"/>
      <c r="H575" s="2"/>
      <c r="I575" s="7"/>
      <c r="J575" s="8"/>
      <c r="K575" s="3"/>
      <c r="L575" s="3"/>
    </row>
    <row r="576" ht="21.75" customHeight="1">
      <c r="A576" s="2"/>
      <c r="B576" s="2"/>
      <c r="C576" s="3"/>
      <c r="D576" s="2"/>
      <c r="E576" s="4"/>
      <c r="F576" s="5"/>
      <c r="G576" s="6"/>
      <c r="H576" s="2"/>
      <c r="I576" s="7"/>
      <c r="J576" s="8"/>
      <c r="K576" s="3"/>
      <c r="L576" s="3"/>
    </row>
    <row r="577" ht="21.75" customHeight="1">
      <c r="A577" s="2"/>
      <c r="B577" s="2"/>
      <c r="C577" s="3"/>
      <c r="D577" s="2"/>
      <c r="E577" s="4"/>
      <c r="F577" s="5"/>
      <c r="G577" s="6"/>
      <c r="H577" s="2"/>
      <c r="I577" s="7"/>
      <c r="J577" s="8"/>
      <c r="K577" s="3"/>
      <c r="L577" s="3"/>
    </row>
    <row r="578" ht="21.75" customHeight="1">
      <c r="A578" s="2"/>
      <c r="B578" s="2"/>
      <c r="C578" s="3"/>
      <c r="D578" s="2"/>
      <c r="E578" s="4"/>
      <c r="F578" s="5"/>
      <c r="G578" s="6"/>
      <c r="H578" s="2"/>
      <c r="I578" s="7"/>
      <c r="J578" s="8"/>
      <c r="K578" s="3"/>
      <c r="L578" s="3"/>
    </row>
    <row r="579" ht="21.75" customHeight="1">
      <c r="A579" s="2"/>
      <c r="B579" s="2"/>
      <c r="C579" s="3"/>
      <c r="D579" s="2"/>
      <c r="E579" s="4"/>
      <c r="F579" s="5"/>
      <c r="G579" s="6"/>
      <c r="H579" s="2"/>
      <c r="I579" s="7"/>
      <c r="J579" s="8"/>
      <c r="K579" s="3"/>
      <c r="L579" s="3"/>
    </row>
    <row r="580" ht="21.75" customHeight="1">
      <c r="A580" s="2"/>
      <c r="B580" s="2"/>
      <c r="C580" s="3"/>
      <c r="D580" s="2"/>
      <c r="E580" s="4"/>
      <c r="F580" s="5"/>
      <c r="G580" s="6"/>
      <c r="H580" s="2"/>
      <c r="I580" s="7"/>
      <c r="J580" s="8"/>
      <c r="K580" s="3"/>
      <c r="L580" s="3"/>
    </row>
    <row r="581" ht="21.75" customHeight="1">
      <c r="A581" s="2"/>
      <c r="B581" s="2"/>
      <c r="C581" s="3"/>
      <c r="D581" s="2"/>
      <c r="E581" s="4"/>
      <c r="F581" s="5"/>
      <c r="G581" s="6"/>
      <c r="H581" s="2"/>
      <c r="I581" s="7"/>
      <c r="J581" s="8"/>
      <c r="K581" s="3"/>
      <c r="L581" s="3"/>
    </row>
    <row r="582" ht="21.75" customHeight="1">
      <c r="A582" s="2"/>
      <c r="B582" s="2"/>
      <c r="C582" s="3"/>
      <c r="D582" s="2"/>
      <c r="E582" s="4"/>
      <c r="F582" s="5"/>
      <c r="G582" s="6"/>
      <c r="H582" s="2"/>
      <c r="I582" s="7"/>
      <c r="J582" s="8"/>
      <c r="K582" s="3"/>
      <c r="L582" s="3"/>
    </row>
    <row r="583" ht="21.75" customHeight="1">
      <c r="A583" s="2"/>
      <c r="B583" s="2"/>
      <c r="C583" s="3"/>
      <c r="D583" s="2"/>
      <c r="E583" s="4"/>
      <c r="F583" s="5"/>
      <c r="G583" s="6"/>
      <c r="H583" s="2"/>
      <c r="I583" s="7"/>
      <c r="J583" s="8"/>
      <c r="K583" s="3"/>
      <c r="L583" s="3"/>
    </row>
    <row r="584" ht="21.75" customHeight="1">
      <c r="A584" s="2"/>
      <c r="B584" s="2"/>
      <c r="C584" s="3"/>
      <c r="D584" s="2"/>
      <c r="E584" s="4"/>
      <c r="F584" s="5"/>
      <c r="G584" s="6"/>
      <c r="H584" s="2"/>
      <c r="I584" s="7"/>
      <c r="J584" s="8"/>
      <c r="K584" s="3"/>
      <c r="L584" s="3"/>
    </row>
    <row r="585" ht="21.75" customHeight="1">
      <c r="A585" s="2"/>
      <c r="B585" s="2"/>
      <c r="C585" s="3"/>
      <c r="D585" s="2"/>
      <c r="E585" s="4"/>
      <c r="F585" s="5"/>
      <c r="G585" s="6"/>
      <c r="H585" s="2"/>
      <c r="I585" s="7"/>
      <c r="J585" s="8"/>
      <c r="K585" s="3"/>
      <c r="L585" s="3"/>
    </row>
    <row r="586" ht="21.75" customHeight="1">
      <c r="A586" s="2"/>
      <c r="B586" s="2"/>
      <c r="C586" s="3"/>
      <c r="D586" s="2"/>
      <c r="E586" s="4"/>
      <c r="F586" s="5"/>
      <c r="G586" s="6"/>
      <c r="H586" s="2"/>
      <c r="I586" s="7"/>
      <c r="J586" s="8"/>
      <c r="K586" s="3"/>
      <c r="L586" s="3"/>
    </row>
    <row r="587" ht="21.75" customHeight="1">
      <c r="A587" s="2"/>
      <c r="B587" s="2"/>
      <c r="C587" s="3"/>
      <c r="D587" s="2"/>
      <c r="E587" s="4"/>
      <c r="F587" s="5"/>
      <c r="G587" s="6"/>
      <c r="H587" s="2"/>
      <c r="I587" s="7"/>
      <c r="J587" s="8"/>
      <c r="K587" s="3"/>
      <c r="L587" s="3"/>
    </row>
    <row r="588" ht="21.75" customHeight="1">
      <c r="A588" s="2"/>
      <c r="B588" s="2"/>
      <c r="C588" s="3"/>
      <c r="D588" s="2"/>
      <c r="E588" s="4"/>
      <c r="F588" s="5"/>
      <c r="G588" s="6"/>
      <c r="H588" s="2"/>
      <c r="I588" s="7"/>
      <c r="J588" s="8"/>
      <c r="K588" s="3"/>
      <c r="L588" s="3"/>
    </row>
    <row r="589" ht="21.75" customHeight="1">
      <c r="A589" s="2"/>
      <c r="B589" s="2"/>
      <c r="C589" s="3"/>
      <c r="D589" s="2"/>
      <c r="E589" s="4"/>
      <c r="F589" s="5"/>
      <c r="G589" s="6"/>
      <c r="H589" s="2"/>
      <c r="I589" s="7"/>
      <c r="J589" s="8"/>
      <c r="K589" s="3"/>
      <c r="L589" s="3"/>
    </row>
    <row r="590" ht="21.75" customHeight="1">
      <c r="A590" s="2"/>
      <c r="B590" s="2"/>
      <c r="C590" s="3"/>
      <c r="D590" s="2"/>
      <c r="E590" s="4"/>
      <c r="F590" s="5"/>
      <c r="G590" s="6"/>
      <c r="H590" s="2"/>
      <c r="I590" s="7"/>
      <c r="J590" s="8"/>
      <c r="K590" s="3"/>
      <c r="L590" s="3"/>
    </row>
    <row r="591" ht="21.75" customHeight="1">
      <c r="A591" s="2"/>
      <c r="B591" s="2"/>
      <c r="C591" s="3"/>
      <c r="D591" s="2"/>
      <c r="E591" s="4"/>
      <c r="F591" s="5"/>
      <c r="G591" s="6"/>
      <c r="H591" s="2"/>
      <c r="I591" s="7"/>
      <c r="J591" s="8"/>
      <c r="K591" s="3"/>
      <c r="L591" s="3"/>
    </row>
    <row r="592" ht="21.75" customHeight="1">
      <c r="A592" s="2"/>
      <c r="B592" s="2"/>
      <c r="C592" s="3"/>
      <c r="D592" s="2"/>
      <c r="E592" s="4"/>
      <c r="F592" s="5"/>
      <c r="G592" s="6"/>
      <c r="H592" s="2"/>
      <c r="I592" s="7"/>
      <c r="J592" s="8"/>
      <c r="K592" s="3"/>
      <c r="L592" s="3"/>
    </row>
    <row r="593" ht="21.75" customHeight="1">
      <c r="A593" s="2"/>
      <c r="B593" s="2"/>
      <c r="C593" s="3"/>
      <c r="D593" s="2"/>
      <c r="E593" s="4"/>
      <c r="F593" s="5"/>
      <c r="G593" s="6"/>
      <c r="H593" s="2"/>
      <c r="I593" s="7"/>
      <c r="J593" s="8"/>
      <c r="K593" s="3"/>
      <c r="L593" s="3"/>
    </row>
    <row r="594" ht="21.75" customHeight="1">
      <c r="A594" s="2"/>
      <c r="B594" s="2"/>
      <c r="C594" s="3"/>
      <c r="D594" s="2"/>
      <c r="E594" s="4"/>
      <c r="F594" s="5"/>
      <c r="G594" s="6"/>
      <c r="H594" s="2"/>
      <c r="I594" s="7"/>
      <c r="J594" s="8"/>
      <c r="K594" s="3"/>
      <c r="L594" s="3"/>
    </row>
    <row r="595" ht="21.75" customHeight="1">
      <c r="A595" s="2"/>
      <c r="B595" s="2"/>
      <c r="C595" s="3"/>
      <c r="D595" s="2"/>
      <c r="E595" s="4"/>
      <c r="F595" s="5"/>
      <c r="G595" s="6"/>
      <c r="H595" s="2"/>
      <c r="I595" s="7"/>
      <c r="J595" s="8"/>
      <c r="K595" s="3"/>
      <c r="L595" s="3"/>
    </row>
    <row r="596" ht="21.75" customHeight="1">
      <c r="A596" s="2"/>
      <c r="B596" s="2"/>
      <c r="C596" s="3"/>
      <c r="D596" s="2"/>
      <c r="E596" s="4"/>
      <c r="F596" s="5"/>
      <c r="G596" s="6"/>
      <c r="H596" s="2"/>
      <c r="I596" s="7"/>
      <c r="J596" s="8"/>
      <c r="K596" s="3"/>
      <c r="L596" s="3"/>
    </row>
    <row r="597" ht="21.75" customHeight="1">
      <c r="A597" s="2"/>
      <c r="B597" s="2"/>
      <c r="C597" s="3"/>
      <c r="D597" s="2"/>
      <c r="E597" s="4"/>
      <c r="F597" s="5"/>
      <c r="G597" s="6"/>
      <c r="H597" s="2"/>
      <c r="I597" s="7"/>
      <c r="J597" s="8"/>
      <c r="K597" s="3"/>
      <c r="L597" s="3"/>
    </row>
    <row r="598" ht="21.75" customHeight="1">
      <c r="A598" s="2"/>
      <c r="B598" s="2"/>
      <c r="C598" s="3"/>
      <c r="D598" s="2"/>
      <c r="E598" s="4"/>
      <c r="F598" s="5"/>
      <c r="G598" s="6"/>
      <c r="H598" s="2"/>
      <c r="I598" s="7"/>
      <c r="J598" s="8"/>
      <c r="K598" s="3"/>
      <c r="L598" s="3"/>
    </row>
    <row r="599" ht="21.75" customHeight="1">
      <c r="A599" s="2"/>
      <c r="B599" s="2"/>
      <c r="C599" s="3"/>
      <c r="D599" s="2"/>
      <c r="E599" s="4"/>
      <c r="F599" s="5"/>
      <c r="G599" s="6"/>
      <c r="H599" s="2"/>
      <c r="I599" s="7"/>
      <c r="J599" s="8"/>
      <c r="K599" s="3"/>
      <c r="L599" s="3"/>
    </row>
    <row r="600" ht="21.75" customHeight="1">
      <c r="A600" s="2"/>
      <c r="B600" s="2"/>
      <c r="C600" s="3"/>
      <c r="D600" s="2"/>
      <c r="E600" s="4"/>
      <c r="F600" s="5"/>
      <c r="G600" s="6"/>
      <c r="H600" s="2"/>
      <c r="I600" s="7"/>
      <c r="J600" s="8"/>
      <c r="K600" s="3"/>
      <c r="L600" s="3"/>
    </row>
    <row r="601" ht="21.75" customHeight="1">
      <c r="A601" s="2"/>
      <c r="B601" s="2"/>
      <c r="C601" s="3"/>
      <c r="D601" s="2"/>
      <c r="E601" s="4"/>
      <c r="F601" s="5"/>
      <c r="G601" s="6"/>
      <c r="H601" s="2"/>
      <c r="I601" s="7"/>
      <c r="J601" s="8"/>
      <c r="K601" s="3"/>
      <c r="L601" s="3"/>
    </row>
    <row r="602" ht="21.75" customHeight="1">
      <c r="A602" s="2"/>
      <c r="B602" s="2"/>
      <c r="C602" s="3"/>
      <c r="D602" s="2"/>
      <c r="E602" s="4"/>
      <c r="F602" s="5"/>
      <c r="G602" s="6"/>
      <c r="H602" s="2"/>
      <c r="I602" s="7"/>
      <c r="J602" s="8"/>
      <c r="K602" s="3"/>
      <c r="L602" s="3"/>
    </row>
    <row r="603" ht="21.75" customHeight="1">
      <c r="A603" s="2"/>
      <c r="B603" s="2"/>
      <c r="C603" s="3"/>
      <c r="D603" s="2"/>
      <c r="E603" s="4"/>
      <c r="F603" s="5"/>
      <c r="G603" s="6"/>
      <c r="H603" s="2"/>
      <c r="I603" s="7"/>
      <c r="J603" s="8"/>
      <c r="K603" s="3"/>
      <c r="L603" s="3"/>
    </row>
    <row r="604" ht="21.75" customHeight="1">
      <c r="A604" s="2"/>
      <c r="B604" s="2"/>
      <c r="C604" s="3"/>
      <c r="D604" s="2"/>
      <c r="E604" s="4"/>
      <c r="F604" s="5"/>
      <c r="G604" s="6"/>
      <c r="H604" s="2"/>
      <c r="I604" s="7"/>
      <c r="J604" s="8"/>
      <c r="K604" s="3"/>
      <c r="L604" s="3"/>
    </row>
    <row r="605" ht="21.75" customHeight="1">
      <c r="A605" s="2"/>
      <c r="B605" s="2"/>
      <c r="C605" s="3"/>
      <c r="D605" s="2"/>
      <c r="E605" s="4"/>
      <c r="F605" s="5"/>
      <c r="G605" s="6"/>
      <c r="H605" s="2"/>
      <c r="I605" s="7"/>
      <c r="J605" s="8"/>
      <c r="K605" s="3"/>
      <c r="L605" s="3"/>
    </row>
    <row r="606" ht="21.75" customHeight="1">
      <c r="A606" s="2"/>
      <c r="B606" s="2"/>
      <c r="C606" s="3"/>
      <c r="D606" s="2"/>
      <c r="E606" s="4"/>
      <c r="F606" s="5"/>
      <c r="G606" s="6"/>
      <c r="H606" s="2"/>
      <c r="I606" s="7"/>
      <c r="J606" s="8"/>
      <c r="K606" s="3"/>
      <c r="L606" s="3"/>
    </row>
    <row r="607" ht="21.75" customHeight="1">
      <c r="A607" s="2"/>
      <c r="B607" s="2"/>
      <c r="C607" s="3"/>
      <c r="D607" s="2"/>
      <c r="E607" s="4"/>
      <c r="F607" s="5"/>
      <c r="G607" s="6"/>
      <c r="H607" s="2"/>
      <c r="I607" s="7"/>
      <c r="J607" s="8"/>
      <c r="K607" s="3"/>
      <c r="L607" s="3"/>
    </row>
    <row r="608" ht="21.75" customHeight="1">
      <c r="A608" s="2"/>
      <c r="B608" s="2"/>
      <c r="C608" s="3"/>
      <c r="D608" s="2"/>
      <c r="E608" s="4"/>
      <c r="F608" s="5"/>
      <c r="G608" s="6"/>
      <c r="H608" s="2"/>
      <c r="I608" s="7"/>
      <c r="J608" s="8"/>
      <c r="K608" s="3"/>
      <c r="L608" s="3"/>
    </row>
    <row r="609" ht="21.75" customHeight="1">
      <c r="A609" s="2"/>
      <c r="B609" s="2"/>
      <c r="C609" s="3"/>
      <c r="D609" s="2"/>
      <c r="E609" s="4"/>
      <c r="F609" s="5"/>
      <c r="G609" s="6"/>
      <c r="H609" s="2"/>
      <c r="I609" s="7"/>
      <c r="J609" s="8"/>
      <c r="K609" s="3"/>
      <c r="L609" s="3"/>
    </row>
    <row r="610" ht="21.75" customHeight="1">
      <c r="A610" s="2"/>
      <c r="B610" s="2"/>
      <c r="C610" s="3"/>
      <c r="D610" s="2"/>
      <c r="E610" s="4"/>
      <c r="F610" s="5"/>
      <c r="G610" s="6"/>
      <c r="H610" s="2"/>
      <c r="I610" s="7"/>
      <c r="J610" s="8"/>
      <c r="K610" s="3"/>
      <c r="L610" s="3"/>
    </row>
    <row r="611" ht="21.75" customHeight="1">
      <c r="A611" s="2"/>
      <c r="B611" s="2"/>
      <c r="C611" s="3"/>
      <c r="D611" s="2"/>
      <c r="E611" s="4"/>
      <c r="F611" s="5"/>
      <c r="G611" s="6"/>
      <c r="H611" s="2"/>
      <c r="I611" s="7"/>
      <c r="J611" s="8"/>
      <c r="K611" s="3"/>
      <c r="L611" s="3"/>
    </row>
    <row r="612" ht="21.75" customHeight="1">
      <c r="A612" s="2"/>
      <c r="B612" s="2"/>
      <c r="C612" s="3"/>
      <c r="D612" s="2"/>
      <c r="E612" s="4"/>
      <c r="F612" s="5"/>
      <c r="G612" s="6"/>
      <c r="H612" s="2"/>
      <c r="I612" s="7"/>
      <c r="J612" s="8"/>
      <c r="K612" s="3"/>
      <c r="L612" s="3"/>
    </row>
    <row r="613" ht="21.75" customHeight="1">
      <c r="A613" s="2"/>
      <c r="B613" s="2"/>
      <c r="C613" s="3"/>
      <c r="D613" s="2"/>
      <c r="E613" s="4"/>
      <c r="F613" s="5"/>
      <c r="G613" s="6"/>
      <c r="H613" s="2"/>
      <c r="I613" s="7"/>
      <c r="J613" s="8"/>
      <c r="K613" s="3"/>
      <c r="L613" s="3"/>
    </row>
    <row r="614" ht="21.75" customHeight="1">
      <c r="A614" s="2"/>
      <c r="B614" s="2"/>
      <c r="C614" s="3"/>
      <c r="D614" s="2"/>
      <c r="E614" s="4"/>
      <c r="F614" s="5"/>
      <c r="G614" s="6"/>
      <c r="H614" s="2"/>
      <c r="I614" s="7"/>
      <c r="J614" s="8"/>
      <c r="K614" s="3"/>
      <c r="L614" s="3"/>
    </row>
    <row r="615" ht="21.75" customHeight="1">
      <c r="A615" s="2"/>
      <c r="B615" s="2"/>
      <c r="C615" s="3"/>
      <c r="D615" s="2"/>
      <c r="E615" s="4"/>
      <c r="F615" s="5"/>
      <c r="G615" s="6"/>
      <c r="H615" s="2"/>
      <c r="I615" s="7"/>
      <c r="J615" s="8"/>
      <c r="K615" s="3"/>
      <c r="L615" s="3"/>
    </row>
    <row r="616" ht="21.75" customHeight="1">
      <c r="A616" s="2"/>
      <c r="B616" s="2"/>
      <c r="C616" s="3"/>
      <c r="D616" s="2"/>
      <c r="E616" s="4"/>
      <c r="F616" s="5"/>
      <c r="G616" s="6"/>
      <c r="H616" s="2"/>
      <c r="I616" s="7"/>
      <c r="J616" s="8"/>
      <c r="K616" s="3"/>
      <c r="L616" s="3"/>
    </row>
    <row r="617" ht="21.75" customHeight="1">
      <c r="A617" s="2"/>
      <c r="B617" s="2"/>
      <c r="C617" s="3"/>
      <c r="D617" s="2"/>
      <c r="E617" s="4"/>
      <c r="F617" s="5"/>
      <c r="G617" s="6"/>
      <c r="H617" s="2"/>
      <c r="I617" s="7"/>
      <c r="J617" s="8"/>
      <c r="K617" s="3"/>
      <c r="L617" s="3"/>
    </row>
    <row r="618" ht="21.75" customHeight="1">
      <c r="A618" s="2"/>
      <c r="B618" s="2"/>
      <c r="C618" s="3"/>
      <c r="D618" s="2"/>
      <c r="E618" s="4"/>
      <c r="F618" s="5"/>
      <c r="G618" s="6"/>
      <c r="H618" s="2"/>
      <c r="I618" s="7"/>
      <c r="J618" s="8"/>
      <c r="K618" s="3"/>
      <c r="L618" s="3"/>
    </row>
    <row r="619" ht="21.75" customHeight="1">
      <c r="A619" s="2"/>
      <c r="B619" s="2"/>
      <c r="C619" s="3"/>
      <c r="D619" s="2"/>
      <c r="E619" s="4"/>
      <c r="F619" s="5"/>
      <c r="G619" s="6"/>
      <c r="H619" s="2"/>
      <c r="I619" s="7"/>
      <c r="J619" s="8"/>
      <c r="K619" s="3"/>
      <c r="L619" s="3"/>
    </row>
    <row r="620" ht="21.75" customHeight="1">
      <c r="A620" s="2"/>
      <c r="B620" s="2"/>
      <c r="C620" s="3"/>
      <c r="D620" s="2"/>
      <c r="E620" s="4"/>
      <c r="F620" s="5"/>
      <c r="G620" s="6"/>
      <c r="H620" s="2"/>
      <c r="I620" s="7"/>
      <c r="J620" s="8"/>
      <c r="K620" s="3"/>
      <c r="L620" s="3"/>
    </row>
    <row r="621" ht="21.75" customHeight="1">
      <c r="A621" s="2"/>
      <c r="B621" s="2"/>
      <c r="C621" s="3"/>
      <c r="D621" s="2"/>
      <c r="E621" s="4"/>
      <c r="F621" s="5"/>
      <c r="G621" s="6"/>
      <c r="H621" s="2"/>
      <c r="I621" s="7"/>
      <c r="J621" s="8"/>
      <c r="K621" s="3"/>
      <c r="L621" s="3"/>
    </row>
    <row r="622" ht="21.75" customHeight="1">
      <c r="A622" s="2"/>
      <c r="B622" s="2"/>
      <c r="C622" s="3"/>
      <c r="D622" s="2"/>
      <c r="E622" s="4"/>
      <c r="F622" s="5"/>
      <c r="G622" s="6"/>
      <c r="H622" s="2"/>
      <c r="I622" s="7"/>
      <c r="J622" s="8"/>
      <c r="K622" s="3"/>
      <c r="L622" s="3"/>
    </row>
    <row r="623" ht="21.75" customHeight="1">
      <c r="A623" s="2"/>
      <c r="B623" s="2"/>
      <c r="C623" s="3"/>
      <c r="D623" s="2"/>
      <c r="E623" s="4"/>
      <c r="F623" s="5"/>
      <c r="G623" s="6"/>
      <c r="H623" s="2"/>
      <c r="I623" s="7"/>
      <c r="J623" s="8"/>
      <c r="K623" s="3"/>
      <c r="L623" s="3"/>
    </row>
    <row r="624" ht="21.75" customHeight="1">
      <c r="A624" s="2"/>
      <c r="B624" s="2"/>
      <c r="C624" s="3"/>
      <c r="D624" s="2"/>
      <c r="E624" s="4"/>
      <c r="F624" s="5"/>
      <c r="G624" s="6"/>
      <c r="H624" s="2"/>
      <c r="I624" s="7"/>
      <c r="J624" s="8"/>
      <c r="K624" s="3"/>
      <c r="L624" s="3"/>
    </row>
    <row r="625" ht="21.75" customHeight="1">
      <c r="A625" s="2"/>
      <c r="B625" s="2"/>
      <c r="C625" s="3"/>
      <c r="D625" s="2"/>
      <c r="E625" s="4"/>
      <c r="F625" s="5"/>
      <c r="G625" s="6"/>
      <c r="H625" s="2"/>
      <c r="I625" s="7"/>
      <c r="J625" s="8"/>
      <c r="K625" s="3"/>
      <c r="L625" s="3"/>
    </row>
    <row r="626" ht="21.75" customHeight="1">
      <c r="A626" s="2"/>
      <c r="B626" s="2"/>
      <c r="C626" s="3"/>
      <c r="D626" s="2"/>
      <c r="E626" s="4"/>
      <c r="F626" s="5"/>
      <c r="G626" s="6"/>
      <c r="H626" s="2"/>
      <c r="I626" s="7"/>
      <c r="J626" s="8"/>
      <c r="K626" s="3"/>
      <c r="L626" s="3"/>
    </row>
    <row r="627" ht="21.75" customHeight="1">
      <c r="A627" s="2"/>
      <c r="B627" s="2"/>
      <c r="C627" s="3"/>
      <c r="D627" s="2"/>
      <c r="E627" s="4"/>
      <c r="F627" s="5"/>
      <c r="G627" s="6"/>
      <c r="H627" s="2"/>
      <c r="I627" s="7"/>
      <c r="J627" s="8"/>
      <c r="K627" s="3"/>
      <c r="L627" s="3"/>
    </row>
    <row r="628" ht="21.75" customHeight="1">
      <c r="A628" s="2"/>
      <c r="B628" s="2"/>
      <c r="C628" s="3"/>
      <c r="D628" s="2"/>
      <c r="E628" s="4"/>
      <c r="F628" s="5"/>
      <c r="G628" s="6"/>
      <c r="H628" s="2"/>
      <c r="I628" s="7"/>
      <c r="J628" s="8"/>
      <c r="K628" s="3"/>
      <c r="L628" s="3"/>
    </row>
    <row r="629" ht="21.75" customHeight="1">
      <c r="A629" s="2"/>
      <c r="B629" s="2"/>
      <c r="C629" s="3"/>
      <c r="D629" s="2"/>
      <c r="E629" s="4"/>
      <c r="F629" s="5"/>
      <c r="G629" s="6"/>
      <c r="H629" s="2"/>
      <c r="I629" s="7"/>
      <c r="J629" s="8"/>
      <c r="K629" s="3"/>
      <c r="L629" s="3"/>
    </row>
    <row r="630" ht="21.75" customHeight="1">
      <c r="A630" s="2"/>
      <c r="B630" s="2"/>
      <c r="C630" s="3"/>
      <c r="D630" s="2"/>
      <c r="E630" s="4"/>
      <c r="F630" s="5"/>
      <c r="G630" s="6"/>
      <c r="H630" s="2"/>
      <c r="I630" s="7"/>
      <c r="J630" s="8"/>
      <c r="K630" s="3"/>
      <c r="L630" s="3"/>
    </row>
    <row r="631" ht="21.75" customHeight="1">
      <c r="A631" s="2"/>
      <c r="B631" s="2"/>
      <c r="C631" s="3"/>
      <c r="D631" s="2"/>
      <c r="E631" s="4"/>
      <c r="F631" s="5"/>
      <c r="G631" s="6"/>
      <c r="H631" s="2"/>
      <c r="I631" s="7"/>
      <c r="J631" s="8"/>
      <c r="K631" s="3"/>
      <c r="L631" s="3"/>
    </row>
    <row r="632" ht="21.75" customHeight="1">
      <c r="A632" s="2"/>
      <c r="B632" s="2"/>
      <c r="C632" s="3"/>
      <c r="D632" s="2"/>
      <c r="E632" s="4"/>
      <c r="F632" s="5"/>
      <c r="G632" s="6"/>
      <c r="H632" s="2"/>
      <c r="I632" s="7"/>
      <c r="J632" s="8"/>
      <c r="K632" s="3"/>
      <c r="L632" s="3"/>
    </row>
    <row r="633" ht="21.75" customHeight="1">
      <c r="A633" s="2"/>
      <c r="B633" s="2"/>
      <c r="C633" s="3"/>
      <c r="D633" s="2"/>
      <c r="E633" s="4"/>
      <c r="F633" s="5"/>
      <c r="G633" s="6"/>
      <c r="H633" s="2"/>
      <c r="I633" s="7"/>
      <c r="J633" s="8"/>
      <c r="K633" s="3"/>
      <c r="L633" s="3"/>
    </row>
    <row r="634" ht="21.75" customHeight="1">
      <c r="A634" s="2"/>
      <c r="B634" s="2"/>
      <c r="C634" s="3"/>
      <c r="D634" s="2"/>
      <c r="E634" s="4"/>
      <c r="F634" s="5"/>
      <c r="G634" s="6"/>
      <c r="H634" s="2"/>
      <c r="I634" s="7"/>
      <c r="J634" s="8"/>
      <c r="K634" s="3"/>
      <c r="L634" s="3"/>
    </row>
    <row r="635" ht="21.75" customHeight="1">
      <c r="A635" s="2"/>
      <c r="B635" s="2"/>
      <c r="C635" s="3"/>
      <c r="D635" s="2"/>
      <c r="E635" s="4"/>
      <c r="F635" s="5"/>
      <c r="G635" s="6"/>
      <c r="H635" s="2"/>
      <c r="I635" s="7"/>
      <c r="J635" s="8"/>
      <c r="K635" s="3"/>
      <c r="L635" s="3"/>
    </row>
    <row r="636" ht="21.75" customHeight="1">
      <c r="A636" s="2"/>
      <c r="B636" s="2"/>
      <c r="C636" s="3"/>
      <c r="D636" s="2"/>
      <c r="E636" s="4"/>
      <c r="F636" s="5"/>
      <c r="G636" s="6"/>
      <c r="H636" s="2"/>
      <c r="I636" s="7"/>
      <c r="J636" s="8"/>
      <c r="K636" s="3"/>
      <c r="L636" s="3"/>
    </row>
    <row r="637" ht="21.75" customHeight="1">
      <c r="A637" s="2"/>
      <c r="B637" s="2"/>
      <c r="C637" s="3"/>
      <c r="D637" s="2"/>
      <c r="E637" s="4"/>
      <c r="F637" s="5"/>
      <c r="G637" s="6"/>
      <c r="H637" s="2"/>
      <c r="I637" s="7"/>
      <c r="J637" s="8"/>
      <c r="K637" s="3"/>
      <c r="L637" s="3"/>
    </row>
    <row r="638" ht="21.75" customHeight="1">
      <c r="A638" s="2"/>
      <c r="B638" s="2"/>
      <c r="C638" s="3"/>
      <c r="D638" s="2"/>
      <c r="E638" s="4"/>
      <c r="F638" s="5"/>
      <c r="G638" s="6"/>
      <c r="H638" s="2"/>
      <c r="I638" s="7"/>
      <c r="J638" s="8"/>
      <c r="K638" s="3"/>
      <c r="L638" s="3"/>
    </row>
    <row r="639" ht="21.75" customHeight="1">
      <c r="A639" s="2"/>
      <c r="B639" s="2"/>
      <c r="C639" s="3"/>
      <c r="D639" s="2"/>
      <c r="E639" s="4"/>
      <c r="F639" s="5"/>
      <c r="G639" s="6"/>
      <c r="H639" s="2"/>
      <c r="I639" s="7"/>
      <c r="J639" s="8"/>
      <c r="K639" s="3"/>
      <c r="L639" s="3"/>
    </row>
    <row r="640" ht="21.75" customHeight="1">
      <c r="A640" s="2"/>
      <c r="B640" s="2"/>
      <c r="C640" s="3"/>
      <c r="D640" s="2"/>
      <c r="E640" s="4"/>
      <c r="F640" s="5"/>
      <c r="G640" s="6"/>
      <c r="H640" s="2"/>
      <c r="I640" s="7"/>
      <c r="J640" s="8"/>
      <c r="K640" s="3"/>
      <c r="L640" s="3"/>
    </row>
    <row r="641" ht="21.75" customHeight="1">
      <c r="A641" s="2"/>
      <c r="B641" s="2"/>
      <c r="C641" s="3"/>
      <c r="D641" s="2"/>
      <c r="E641" s="4"/>
      <c r="F641" s="5"/>
      <c r="G641" s="6"/>
      <c r="H641" s="2"/>
      <c r="I641" s="7"/>
      <c r="J641" s="8"/>
      <c r="K641" s="3"/>
      <c r="L641" s="3"/>
    </row>
    <row r="642" ht="21.75" customHeight="1">
      <c r="A642" s="2"/>
      <c r="B642" s="2"/>
      <c r="C642" s="3"/>
      <c r="D642" s="2"/>
      <c r="E642" s="4"/>
      <c r="F642" s="5"/>
      <c r="G642" s="6"/>
      <c r="H642" s="2"/>
      <c r="I642" s="7"/>
      <c r="J642" s="8"/>
      <c r="K642" s="3"/>
      <c r="L642" s="3"/>
    </row>
    <row r="643" ht="21.75" customHeight="1">
      <c r="A643" s="2"/>
      <c r="B643" s="2"/>
      <c r="C643" s="3"/>
      <c r="D643" s="2"/>
      <c r="E643" s="4"/>
      <c r="F643" s="5"/>
      <c r="G643" s="6"/>
      <c r="H643" s="2"/>
      <c r="I643" s="7"/>
      <c r="J643" s="8"/>
      <c r="K643" s="3"/>
      <c r="L643" s="3"/>
    </row>
    <row r="644" ht="21.75" customHeight="1">
      <c r="A644" s="2"/>
      <c r="B644" s="2"/>
      <c r="C644" s="3"/>
      <c r="D644" s="2"/>
      <c r="E644" s="4"/>
      <c r="F644" s="5"/>
      <c r="G644" s="6"/>
      <c r="H644" s="2"/>
      <c r="I644" s="7"/>
      <c r="J644" s="8"/>
      <c r="K644" s="3"/>
      <c r="L644" s="3"/>
    </row>
    <row r="645" ht="21.75" customHeight="1">
      <c r="A645" s="2"/>
      <c r="B645" s="2"/>
      <c r="C645" s="3"/>
      <c r="D645" s="2"/>
      <c r="E645" s="4"/>
      <c r="F645" s="5"/>
      <c r="G645" s="6"/>
      <c r="H645" s="2"/>
      <c r="I645" s="7"/>
      <c r="J645" s="8"/>
      <c r="K645" s="3"/>
      <c r="L645" s="3"/>
    </row>
    <row r="646" ht="21.75" customHeight="1">
      <c r="A646" s="2"/>
      <c r="B646" s="2"/>
      <c r="C646" s="3"/>
      <c r="D646" s="2"/>
      <c r="E646" s="4"/>
      <c r="F646" s="5"/>
      <c r="G646" s="6"/>
      <c r="H646" s="2"/>
      <c r="I646" s="7"/>
      <c r="J646" s="8"/>
      <c r="K646" s="3"/>
      <c r="L646" s="3"/>
    </row>
    <row r="647" ht="21.75" customHeight="1">
      <c r="A647" s="2"/>
      <c r="B647" s="2"/>
      <c r="C647" s="3"/>
      <c r="D647" s="2"/>
      <c r="E647" s="4"/>
      <c r="F647" s="5"/>
      <c r="G647" s="6"/>
      <c r="H647" s="2"/>
      <c r="I647" s="7"/>
      <c r="J647" s="8"/>
      <c r="K647" s="3"/>
      <c r="L647" s="3"/>
    </row>
    <row r="648" ht="21.75" customHeight="1">
      <c r="A648" s="2"/>
      <c r="B648" s="2"/>
      <c r="C648" s="3"/>
      <c r="D648" s="2"/>
      <c r="E648" s="4"/>
      <c r="F648" s="5"/>
      <c r="G648" s="6"/>
      <c r="H648" s="2"/>
      <c r="I648" s="7"/>
      <c r="J648" s="8"/>
      <c r="K648" s="3"/>
      <c r="L648" s="3"/>
    </row>
    <row r="649" ht="21.75" customHeight="1">
      <c r="A649" s="2"/>
      <c r="B649" s="2"/>
      <c r="C649" s="3"/>
      <c r="D649" s="2"/>
      <c r="E649" s="4"/>
      <c r="F649" s="5"/>
      <c r="G649" s="6"/>
      <c r="H649" s="2"/>
      <c r="I649" s="7"/>
      <c r="J649" s="8"/>
      <c r="K649" s="3"/>
      <c r="L649" s="3"/>
    </row>
    <row r="650" ht="21.75" customHeight="1">
      <c r="A650" s="2"/>
      <c r="B650" s="2"/>
      <c r="C650" s="3"/>
      <c r="D650" s="2"/>
      <c r="E650" s="4"/>
      <c r="F650" s="5"/>
      <c r="G650" s="6"/>
      <c r="H650" s="2"/>
      <c r="I650" s="7"/>
      <c r="J650" s="8"/>
      <c r="K650" s="3"/>
      <c r="L650" s="3"/>
    </row>
    <row r="651" ht="21.75" customHeight="1">
      <c r="A651" s="2"/>
      <c r="B651" s="2"/>
      <c r="C651" s="3"/>
      <c r="D651" s="2"/>
      <c r="E651" s="4"/>
      <c r="F651" s="5"/>
      <c r="G651" s="6"/>
      <c r="H651" s="2"/>
      <c r="I651" s="7"/>
      <c r="J651" s="8"/>
      <c r="K651" s="3"/>
      <c r="L651" s="3"/>
    </row>
    <row r="652" ht="21.75" customHeight="1">
      <c r="A652" s="2"/>
      <c r="B652" s="2"/>
      <c r="C652" s="3"/>
      <c r="D652" s="2"/>
      <c r="E652" s="4"/>
      <c r="F652" s="5"/>
      <c r="G652" s="6"/>
      <c r="H652" s="2"/>
      <c r="I652" s="7"/>
      <c r="J652" s="8"/>
      <c r="K652" s="3"/>
      <c r="L652" s="3"/>
    </row>
    <row r="653" ht="21.75" customHeight="1">
      <c r="A653" s="2"/>
      <c r="B653" s="2"/>
      <c r="C653" s="3"/>
      <c r="D653" s="2"/>
      <c r="E653" s="4"/>
      <c r="F653" s="5"/>
      <c r="G653" s="6"/>
      <c r="H653" s="2"/>
      <c r="I653" s="7"/>
      <c r="J653" s="8"/>
      <c r="K653" s="3"/>
      <c r="L653" s="3"/>
    </row>
    <row r="654" ht="21.75" customHeight="1">
      <c r="A654" s="2"/>
      <c r="B654" s="2"/>
      <c r="C654" s="3"/>
      <c r="D654" s="2"/>
      <c r="E654" s="4"/>
      <c r="F654" s="5"/>
      <c r="G654" s="6"/>
      <c r="H654" s="2"/>
      <c r="I654" s="7"/>
      <c r="J654" s="8"/>
      <c r="K654" s="3"/>
      <c r="L654" s="3"/>
    </row>
    <row r="655" ht="21.75" customHeight="1">
      <c r="A655" s="2"/>
      <c r="B655" s="2"/>
      <c r="C655" s="3"/>
      <c r="D655" s="2"/>
      <c r="E655" s="4"/>
      <c r="F655" s="5"/>
      <c r="G655" s="6"/>
      <c r="H655" s="2"/>
      <c r="I655" s="7"/>
      <c r="J655" s="8"/>
      <c r="K655" s="3"/>
      <c r="L655" s="3"/>
    </row>
    <row r="656" ht="21.75" customHeight="1">
      <c r="A656" s="2"/>
      <c r="B656" s="2"/>
      <c r="C656" s="3"/>
      <c r="D656" s="2"/>
      <c r="E656" s="4"/>
      <c r="F656" s="5"/>
      <c r="G656" s="6"/>
      <c r="H656" s="2"/>
      <c r="I656" s="7"/>
      <c r="J656" s="8"/>
      <c r="K656" s="3"/>
      <c r="L656" s="3"/>
    </row>
    <row r="657" ht="21.75" customHeight="1">
      <c r="A657" s="2"/>
      <c r="B657" s="2"/>
      <c r="C657" s="3"/>
      <c r="D657" s="2"/>
      <c r="E657" s="4"/>
      <c r="F657" s="5"/>
      <c r="G657" s="6"/>
      <c r="H657" s="2"/>
      <c r="I657" s="7"/>
      <c r="J657" s="8"/>
      <c r="K657" s="3"/>
      <c r="L657" s="3"/>
    </row>
    <row r="658" ht="21.75" customHeight="1">
      <c r="A658" s="2"/>
      <c r="B658" s="2"/>
      <c r="C658" s="3"/>
      <c r="D658" s="2"/>
      <c r="E658" s="4"/>
      <c r="F658" s="5"/>
      <c r="G658" s="6"/>
      <c r="H658" s="2"/>
      <c r="I658" s="7"/>
      <c r="J658" s="8"/>
      <c r="K658" s="3"/>
      <c r="L658" s="3"/>
    </row>
    <row r="659" ht="21.75" customHeight="1">
      <c r="A659" s="2"/>
      <c r="B659" s="2"/>
      <c r="C659" s="3"/>
      <c r="D659" s="2"/>
      <c r="E659" s="4"/>
      <c r="F659" s="5"/>
      <c r="G659" s="6"/>
      <c r="H659" s="2"/>
      <c r="I659" s="7"/>
      <c r="J659" s="8"/>
      <c r="K659" s="3"/>
      <c r="L659" s="3"/>
    </row>
    <row r="660" ht="21.75" customHeight="1">
      <c r="A660" s="2"/>
      <c r="B660" s="2"/>
      <c r="C660" s="3"/>
      <c r="D660" s="2"/>
      <c r="E660" s="4"/>
      <c r="F660" s="5"/>
      <c r="G660" s="6"/>
      <c r="H660" s="2"/>
      <c r="I660" s="7"/>
      <c r="J660" s="8"/>
      <c r="K660" s="3"/>
      <c r="L660" s="3"/>
    </row>
    <row r="661" ht="21.75" customHeight="1">
      <c r="A661" s="2"/>
      <c r="B661" s="2"/>
      <c r="C661" s="3"/>
      <c r="D661" s="2"/>
      <c r="E661" s="4"/>
      <c r="F661" s="5"/>
      <c r="G661" s="6"/>
      <c r="H661" s="2"/>
      <c r="I661" s="7"/>
      <c r="J661" s="8"/>
      <c r="K661" s="3"/>
      <c r="L661" s="3"/>
    </row>
    <row r="662" ht="21.75" customHeight="1">
      <c r="A662" s="2"/>
      <c r="B662" s="2"/>
      <c r="C662" s="3"/>
      <c r="D662" s="2"/>
      <c r="E662" s="4"/>
      <c r="F662" s="5"/>
      <c r="G662" s="6"/>
      <c r="H662" s="2"/>
      <c r="I662" s="7"/>
      <c r="J662" s="8"/>
      <c r="K662" s="3"/>
      <c r="L662" s="3"/>
    </row>
    <row r="663" ht="21.75" customHeight="1">
      <c r="A663" s="2"/>
      <c r="B663" s="2"/>
      <c r="C663" s="3"/>
      <c r="D663" s="2"/>
      <c r="E663" s="4"/>
      <c r="F663" s="5"/>
      <c r="G663" s="6"/>
      <c r="H663" s="2"/>
      <c r="I663" s="7"/>
      <c r="J663" s="8"/>
      <c r="K663" s="3"/>
      <c r="L663" s="3"/>
    </row>
    <row r="664" ht="21.75" customHeight="1">
      <c r="A664" s="2"/>
      <c r="B664" s="2"/>
      <c r="C664" s="3"/>
      <c r="D664" s="2"/>
      <c r="E664" s="4"/>
      <c r="F664" s="5"/>
      <c r="G664" s="6"/>
      <c r="H664" s="2"/>
      <c r="I664" s="7"/>
      <c r="J664" s="8"/>
      <c r="K664" s="3"/>
      <c r="L664" s="3"/>
    </row>
    <row r="665" ht="21.75" customHeight="1">
      <c r="A665" s="2"/>
      <c r="B665" s="2"/>
      <c r="C665" s="3"/>
      <c r="D665" s="2"/>
      <c r="E665" s="4"/>
      <c r="F665" s="5"/>
      <c r="G665" s="6"/>
      <c r="H665" s="2"/>
      <c r="I665" s="7"/>
      <c r="J665" s="8"/>
      <c r="K665" s="3"/>
      <c r="L665" s="3"/>
    </row>
    <row r="666" ht="21.75" customHeight="1">
      <c r="A666" s="2"/>
      <c r="B666" s="2"/>
      <c r="C666" s="3"/>
      <c r="D666" s="2"/>
      <c r="E666" s="4"/>
      <c r="F666" s="5"/>
      <c r="G666" s="6"/>
      <c r="H666" s="2"/>
      <c r="I666" s="7"/>
      <c r="J666" s="8"/>
      <c r="K666" s="3"/>
      <c r="L666" s="3"/>
    </row>
    <row r="667" ht="21.75" customHeight="1">
      <c r="A667" s="2"/>
      <c r="B667" s="2"/>
      <c r="C667" s="3"/>
      <c r="D667" s="2"/>
      <c r="E667" s="4"/>
      <c r="F667" s="5"/>
      <c r="G667" s="6"/>
      <c r="H667" s="2"/>
      <c r="I667" s="7"/>
      <c r="J667" s="8"/>
      <c r="K667" s="3"/>
      <c r="L667" s="3"/>
    </row>
    <row r="668" ht="21.75" customHeight="1">
      <c r="A668" s="2"/>
      <c r="B668" s="2"/>
      <c r="C668" s="3"/>
      <c r="D668" s="2"/>
      <c r="E668" s="4"/>
      <c r="F668" s="5"/>
      <c r="G668" s="6"/>
      <c r="H668" s="2"/>
      <c r="I668" s="7"/>
      <c r="J668" s="8"/>
      <c r="K668" s="3"/>
      <c r="L668" s="3"/>
    </row>
    <row r="669" ht="21.75" customHeight="1">
      <c r="A669" s="2"/>
      <c r="B669" s="2"/>
      <c r="C669" s="3"/>
      <c r="D669" s="2"/>
      <c r="E669" s="4"/>
      <c r="F669" s="5"/>
      <c r="G669" s="6"/>
      <c r="H669" s="2"/>
      <c r="I669" s="7"/>
      <c r="J669" s="8"/>
      <c r="K669" s="3"/>
      <c r="L669" s="3"/>
    </row>
    <row r="670" ht="21.75" customHeight="1">
      <c r="A670" s="2"/>
      <c r="B670" s="2"/>
      <c r="C670" s="3"/>
      <c r="D670" s="2"/>
      <c r="E670" s="4"/>
      <c r="F670" s="5"/>
      <c r="G670" s="6"/>
      <c r="H670" s="2"/>
      <c r="I670" s="7"/>
      <c r="J670" s="8"/>
      <c r="K670" s="3"/>
      <c r="L670" s="3"/>
    </row>
    <row r="671" ht="21.75" customHeight="1">
      <c r="A671" s="2"/>
      <c r="B671" s="2"/>
      <c r="C671" s="3"/>
      <c r="D671" s="2"/>
      <c r="E671" s="4"/>
      <c r="F671" s="5"/>
      <c r="G671" s="6"/>
      <c r="H671" s="2"/>
      <c r="I671" s="7"/>
      <c r="J671" s="8"/>
      <c r="K671" s="3"/>
      <c r="L671" s="3"/>
    </row>
    <row r="672" ht="21.75" customHeight="1">
      <c r="A672" s="2"/>
      <c r="B672" s="2"/>
      <c r="C672" s="3"/>
      <c r="D672" s="2"/>
      <c r="E672" s="4"/>
      <c r="F672" s="5"/>
      <c r="G672" s="6"/>
      <c r="H672" s="2"/>
      <c r="I672" s="7"/>
      <c r="J672" s="8"/>
      <c r="K672" s="3"/>
      <c r="L672" s="3"/>
    </row>
    <row r="673" ht="21.75" customHeight="1">
      <c r="A673" s="2"/>
      <c r="B673" s="2"/>
      <c r="C673" s="3"/>
      <c r="D673" s="2"/>
      <c r="E673" s="4"/>
      <c r="F673" s="5"/>
      <c r="G673" s="6"/>
      <c r="H673" s="2"/>
      <c r="I673" s="7"/>
      <c r="J673" s="8"/>
      <c r="K673" s="3"/>
      <c r="L673" s="3"/>
    </row>
    <row r="674" ht="21.75" customHeight="1">
      <c r="A674" s="2"/>
      <c r="B674" s="2"/>
      <c r="C674" s="3"/>
      <c r="D674" s="2"/>
      <c r="E674" s="4"/>
      <c r="F674" s="5"/>
      <c r="G674" s="6"/>
      <c r="H674" s="2"/>
      <c r="I674" s="7"/>
      <c r="J674" s="8"/>
      <c r="K674" s="3"/>
      <c r="L674" s="3"/>
    </row>
    <row r="675" ht="21.75" customHeight="1">
      <c r="A675" s="2"/>
      <c r="B675" s="2"/>
      <c r="C675" s="3"/>
      <c r="D675" s="2"/>
      <c r="E675" s="4"/>
      <c r="F675" s="5"/>
      <c r="G675" s="6"/>
      <c r="H675" s="2"/>
      <c r="I675" s="7"/>
      <c r="J675" s="8"/>
      <c r="K675" s="3"/>
      <c r="L675" s="3"/>
    </row>
    <row r="676" ht="21.75" customHeight="1">
      <c r="A676" s="2"/>
      <c r="B676" s="2"/>
      <c r="C676" s="3"/>
      <c r="D676" s="2"/>
      <c r="E676" s="4"/>
      <c r="F676" s="5"/>
      <c r="G676" s="6"/>
      <c r="H676" s="2"/>
      <c r="I676" s="7"/>
      <c r="J676" s="8"/>
      <c r="K676" s="3"/>
      <c r="L676" s="3"/>
    </row>
    <row r="677" ht="21.75" customHeight="1">
      <c r="A677" s="2"/>
      <c r="B677" s="2"/>
      <c r="C677" s="3"/>
      <c r="D677" s="2"/>
      <c r="E677" s="4"/>
      <c r="F677" s="5"/>
      <c r="G677" s="6"/>
      <c r="H677" s="2"/>
      <c r="I677" s="7"/>
      <c r="J677" s="8"/>
      <c r="K677" s="3"/>
      <c r="L677" s="3"/>
    </row>
    <row r="678" ht="21.75" customHeight="1">
      <c r="A678" s="2"/>
      <c r="B678" s="2"/>
      <c r="C678" s="3"/>
      <c r="D678" s="2"/>
      <c r="E678" s="4"/>
      <c r="F678" s="5"/>
      <c r="G678" s="6"/>
      <c r="H678" s="2"/>
      <c r="I678" s="7"/>
      <c r="J678" s="8"/>
      <c r="K678" s="3"/>
      <c r="L678" s="3"/>
    </row>
    <row r="679" ht="21.75" customHeight="1">
      <c r="A679" s="2"/>
      <c r="B679" s="2"/>
      <c r="C679" s="3"/>
      <c r="D679" s="2"/>
      <c r="E679" s="4"/>
      <c r="F679" s="5"/>
      <c r="G679" s="6"/>
      <c r="H679" s="2"/>
      <c r="I679" s="7"/>
      <c r="J679" s="8"/>
      <c r="K679" s="3"/>
      <c r="L679" s="3"/>
    </row>
    <row r="680" ht="21.75" customHeight="1">
      <c r="A680" s="2"/>
      <c r="B680" s="2"/>
      <c r="C680" s="3"/>
      <c r="D680" s="2"/>
      <c r="E680" s="4"/>
      <c r="F680" s="5"/>
      <c r="G680" s="6"/>
      <c r="H680" s="2"/>
      <c r="I680" s="7"/>
      <c r="J680" s="8"/>
      <c r="K680" s="3"/>
      <c r="L680" s="3"/>
    </row>
    <row r="681" ht="21.75" customHeight="1">
      <c r="A681" s="2"/>
      <c r="B681" s="2"/>
      <c r="C681" s="3"/>
      <c r="D681" s="2"/>
      <c r="E681" s="4"/>
      <c r="F681" s="5"/>
      <c r="G681" s="6"/>
      <c r="H681" s="2"/>
      <c r="I681" s="7"/>
      <c r="J681" s="8"/>
      <c r="K681" s="3"/>
      <c r="L681" s="3"/>
    </row>
    <row r="682" ht="21.75" customHeight="1">
      <c r="A682" s="2"/>
      <c r="B682" s="2"/>
      <c r="C682" s="3"/>
      <c r="D682" s="2"/>
      <c r="E682" s="4"/>
      <c r="F682" s="5"/>
      <c r="G682" s="6"/>
      <c r="H682" s="2"/>
      <c r="I682" s="7"/>
      <c r="J682" s="8"/>
      <c r="K682" s="3"/>
      <c r="L682" s="3"/>
    </row>
    <row r="683" ht="21.75" customHeight="1">
      <c r="A683" s="2"/>
      <c r="B683" s="2"/>
      <c r="C683" s="3"/>
      <c r="D683" s="2"/>
      <c r="E683" s="4"/>
      <c r="F683" s="5"/>
      <c r="G683" s="6"/>
      <c r="H683" s="2"/>
      <c r="I683" s="7"/>
      <c r="J683" s="8"/>
      <c r="K683" s="3"/>
      <c r="L683" s="3"/>
    </row>
    <row r="684" ht="21.75" customHeight="1">
      <c r="A684" s="2"/>
      <c r="B684" s="2"/>
      <c r="C684" s="3"/>
      <c r="D684" s="2"/>
      <c r="E684" s="4"/>
      <c r="F684" s="5"/>
      <c r="G684" s="6"/>
      <c r="H684" s="2"/>
      <c r="I684" s="7"/>
      <c r="J684" s="8"/>
      <c r="K684" s="3"/>
      <c r="L684" s="3"/>
    </row>
    <row r="685" ht="21.75" customHeight="1">
      <c r="A685" s="2"/>
      <c r="B685" s="2"/>
      <c r="C685" s="3"/>
      <c r="D685" s="2"/>
      <c r="E685" s="4"/>
      <c r="F685" s="5"/>
      <c r="G685" s="6"/>
      <c r="H685" s="2"/>
      <c r="I685" s="7"/>
      <c r="J685" s="8"/>
      <c r="K685" s="3"/>
      <c r="L685" s="3"/>
    </row>
    <row r="686" ht="21.75" customHeight="1">
      <c r="A686" s="2"/>
      <c r="B686" s="2"/>
      <c r="C686" s="3"/>
      <c r="D686" s="2"/>
      <c r="E686" s="4"/>
      <c r="F686" s="5"/>
      <c r="G686" s="6"/>
      <c r="H686" s="2"/>
      <c r="I686" s="7"/>
      <c r="J686" s="8"/>
      <c r="K686" s="3"/>
      <c r="L686" s="3"/>
    </row>
    <row r="687" ht="21.75" customHeight="1">
      <c r="A687" s="2"/>
      <c r="B687" s="2"/>
      <c r="C687" s="3"/>
      <c r="D687" s="2"/>
      <c r="E687" s="4"/>
      <c r="F687" s="5"/>
      <c r="G687" s="6"/>
      <c r="H687" s="2"/>
      <c r="I687" s="7"/>
      <c r="J687" s="8"/>
      <c r="K687" s="3"/>
      <c r="L687" s="3"/>
    </row>
    <row r="688" ht="21.75" customHeight="1">
      <c r="A688" s="2"/>
      <c r="B688" s="2"/>
      <c r="C688" s="3"/>
      <c r="D688" s="2"/>
      <c r="E688" s="4"/>
      <c r="F688" s="5"/>
      <c r="G688" s="6"/>
      <c r="H688" s="2"/>
      <c r="I688" s="7"/>
      <c r="J688" s="8"/>
      <c r="K688" s="3"/>
      <c r="L688" s="3"/>
    </row>
    <row r="689" ht="21.75" customHeight="1">
      <c r="A689" s="2"/>
      <c r="B689" s="2"/>
      <c r="C689" s="3"/>
      <c r="D689" s="2"/>
      <c r="E689" s="4"/>
      <c r="F689" s="5"/>
      <c r="G689" s="6"/>
      <c r="H689" s="2"/>
      <c r="I689" s="7"/>
      <c r="J689" s="8"/>
      <c r="K689" s="3"/>
      <c r="L689" s="3"/>
    </row>
    <row r="690" ht="21.75" customHeight="1">
      <c r="A690" s="2"/>
      <c r="B690" s="2"/>
      <c r="C690" s="3"/>
      <c r="D690" s="2"/>
      <c r="E690" s="4"/>
      <c r="F690" s="5"/>
      <c r="G690" s="6"/>
      <c r="H690" s="2"/>
      <c r="I690" s="7"/>
      <c r="J690" s="8"/>
      <c r="K690" s="3"/>
      <c r="L690" s="3"/>
    </row>
    <row r="691" ht="21.75" customHeight="1">
      <c r="A691" s="2"/>
      <c r="B691" s="2"/>
      <c r="C691" s="3"/>
      <c r="D691" s="2"/>
      <c r="E691" s="4"/>
      <c r="F691" s="5"/>
      <c r="G691" s="6"/>
      <c r="H691" s="2"/>
      <c r="I691" s="7"/>
      <c r="J691" s="8"/>
      <c r="K691" s="3"/>
      <c r="L691" s="3"/>
    </row>
    <row r="692" ht="21.75" customHeight="1">
      <c r="A692" s="2"/>
      <c r="B692" s="2"/>
      <c r="C692" s="3"/>
      <c r="D692" s="2"/>
      <c r="E692" s="4"/>
      <c r="F692" s="5"/>
      <c r="G692" s="6"/>
      <c r="H692" s="2"/>
      <c r="I692" s="7"/>
      <c r="J692" s="8"/>
      <c r="K692" s="3"/>
      <c r="L692" s="3"/>
    </row>
    <row r="693" ht="21.75" customHeight="1">
      <c r="A693" s="2"/>
      <c r="B693" s="2"/>
      <c r="C693" s="3"/>
      <c r="D693" s="2"/>
      <c r="E693" s="4"/>
      <c r="F693" s="5"/>
      <c r="G693" s="6"/>
      <c r="H693" s="2"/>
      <c r="I693" s="7"/>
      <c r="J693" s="8"/>
      <c r="K693" s="3"/>
      <c r="L693" s="3"/>
    </row>
    <row r="694" ht="21.75" customHeight="1">
      <c r="A694" s="2"/>
      <c r="B694" s="2"/>
      <c r="C694" s="3"/>
      <c r="D694" s="2"/>
      <c r="E694" s="4"/>
      <c r="F694" s="5"/>
      <c r="G694" s="6"/>
      <c r="H694" s="2"/>
      <c r="I694" s="7"/>
      <c r="J694" s="8"/>
      <c r="K694" s="3"/>
      <c r="L694" s="3"/>
    </row>
    <row r="695" ht="21.75" customHeight="1">
      <c r="A695" s="2"/>
      <c r="B695" s="2"/>
      <c r="C695" s="3"/>
      <c r="D695" s="2"/>
      <c r="E695" s="4"/>
      <c r="F695" s="5"/>
      <c r="G695" s="6"/>
      <c r="H695" s="2"/>
      <c r="I695" s="7"/>
      <c r="J695" s="8"/>
      <c r="K695" s="3"/>
      <c r="L695" s="3"/>
    </row>
    <row r="696" ht="21.75" customHeight="1">
      <c r="A696" s="2"/>
      <c r="B696" s="2"/>
      <c r="C696" s="3"/>
      <c r="D696" s="2"/>
      <c r="E696" s="4"/>
      <c r="F696" s="5"/>
      <c r="G696" s="6"/>
      <c r="H696" s="2"/>
      <c r="I696" s="7"/>
      <c r="J696" s="8"/>
      <c r="K696" s="3"/>
      <c r="L696" s="3"/>
    </row>
    <row r="697" ht="21.75" customHeight="1">
      <c r="A697" s="2"/>
      <c r="B697" s="2"/>
      <c r="C697" s="3"/>
      <c r="D697" s="2"/>
      <c r="E697" s="4"/>
      <c r="F697" s="5"/>
      <c r="G697" s="6"/>
      <c r="H697" s="2"/>
      <c r="I697" s="7"/>
      <c r="J697" s="8"/>
      <c r="K697" s="3"/>
      <c r="L697" s="3"/>
    </row>
    <row r="698" ht="21.75" customHeight="1">
      <c r="A698" s="2"/>
      <c r="B698" s="2"/>
      <c r="C698" s="3"/>
      <c r="D698" s="2"/>
      <c r="E698" s="4"/>
      <c r="F698" s="5"/>
      <c r="G698" s="6"/>
      <c r="H698" s="2"/>
      <c r="I698" s="7"/>
      <c r="J698" s="8"/>
      <c r="K698" s="3"/>
      <c r="L698" s="3"/>
    </row>
    <row r="699" ht="21.75" customHeight="1">
      <c r="A699" s="2"/>
      <c r="B699" s="2"/>
      <c r="C699" s="3"/>
      <c r="D699" s="2"/>
      <c r="E699" s="4"/>
      <c r="F699" s="5"/>
      <c r="G699" s="6"/>
      <c r="H699" s="2"/>
      <c r="I699" s="7"/>
      <c r="J699" s="8"/>
      <c r="K699" s="3"/>
      <c r="L699" s="3"/>
    </row>
    <row r="700" ht="21.75" customHeight="1">
      <c r="A700" s="2"/>
      <c r="B700" s="2"/>
      <c r="C700" s="3"/>
      <c r="D700" s="2"/>
      <c r="E700" s="4"/>
      <c r="F700" s="5"/>
      <c r="G700" s="6"/>
      <c r="H700" s="2"/>
      <c r="I700" s="7"/>
      <c r="J700" s="8"/>
      <c r="K700" s="3"/>
      <c r="L700" s="3"/>
    </row>
    <row r="701" ht="21.75" customHeight="1">
      <c r="A701" s="2"/>
      <c r="B701" s="2"/>
      <c r="C701" s="3"/>
      <c r="D701" s="2"/>
      <c r="E701" s="4"/>
      <c r="F701" s="5"/>
      <c r="G701" s="6"/>
      <c r="H701" s="2"/>
      <c r="I701" s="7"/>
      <c r="J701" s="8"/>
      <c r="K701" s="3"/>
      <c r="L701" s="3"/>
    </row>
    <row r="702" ht="21.75" customHeight="1">
      <c r="A702" s="2"/>
      <c r="B702" s="2"/>
      <c r="C702" s="3"/>
      <c r="D702" s="2"/>
      <c r="E702" s="4"/>
      <c r="F702" s="5"/>
      <c r="G702" s="6"/>
      <c r="H702" s="2"/>
      <c r="I702" s="7"/>
      <c r="J702" s="8"/>
      <c r="K702" s="3"/>
      <c r="L702" s="3"/>
    </row>
    <row r="703" ht="21.75" customHeight="1">
      <c r="A703" s="2"/>
      <c r="B703" s="2"/>
      <c r="C703" s="3"/>
      <c r="D703" s="2"/>
      <c r="E703" s="4"/>
      <c r="F703" s="5"/>
      <c r="G703" s="6"/>
      <c r="H703" s="2"/>
      <c r="I703" s="7"/>
      <c r="J703" s="8"/>
      <c r="K703" s="3"/>
      <c r="L703" s="3"/>
    </row>
    <row r="704" ht="21.75" customHeight="1">
      <c r="A704" s="2"/>
      <c r="B704" s="2"/>
      <c r="C704" s="3"/>
      <c r="D704" s="2"/>
      <c r="E704" s="4"/>
      <c r="F704" s="5"/>
      <c r="G704" s="6"/>
      <c r="H704" s="2"/>
      <c r="I704" s="7"/>
      <c r="J704" s="8"/>
      <c r="K704" s="3"/>
      <c r="L704" s="3"/>
    </row>
    <row r="705" ht="21.75" customHeight="1">
      <c r="A705" s="2"/>
      <c r="B705" s="2"/>
      <c r="C705" s="3"/>
      <c r="D705" s="2"/>
      <c r="E705" s="4"/>
      <c r="F705" s="5"/>
      <c r="G705" s="6"/>
      <c r="H705" s="2"/>
      <c r="I705" s="7"/>
      <c r="J705" s="8"/>
      <c r="K705" s="3"/>
      <c r="L705" s="3"/>
    </row>
    <row r="706" ht="21.75" customHeight="1">
      <c r="A706" s="2"/>
      <c r="B706" s="2"/>
      <c r="C706" s="3"/>
      <c r="D706" s="2"/>
      <c r="E706" s="4"/>
      <c r="F706" s="5"/>
      <c r="G706" s="6"/>
      <c r="H706" s="2"/>
      <c r="I706" s="7"/>
      <c r="J706" s="8"/>
      <c r="K706" s="3"/>
      <c r="L706" s="3"/>
    </row>
    <row r="707" ht="21.75" customHeight="1">
      <c r="A707" s="2"/>
      <c r="B707" s="2"/>
      <c r="C707" s="3"/>
      <c r="D707" s="2"/>
      <c r="E707" s="4"/>
      <c r="F707" s="5"/>
      <c r="G707" s="6"/>
      <c r="H707" s="2"/>
      <c r="I707" s="7"/>
      <c r="J707" s="8"/>
      <c r="K707" s="3"/>
      <c r="L707" s="3"/>
    </row>
    <row r="708" ht="21.75" customHeight="1">
      <c r="A708" s="2"/>
      <c r="B708" s="2"/>
      <c r="C708" s="3"/>
      <c r="D708" s="2"/>
      <c r="E708" s="4"/>
      <c r="F708" s="5"/>
      <c r="G708" s="6"/>
      <c r="H708" s="2"/>
      <c r="I708" s="7"/>
      <c r="J708" s="8"/>
      <c r="K708" s="3"/>
      <c r="L708" s="3"/>
    </row>
    <row r="709" ht="21.75" customHeight="1">
      <c r="A709" s="2"/>
      <c r="B709" s="2"/>
      <c r="C709" s="3"/>
      <c r="D709" s="2"/>
      <c r="E709" s="4"/>
      <c r="F709" s="5"/>
      <c r="G709" s="6"/>
      <c r="H709" s="2"/>
      <c r="I709" s="7"/>
      <c r="J709" s="8"/>
      <c r="K709" s="3"/>
      <c r="L709" s="3"/>
    </row>
    <row r="710" ht="21.75" customHeight="1">
      <c r="A710" s="2"/>
      <c r="B710" s="2"/>
      <c r="C710" s="3"/>
      <c r="D710" s="2"/>
      <c r="E710" s="4"/>
      <c r="F710" s="5"/>
      <c r="G710" s="6"/>
      <c r="H710" s="2"/>
      <c r="I710" s="7"/>
      <c r="J710" s="8"/>
      <c r="K710" s="3"/>
      <c r="L710" s="3"/>
    </row>
    <row r="711" ht="21.75" customHeight="1">
      <c r="A711" s="2"/>
      <c r="B711" s="2"/>
      <c r="C711" s="3"/>
      <c r="D711" s="2"/>
      <c r="E711" s="4"/>
      <c r="F711" s="5"/>
      <c r="G711" s="6"/>
      <c r="H711" s="2"/>
      <c r="I711" s="7"/>
      <c r="J711" s="8"/>
      <c r="K711" s="3"/>
      <c r="L711" s="3"/>
    </row>
    <row r="712" ht="21.75" customHeight="1">
      <c r="A712" s="2"/>
      <c r="B712" s="2"/>
      <c r="C712" s="3"/>
      <c r="D712" s="2"/>
      <c r="E712" s="4"/>
      <c r="F712" s="5"/>
      <c r="G712" s="6"/>
      <c r="H712" s="2"/>
      <c r="I712" s="7"/>
      <c r="J712" s="8"/>
      <c r="K712" s="3"/>
      <c r="L712" s="3"/>
    </row>
    <row r="713" ht="21.75" customHeight="1">
      <c r="A713" s="2"/>
      <c r="B713" s="2"/>
      <c r="C713" s="3"/>
      <c r="D713" s="2"/>
      <c r="E713" s="4"/>
      <c r="F713" s="5"/>
      <c r="G713" s="6"/>
      <c r="H713" s="2"/>
      <c r="I713" s="7"/>
      <c r="J713" s="8"/>
      <c r="K713" s="3"/>
      <c r="L713" s="3"/>
    </row>
    <row r="714" ht="21.75" customHeight="1">
      <c r="A714" s="2"/>
      <c r="B714" s="2"/>
      <c r="C714" s="3"/>
      <c r="D714" s="2"/>
      <c r="E714" s="4"/>
      <c r="F714" s="5"/>
      <c r="G714" s="6"/>
      <c r="H714" s="2"/>
      <c r="I714" s="7"/>
      <c r="J714" s="8"/>
      <c r="K714" s="3"/>
      <c r="L714" s="3"/>
    </row>
    <row r="715" ht="21.75" customHeight="1">
      <c r="A715" s="2"/>
      <c r="B715" s="2"/>
      <c r="C715" s="3"/>
      <c r="D715" s="2"/>
      <c r="E715" s="4"/>
      <c r="F715" s="5"/>
      <c r="G715" s="6"/>
      <c r="H715" s="2"/>
      <c r="I715" s="7"/>
      <c r="J715" s="8"/>
      <c r="K715" s="3"/>
      <c r="L715" s="3"/>
    </row>
    <row r="716" ht="21.75" customHeight="1">
      <c r="A716" s="2"/>
      <c r="B716" s="2"/>
      <c r="C716" s="3"/>
      <c r="D716" s="2"/>
      <c r="E716" s="4"/>
      <c r="F716" s="5"/>
      <c r="G716" s="6"/>
      <c r="H716" s="2"/>
      <c r="I716" s="7"/>
      <c r="J716" s="8"/>
      <c r="K716" s="3"/>
      <c r="L716" s="3"/>
    </row>
    <row r="717" ht="21.75" customHeight="1">
      <c r="A717" s="2"/>
      <c r="B717" s="2"/>
      <c r="C717" s="3"/>
      <c r="D717" s="2"/>
      <c r="E717" s="4"/>
      <c r="F717" s="5"/>
      <c r="G717" s="6"/>
      <c r="H717" s="2"/>
      <c r="I717" s="7"/>
      <c r="J717" s="8"/>
      <c r="K717" s="3"/>
      <c r="L717" s="3"/>
    </row>
    <row r="718" ht="21.75" customHeight="1">
      <c r="A718" s="2"/>
      <c r="B718" s="2"/>
      <c r="C718" s="3"/>
      <c r="D718" s="2"/>
      <c r="E718" s="4"/>
      <c r="F718" s="5"/>
      <c r="G718" s="6"/>
      <c r="H718" s="2"/>
      <c r="I718" s="7"/>
      <c r="J718" s="8"/>
      <c r="K718" s="3"/>
      <c r="L718" s="3"/>
    </row>
    <row r="719" ht="21.75" customHeight="1">
      <c r="A719" s="2"/>
      <c r="B719" s="2"/>
      <c r="C719" s="3"/>
      <c r="D719" s="2"/>
      <c r="E719" s="4"/>
      <c r="F719" s="5"/>
      <c r="G719" s="6"/>
      <c r="H719" s="2"/>
      <c r="I719" s="7"/>
      <c r="J719" s="8"/>
      <c r="K719" s="3"/>
      <c r="L719" s="3"/>
    </row>
    <row r="720" ht="21.75" customHeight="1">
      <c r="A720" s="2"/>
      <c r="B720" s="2"/>
      <c r="C720" s="3"/>
      <c r="D720" s="2"/>
      <c r="E720" s="4"/>
      <c r="F720" s="5"/>
      <c r="G720" s="6"/>
      <c r="H720" s="2"/>
      <c r="I720" s="7"/>
      <c r="J720" s="8"/>
      <c r="K720" s="3"/>
      <c r="L720" s="3"/>
    </row>
    <row r="721" ht="21.75" customHeight="1">
      <c r="A721" s="2"/>
      <c r="B721" s="2"/>
      <c r="C721" s="3"/>
      <c r="D721" s="2"/>
      <c r="E721" s="4"/>
      <c r="F721" s="5"/>
      <c r="G721" s="6"/>
      <c r="H721" s="2"/>
      <c r="I721" s="7"/>
      <c r="J721" s="8"/>
      <c r="K721" s="3"/>
      <c r="L721" s="3"/>
    </row>
    <row r="722" ht="21.75" customHeight="1">
      <c r="A722" s="2"/>
      <c r="B722" s="2"/>
      <c r="C722" s="3"/>
      <c r="D722" s="2"/>
      <c r="E722" s="4"/>
      <c r="F722" s="5"/>
      <c r="G722" s="6"/>
      <c r="H722" s="2"/>
      <c r="I722" s="7"/>
      <c r="J722" s="8"/>
      <c r="K722" s="3"/>
      <c r="L722" s="3"/>
    </row>
    <row r="723" ht="21.75" customHeight="1">
      <c r="A723" s="2"/>
      <c r="B723" s="2"/>
      <c r="C723" s="3"/>
      <c r="D723" s="2"/>
      <c r="E723" s="4"/>
      <c r="F723" s="5"/>
      <c r="G723" s="6"/>
      <c r="H723" s="2"/>
      <c r="I723" s="7"/>
      <c r="J723" s="8"/>
      <c r="K723" s="3"/>
      <c r="L723" s="3"/>
    </row>
    <row r="724" ht="21.75" customHeight="1">
      <c r="A724" s="2"/>
      <c r="B724" s="2"/>
      <c r="C724" s="3"/>
      <c r="D724" s="2"/>
      <c r="E724" s="4"/>
      <c r="F724" s="5"/>
      <c r="G724" s="6"/>
      <c r="H724" s="2"/>
      <c r="I724" s="7"/>
      <c r="J724" s="8"/>
      <c r="K724" s="3"/>
      <c r="L724" s="3"/>
    </row>
    <row r="725" ht="21.75" customHeight="1">
      <c r="A725" s="2"/>
      <c r="B725" s="2"/>
      <c r="C725" s="3"/>
      <c r="D725" s="2"/>
      <c r="E725" s="4"/>
      <c r="F725" s="5"/>
      <c r="G725" s="6"/>
      <c r="H725" s="2"/>
      <c r="I725" s="7"/>
      <c r="J725" s="8"/>
      <c r="K725" s="3"/>
      <c r="L725" s="3"/>
    </row>
    <row r="726" ht="21.75" customHeight="1">
      <c r="A726" s="2"/>
      <c r="B726" s="2"/>
      <c r="C726" s="3"/>
      <c r="D726" s="2"/>
      <c r="E726" s="4"/>
      <c r="F726" s="5"/>
      <c r="G726" s="6"/>
      <c r="H726" s="2"/>
      <c r="I726" s="7"/>
      <c r="J726" s="8"/>
      <c r="K726" s="3"/>
      <c r="L726" s="3"/>
    </row>
    <row r="727" ht="21.75" customHeight="1">
      <c r="A727" s="2"/>
      <c r="B727" s="2"/>
      <c r="C727" s="3"/>
      <c r="D727" s="2"/>
      <c r="E727" s="4"/>
      <c r="F727" s="5"/>
      <c r="G727" s="6"/>
      <c r="H727" s="2"/>
      <c r="I727" s="7"/>
      <c r="J727" s="8"/>
      <c r="K727" s="3"/>
      <c r="L727" s="3"/>
    </row>
    <row r="728" ht="21.75" customHeight="1">
      <c r="A728" s="2"/>
      <c r="B728" s="2"/>
      <c r="C728" s="3"/>
      <c r="D728" s="2"/>
      <c r="E728" s="4"/>
      <c r="F728" s="5"/>
      <c r="G728" s="6"/>
      <c r="H728" s="2"/>
      <c r="I728" s="7"/>
      <c r="J728" s="8"/>
      <c r="K728" s="3"/>
      <c r="L728" s="3"/>
    </row>
    <row r="729" ht="21.75" customHeight="1">
      <c r="A729" s="2"/>
      <c r="B729" s="2"/>
      <c r="C729" s="3"/>
      <c r="D729" s="2"/>
      <c r="E729" s="4"/>
      <c r="F729" s="5"/>
      <c r="G729" s="6"/>
      <c r="H729" s="2"/>
      <c r="I729" s="7"/>
      <c r="J729" s="8"/>
      <c r="K729" s="3"/>
      <c r="L729" s="3"/>
    </row>
    <row r="730" ht="21.75" customHeight="1">
      <c r="A730" s="2"/>
      <c r="B730" s="2"/>
      <c r="C730" s="3"/>
      <c r="D730" s="2"/>
      <c r="E730" s="4"/>
      <c r="F730" s="5"/>
      <c r="G730" s="6"/>
      <c r="H730" s="2"/>
      <c r="I730" s="7"/>
      <c r="J730" s="8"/>
      <c r="K730" s="3"/>
      <c r="L730" s="3"/>
    </row>
    <row r="731" ht="21.75" customHeight="1">
      <c r="A731" s="2"/>
      <c r="B731" s="2"/>
      <c r="C731" s="3"/>
      <c r="D731" s="2"/>
      <c r="E731" s="4"/>
      <c r="F731" s="5"/>
      <c r="G731" s="6"/>
      <c r="H731" s="2"/>
      <c r="I731" s="7"/>
      <c r="J731" s="8"/>
      <c r="K731" s="3"/>
      <c r="L731" s="3"/>
    </row>
    <row r="732" ht="21.75" customHeight="1">
      <c r="A732" s="2"/>
      <c r="B732" s="2"/>
      <c r="C732" s="3"/>
      <c r="D732" s="2"/>
      <c r="E732" s="4"/>
      <c r="F732" s="5"/>
      <c r="G732" s="6"/>
      <c r="H732" s="2"/>
      <c r="I732" s="7"/>
      <c r="J732" s="8"/>
      <c r="K732" s="3"/>
      <c r="L732" s="3"/>
    </row>
    <row r="733" ht="21.75" customHeight="1">
      <c r="A733" s="2"/>
      <c r="B733" s="2"/>
      <c r="C733" s="3"/>
      <c r="D733" s="2"/>
      <c r="E733" s="4"/>
      <c r="F733" s="5"/>
      <c r="G733" s="6"/>
      <c r="H733" s="2"/>
      <c r="I733" s="7"/>
      <c r="J733" s="8"/>
      <c r="K733" s="3"/>
      <c r="L733" s="3"/>
    </row>
    <row r="734" ht="21.75" customHeight="1">
      <c r="A734" s="2"/>
      <c r="B734" s="2"/>
      <c r="C734" s="3"/>
      <c r="D734" s="2"/>
      <c r="E734" s="4"/>
      <c r="F734" s="5"/>
      <c r="G734" s="6"/>
      <c r="H734" s="2"/>
      <c r="I734" s="7"/>
      <c r="J734" s="8"/>
      <c r="K734" s="3"/>
      <c r="L734" s="3"/>
    </row>
    <row r="735" ht="21.75" customHeight="1">
      <c r="A735" s="2"/>
      <c r="B735" s="2"/>
      <c r="C735" s="3"/>
      <c r="D735" s="2"/>
      <c r="E735" s="4"/>
      <c r="F735" s="5"/>
      <c r="G735" s="6"/>
      <c r="H735" s="2"/>
      <c r="I735" s="7"/>
      <c r="J735" s="8"/>
      <c r="K735" s="3"/>
      <c r="L735" s="3"/>
    </row>
    <row r="736" ht="21.75" customHeight="1">
      <c r="A736" s="2"/>
      <c r="B736" s="2"/>
      <c r="C736" s="3"/>
      <c r="D736" s="2"/>
      <c r="E736" s="4"/>
      <c r="F736" s="5"/>
      <c r="G736" s="6"/>
      <c r="H736" s="2"/>
      <c r="I736" s="7"/>
      <c r="J736" s="8"/>
      <c r="K736" s="3"/>
      <c r="L736" s="3"/>
    </row>
    <row r="737" ht="21.75" customHeight="1">
      <c r="A737" s="2"/>
      <c r="B737" s="2"/>
      <c r="C737" s="3"/>
      <c r="D737" s="2"/>
      <c r="E737" s="4"/>
      <c r="F737" s="5"/>
      <c r="G737" s="6"/>
      <c r="H737" s="2"/>
      <c r="I737" s="7"/>
      <c r="J737" s="8"/>
      <c r="K737" s="3"/>
      <c r="L737" s="3"/>
    </row>
    <row r="738" ht="21.75" customHeight="1">
      <c r="A738" s="2"/>
      <c r="B738" s="2"/>
      <c r="C738" s="3"/>
      <c r="D738" s="2"/>
      <c r="E738" s="4"/>
      <c r="F738" s="5"/>
      <c r="G738" s="6"/>
      <c r="H738" s="2"/>
      <c r="I738" s="7"/>
      <c r="J738" s="8"/>
      <c r="K738" s="3"/>
      <c r="L738" s="3"/>
    </row>
    <row r="739" ht="21.75" customHeight="1">
      <c r="A739" s="2"/>
      <c r="B739" s="2"/>
      <c r="C739" s="3"/>
      <c r="D739" s="2"/>
      <c r="E739" s="4"/>
      <c r="F739" s="5"/>
      <c r="G739" s="6"/>
      <c r="H739" s="2"/>
      <c r="I739" s="7"/>
      <c r="J739" s="8"/>
      <c r="K739" s="3"/>
      <c r="L739" s="3"/>
    </row>
    <row r="740" ht="21.75" customHeight="1">
      <c r="A740" s="2"/>
      <c r="B740" s="2"/>
      <c r="C740" s="3"/>
      <c r="D740" s="2"/>
      <c r="E740" s="4"/>
      <c r="F740" s="5"/>
      <c r="G740" s="6"/>
      <c r="H740" s="2"/>
      <c r="I740" s="7"/>
      <c r="J740" s="8"/>
      <c r="K740" s="3"/>
      <c r="L740" s="3"/>
    </row>
    <row r="741" ht="21.75" customHeight="1">
      <c r="A741" s="2"/>
      <c r="B741" s="2"/>
      <c r="C741" s="3"/>
      <c r="D741" s="2"/>
      <c r="E741" s="4"/>
      <c r="F741" s="5"/>
      <c r="G741" s="6"/>
      <c r="H741" s="2"/>
      <c r="I741" s="7"/>
      <c r="J741" s="8"/>
      <c r="K741" s="3"/>
      <c r="L741" s="3"/>
    </row>
    <row r="742" ht="21.75" customHeight="1">
      <c r="A742" s="2"/>
      <c r="B742" s="2"/>
      <c r="C742" s="3"/>
      <c r="D742" s="2"/>
      <c r="E742" s="4"/>
      <c r="F742" s="5"/>
      <c r="G742" s="6"/>
      <c r="H742" s="2"/>
      <c r="I742" s="7"/>
      <c r="J742" s="8"/>
      <c r="K742" s="3"/>
      <c r="L742" s="3"/>
    </row>
    <row r="743" ht="21.75" customHeight="1">
      <c r="A743" s="2"/>
      <c r="B743" s="2"/>
      <c r="C743" s="3"/>
      <c r="D743" s="2"/>
      <c r="E743" s="4"/>
      <c r="F743" s="5"/>
      <c r="G743" s="6"/>
      <c r="H743" s="2"/>
      <c r="I743" s="7"/>
      <c r="J743" s="8"/>
      <c r="K743" s="3"/>
      <c r="L743" s="3"/>
    </row>
    <row r="744" ht="21.75" customHeight="1">
      <c r="A744" s="2"/>
      <c r="B744" s="2"/>
      <c r="C744" s="3"/>
      <c r="D744" s="2"/>
      <c r="E744" s="4"/>
      <c r="F744" s="5"/>
      <c r="G744" s="6"/>
      <c r="H744" s="2"/>
      <c r="I744" s="7"/>
      <c r="J744" s="8"/>
      <c r="K744" s="3"/>
      <c r="L744" s="3"/>
    </row>
    <row r="745" ht="21.75" customHeight="1">
      <c r="A745" s="2"/>
      <c r="B745" s="2"/>
      <c r="C745" s="3"/>
      <c r="D745" s="2"/>
      <c r="E745" s="4"/>
      <c r="F745" s="5"/>
      <c r="G745" s="6"/>
      <c r="H745" s="2"/>
      <c r="I745" s="7"/>
      <c r="J745" s="8"/>
      <c r="K745" s="3"/>
      <c r="L745" s="3"/>
    </row>
    <row r="746" ht="21.75" customHeight="1">
      <c r="A746" s="2"/>
      <c r="B746" s="2"/>
      <c r="C746" s="3"/>
      <c r="D746" s="2"/>
      <c r="E746" s="4"/>
      <c r="F746" s="5"/>
      <c r="G746" s="6"/>
      <c r="H746" s="2"/>
      <c r="I746" s="7"/>
      <c r="J746" s="8"/>
      <c r="K746" s="3"/>
      <c r="L746" s="3"/>
    </row>
    <row r="747" ht="21.75" customHeight="1">
      <c r="A747" s="2"/>
      <c r="B747" s="2"/>
      <c r="C747" s="3"/>
      <c r="D747" s="2"/>
      <c r="E747" s="4"/>
      <c r="F747" s="5"/>
      <c r="G747" s="6"/>
      <c r="H747" s="2"/>
      <c r="I747" s="7"/>
      <c r="J747" s="8"/>
      <c r="K747" s="3"/>
      <c r="L747" s="3"/>
    </row>
    <row r="748" ht="21.75" customHeight="1">
      <c r="A748" s="2"/>
      <c r="B748" s="2"/>
      <c r="C748" s="3"/>
      <c r="D748" s="2"/>
      <c r="E748" s="4"/>
      <c r="F748" s="5"/>
      <c r="G748" s="6"/>
      <c r="H748" s="2"/>
      <c r="I748" s="7"/>
      <c r="J748" s="8"/>
      <c r="K748" s="3"/>
      <c r="L748" s="3"/>
    </row>
    <row r="749" ht="21.75" customHeight="1">
      <c r="A749" s="2"/>
      <c r="B749" s="2"/>
      <c r="C749" s="3"/>
      <c r="D749" s="2"/>
      <c r="E749" s="4"/>
      <c r="F749" s="5"/>
      <c r="G749" s="6"/>
      <c r="H749" s="2"/>
      <c r="I749" s="7"/>
      <c r="J749" s="8"/>
      <c r="K749" s="3"/>
      <c r="L749" s="3"/>
    </row>
    <row r="750" ht="21.75" customHeight="1">
      <c r="A750" s="2"/>
      <c r="B750" s="2"/>
      <c r="C750" s="3"/>
      <c r="D750" s="2"/>
      <c r="E750" s="4"/>
      <c r="F750" s="5"/>
      <c r="G750" s="6"/>
      <c r="H750" s="2"/>
      <c r="I750" s="7"/>
      <c r="J750" s="8"/>
      <c r="K750" s="3"/>
      <c r="L750" s="3"/>
    </row>
    <row r="751" ht="21.75" customHeight="1">
      <c r="A751" s="2"/>
      <c r="B751" s="2"/>
      <c r="C751" s="3"/>
      <c r="D751" s="2"/>
      <c r="E751" s="4"/>
      <c r="F751" s="5"/>
      <c r="G751" s="6"/>
      <c r="H751" s="2"/>
      <c r="I751" s="7"/>
      <c r="J751" s="8"/>
      <c r="K751" s="3"/>
      <c r="L751" s="3"/>
    </row>
    <row r="752" ht="21.75" customHeight="1">
      <c r="A752" s="2"/>
      <c r="B752" s="2"/>
      <c r="C752" s="3"/>
      <c r="D752" s="2"/>
      <c r="E752" s="4"/>
      <c r="F752" s="5"/>
      <c r="G752" s="6"/>
      <c r="H752" s="2"/>
      <c r="I752" s="7"/>
      <c r="J752" s="8"/>
      <c r="K752" s="3"/>
      <c r="L752" s="3"/>
    </row>
    <row r="753" ht="21.75" customHeight="1">
      <c r="A753" s="2"/>
      <c r="B753" s="2"/>
      <c r="C753" s="3"/>
      <c r="D753" s="2"/>
      <c r="E753" s="4"/>
      <c r="F753" s="5"/>
      <c r="G753" s="6"/>
      <c r="H753" s="2"/>
      <c r="I753" s="7"/>
      <c r="J753" s="8"/>
      <c r="K753" s="3"/>
      <c r="L753" s="3"/>
    </row>
    <row r="754" ht="21.75" customHeight="1">
      <c r="A754" s="2"/>
      <c r="B754" s="2"/>
      <c r="C754" s="3"/>
      <c r="D754" s="2"/>
      <c r="E754" s="4"/>
      <c r="F754" s="5"/>
      <c r="G754" s="6"/>
      <c r="H754" s="2"/>
      <c r="I754" s="7"/>
      <c r="J754" s="8"/>
      <c r="K754" s="3"/>
      <c r="L754" s="3"/>
    </row>
    <row r="755" ht="21.75" customHeight="1">
      <c r="A755" s="2"/>
      <c r="B755" s="2"/>
      <c r="C755" s="3"/>
      <c r="D755" s="2"/>
      <c r="E755" s="4"/>
      <c r="F755" s="5"/>
      <c r="G755" s="6"/>
      <c r="H755" s="2"/>
      <c r="I755" s="7"/>
      <c r="J755" s="8"/>
      <c r="K755" s="3"/>
      <c r="L755" s="3"/>
    </row>
    <row r="756" ht="21.75" customHeight="1">
      <c r="A756" s="2"/>
      <c r="B756" s="2"/>
      <c r="C756" s="3"/>
      <c r="D756" s="2"/>
      <c r="E756" s="4"/>
      <c r="F756" s="5"/>
      <c r="G756" s="6"/>
      <c r="H756" s="2"/>
      <c r="I756" s="7"/>
      <c r="J756" s="8"/>
      <c r="K756" s="3"/>
      <c r="L756" s="3"/>
    </row>
    <row r="757" ht="21.75" customHeight="1">
      <c r="A757" s="2"/>
      <c r="B757" s="2"/>
      <c r="C757" s="3"/>
      <c r="D757" s="2"/>
      <c r="E757" s="4"/>
      <c r="F757" s="5"/>
      <c r="G757" s="6"/>
      <c r="H757" s="2"/>
      <c r="I757" s="7"/>
      <c r="J757" s="8"/>
      <c r="K757" s="3"/>
      <c r="L757" s="3"/>
    </row>
    <row r="758" ht="21.75" customHeight="1">
      <c r="A758" s="2"/>
      <c r="B758" s="2"/>
      <c r="C758" s="3"/>
      <c r="D758" s="2"/>
      <c r="E758" s="4"/>
      <c r="F758" s="5"/>
      <c r="G758" s="6"/>
      <c r="H758" s="2"/>
      <c r="I758" s="7"/>
      <c r="J758" s="8"/>
      <c r="K758" s="3"/>
      <c r="L758" s="3"/>
    </row>
    <row r="759" ht="21.75" customHeight="1">
      <c r="A759" s="2"/>
      <c r="B759" s="2"/>
      <c r="C759" s="3"/>
      <c r="D759" s="2"/>
      <c r="E759" s="4"/>
      <c r="F759" s="5"/>
      <c r="G759" s="6"/>
      <c r="H759" s="2"/>
      <c r="I759" s="7"/>
      <c r="J759" s="8"/>
      <c r="K759" s="3"/>
      <c r="L759" s="3"/>
    </row>
    <row r="760" ht="21.75" customHeight="1">
      <c r="A760" s="2"/>
      <c r="B760" s="2"/>
      <c r="C760" s="3"/>
      <c r="D760" s="2"/>
      <c r="E760" s="4"/>
      <c r="F760" s="5"/>
      <c r="G760" s="6"/>
      <c r="H760" s="2"/>
      <c r="I760" s="7"/>
      <c r="J760" s="8"/>
      <c r="K760" s="3"/>
      <c r="L760" s="3"/>
    </row>
    <row r="761" ht="21.75" customHeight="1">
      <c r="A761" s="2"/>
      <c r="B761" s="2"/>
      <c r="C761" s="3"/>
      <c r="D761" s="2"/>
      <c r="E761" s="4"/>
      <c r="F761" s="5"/>
      <c r="G761" s="6"/>
      <c r="H761" s="2"/>
      <c r="I761" s="7"/>
      <c r="J761" s="8"/>
      <c r="K761" s="3"/>
      <c r="L761" s="3"/>
    </row>
    <row r="762" ht="21.75" customHeight="1">
      <c r="A762" s="2"/>
      <c r="B762" s="2"/>
      <c r="C762" s="3"/>
      <c r="D762" s="2"/>
      <c r="E762" s="4"/>
      <c r="F762" s="5"/>
      <c r="G762" s="6"/>
      <c r="H762" s="2"/>
      <c r="I762" s="7"/>
      <c r="J762" s="8"/>
      <c r="K762" s="3"/>
      <c r="L762" s="3"/>
    </row>
    <row r="763" ht="21.75" customHeight="1">
      <c r="A763" s="2"/>
      <c r="B763" s="2"/>
      <c r="C763" s="3"/>
      <c r="D763" s="2"/>
      <c r="E763" s="4"/>
      <c r="F763" s="5"/>
      <c r="G763" s="6"/>
      <c r="H763" s="2"/>
      <c r="I763" s="7"/>
      <c r="J763" s="8"/>
      <c r="K763" s="3"/>
      <c r="L763" s="3"/>
    </row>
    <row r="764" ht="21.75" customHeight="1">
      <c r="A764" s="2"/>
      <c r="B764" s="2"/>
      <c r="C764" s="3"/>
      <c r="D764" s="2"/>
      <c r="E764" s="4"/>
      <c r="F764" s="5"/>
      <c r="G764" s="6"/>
      <c r="H764" s="2"/>
      <c r="I764" s="7"/>
      <c r="J764" s="8"/>
      <c r="K764" s="3"/>
      <c r="L764" s="3"/>
    </row>
    <row r="765" ht="21.75" customHeight="1">
      <c r="A765" s="2"/>
      <c r="B765" s="2"/>
      <c r="C765" s="3"/>
      <c r="D765" s="2"/>
      <c r="E765" s="4"/>
      <c r="F765" s="5"/>
      <c r="G765" s="6"/>
      <c r="H765" s="2"/>
      <c r="I765" s="7"/>
      <c r="J765" s="8"/>
      <c r="K765" s="3"/>
      <c r="L765" s="3"/>
    </row>
    <row r="766" ht="21.75" customHeight="1">
      <c r="A766" s="2"/>
      <c r="B766" s="2"/>
      <c r="C766" s="3"/>
      <c r="D766" s="2"/>
      <c r="E766" s="4"/>
      <c r="F766" s="5"/>
      <c r="G766" s="6"/>
      <c r="H766" s="2"/>
      <c r="I766" s="7"/>
      <c r="J766" s="8"/>
      <c r="K766" s="3"/>
      <c r="L766" s="3"/>
    </row>
    <row r="767" ht="21.75" customHeight="1">
      <c r="A767" s="2"/>
      <c r="B767" s="2"/>
      <c r="C767" s="3"/>
      <c r="D767" s="2"/>
      <c r="E767" s="4"/>
      <c r="F767" s="5"/>
      <c r="G767" s="6"/>
      <c r="H767" s="2"/>
      <c r="I767" s="7"/>
      <c r="J767" s="8"/>
      <c r="K767" s="3"/>
      <c r="L767" s="3"/>
    </row>
    <row r="768" ht="21.75" customHeight="1">
      <c r="A768" s="2"/>
      <c r="B768" s="2"/>
      <c r="C768" s="3"/>
      <c r="D768" s="2"/>
      <c r="E768" s="4"/>
      <c r="F768" s="5"/>
      <c r="G768" s="6"/>
      <c r="H768" s="2"/>
      <c r="I768" s="7"/>
      <c r="J768" s="8"/>
      <c r="K768" s="3"/>
      <c r="L768" s="3"/>
    </row>
    <row r="769" ht="21.75" customHeight="1">
      <c r="A769" s="2"/>
      <c r="B769" s="2"/>
      <c r="C769" s="3"/>
      <c r="D769" s="2"/>
      <c r="E769" s="4"/>
      <c r="F769" s="5"/>
      <c r="G769" s="6"/>
      <c r="H769" s="2"/>
      <c r="I769" s="7"/>
      <c r="J769" s="8"/>
      <c r="K769" s="3"/>
      <c r="L769" s="3"/>
    </row>
    <row r="770" ht="21.75" customHeight="1">
      <c r="A770" s="2"/>
      <c r="B770" s="2"/>
      <c r="C770" s="3"/>
      <c r="D770" s="2"/>
      <c r="E770" s="4"/>
      <c r="F770" s="5"/>
      <c r="G770" s="6"/>
      <c r="H770" s="2"/>
      <c r="I770" s="7"/>
      <c r="J770" s="8"/>
      <c r="K770" s="3"/>
      <c r="L770" s="3"/>
    </row>
    <row r="771" ht="21.75" customHeight="1">
      <c r="A771" s="2"/>
      <c r="B771" s="2"/>
      <c r="C771" s="3"/>
      <c r="D771" s="2"/>
      <c r="E771" s="4"/>
      <c r="F771" s="5"/>
      <c r="G771" s="6"/>
      <c r="H771" s="2"/>
      <c r="I771" s="7"/>
      <c r="J771" s="8"/>
      <c r="K771" s="3"/>
      <c r="L771" s="3"/>
    </row>
    <row r="772" ht="21.75" customHeight="1">
      <c r="A772" s="2"/>
      <c r="B772" s="2"/>
      <c r="C772" s="3"/>
      <c r="D772" s="2"/>
      <c r="E772" s="4"/>
      <c r="F772" s="5"/>
      <c r="G772" s="6"/>
      <c r="H772" s="2"/>
      <c r="I772" s="7"/>
      <c r="J772" s="8"/>
      <c r="K772" s="3"/>
      <c r="L772" s="3"/>
    </row>
    <row r="773" ht="21.75" customHeight="1">
      <c r="A773" s="2"/>
      <c r="B773" s="2"/>
      <c r="C773" s="3"/>
      <c r="D773" s="2"/>
      <c r="E773" s="4"/>
      <c r="F773" s="5"/>
      <c r="G773" s="6"/>
      <c r="H773" s="2"/>
      <c r="I773" s="7"/>
      <c r="J773" s="8"/>
      <c r="K773" s="3"/>
      <c r="L773" s="3"/>
    </row>
    <row r="774" ht="21.75" customHeight="1">
      <c r="A774" s="2"/>
      <c r="B774" s="2"/>
      <c r="C774" s="3"/>
      <c r="D774" s="2"/>
      <c r="E774" s="4"/>
      <c r="F774" s="5"/>
      <c r="G774" s="6"/>
      <c r="H774" s="2"/>
      <c r="I774" s="7"/>
      <c r="J774" s="8"/>
      <c r="K774" s="3"/>
      <c r="L774" s="3"/>
    </row>
    <row r="775" ht="21.75" customHeight="1">
      <c r="A775" s="2"/>
      <c r="B775" s="2"/>
      <c r="C775" s="3"/>
      <c r="D775" s="2"/>
      <c r="E775" s="4"/>
      <c r="F775" s="5"/>
      <c r="G775" s="6"/>
      <c r="H775" s="2"/>
      <c r="I775" s="7"/>
      <c r="J775" s="8"/>
      <c r="K775" s="3"/>
      <c r="L775" s="3"/>
    </row>
    <row r="776" ht="21.75" customHeight="1">
      <c r="A776" s="2"/>
      <c r="B776" s="2"/>
      <c r="C776" s="3"/>
      <c r="D776" s="2"/>
      <c r="E776" s="4"/>
      <c r="F776" s="5"/>
      <c r="G776" s="6"/>
      <c r="H776" s="2"/>
      <c r="I776" s="7"/>
      <c r="J776" s="8"/>
      <c r="K776" s="3"/>
      <c r="L776" s="3"/>
    </row>
    <row r="777" ht="21.75" customHeight="1">
      <c r="A777" s="2"/>
      <c r="B777" s="2"/>
      <c r="C777" s="3"/>
      <c r="D777" s="2"/>
      <c r="E777" s="4"/>
      <c r="F777" s="5"/>
      <c r="G777" s="6"/>
      <c r="H777" s="2"/>
      <c r="I777" s="7"/>
      <c r="J777" s="8"/>
      <c r="K777" s="3"/>
      <c r="L777" s="3"/>
    </row>
    <row r="778" ht="21.75" customHeight="1">
      <c r="A778" s="2"/>
      <c r="B778" s="2"/>
      <c r="C778" s="3"/>
      <c r="D778" s="2"/>
      <c r="E778" s="4"/>
      <c r="F778" s="5"/>
      <c r="G778" s="6"/>
      <c r="H778" s="2"/>
      <c r="I778" s="7"/>
      <c r="J778" s="8"/>
      <c r="K778" s="3"/>
      <c r="L778" s="3"/>
    </row>
    <row r="779" ht="21.75" customHeight="1">
      <c r="A779" s="2"/>
      <c r="B779" s="2"/>
      <c r="C779" s="3"/>
      <c r="D779" s="2"/>
      <c r="E779" s="4"/>
      <c r="F779" s="5"/>
      <c r="G779" s="6"/>
      <c r="H779" s="2"/>
      <c r="I779" s="7"/>
      <c r="J779" s="8"/>
      <c r="K779" s="3"/>
      <c r="L779" s="3"/>
    </row>
    <row r="780" ht="21.75" customHeight="1">
      <c r="A780" s="2"/>
      <c r="B780" s="2"/>
      <c r="C780" s="3"/>
      <c r="D780" s="2"/>
      <c r="E780" s="4"/>
      <c r="F780" s="5"/>
      <c r="G780" s="6"/>
      <c r="H780" s="2"/>
      <c r="I780" s="7"/>
      <c r="J780" s="8"/>
      <c r="K780" s="3"/>
      <c r="L780" s="3"/>
    </row>
    <row r="781" ht="21.75" customHeight="1">
      <c r="A781" s="2"/>
      <c r="B781" s="2"/>
      <c r="C781" s="3"/>
      <c r="D781" s="2"/>
      <c r="E781" s="4"/>
      <c r="F781" s="5"/>
      <c r="G781" s="6"/>
      <c r="H781" s="2"/>
      <c r="I781" s="7"/>
      <c r="J781" s="8"/>
      <c r="K781" s="3"/>
      <c r="L781" s="3"/>
    </row>
    <row r="782" ht="21.75" customHeight="1">
      <c r="A782" s="2"/>
      <c r="B782" s="2"/>
      <c r="C782" s="3"/>
      <c r="D782" s="2"/>
      <c r="E782" s="4"/>
      <c r="F782" s="5"/>
      <c r="G782" s="6"/>
      <c r="H782" s="2"/>
      <c r="I782" s="7"/>
      <c r="J782" s="8"/>
      <c r="K782" s="3"/>
      <c r="L782" s="3"/>
    </row>
    <row r="783" ht="21.75" customHeight="1">
      <c r="A783" s="2"/>
      <c r="B783" s="2"/>
      <c r="C783" s="3"/>
      <c r="D783" s="2"/>
      <c r="E783" s="4"/>
      <c r="F783" s="5"/>
      <c r="G783" s="6"/>
      <c r="H783" s="2"/>
      <c r="I783" s="7"/>
      <c r="J783" s="8"/>
      <c r="K783" s="3"/>
      <c r="L783" s="3"/>
    </row>
    <row r="784" ht="21.75" customHeight="1">
      <c r="A784" s="2"/>
      <c r="B784" s="2"/>
      <c r="C784" s="3"/>
      <c r="D784" s="2"/>
      <c r="E784" s="4"/>
      <c r="F784" s="5"/>
      <c r="G784" s="6"/>
      <c r="H784" s="2"/>
      <c r="I784" s="7"/>
      <c r="J784" s="8"/>
      <c r="K784" s="3"/>
      <c r="L784" s="3"/>
    </row>
    <row r="785" ht="21.75" customHeight="1">
      <c r="A785" s="2"/>
      <c r="B785" s="2"/>
      <c r="C785" s="3"/>
      <c r="D785" s="2"/>
      <c r="E785" s="4"/>
      <c r="F785" s="5"/>
      <c r="G785" s="6"/>
      <c r="H785" s="2"/>
      <c r="I785" s="7"/>
      <c r="J785" s="8"/>
      <c r="K785" s="3"/>
      <c r="L785" s="3"/>
    </row>
    <row r="786" ht="21.75" customHeight="1">
      <c r="A786" s="2"/>
      <c r="B786" s="2"/>
      <c r="C786" s="3"/>
      <c r="D786" s="2"/>
      <c r="E786" s="4"/>
      <c r="F786" s="5"/>
      <c r="G786" s="6"/>
      <c r="H786" s="2"/>
      <c r="I786" s="7"/>
      <c r="J786" s="8"/>
      <c r="K786" s="3"/>
      <c r="L786" s="3"/>
    </row>
    <row r="787" ht="21.75" customHeight="1">
      <c r="A787" s="2"/>
      <c r="B787" s="2"/>
      <c r="C787" s="3"/>
      <c r="D787" s="2"/>
      <c r="E787" s="4"/>
      <c r="F787" s="5"/>
      <c r="G787" s="6"/>
      <c r="H787" s="2"/>
      <c r="I787" s="7"/>
      <c r="J787" s="8"/>
      <c r="K787" s="3"/>
      <c r="L787" s="3"/>
    </row>
    <row r="788" ht="21.75" customHeight="1">
      <c r="A788" s="2"/>
      <c r="B788" s="2"/>
      <c r="C788" s="3"/>
      <c r="D788" s="2"/>
      <c r="E788" s="4"/>
      <c r="F788" s="5"/>
      <c r="G788" s="6"/>
      <c r="H788" s="2"/>
      <c r="I788" s="7"/>
      <c r="J788" s="8"/>
      <c r="K788" s="3"/>
      <c r="L788" s="3"/>
    </row>
    <row r="789" ht="21.75" customHeight="1">
      <c r="A789" s="2"/>
      <c r="B789" s="2"/>
      <c r="C789" s="3"/>
      <c r="D789" s="2"/>
      <c r="E789" s="4"/>
      <c r="F789" s="5"/>
      <c r="G789" s="6"/>
      <c r="H789" s="2"/>
      <c r="I789" s="7"/>
      <c r="J789" s="8"/>
      <c r="K789" s="3"/>
      <c r="L789" s="3"/>
    </row>
    <row r="790" ht="21.75" customHeight="1">
      <c r="A790" s="2"/>
      <c r="B790" s="2"/>
      <c r="C790" s="3"/>
      <c r="D790" s="2"/>
      <c r="E790" s="4"/>
      <c r="F790" s="5"/>
      <c r="G790" s="6"/>
      <c r="H790" s="2"/>
      <c r="I790" s="7"/>
      <c r="J790" s="8"/>
      <c r="K790" s="3"/>
      <c r="L790" s="3"/>
    </row>
    <row r="791" ht="21.75" customHeight="1">
      <c r="A791" s="2"/>
      <c r="B791" s="2"/>
      <c r="C791" s="3"/>
      <c r="D791" s="2"/>
      <c r="E791" s="4"/>
      <c r="F791" s="5"/>
      <c r="G791" s="6"/>
      <c r="H791" s="2"/>
      <c r="I791" s="7"/>
      <c r="J791" s="8"/>
      <c r="K791" s="3"/>
      <c r="L791" s="3"/>
    </row>
    <row r="792" ht="21.75" customHeight="1">
      <c r="A792" s="2"/>
      <c r="B792" s="2"/>
      <c r="C792" s="3"/>
      <c r="D792" s="2"/>
      <c r="E792" s="4"/>
      <c r="F792" s="5"/>
      <c r="G792" s="6"/>
      <c r="H792" s="2"/>
      <c r="I792" s="7"/>
      <c r="J792" s="8"/>
      <c r="K792" s="3"/>
      <c r="L792" s="3"/>
    </row>
    <row r="793" ht="21.75" customHeight="1">
      <c r="A793" s="2"/>
      <c r="B793" s="2"/>
      <c r="C793" s="3"/>
      <c r="D793" s="2"/>
      <c r="E793" s="4"/>
      <c r="F793" s="5"/>
      <c r="G793" s="6"/>
      <c r="H793" s="2"/>
      <c r="I793" s="7"/>
      <c r="J793" s="8"/>
      <c r="K793" s="3"/>
      <c r="L793" s="3"/>
    </row>
    <row r="794" ht="21.75" customHeight="1">
      <c r="A794" s="2"/>
      <c r="B794" s="2"/>
      <c r="C794" s="3"/>
      <c r="D794" s="2"/>
      <c r="E794" s="4"/>
      <c r="F794" s="5"/>
      <c r="G794" s="6"/>
      <c r="H794" s="2"/>
      <c r="I794" s="7"/>
      <c r="J794" s="8"/>
      <c r="K794" s="3"/>
      <c r="L794" s="3"/>
    </row>
    <row r="795" ht="21.75" customHeight="1">
      <c r="A795" s="2"/>
      <c r="B795" s="2"/>
      <c r="C795" s="3"/>
      <c r="D795" s="2"/>
      <c r="E795" s="4"/>
      <c r="F795" s="5"/>
      <c r="G795" s="6"/>
      <c r="H795" s="2"/>
      <c r="I795" s="7"/>
      <c r="J795" s="8"/>
      <c r="K795" s="3"/>
      <c r="L795" s="3"/>
    </row>
    <row r="796" ht="21.75" customHeight="1">
      <c r="A796" s="2"/>
      <c r="B796" s="2"/>
      <c r="C796" s="3"/>
      <c r="D796" s="2"/>
      <c r="E796" s="4"/>
      <c r="F796" s="5"/>
      <c r="G796" s="6"/>
      <c r="H796" s="2"/>
      <c r="I796" s="7"/>
      <c r="J796" s="8"/>
      <c r="K796" s="3"/>
      <c r="L796" s="3"/>
    </row>
    <row r="797" ht="21.75" customHeight="1">
      <c r="A797" s="2"/>
      <c r="B797" s="2"/>
      <c r="C797" s="3"/>
      <c r="D797" s="2"/>
      <c r="E797" s="4"/>
      <c r="F797" s="5"/>
      <c r="G797" s="6"/>
      <c r="H797" s="2"/>
      <c r="I797" s="7"/>
      <c r="J797" s="8"/>
      <c r="K797" s="3"/>
      <c r="L797" s="3"/>
    </row>
    <row r="798" ht="21.75" customHeight="1">
      <c r="A798" s="2"/>
      <c r="B798" s="2"/>
      <c r="C798" s="3"/>
      <c r="D798" s="2"/>
      <c r="E798" s="4"/>
      <c r="F798" s="5"/>
      <c r="G798" s="6"/>
      <c r="H798" s="2"/>
      <c r="I798" s="7"/>
      <c r="J798" s="8"/>
      <c r="K798" s="3"/>
      <c r="L798" s="3"/>
    </row>
    <row r="799" ht="21.75" customHeight="1">
      <c r="A799" s="2"/>
      <c r="B799" s="2"/>
      <c r="C799" s="3"/>
      <c r="D799" s="2"/>
      <c r="E799" s="4"/>
      <c r="F799" s="5"/>
      <c r="G799" s="6"/>
      <c r="H799" s="2"/>
      <c r="I799" s="7"/>
      <c r="J799" s="8"/>
      <c r="K799" s="3"/>
      <c r="L799" s="3"/>
    </row>
    <row r="800" ht="21.75" customHeight="1">
      <c r="A800" s="2"/>
      <c r="B800" s="2"/>
      <c r="C800" s="3"/>
      <c r="D800" s="2"/>
      <c r="E800" s="4"/>
      <c r="F800" s="5"/>
      <c r="G800" s="6"/>
      <c r="H800" s="2"/>
      <c r="I800" s="7"/>
      <c r="J800" s="8"/>
      <c r="K800" s="3"/>
      <c r="L800" s="3"/>
    </row>
    <row r="801" ht="21.75" customHeight="1">
      <c r="A801" s="2"/>
      <c r="B801" s="2"/>
      <c r="C801" s="3"/>
      <c r="D801" s="2"/>
      <c r="E801" s="4"/>
      <c r="F801" s="5"/>
      <c r="G801" s="6"/>
      <c r="H801" s="2"/>
      <c r="I801" s="7"/>
      <c r="J801" s="8"/>
      <c r="K801" s="3"/>
      <c r="L801" s="3"/>
    </row>
    <row r="802" ht="21.75" customHeight="1">
      <c r="A802" s="2"/>
      <c r="B802" s="2"/>
      <c r="C802" s="3"/>
      <c r="D802" s="2"/>
      <c r="E802" s="4"/>
      <c r="F802" s="5"/>
      <c r="G802" s="6"/>
      <c r="H802" s="2"/>
      <c r="I802" s="7"/>
      <c r="J802" s="8"/>
      <c r="K802" s="3"/>
      <c r="L802" s="3"/>
    </row>
    <row r="803" ht="21.75" customHeight="1">
      <c r="A803" s="2"/>
      <c r="B803" s="2"/>
      <c r="C803" s="3"/>
      <c r="D803" s="2"/>
      <c r="E803" s="4"/>
      <c r="F803" s="5"/>
      <c r="G803" s="6"/>
      <c r="H803" s="2"/>
      <c r="I803" s="7"/>
      <c r="J803" s="8"/>
      <c r="K803" s="3"/>
      <c r="L803" s="3"/>
    </row>
    <row r="804" ht="21.75" customHeight="1">
      <c r="A804" s="2"/>
      <c r="B804" s="2"/>
      <c r="C804" s="3"/>
      <c r="D804" s="2"/>
      <c r="E804" s="4"/>
      <c r="F804" s="5"/>
      <c r="G804" s="6"/>
      <c r="H804" s="2"/>
      <c r="I804" s="7"/>
      <c r="J804" s="8"/>
      <c r="K804" s="3"/>
      <c r="L804" s="3"/>
    </row>
    <row r="805" ht="21.75" customHeight="1">
      <c r="A805" s="2"/>
      <c r="B805" s="2"/>
      <c r="C805" s="3"/>
      <c r="D805" s="2"/>
      <c r="E805" s="4"/>
      <c r="F805" s="5"/>
      <c r="G805" s="6"/>
      <c r="H805" s="2"/>
      <c r="I805" s="7"/>
      <c r="J805" s="8"/>
      <c r="K805" s="3"/>
      <c r="L805" s="3"/>
    </row>
    <row r="806" ht="21.75" customHeight="1">
      <c r="A806" s="2"/>
      <c r="B806" s="2"/>
      <c r="C806" s="3"/>
      <c r="D806" s="2"/>
      <c r="E806" s="4"/>
      <c r="F806" s="5"/>
      <c r="G806" s="6"/>
      <c r="H806" s="2"/>
      <c r="I806" s="7"/>
      <c r="J806" s="8"/>
      <c r="K806" s="3"/>
      <c r="L806" s="3"/>
    </row>
    <row r="807" ht="21.75" customHeight="1">
      <c r="A807" s="2"/>
      <c r="B807" s="2"/>
      <c r="C807" s="3"/>
      <c r="D807" s="2"/>
      <c r="E807" s="4"/>
      <c r="F807" s="5"/>
      <c r="G807" s="6"/>
      <c r="H807" s="2"/>
      <c r="I807" s="7"/>
      <c r="J807" s="8"/>
      <c r="K807" s="3"/>
      <c r="L807" s="3"/>
    </row>
    <row r="808" ht="21.75" customHeight="1">
      <c r="A808" s="2"/>
      <c r="B808" s="2"/>
      <c r="C808" s="3"/>
      <c r="D808" s="2"/>
      <c r="E808" s="4"/>
      <c r="F808" s="5"/>
      <c r="G808" s="6"/>
      <c r="H808" s="2"/>
      <c r="I808" s="7"/>
      <c r="J808" s="8"/>
      <c r="K808" s="3"/>
      <c r="L808" s="3"/>
    </row>
    <row r="809" ht="21.75" customHeight="1">
      <c r="A809" s="2"/>
      <c r="B809" s="2"/>
      <c r="C809" s="3"/>
      <c r="D809" s="2"/>
      <c r="E809" s="4"/>
      <c r="F809" s="5"/>
      <c r="G809" s="6"/>
      <c r="H809" s="2"/>
      <c r="I809" s="7"/>
      <c r="J809" s="8"/>
      <c r="K809" s="3"/>
      <c r="L809" s="3"/>
    </row>
    <row r="810" ht="21.75" customHeight="1">
      <c r="A810" s="2"/>
      <c r="B810" s="2"/>
      <c r="C810" s="3"/>
      <c r="D810" s="2"/>
      <c r="E810" s="4"/>
      <c r="F810" s="5"/>
      <c r="G810" s="6"/>
      <c r="H810" s="2"/>
      <c r="I810" s="7"/>
      <c r="J810" s="8"/>
      <c r="K810" s="3"/>
      <c r="L810" s="3"/>
    </row>
    <row r="811" ht="21.75" customHeight="1">
      <c r="A811" s="2"/>
      <c r="B811" s="2"/>
      <c r="C811" s="3"/>
      <c r="D811" s="2"/>
      <c r="E811" s="4"/>
      <c r="F811" s="5"/>
      <c r="G811" s="6"/>
      <c r="H811" s="2"/>
      <c r="I811" s="7"/>
      <c r="J811" s="8"/>
      <c r="K811" s="3"/>
      <c r="L811" s="3"/>
    </row>
    <row r="812" ht="21.75" customHeight="1">
      <c r="A812" s="2"/>
      <c r="B812" s="2"/>
      <c r="C812" s="3"/>
      <c r="D812" s="2"/>
      <c r="E812" s="4"/>
      <c r="F812" s="5"/>
      <c r="G812" s="6"/>
      <c r="H812" s="2"/>
      <c r="I812" s="7"/>
      <c r="J812" s="8"/>
      <c r="K812" s="3"/>
      <c r="L812" s="3"/>
    </row>
    <row r="813" ht="21.75" customHeight="1">
      <c r="A813" s="2"/>
      <c r="B813" s="2"/>
      <c r="C813" s="3"/>
      <c r="D813" s="2"/>
      <c r="E813" s="4"/>
      <c r="F813" s="5"/>
      <c r="G813" s="6"/>
      <c r="H813" s="2"/>
      <c r="I813" s="7"/>
      <c r="J813" s="8"/>
      <c r="K813" s="3"/>
      <c r="L813" s="3"/>
    </row>
    <row r="814" ht="21.75" customHeight="1">
      <c r="A814" s="2"/>
      <c r="B814" s="2"/>
      <c r="C814" s="3"/>
      <c r="D814" s="2"/>
      <c r="E814" s="4"/>
      <c r="F814" s="5"/>
      <c r="G814" s="6"/>
      <c r="H814" s="2"/>
      <c r="I814" s="7"/>
      <c r="J814" s="8"/>
      <c r="K814" s="3"/>
      <c r="L814" s="3"/>
    </row>
    <row r="815" ht="21.75" customHeight="1">
      <c r="A815" s="2"/>
      <c r="B815" s="2"/>
      <c r="C815" s="3"/>
      <c r="D815" s="2"/>
      <c r="E815" s="4"/>
      <c r="F815" s="5"/>
      <c r="G815" s="6"/>
      <c r="H815" s="2"/>
      <c r="I815" s="7"/>
      <c r="J815" s="8"/>
      <c r="K815" s="3"/>
      <c r="L815" s="3"/>
    </row>
    <row r="816" ht="21.75" customHeight="1">
      <c r="A816" s="2"/>
      <c r="B816" s="2"/>
      <c r="C816" s="3"/>
      <c r="D816" s="2"/>
      <c r="E816" s="4"/>
      <c r="F816" s="5"/>
      <c r="G816" s="6"/>
      <c r="H816" s="2"/>
      <c r="I816" s="7"/>
      <c r="J816" s="8"/>
      <c r="K816" s="3"/>
      <c r="L816" s="3"/>
    </row>
    <row r="817" ht="21.75" customHeight="1">
      <c r="A817" s="2"/>
      <c r="B817" s="2"/>
      <c r="C817" s="3"/>
      <c r="D817" s="2"/>
      <c r="E817" s="4"/>
      <c r="F817" s="5"/>
      <c r="G817" s="6"/>
      <c r="H817" s="2"/>
      <c r="I817" s="7"/>
      <c r="J817" s="8"/>
      <c r="K817" s="3"/>
      <c r="L817" s="3"/>
    </row>
    <row r="818" ht="21.75" customHeight="1">
      <c r="A818" s="2"/>
      <c r="B818" s="2"/>
      <c r="C818" s="3"/>
      <c r="D818" s="2"/>
      <c r="E818" s="4"/>
      <c r="F818" s="5"/>
      <c r="G818" s="6"/>
      <c r="H818" s="2"/>
      <c r="I818" s="7"/>
      <c r="J818" s="8"/>
      <c r="K818" s="3"/>
      <c r="L818" s="3"/>
    </row>
    <row r="819" ht="21.75" customHeight="1">
      <c r="A819" s="2"/>
      <c r="B819" s="2"/>
      <c r="C819" s="3"/>
      <c r="D819" s="2"/>
      <c r="E819" s="4"/>
      <c r="F819" s="5"/>
      <c r="G819" s="6"/>
      <c r="H819" s="2"/>
      <c r="I819" s="7"/>
      <c r="J819" s="8"/>
      <c r="K819" s="3"/>
      <c r="L819" s="3"/>
    </row>
    <row r="820" ht="21.75" customHeight="1">
      <c r="A820" s="2"/>
      <c r="B820" s="2"/>
      <c r="C820" s="3"/>
      <c r="D820" s="2"/>
      <c r="E820" s="4"/>
      <c r="F820" s="5"/>
      <c r="G820" s="6"/>
      <c r="H820" s="2"/>
      <c r="I820" s="7"/>
      <c r="J820" s="8"/>
      <c r="K820" s="3"/>
      <c r="L820" s="3"/>
    </row>
    <row r="821" ht="21.75" customHeight="1">
      <c r="A821" s="2"/>
      <c r="B821" s="2"/>
      <c r="C821" s="3"/>
      <c r="D821" s="2"/>
      <c r="E821" s="4"/>
      <c r="F821" s="5"/>
      <c r="G821" s="6"/>
      <c r="H821" s="2"/>
      <c r="I821" s="7"/>
      <c r="J821" s="8"/>
      <c r="K821" s="3"/>
      <c r="L821" s="3"/>
    </row>
    <row r="822" ht="21.75" customHeight="1">
      <c r="A822" s="2"/>
      <c r="B822" s="2"/>
      <c r="C822" s="3"/>
      <c r="D822" s="2"/>
      <c r="E822" s="4"/>
      <c r="F822" s="5"/>
      <c r="G822" s="6"/>
      <c r="H822" s="2"/>
      <c r="I822" s="7"/>
      <c r="J822" s="8"/>
      <c r="K822" s="3"/>
      <c r="L822" s="3"/>
    </row>
    <row r="823" ht="21.75" customHeight="1">
      <c r="A823" s="2"/>
      <c r="B823" s="2"/>
      <c r="C823" s="3"/>
      <c r="D823" s="2"/>
      <c r="E823" s="4"/>
      <c r="F823" s="5"/>
      <c r="G823" s="6"/>
      <c r="H823" s="2"/>
      <c r="I823" s="7"/>
      <c r="J823" s="8"/>
      <c r="K823" s="3"/>
      <c r="L823" s="3"/>
    </row>
    <row r="824" ht="21.75" customHeight="1">
      <c r="A824" s="2"/>
      <c r="B824" s="2"/>
      <c r="C824" s="3"/>
      <c r="D824" s="2"/>
      <c r="E824" s="4"/>
      <c r="F824" s="5"/>
      <c r="G824" s="6"/>
      <c r="H824" s="2"/>
      <c r="I824" s="7"/>
      <c r="J824" s="8"/>
      <c r="K824" s="3"/>
      <c r="L824" s="3"/>
    </row>
    <row r="825" ht="21.75" customHeight="1">
      <c r="A825" s="2"/>
      <c r="B825" s="2"/>
      <c r="C825" s="3"/>
      <c r="D825" s="2"/>
      <c r="E825" s="4"/>
      <c r="F825" s="5"/>
      <c r="G825" s="6"/>
      <c r="H825" s="2"/>
      <c r="I825" s="7"/>
      <c r="J825" s="8"/>
      <c r="K825" s="3"/>
      <c r="L825" s="3"/>
    </row>
    <row r="826" ht="21.75" customHeight="1">
      <c r="A826" s="2"/>
      <c r="B826" s="2"/>
      <c r="C826" s="3"/>
      <c r="D826" s="2"/>
      <c r="E826" s="4"/>
      <c r="F826" s="5"/>
      <c r="G826" s="6"/>
      <c r="H826" s="2"/>
      <c r="I826" s="7"/>
      <c r="J826" s="8"/>
      <c r="K826" s="3"/>
      <c r="L826" s="3"/>
    </row>
    <row r="827" ht="21.75" customHeight="1">
      <c r="A827" s="2"/>
      <c r="B827" s="2"/>
      <c r="C827" s="3"/>
      <c r="D827" s="2"/>
      <c r="E827" s="4"/>
      <c r="F827" s="5"/>
      <c r="G827" s="6"/>
      <c r="H827" s="2"/>
      <c r="I827" s="7"/>
      <c r="J827" s="8"/>
      <c r="K827" s="3"/>
      <c r="L827" s="3"/>
    </row>
    <row r="828" ht="21.75" customHeight="1">
      <c r="A828" s="2"/>
      <c r="B828" s="2"/>
      <c r="C828" s="3"/>
      <c r="D828" s="2"/>
      <c r="E828" s="4"/>
      <c r="F828" s="5"/>
      <c r="G828" s="6"/>
      <c r="H828" s="2"/>
      <c r="I828" s="7"/>
      <c r="J828" s="8"/>
      <c r="K828" s="3"/>
      <c r="L828" s="3"/>
    </row>
    <row r="829" ht="21.75" customHeight="1">
      <c r="A829" s="2"/>
      <c r="B829" s="2"/>
      <c r="C829" s="3"/>
      <c r="D829" s="2"/>
      <c r="E829" s="4"/>
      <c r="F829" s="5"/>
      <c r="G829" s="6"/>
      <c r="H829" s="2"/>
      <c r="I829" s="7"/>
      <c r="J829" s="8"/>
      <c r="K829" s="3"/>
      <c r="L829" s="3"/>
    </row>
    <row r="830" ht="21.75" customHeight="1">
      <c r="A830" s="2"/>
      <c r="B830" s="2"/>
      <c r="C830" s="3"/>
      <c r="D830" s="2"/>
      <c r="E830" s="4"/>
      <c r="F830" s="5"/>
      <c r="G830" s="6"/>
      <c r="H830" s="2"/>
      <c r="I830" s="7"/>
      <c r="J830" s="8"/>
      <c r="K830" s="3"/>
      <c r="L830" s="3"/>
    </row>
    <row r="831" ht="21.75" customHeight="1">
      <c r="A831" s="2"/>
      <c r="B831" s="2"/>
      <c r="C831" s="3"/>
      <c r="D831" s="2"/>
      <c r="E831" s="4"/>
      <c r="F831" s="5"/>
      <c r="G831" s="6"/>
      <c r="H831" s="2"/>
      <c r="I831" s="7"/>
      <c r="J831" s="8"/>
      <c r="K831" s="3"/>
      <c r="L831" s="3"/>
    </row>
    <row r="832" ht="21.75" customHeight="1">
      <c r="A832" s="2"/>
      <c r="B832" s="2"/>
      <c r="C832" s="3"/>
      <c r="D832" s="2"/>
      <c r="E832" s="4"/>
      <c r="F832" s="5"/>
      <c r="G832" s="6"/>
      <c r="H832" s="2"/>
      <c r="I832" s="7"/>
      <c r="J832" s="8"/>
      <c r="K832" s="3"/>
      <c r="L832" s="3"/>
    </row>
    <row r="833" ht="21.75" customHeight="1">
      <c r="A833" s="2"/>
      <c r="B833" s="2"/>
      <c r="C833" s="3"/>
      <c r="D833" s="2"/>
      <c r="E833" s="4"/>
      <c r="F833" s="5"/>
      <c r="G833" s="6"/>
      <c r="H833" s="2"/>
      <c r="I833" s="7"/>
      <c r="J833" s="8"/>
      <c r="K833" s="3"/>
      <c r="L833" s="3"/>
    </row>
    <row r="834" ht="21.75" customHeight="1">
      <c r="A834" s="2"/>
      <c r="B834" s="2"/>
      <c r="C834" s="3"/>
      <c r="D834" s="2"/>
      <c r="E834" s="4"/>
      <c r="F834" s="5"/>
      <c r="G834" s="6"/>
      <c r="H834" s="2"/>
      <c r="I834" s="7"/>
      <c r="J834" s="8"/>
      <c r="K834" s="3"/>
      <c r="L834" s="3"/>
    </row>
    <row r="835" ht="21.75" customHeight="1">
      <c r="A835" s="2"/>
      <c r="B835" s="2"/>
      <c r="C835" s="3"/>
      <c r="D835" s="2"/>
      <c r="E835" s="4"/>
      <c r="F835" s="5"/>
      <c r="G835" s="6"/>
      <c r="H835" s="2"/>
      <c r="I835" s="7"/>
      <c r="J835" s="8"/>
      <c r="K835" s="3"/>
      <c r="L835" s="3"/>
    </row>
    <row r="836" ht="21.75" customHeight="1">
      <c r="A836" s="2"/>
      <c r="B836" s="2"/>
      <c r="C836" s="3"/>
      <c r="D836" s="2"/>
      <c r="E836" s="4"/>
      <c r="F836" s="5"/>
      <c r="G836" s="6"/>
      <c r="H836" s="2"/>
      <c r="I836" s="7"/>
      <c r="J836" s="8"/>
      <c r="K836" s="3"/>
      <c r="L836" s="3"/>
    </row>
    <row r="837" ht="21.75" customHeight="1">
      <c r="A837" s="2"/>
      <c r="B837" s="2"/>
      <c r="C837" s="3"/>
      <c r="D837" s="2"/>
      <c r="E837" s="4"/>
      <c r="F837" s="5"/>
      <c r="G837" s="6"/>
      <c r="H837" s="2"/>
      <c r="I837" s="7"/>
      <c r="J837" s="8"/>
      <c r="K837" s="3"/>
      <c r="L837" s="3"/>
    </row>
    <row r="838" ht="21.75" customHeight="1">
      <c r="A838" s="2"/>
      <c r="B838" s="2"/>
      <c r="C838" s="3"/>
      <c r="D838" s="2"/>
      <c r="E838" s="4"/>
      <c r="F838" s="5"/>
      <c r="G838" s="6"/>
      <c r="H838" s="2"/>
      <c r="I838" s="7"/>
      <c r="J838" s="8"/>
      <c r="K838" s="3"/>
      <c r="L838" s="3"/>
    </row>
    <row r="839" ht="21.75" customHeight="1">
      <c r="A839" s="2"/>
      <c r="B839" s="2"/>
      <c r="C839" s="3"/>
      <c r="D839" s="2"/>
      <c r="E839" s="4"/>
      <c r="F839" s="5"/>
      <c r="G839" s="6"/>
      <c r="H839" s="2"/>
      <c r="I839" s="7"/>
      <c r="J839" s="8"/>
      <c r="K839" s="3"/>
      <c r="L839" s="3"/>
    </row>
    <row r="840" ht="21.75" customHeight="1">
      <c r="A840" s="2"/>
      <c r="B840" s="2"/>
      <c r="C840" s="3"/>
      <c r="D840" s="2"/>
      <c r="E840" s="4"/>
      <c r="F840" s="5"/>
      <c r="G840" s="6"/>
      <c r="H840" s="2"/>
      <c r="I840" s="7"/>
      <c r="J840" s="8"/>
      <c r="K840" s="3"/>
      <c r="L840" s="3"/>
    </row>
    <row r="841" ht="21.75" customHeight="1">
      <c r="A841" s="2"/>
      <c r="B841" s="2"/>
      <c r="C841" s="3"/>
      <c r="D841" s="2"/>
      <c r="E841" s="4"/>
      <c r="F841" s="5"/>
      <c r="G841" s="6"/>
      <c r="H841" s="2"/>
      <c r="I841" s="7"/>
      <c r="J841" s="8"/>
      <c r="K841" s="3"/>
      <c r="L841" s="3"/>
    </row>
    <row r="842" ht="21.75" customHeight="1">
      <c r="A842" s="2"/>
      <c r="B842" s="2"/>
      <c r="C842" s="3"/>
      <c r="D842" s="2"/>
      <c r="E842" s="4"/>
      <c r="F842" s="5"/>
      <c r="G842" s="6"/>
      <c r="H842" s="2"/>
      <c r="I842" s="7"/>
      <c r="J842" s="8"/>
      <c r="K842" s="3"/>
      <c r="L842" s="3"/>
    </row>
    <row r="843" ht="21.75" customHeight="1">
      <c r="A843" s="2"/>
      <c r="B843" s="2"/>
      <c r="C843" s="3"/>
      <c r="D843" s="2"/>
      <c r="E843" s="4"/>
      <c r="F843" s="5"/>
      <c r="G843" s="6"/>
      <c r="H843" s="2"/>
      <c r="I843" s="7"/>
      <c r="J843" s="8"/>
      <c r="K843" s="3"/>
      <c r="L843" s="3"/>
    </row>
    <row r="844" ht="21.75" customHeight="1">
      <c r="A844" s="2"/>
      <c r="B844" s="2"/>
      <c r="C844" s="3"/>
      <c r="D844" s="2"/>
      <c r="E844" s="4"/>
      <c r="F844" s="5"/>
      <c r="G844" s="6"/>
      <c r="H844" s="2"/>
      <c r="I844" s="7"/>
      <c r="J844" s="8"/>
      <c r="K844" s="3"/>
      <c r="L844" s="3"/>
    </row>
    <row r="845" ht="21.75" customHeight="1">
      <c r="A845" s="2"/>
      <c r="B845" s="2"/>
      <c r="C845" s="3"/>
      <c r="D845" s="2"/>
      <c r="E845" s="4"/>
      <c r="F845" s="5"/>
      <c r="G845" s="6"/>
      <c r="H845" s="2"/>
      <c r="I845" s="7"/>
      <c r="J845" s="8"/>
      <c r="K845" s="3"/>
      <c r="L845" s="3"/>
    </row>
    <row r="846" ht="21.75" customHeight="1">
      <c r="A846" s="2"/>
      <c r="B846" s="2"/>
      <c r="C846" s="3"/>
      <c r="D846" s="2"/>
      <c r="E846" s="4"/>
      <c r="F846" s="5"/>
      <c r="G846" s="6"/>
      <c r="H846" s="2"/>
      <c r="I846" s="7"/>
      <c r="J846" s="8"/>
      <c r="K846" s="3"/>
      <c r="L846" s="3"/>
    </row>
    <row r="847" ht="21.75" customHeight="1">
      <c r="A847" s="2"/>
      <c r="B847" s="2"/>
      <c r="C847" s="3"/>
      <c r="D847" s="2"/>
      <c r="E847" s="4"/>
      <c r="F847" s="5"/>
      <c r="G847" s="6"/>
      <c r="H847" s="2"/>
      <c r="I847" s="7"/>
      <c r="J847" s="8"/>
      <c r="K847" s="3"/>
      <c r="L847" s="3"/>
    </row>
    <row r="848" ht="21.75" customHeight="1">
      <c r="A848" s="2"/>
      <c r="B848" s="2"/>
      <c r="C848" s="3"/>
      <c r="D848" s="2"/>
      <c r="E848" s="4"/>
      <c r="F848" s="5"/>
      <c r="G848" s="6"/>
      <c r="H848" s="2"/>
      <c r="I848" s="7"/>
      <c r="J848" s="8"/>
      <c r="K848" s="3"/>
      <c r="L848" s="3"/>
    </row>
    <row r="849" ht="21.75" customHeight="1">
      <c r="A849" s="2"/>
      <c r="B849" s="2"/>
      <c r="C849" s="3"/>
      <c r="D849" s="2"/>
      <c r="E849" s="4"/>
      <c r="F849" s="5"/>
      <c r="G849" s="6"/>
      <c r="H849" s="2"/>
      <c r="I849" s="7"/>
      <c r="J849" s="8"/>
      <c r="K849" s="3"/>
      <c r="L849" s="3"/>
    </row>
    <row r="850" ht="21.75" customHeight="1">
      <c r="A850" s="2"/>
      <c r="B850" s="2"/>
      <c r="C850" s="3"/>
      <c r="D850" s="2"/>
      <c r="E850" s="4"/>
      <c r="F850" s="5"/>
      <c r="G850" s="6"/>
      <c r="H850" s="2"/>
      <c r="I850" s="7"/>
      <c r="J850" s="8"/>
      <c r="K850" s="3"/>
      <c r="L850" s="3"/>
    </row>
    <row r="851" ht="21.75" customHeight="1">
      <c r="A851" s="2"/>
      <c r="B851" s="2"/>
      <c r="C851" s="3"/>
      <c r="D851" s="2"/>
      <c r="E851" s="4"/>
      <c r="F851" s="5"/>
      <c r="G851" s="6"/>
      <c r="H851" s="2"/>
      <c r="I851" s="7"/>
      <c r="J851" s="8"/>
      <c r="K851" s="3"/>
      <c r="L851" s="3"/>
    </row>
    <row r="852" ht="21.75" customHeight="1">
      <c r="A852" s="2"/>
      <c r="B852" s="2"/>
      <c r="C852" s="3"/>
      <c r="D852" s="2"/>
      <c r="E852" s="4"/>
      <c r="F852" s="5"/>
      <c r="G852" s="6"/>
      <c r="H852" s="2"/>
      <c r="I852" s="7"/>
      <c r="J852" s="8"/>
      <c r="K852" s="3"/>
      <c r="L852" s="3"/>
    </row>
    <row r="853" ht="21.75" customHeight="1">
      <c r="A853" s="2"/>
      <c r="B853" s="2"/>
      <c r="C853" s="3"/>
      <c r="D853" s="2"/>
      <c r="E853" s="4"/>
      <c r="F853" s="5"/>
      <c r="G853" s="6"/>
      <c r="H853" s="2"/>
      <c r="I853" s="7"/>
      <c r="J853" s="8"/>
      <c r="K853" s="3"/>
      <c r="L853" s="3"/>
    </row>
    <row r="854" ht="21.75" customHeight="1">
      <c r="A854" s="2"/>
      <c r="B854" s="2"/>
      <c r="C854" s="3"/>
      <c r="D854" s="2"/>
      <c r="E854" s="4"/>
      <c r="F854" s="5"/>
      <c r="G854" s="6"/>
      <c r="H854" s="2"/>
      <c r="I854" s="7"/>
      <c r="J854" s="8"/>
      <c r="K854" s="3"/>
      <c r="L854" s="3"/>
    </row>
    <row r="855" ht="21.75" customHeight="1">
      <c r="A855" s="2"/>
      <c r="B855" s="2"/>
      <c r="C855" s="3"/>
      <c r="D855" s="2"/>
      <c r="E855" s="4"/>
      <c r="F855" s="5"/>
      <c r="G855" s="6"/>
      <c r="H855" s="2"/>
      <c r="I855" s="7"/>
      <c r="J855" s="8"/>
      <c r="K855" s="3"/>
      <c r="L855" s="3"/>
    </row>
    <row r="856" ht="21.75" customHeight="1">
      <c r="A856" s="2"/>
      <c r="B856" s="2"/>
      <c r="C856" s="3"/>
      <c r="D856" s="2"/>
      <c r="E856" s="4"/>
      <c r="F856" s="5"/>
      <c r="G856" s="6"/>
      <c r="H856" s="2"/>
      <c r="I856" s="7"/>
      <c r="J856" s="8"/>
      <c r="K856" s="3"/>
      <c r="L856" s="3"/>
    </row>
    <row r="857" ht="21.75" customHeight="1">
      <c r="A857" s="2"/>
      <c r="B857" s="2"/>
      <c r="C857" s="3"/>
      <c r="D857" s="2"/>
      <c r="E857" s="4"/>
      <c r="F857" s="5"/>
      <c r="G857" s="6"/>
      <c r="H857" s="2"/>
      <c r="I857" s="7"/>
      <c r="J857" s="8"/>
      <c r="K857" s="3"/>
      <c r="L857" s="3"/>
    </row>
    <row r="858" ht="21.75" customHeight="1">
      <c r="A858" s="2"/>
      <c r="B858" s="2"/>
      <c r="C858" s="3"/>
      <c r="D858" s="2"/>
      <c r="E858" s="4"/>
      <c r="F858" s="5"/>
      <c r="G858" s="6"/>
      <c r="H858" s="2"/>
      <c r="I858" s="7"/>
      <c r="J858" s="8"/>
      <c r="K858" s="3"/>
      <c r="L858" s="3"/>
    </row>
    <row r="859" ht="21.75" customHeight="1">
      <c r="A859" s="2"/>
      <c r="B859" s="2"/>
      <c r="C859" s="3"/>
      <c r="D859" s="2"/>
      <c r="E859" s="4"/>
      <c r="F859" s="5"/>
      <c r="G859" s="6"/>
      <c r="H859" s="2"/>
      <c r="I859" s="7"/>
      <c r="J859" s="8"/>
      <c r="K859" s="3"/>
      <c r="L859" s="3"/>
    </row>
    <row r="860" ht="21.75" customHeight="1">
      <c r="A860" s="2"/>
      <c r="B860" s="2"/>
      <c r="C860" s="3"/>
      <c r="D860" s="2"/>
      <c r="E860" s="4"/>
      <c r="F860" s="5"/>
      <c r="G860" s="6"/>
      <c r="H860" s="2"/>
      <c r="I860" s="7"/>
      <c r="J860" s="8"/>
      <c r="K860" s="3"/>
      <c r="L860" s="3"/>
    </row>
    <row r="861" ht="21.75" customHeight="1">
      <c r="A861" s="2"/>
      <c r="B861" s="2"/>
      <c r="C861" s="3"/>
      <c r="D861" s="2"/>
      <c r="E861" s="4"/>
      <c r="F861" s="5"/>
      <c r="G861" s="6"/>
      <c r="H861" s="2"/>
      <c r="I861" s="7"/>
      <c r="J861" s="8"/>
      <c r="K861" s="3"/>
      <c r="L861" s="3"/>
    </row>
    <row r="862" ht="21.75" customHeight="1">
      <c r="A862" s="2"/>
      <c r="B862" s="2"/>
      <c r="C862" s="3"/>
      <c r="D862" s="2"/>
      <c r="E862" s="4"/>
      <c r="F862" s="5"/>
      <c r="G862" s="6"/>
      <c r="H862" s="2"/>
      <c r="I862" s="7"/>
      <c r="J862" s="8"/>
      <c r="K862" s="3"/>
      <c r="L862" s="3"/>
    </row>
    <row r="863" ht="21.75" customHeight="1">
      <c r="A863" s="2"/>
      <c r="B863" s="2"/>
      <c r="C863" s="3"/>
      <c r="D863" s="2"/>
      <c r="E863" s="4"/>
      <c r="F863" s="5"/>
      <c r="G863" s="6"/>
      <c r="H863" s="2"/>
      <c r="I863" s="7"/>
      <c r="J863" s="8"/>
      <c r="K863" s="3"/>
      <c r="L863" s="3"/>
    </row>
    <row r="864" ht="21.75" customHeight="1">
      <c r="A864" s="2"/>
      <c r="B864" s="2"/>
      <c r="C864" s="3"/>
      <c r="D864" s="2"/>
      <c r="E864" s="4"/>
      <c r="F864" s="5"/>
      <c r="G864" s="6"/>
      <c r="H864" s="2"/>
      <c r="I864" s="7"/>
      <c r="J864" s="8"/>
      <c r="K864" s="3"/>
      <c r="L864" s="3"/>
    </row>
    <row r="865" ht="21.75" customHeight="1">
      <c r="A865" s="2"/>
      <c r="B865" s="2"/>
      <c r="C865" s="3"/>
      <c r="D865" s="2"/>
      <c r="E865" s="4"/>
      <c r="F865" s="5"/>
      <c r="G865" s="6"/>
      <c r="H865" s="2"/>
      <c r="I865" s="7"/>
      <c r="J865" s="8"/>
      <c r="K865" s="3"/>
      <c r="L865" s="3"/>
    </row>
    <row r="866" ht="21.75" customHeight="1">
      <c r="A866" s="2"/>
      <c r="B866" s="2"/>
      <c r="C866" s="3"/>
      <c r="D866" s="2"/>
      <c r="E866" s="4"/>
      <c r="F866" s="5"/>
      <c r="G866" s="6"/>
      <c r="H866" s="2"/>
      <c r="I866" s="7"/>
      <c r="J866" s="8"/>
      <c r="K866" s="3"/>
      <c r="L866" s="3"/>
    </row>
    <row r="867" ht="21.75" customHeight="1">
      <c r="A867" s="2"/>
      <c r="B867" s="2"/>
      <c r="C867" s="3"/>
      <c r="D867" s="2"/>
      <c r="E867" s="4"/>
      <c r="F867" s="5"/>
      <c r="G867" s="6"/>
      <c r="H867" s="2"/>
      <c r="I867" s="7"/>
      <c r="J867" s="8"/>
      <c r="K867" s="3"/>
      <c r="L867" s="3"/>
    </row>
    <row r="868" ht="21.75" customHeight="1">
      <c r="A868" s="2"/>
      <c r="B868" s="2"/>
      <c r="C868" s="3"/>
      <c r="D868" s="2"/>
      <c r="E868" s="4"/>
      <c r="F868" s="5"/>
      <c r="G868" s="6"/>
      <c r="H868" s="2"/>
      <c r="I868" s="7"/>
      <c r="J868" s="8"/>
      <c r="K868" s="3"/>
      <c r="L868" s="3"/>
    </row>
    <row r="869" ht="21.75" customHeight="1">
      <c r="A869" s="2"/>
      <c r="B869" s="2"/>
      <c r="C869" s="3"/>
      <c r="D869" s="2"/>
      <c r="E869" s="4"/>
      <c r="F869" s="5"/>
      <c r="G869" s="6"/>
      <c r="H869" s="2"/>
      <c r="I869" s="7"/>
      <c r="J869" s="8"/>
      <c r="K869" s="3"/>
      <c r="L869" s="3"/>
    </row>
    <row r="870" ht="21.75" customHeight="1">
      <c r="A870" s="2"/>
      <c r="B870" s="2"/>
      <c r="C870" s="3"/>
      <c r="D870" s="2"/>
      <c r="E870" s="4"/>
      <c r="F870" s="5"/>
      <c r="G870" s="6"/>
      <c r="H870" s="2"/>
      <c r="I870" s="7"/>
      <c r="J870" s="8"/>
      <c r="K870" s="3"/>
      <c r="L870" s="3"/>
    </row>
    <row r="871" ht="21.75" customHeight="1">
      <c r="A871" s="2"/>
      <c r="B871" s="2"/>
      <c r="C871" s="3"/>
      <c r="D871" s="2"/>
      <c r="E871" s="4"/>
      <c r="F871" s="5"/>
      <c r="G871" s="6"/>
      <c r="H871" s="2"/>
      <c r="I871" s="7"/>
      <c r="J871" s="8"/>
      <c r="K871" s="3"/>
      <c r="L871" s="3"/>
    </row>
    <row r="872" ht="21.75" customHeight="1">
      <c r="A872" s="2"/>
      <c r="B872" s="2"/>
      <c r="C872" s="3"/>
      <c r="D872" s="2"/>
      <c r="E872" s="4"/>
      <c r="F872" s="5"/>
      <c r="G872" s="6"/>
      <c r="H872" s="2"/>
      <c r="I872" s="7"/>
      <c r="J872" s="8"/>
      <c r="K872" s="3"/>
      <c r="L872" s="3"/>
    </row>
    <row r="873" ht="21.75" customHeight="1">
      <c r="A873" s="2"/>
      <c r="B873" s="2"/>
      <c r="C873" s="3"/>
      <c r="D873" s="2"/>
      <c r="E873" s="4"/>
      <c r="F873" s="5"/>
      <c r="G873" s="6"/>
      <c r="H873" s="2"/>
      <c r="I873" s="7"/>
      <c r="J873" s="8"/>
      <c r="K873" s="3"/>
      <c r="L873" s="3"/>
    </row>
    <row r="874" ht="21.75" customHeight="1">
      <c r="A874" s="2"/>
      <c r="B874" s="2"/>
      <c r="C874" s="3"/>
      <c r="D874" s="2"/>
      <c r="E874" s="4"/>
      <c r="F874" s="5"/>
      <c r="G874" s="6"/>
      <c r="H874" s="2"/>
      <c r="I874" s="7"/>
      <c r="J874" s="8"/>
      <c r="K874" s="3"/>
      <c r="L874" s="3"/>
    </row>
    <row r="875" ht="21.75" customHeight="1">
      <c r="A875" s="2"/>
      <c r="B875" s="2"/>
      <c r="C875" s="3"/>
      <c r="D875" s="2"/>
      <c r="E875" s="4"/>
      <c r="F875" s="5"/>
      <c r="G875" s="6"/>
      <c r="H875" s="2"/>
      <c r="I875" s="7"/>
      <c r="J875" s="8"/>
      <c r="K875" s="3"/>
      <c r="L875" s="3"/>
    </row>
    <row r="876" ht="21.75" customHeight="1">
      <c r="A876" s="2"/>
      <c r="B876" s="2"/>
      <c r="C876" s="3"/>
      <c r="D876" s="2"/>
      <c r="E876" s="4"/>
      <c r="F876" s="5"/>
      <c r="G876" s="6"/>
      <c r="H876" s="2"/>
      <c r="I876" s="7"/>
      <c r="J876" s="8"/>
      <c r="K876" s="3"/>
      <c r="L876" s="3"/>
    </row>
    <row r="877" ht="21.75" customHeight="1">
      <c r="A877" s="2"/>
      <c r="B877" s="2"/>
      <c r="C877" s="3"/>
      <c r="D877" s="2"/>
      <c r="E877" s="4"/>
      <c r="F877" s="5"/>
      <c r="G877" s="6"/>
      <c r="H877" s="2"/>
      <c r="I877" s="7"/>
      <c r="J877" s="8"/>
      <c r="K877" s="3"/>
      <c r="L877" s="3"/>
    </row>
    <row r="878" ht="21.75" customHeight="1">
      <c r="A878" s="2"/>
      <c r="B878" s="2"/>
      <c r="C878" s="3"/>
      <c r="D878" s="2"/>
      <c r="E878" s="4"/>
      <c r="F878" s="5"/>
      <c r="G878" s="6"/>
      <c r="H878" s="2"/>
      <c r="I878" s="7"/>
      <c r="J878" s="8"/>
      <c r="K878" s="3"/>
      <c r="L878" s="3"/>
    </row>
    <row r="879" ht="21.75" customHeight="1">
      <c r="A879" s="2"/>
      <c r="B879" s="2"/>
      <c r="C879" s="3"/>
      <c r="D879" s="2"/>
      <c r="E879" s="4"/>
      <c r="F879" s="5"/>
      <c r="G879" s="6"/>
      <c r="H879" s="2"/>
      <c r="I879" s="7"/>
      <c r="J879" s="8"/>
      <c r="K879" s="3"/>
      <c r="L879" s="3"/>
    </row>
    <row r="880" ht="21.75" customHeight="1">
      <c r="A880" s="2"/>
      <c r="B880" s="2"/>
      <c r="C880" s="3"/>
      <c r="D880" s="2"/>
      <c r="E880" s="4"/>
      <c r="F880" s="5"/>
      <c r="G880" s="6"/>
      <c r="H880" s="2"/>
      <c r="I880" s="7"/>
      <c r="J880" s="8"/>
      <c r="K880" s="3"/>
      <c r="L880" s="3"/>
    </row>
    <row r="881" ht="21.75" customHeight="1">
      <c r="A881" s="2"/>
      <c r="B881" s="2"/>
      <c r="C881" s="3"/>
      <c r="D881" s="2"/>
      <c r="E881" s="4"/>
      <c r="F881" s="5"/>
      <c r="G881" s="6"/>
      <c r="H881" s="2"/>
      <c r="I881" s="7"/>
      <c r="J881" s="8"/>
      <c r="K881" s="3"/>
      <c r="L881" s="3"/>
    </row>
    <row r="882" ht="21.75" customHeight="1">
      <c r="A882" s="2"/>
      <c r="B882" s="2"/>
      <c r="C882" s="3"/>
      <c r="D882" s="2"/>
      <c r="E882" s="4"/>
      <c r="F882" s="5"/>
      <c r="G882" s="6"/>
      <c r="H882" s="2"/>
      <c r="I882" s="7"/>
      <c r="J882" s="8"/>
      <c r="K882" s="3"/>
      <c r="L882" s="3"/>
    </row>
    <row r="883" ht="21.75" customHeight="1">
      <c r="A883" s="2"/>
      <c r="B883" s="2"/>
      <c r="C883" s="3"/>
      <c r="D883" s="2"/>
      <c r="E883" s="4"/>
      <c r="F883" s="5"/>
      <c r="G883" s="6"/>
      <c r="H883" s="2"/>
      <c r="I883" s="7"/>
      <c r="J883" s="8"/>
      <c r="K883" s="3"/>
      <c r="L883" s="3"/>
    </row>
    <row r="884" ht="21.75" customHeight="1">
      <c r="A884" s="2"/>
      <c r="B884" s="2"/>
      <c r="C884" s="3"/>
      <c r="D884" s="2"/>
      <c r="E884" s="4"/>
      <c r="F884" s="5"/>
      <c r="G884" s="6"/>
      <c r="H884" s="2"/>
      <c r="I884" s="7"/>
      <c r="J884" s="8"/>
      <c r="K884" s="3"/>
      <c r="L884" s="3"/>
    </row>
    <row r="885" ht="21.75" customHeight="1">
      <c r="A885" s="2"/>
      <c r="B885" s="2"/>
      <c r="C885" s="3"/>
      <c r="D885" s="2"/>
      <c r="E885" s="4"/>
      <c r="F885" s="5"/>
      <c r="G885" s="6"/>
      <c r="H885" s="2"/>
      <c r="I885" s="7"/>
      <c r="J885" s="8"/>
      <c r="K885" s="3"/>
      <c r="L885" s="3"/>
    </row>
    <row r="886" ht="21.75" customHeight="1">
      <c r="A886" s="2"/>
      <c r="B886" s="2"/>
      <c r="C886" s="3"/>
      <c r="D886" s="2"/>
      <c r="E886" s="4"/>
      <c r="F886" s="5"/>
      <c r="G886" s="6"/>
      <c r="H886" s="2"/>
      <c r="I886" s="7"/>
      <c r="J886" s="8"/>
      <c r="K886" s="3"/>
      <c r="L886" s="3"/>
    </row>
    <row r="887" ht="21.75" customHeight="1">
      <c r="A887" s="2"/>
      <c r="B887" s="2"/>
      <c r="C887" s="3"/>
      <c r="D887" s="2"/>
      <c r="E887" s="4"/>
      <c r="F887" s="5"/>
      <c r="G887" s="6"/>
      <c r="H887" s="2"/>
      <c r="I887" s="7"/>
      <c r="J887" s="8"/>
      <c r="K887" s="3"/>
      <c r="L887" s="3"/>
    </row>
    <row r="888" ht="21.75" customHeight="1">
      <c r="A888" s="2"/>
      <c r="B888" s="2"/>
      <c r="C888" s="3"/>
      <c r="D888" s="2"/>
      <c r="E888" s="4"/>
      <c r="F888" s="5"/>
      <c r="G888" s="6"/>
      <c r="H888" s="2"/>
      <c r="I888" s="7"/>
      <c r="J888" s="8"/>
      <c r="K888" s="3"/>
      <c r="L888" s="3"/>
    </row>
    <row r="889" ht="21.75" customHeight="1">
      <c r="A889" s="2"/>
      <c r="B889" s="2"/>
      <c r="C889" s="3"/>
      <c r="D889" s="2"/>
      <c r="E889" s="4"/>
      <c r="F889" s="5"/>
      <c r="G889" s="6"/>
      <c r="H889" s="2"/>
      <c r="I889" s="7"/>
      <c r="J889" s="8"/>
      <c r="K889" s="3"/>
      <c r="L889" s="3"/>
    </row>
    <row r="890" ht="21.75" customHeight="1">
      <c r="A890" s="2"/>
      <c r="B890" s="2"/>
      <c r="C890" s="3"/>
      <c r="D890" s="2"/>
      <c r="E890" s="4"/>
      <c r="F890" s="5"/>
      <c r="G890" s="6"/>
      <c r="H890" s="2"/>
      <c r="I890" s="7"/>
      <c r="J890" s="8"/>
      <c r="K890" s="3"/>
      <c r="L890" s="3"/>
    </row>
    <row r="891" ht="21.75" customHeight="1">
      <c r="A891" s="2"/>
      <c r="B891" s="2"/>
      <c r="C891" s="3"/>
      <c r="D891" s="2"/>
      <c r="E891" s="4"/>
      <c r="F891" s="5"/>
      <c r="G891" s="6"/>
      <c r="H891" s="2"/>
      <c r="I891" s="7"/>
      <c r="J891" s="8"/>
      <c r="K891" s="3"/>
      <c r="L891" s="3"/>
    </row>
    <row r="892" ht="21.75" customHeight="1">
      <c r="A892" s="2"/>
      <c r="B892" s="2"/>
      <c r="C892" s="3"/>
      <c r="D892" s="2"/>
      <c r="E892" s="4"/>
      <c r="F892" s="5"/>
      <c r="G892" s="6"/>
      <c r="H892" s="2"/>
      <c r="I892" s="7"/>
      <c r="J892" s="8"/>
      <c r="K892" s="3"/>
      <c r="L892" s="3"/>
    </row>
    <row r="893" ht="21.75" customHeight="1">
      <c r="A893" s="2"/>
      <c r="B893" s="2"/>
      <c r="C893" s="3"/>
      <c r="D893" s="2"/>
      <c r="E893" s="4"/>
      <c r="F893" s="5"/>
      <c r="G893" s="6"/>
      <c r="H893" s="2"/>
      <c r="I893" s="7"/>
      <c r="J893" s="8"/>
      <c r="K893" s="3"/>
      <c r="L893" s="3"/>
    </row>
    <row r="894" ht="21.75" customHeight="1">
      <c r="A894" s="2"/>
      <c r="B894" s="2"/>
      <c r="C894" s="3"/>
      <c r="D894" s="2"/>
      <c r="E894" s="4"/>
      <c r="F894" s="5"/>
      <c r="G894" s="6"/>
      <c r="H894" s="2"/>
      <c r="I894" s="7"/>
      <c r="J894" s="8"/>
      <c r="K894" s="3"/>
      <c r="L894" s="3"/>
    </row>
    <row r="895" ht="21.75" customHeight="1">
      <c r="A895" s="2"/>
      <c r="B895" s="2"/>
      <c r="C895" s="3"/>
      <c r="D895" s="2"/>
      <c r="E895" s="4"/>
      <c r="F895" s="5"/>
      <c r="G895" s="6"/>
      <c r="H895" s="2"/>
      <c r="I895" s="7"/>
      <c r="J895" s="8"/>
      <c r="K895" s="3"/>
      <c r="L895" s="3"/>
    </row>
    <row r="896" ht="21.75" customHeight="1">
      <c r="A896" s="2"/>
      <c r="B896" s="2"/>
      <c r="C896" s="3"/>
      <c r="D896" s="2"/>
      <c r="E896" s="4"/>
      <c r="F896" s="5"/>
      <c r="G896" s="6"/>
      <c r="H896" s="2"/>
      <c r="I896" s="7"/>
      <c r="J896" s="8"/>
      <c r="K896" s="3"/>
      <c r="L896" s="3"/>
    </row>
    <row r="897" ht="21.75" customHeight="1">
      <c r="A897" s="2"/>
      <c r="B897" s="2"/>
      <c r="C897" s="3"/>
      <c r="D897" s="2"/>
      <c r="E897" s="4"/>
      <c r="F897" s="5"/>
      <c r="G897" s="6"/>
      <c r="H897" s="2"/>
      <c r="I897" s="7"/>
      <c r="J897" s="8"/>
      <c r="K897" s="3"/>
      <c r="L897" s="3"/>
    </row>
    <row r="898" ht="21.75" customHeight="1">
      <c r="A898" s="2"/>
      <c r="B898" s="2"/>
      <c r="C898" s="3"/>
      <c r="D898" s="2"/>
      <c r="E898" s="4"/>
      <c r="F898" s="5"/>
      <c r="G898" s="6"/>
      <c r="H898" s="2"/>
      <c r="I898" s="7"/>
      <c r="J898" s="8"/>
      <c r="K898" s="3"/>
      <c r="L898" s="3"/>
    </row>
    <row r="899" ht="21.75" customHeight="1">
      <c r="A899" s="2"/>
      <c r="B899" s="2"/>
      <c r="C899" s="3"/>
      <c r="D899" s="2"/>
      <c r="E899" s="4"/>
      <c r="F899" s="5"/>
      <c r="G899" s="6"/>
      <c r="H899" s="2"/>
      <c r="I899" s="7"/>
      <c r="J899" s="8"/>
      <c r="K899" s="3"/>
      <c r="L899" s="3"/>
    </row>
    <row r="900" ht="21.75" customHeight="1">
      <c r="A900" s="2"/>
      <c r="B900" s="2"/>
      <c r="C900" s="3"/>
      <c r="D900" s="2"/>
      <c r="E900" s="4"/>
      <c r="F900" s="5"/>
      <c r="G900" s="6"/>
      <c r="H900" s="2"/>
      <c r="I900" s="7"/>
      <c r="J900" s="8"/>
      <c r="K900" s="3"/>
      <c r="L900" s="3"/>
    </row>
    <row r="901" ht="21.75" customHeight="1">
      <c r="A901" s="2"/>
      <c r="B901" s="2"/>
      <c r="C901" s="3"/>
      <c r="D901" s="2"/>
      <c r="E901" s="4"/>
      <c r="F901" s="5"/>
      <c r="G901" s="6"/>
      <c r="H901" s="2"/>
      <c r="I901" s="7"/>
      <c r="J901" s="8"/>
      <c r="K901" s="3"/>
      <c r="L901" s="3"/>
    </row>
    <row r="902" ht="21.75" customHeight="1">
      <c r="A902" s="2"/>
      <c r="B902" s="2"/>
      <c r="C902" s="3"/>
      <c r="D902" s="2"/>
      <c r="E902" s="4"/>
      <c r="F902" s="5"/>
      <c r="G902" s="6"/>
      <c r="H902" s="2"/>
      <c r="I902" s="7"/>
      <c r="J902" s="8"/>
      <c r="K902" s="3"/>
      <c r="L902" s="3"/>
    </row>
    <row r="903" ht="21.75" customHeight="1">
      <c r="A903" s="2"/>
      <c r="B903" s="2"/>
      <c r="C903" s="3"/>
      <c r="D903" s="2"/>
      <c r="E903" s="4"/>
      <c r="F903" s="5"/>
      <c r="G903" s="6"/>
      <c r="H903" s="2"/>
      <c r="I903" s="7"/>
      <c r="J903" s="8"/>
      <c r="K903" s="3"/>
      <c r="L903" s="3"/>
    </row>
    <row r="904" ht="21.75" customHeight="1">
      <c r="A904" s="2"/>
      <c r="B904" s="2"/>
      <c r="C904" s="3"/>
      <c r="D904" s="2"/>
      <c r="E904" s="4"/>
      <c r="F904" s="5"/>
      <c r="G904" s="6"/>
      <c r="H904" s="2"/>
      <c r="I904" s="7"/>
      <c r="J904" s="8"/>
      <c r="K904" s="3"/>
      <c r="L904" s="3"/>
    </row>
    <row r="905" ht="21.75" customHeight="1">
      <c r="A905" s="2"/>
      <c r="B905" s="2"/>
      <c r="C905" s="3"/>
      <c r="D905" s="2"/>
      <c r="E905" s="4"/>
      <c r="F905" s="5"/>
      <c r="G905" s="6"/>
      <c r="H905" s="2"/>
      <c r="I905" s="7"/>
      <c r="J905" s="8"/>
      <c r="K905" s="3"/>
      <c r="L905" s="3"/>
    </row>
    <row r="906" ht="21.75" customHeight="1">
      <c r="A906" s="2"/>
      <c r="B906" s="2"/>
      <c r="C906" s="3"/>
      <c r="D906" s="2"/>
      <c r="E906" s="4"/>
      <c r="F906" s="5"/>
      <c r="G906" s="6"/>
      <c r="H906" s="2"/>
      <c r="I906" s="7"/>
      <c r="J906" s="8"/>
      <c r="K906" s="3"/>
      <c r="L906" s="3"/>
    </row>
    <row r="907" ht="21.75" customHeight="1">
      <c r="A907" s="2"/>
      <c r="B907" s="2"/>
      <c r="C907" s="3"/>
      <c r="D907" s="2"/>
      <c r="E907" s="4"/>
      <c r="F907" s="5"/>
      <c r="G907" s="6"/>
      <c r="H907" s="2"/>
      <c r="I907" s="7"/>
      <c r="J907" s="8"/>
      <c r="K907" s="3"/>
      <c r="L907" s="3"/>
    </row>
    <row r="908" ht="21.75" customHeight="1">
      <c r="A908" s="2"/>
      <c r="B908" s="2"/>
      <c r="C908" s="3"/>
      <c r="D908" s="2"/>
      <c r="E908" s="4"/>
      <c r="F908" s="5"/>
      <c r="G908" s="6"/>
      <c r="H908" s="2"/>
      <c r="I908" s="7"/>
      <c r="J908" s="8"/>
      <c r="K908" s="3"/>
      <c r="L908" s="3"/>
    </row>
    <row r="909" ht="21.75" customHeight="1">
      <c r="A909" s="2"/>
      <c r="B909" s="2"/>
      <c r="C909" s="3"/>
      <c r="D909" s="2"/>
      <c r="E909" s="4"/>
      <c r="F909" s="5"/>
      <c r="G909" s="6"/>
      <c r="H909" s="2"/>
      <c r="I909" s="7"/>
      <c r="J909" s="8"/>
      <c r="K909" s="3"/>
      <c r="L909" s="3"/>
    </row>
    <row r="910" ht="21.75" customHeight="1">
      <c r="A910" s="2"/>
      <c r="B910" s="2"/>
      <c r="C910" s="3"/>
      <c r="D910" s="2"/>
      <c r="E910" s="4"/>
      <c r="F910" s="5"/>
      <c r="G910" s="6"/>
      <c r="H910" s="2"/>
      <c r="I910" s="7"/>
      <c r="J910" s="8"/>
      <c r="K910" s="3"/>
      <c r="L910" s="3"/>
    </row>
    <row r="911" ht="21.75" customHeight="1">
      <c r="A911" s="2"/>
      <c r="B911" s="2"/>
      <c r="C911" s="3"/>
      <c r="D911" s="2"/>
      <c r="E911" s="4"/>
      <c r="F911" s="5"/>
      <c r="G911" s="6"/>
      <c r="H911" s="2"/>
      <c r="I911" s="7"/>
      <c r="J911" s="8"/>
      <c r="K911" s="3"/>
      <c r="L911" s="3"/>
    </row>
    <row r="912" ht="21.75" customHeight="1">
      <c r="A912" s="2"/>
      <c r="B912" s="2"/>
      <c r="C912" s="3"/>
      <c r="D912" s="2"/>
      <c r="E912" s="4"/>
      <c r="F912" s="5"/>
      <c r="G912" s="6"/>
      <c r="H912" s="2"/>
      <c r="I912" s="7"/>
      <c r="J912" s="8"/>
      <c r="K912" s="3"/>
      <c r="L912" s="3"/>
    </row>
    <row r="913" ht="21.75" customHeight="1">
      <c r="A913" s="2"/>
      <c r="B913" s="2"/>
      <c r="C913" s="3"/>
      <c r="D913" s="2"/>
      <c r="E913" s="4"/>
      <c r="F913" s="5"/>
      <c r="G913" s="6"/>
      <c r="H913" s="2"/>
      <c r="I913" s="7"/>
      <c r="J913" s="8"/>
      <c r="K913" s="3"/>
      <c r="L913" s="3"/>
    </row>
    <row r="914" ht="21.75" customHeight="1">
      <c r="A914" s="2"/>
      <c r="B914" s="2"/>
      <c r="C914" s="3"/>
      <c r="D914" s="2"/>
      <c r="E914" s="4"/>
      <c r="F914" s="5"/>
      <c r="G914" s="6"/>
      <c r="H914" s="2"/>
      <c r="I914" s="7"/>
      <c r="J914" s="8"/>
      <c r="K914" s="3"/>
      <c r="L914" s="3"/>
    </row>
    <row r="915" ht="21.75" customHeight="1">
      <c r="A915" s="2"/>
      <c r="B915" s="2"/>
      <c r="C915" s="3"/>
      <c r="D915" s="2"/>
      <c r="E915" s="4"/>
      <c r="F915" s="5"/>
      <c r="G915" s="6"/>
      <c r="H915" s="2"/>
      <c r="I915" s="7"/>
      <c r="J915" s="8"/>
      <c r="K915" s="3"/>
      <c r="L915" s="3"/>
    </row>
    <row r="916" ht="21.75" customHeight="1">
      <c r="A916" s="2"/>
      <c r="B916" s="2"/>
      <c r="C916" s="3"/>
      <c r="D916" s="2"/>
      <c r="E916" s="4"/>
      <c r="F916" s="5"/>
      <c r="G916" s="6"/>
      <c r="H916" s="2"/>
      <c r="I916" s="7"/>
      <c r="J916" s="8"/>
      <c r="K916" s="3"/>
      <c r="L916" s="3"/>
    </row>
    <row r="917" ht="21.75" customHeight="1">
      <c r="A917" s="2"/>
      <c r="B917" s="2"/>
      <c r="C917" s="3"/>
      <c r="D917" s="2"/>
      <c r="E917" s="4"/>
      <c r="F917" s="5"/>
      <c r="G917" s="6"/>
      <c r="H917" s="2"/>
      <c r="I917" s="7"/>
      <c r="J917" s="8"/>
      <c r="K917" s="3"/>
      <c r="L917" s="3"/>
    </row>
    <row r="918" ht="21.75" customHeight="1">
      <c r="A918" s="2"/>
      <c r="B918" s="2"/>
      <c r="C918" s="3"/>
      <c r="D918" s="2"/>
      <c r="E918" s="4"/>
      <c r="F918" s="5"/>
      <c r="G918" s="6"/>
      <c r="H918" s="2"/>
      <c r="I918" s="7"/>
      <c r="J918" s="8"/>
      <c r="K918" s="3"/>
      <c r="L918" s="3"/>
    </row>
    <row r="919" ht="21.75" customHeight="1">
      <c r="A919" s="2"/>
      <c r="B919" s="2"/>
      <c r="C919" s="3"/>
      <c r="D919" s="2"/>
      <c r="E919" s="4"/>
      <c r="F919" s="5"/>
      <c r="G919" s="6"/>
      <c r="H919" s="2"/>
      <c r="I919" s="7"/>
      <c r="J919" s="8"/>
      <c r="K919" s="3"/>
      <c r="L919" s="3"/>
    </row>
    <row r="920" ht="21.75" customHeight="1">
      <c r="A920" s="2"/>
      <c r="B920" s="2"/>
      <c r="C920" s="3"/>
      <c r="D920" s="2"/>
      <c r="E920" s="4"/>
      <c r="F920" s="5"/>
      <c r="G920" s="6"/>
      <c r="H920" s="2"/>
      <c r="I920" s="7"/>
      <c r="J920" s="8"/>
      <c r="K920" s="3"/>
      <c r="L920" s="3"/>
    </row>
    <row r="921" ht="21.75" customHeight="1">
      <c r="A921" s="2"/>
      <c r="B921" s="2"/>
      <c r="C921" s="3"/>
      <c r="D921" s="2"/>
      <c r="E921" s="4"/>
      <c r="F921" s="5"/>
      <c r="G921" s="6"/>
      <c r="H921" s="2"/>
      <c r="I921" s="7"/>
      <c r="J921" s="8"/>
      <c r="K921" s="3"/>
      <c r="L921" s="3"/>
    </row>
    <row r="922" ht="21.75" customHeight="1">
      <c r="A922" s="2"/>
      <c r="B922" s="2"/>
      <c r="C922" s="3"/>
      <c r="D922" s="2"/>
      <c r="E922" s="4"/>
      <c r="F922" s="5"/>
      <c r="G922" s="6"/>
      <c r="H922" s="2"/>
      <c r="I922" s="7"/>
      <c r="J922" s="8"/>
      <c r="K922" s="3"/>
      <c r="L922" s="3"/>
    </row>
    <row r="923" ht="21.75" customHeight="1">
      <c r="A923" s="2"/>
      <c r="B923" s="2"/>
      <c r="C923" s="3"/>
      <c r="D923" s="2"/>
      <c r="E923" s="4"/>
      <c r="F923" s="5"/>
      <c r="G923" s="6"/>
      <c r="H923" s="2"/>
      <c r="I923" s="7"/>
      <c r="J923" s="8"/>
      <c r="K923" s="3"/>
      <c r="L923" s="3"/>
    </row>
    <row r="924" ht="21.75" customHeight="1">
      <c r="A924" s="2"/>
      <c r="B924" s="2"/>
      <c r="C924" s="3"/>
      <c r="D924" s="2"/>
      <c r="E924" s="4"/>
      <c r="F924" s="5"/>
      <c r="G924" s="6"/>
      <c r="H924" s="2"/>
      <c r="I924" s="7"/>
      <c r="J924" s="8"/>
      <c r="K924" s="3"/>
      <c r="L924" s="3"/>
    </row>
    <row r="925" ht="21.75" customHeight="1">
      <c r="A925" s="2"/>
      <c r="B925" s="2"/>
      <c r="C925" s="3"/>
      <c r="D925" s="2"/>
      <c r="E925" s="4"/>
      <c r="F925" s="5"/>
      <c r="G925" s="6"/>
      <c r="H925" s="2"/>
      <c r="I925" s="7"/>
      <c r="J925" s="8"/>
      <c r="K925" s="3"/>
      <c r="L925" s="3"/>
    </row>
    <row r="926" ht="21.75" customHeight="1">
      <c r="A926" s="2"/>
      <c r="B926" s="2"/>
      <c r="C926" s="3"/>
      <c r="D926" s="2"/>
      <c r="E926" s="4"/>
      <c r="F926" s="5"/>
      <c r="G926" s="6"/>
      <c r="H926" s="2"/>
      <c r="I926" s="7"/>
      <c r="J926" s="8"/>
      <c r="K926" s="3"/>
      <c r="L926" s="3"/>
    </row>
    <row r="927" ht="21.75" customHeight="1">
      <c r="A927" s="2"/>
      <c r="B927" s="2"/>
      <c r="C927" s="3"/>
      <c r="D927" s="2"/>
      <c r="E927" s="4"/>
      <c r="F927" s="5"/>
      <c r="G927" s="6"/>
      <c r="H927" s="2"/>
      <c r="I927" s="7"/>
      <c r="J927" s="8"/>
      <c r="K927" s="3"/>
      <c r="L927" s="3"/>
    </row>
    <row r="928" ht="21.75" customHeight="1">
      <c r="A928" s="2"/>
      <c r="B928" s="2"/>
      <c r="C928" s="3"/>
      <c r="D928" s="2"/>
      <c r="E928" s="4"/>
      <c r="F928" s="5"/>
      <c r="G928" s="6"/>
      <c r="H928" s="2"/>
      <c r="I928" s="7"/>
      <c r="J928" s="8"/>
      <c r="K928" s="3"/>
      <c r="L928" s="3"/>
    </row>
    <row r="929" ht="21.75" customHeight="1">
      <c r="A929" s="2"/>
      <c r="B929" s="2"/>
      <c r="C929" s="3"/>
      <c r="D929" s="2"/>
      <c r="E929" s="4"/>
      <c r="F929" s="5"/>
      <c r="G929" s="6"/>
      <c r="H929" s="2"/>
      <c r="I929" s="7"/>
      <c r="J929" s="8"/>
      <c r="K929" s="3"/>
      <c r="L929" s="3"/>
    </row>
    <row r="930" ht="21.75" customHeight="1">
      <c r="A930" s="2"/>
      <c r="B930" s="2"/>
      <c r="C930" s="3"/>
      <c r="D930" s="2"/>
      <c r="E930" s="4"/>
      <c r="F930" s="5"/>
      <c r="G930" s="6"/>
      <c r="H930" s="2"/>
      <c r="I930" s="7"/>
      <c r="J930" s="8"/>
      <c r="K930" s="3"/>
      <c r="L930" s="3"/>
    </row>
    <row r="931" ht="21.75" customHeight="1">
      <c r="A931" s="2"/>
      <c r="B931" s="2"/>
      <c r="C931" s="3"/>
      <c r="D931" s="2"/>
      <c r="E931" s="4"/>
      <c r="F931" s="5"/>
      <c r="G931" s="6"/>
      <c r="H931" s="2"/>
      <c r="I931" s="7"/>
      <c r="J931" s="8"/>
      <c r="K931" s="3"/>
      <c r="L931" s="3"/>
    </row>
    <row r="932" ht="21.75" customHeight="1">
      <c r="A932" s="2"/>
      <c r="B932" s="2"/>
      <c r="C932" s="3"/>
      <c r="D932" s="2"/>
      <c r="E932" s="4"/>
      <c r="F932" s="5"/>
      <c r="G932" s="6"/>
      <c r="H932" s="2"/>
      <c r="I932" s="7"/>
      <c r="J932" s="8"/>
      <c r="K932" s="3"/>
      <c r="L932" s="3"/>
    </row>
    <row r="933" ht="21.75" customHeight="1">
      <c r="A933" s="2"/>
      <c r="B933" s="2"/>
      <c r="C933" s="3"/>
      <c r="D933" s="2"/>
      <c r="E933" s="4"/>
      <c r="F933" s="5"/>
      <c r="G933" s="6"/>
      <c r="H933" s="2"/>
      <c r="I933" s="7"/>
      <c r="J933" s="8"/>
      <c r="K933" s="3"/>
      <c r="L933" s="3"/>
    </row>
    <row r="934" ht="21.75" customHeight="1">
      <c r="A934" s="2"/>
      <c r="B934" s="2"/>
      <c r="C934" s="3"/>
      <c r="D934" s="2"/>
      <c r="E934" s="4"/>
      <c r="F934" s="5"/>
      <c r="G934" s="6"/>
      <c r="H934" s="2"/>
      <c r="I934" s="7"/>
      <c r="J934" s="8"/>
      <c r="K934" s="3"/>
      <c r="L934" s="3"/>
    </row>
    <row r="935" ht="21.75" customHeight="1">
      <c r="A935" s="2"/>
      <c r="B935" s="2"/>
      <c r="C935" s="3"/>
      <c r="D935" s="2"/>
      <c r="E935" s="4"/>
      <c r="F935" s="5"/>
      <c r="G935" s="6"/>
      <c r="H935" s="2"/>
      <c r="I935" s="7"/>
      <c r="J935" s="8"/>
      <c r="K935" s="3"/>
      <c r="L935" s="3"/>
    </row>
    <row r="936" ht="21.75" customHeight="1">
      <c r="A936" s="2"/>
      <c r="B936" s="2"/>
      <c r="C936" s="3"/>
      <c r="D936" s="2"/>
      <c r="E936" s="4"/>
      <c r="F936" s="5"/>
      <c r="G936" s="6"/>
      <c r="H936" s="2"/>
      <c r="I936" s="7"/>
      <c r="J936" s="8"/>
      <c r="K936" s="3"/>
      <c r="L936" s="3"/>
    </row>
    <row r="937" ht="21.75" customHeight="1">
      <c r="A937" s="2"/>
      <c r="B937" s="2"/>
      <c r="C937" s="3"/>
      <c r="D937" s="2"/>
      <c r="E937" s="4"/>
      <c r="F937" s="5"/>
      <c r="G937" s="6"/>
      <c r="H937" s="2"/>
      <c r="I937" s="7"/>
      <c r="J937" s="8"/>
      <c r="K937" s="3"/>
      <c r="L937" s="3"/>
    </row>
    <row r="938" ht="21.75" customHeight="1">
      <c r="A938" s="2"/>
      <c r="B938" s="2"/>
      <c r="C938" s="3"/>
      <c r="D938" s="2"/>
      <c r="E938" s="4"/>
      <c r="F938" s="5"/>
      <c r="G938" s="6"/>
      <c r="H938" s="2"/>
      <c r="I938" s="7"/>
      <c r="J938" s="8"/>
      <c r="K938" s="3"/>
      <c r="L938" s="3"/>
    </row>
    <row r="939" ht="21.75" customHeight="1">
      <c r="A939" s="2"/>
      <c r="B939" s="2"/>
      <c r="C939" s="3"/>
      <c r="D939" s="2"/>
      <c r="E939" s="4"/>
      <c r="F939" s="5"/>
      <c r="G939" s="6"/>
      <c r="H939" s="2"/>
      <c r="I939" s="7"/>
      <c r="J939" s="8"/>
      <c r="K939" s="3"/>
      <c r="L939" s="3"/>
    </row>
    <row r="940" ht="21.75" customHeight="1">
      <c r="A940" s="2"/>
      <c r="B940" s="2"/>
      <c r="C940" s="3"/>
      <c r="D940" s="2"/>
      <c r="E940" s="4"/>
      <c r="F940" s="5"/>
      <c r="G940" s="6"/>
      <c r="H940" s="2"/>
      <c r="I940" s="7"/>
      <c r="J940" s="8"/>
      <c r="K940" s="3"/>
      <c r="L940" s="3"/>
    </row>
    <row r="941" ht="21.75" customHeight="1">
      <c r="A941" s="2"/>
      <c r="B941" s="2"/>
      <c r="C941" s="3"/>
      <c r="D941" s="2"/>
      <c r="E941" s="4"/>
      <c r="F941" s="5"/>
      <c r="G941" s="6"/>
      <c r="H941" s="2"/>
      <c r="I941" s="7"/>
      <c r="J941" s="8"/>
      <c r="K941" s="3"/>
      <c r="L941" s="3"/>
    </row>
    <row r="942" ht="21.75" customHeight="1">
      <c r="A942" s="2"/>
      <c r="B942" s="2"/>
      <c r="C942" s="3"/>
      <c r="D942" s="2"/>
      <c r="E942" s="4"/>
      <c r="F942" s="5"/>
      <c r="G942" s="6"/>
      <c r="H942" s="2"/>
      <c r="I942" s="7"/>
      <c r="J942" s="8"/>
      <c r="K942" s="3"/>
      <c r="L942" s="3"/>
    </row>
    <row r="943" ht="21.75" customHeight="1">
      <c r="A943" s="2"/>
      <c r="B943" s="2"/>
      <c r="C943" s="3"/>
      <c r="D943" s="2"/>
      <c r="E943" s="4"/>
      <c r="F943" s="5"/>
      <c r="G943" s="6"/>
      <c r="H943" s="2"/>
      <c r="I943" s="7"/>
      <c r="J943" s="8"/>
      <c r="K943" s="3"/>
      <c r="L943" s="3"/>
    </row>
    <row r="944" ht="21.75" customHeight="1">
      <c r="A944" s="2"/>
      <c r="B944" s="2"/>
      <c r="C944" s="3"/>
      <c r="D944" s="2"/>
      <c r="E944" s="4"/>
      <c r="F944" s="5"/>
      <c r="G944" s="6"/>
      <c r="H944" s="2"/>
      <c r="I944" s="7"/>
      <c r="J944" s="8"/>
      <c r="K944" s="3"/>
      <c r="L944" s="3"/>
    </row>
    <row r="945" ht="21.75" customHeight="1">
      <c r="A945" s="2"/>
      <c r="B945" s="2"/>
      <c r="C945" s="3"/>
      <c r="D945" s="2"/>
      <c r="E945" s="4"/>
      <c r="F945" s="5"/>
      <c r="G945" s="6"/>
      <c r="H945" s="2"/>
      <c r="I945" s="7"/>
      <c r="J945" s="8"/>
      <c r="K945" s="3"/>
      <c r="L945" s="3"/>
    </row>
    <row r="946" ht="21.75" customHeight="1">
      <c r="A946" s="2"/>
      <c r="B946" s="2"/>
      <c r="C946" s="3"/>
      <c r="D946" s="2"/>
      <c r="E946" s="4"/>
      <c r="F946" s="5"/>
      <c r="G946" s="6"/>
      <c r="H946" s="2"/>
      <c r="I946" s="7"/>
      <c r="J946" s="8"/>
      <c r="K946" s="3"/>
      <c r="L946" s="3"/>
    </row>
    <row r="947" ht="21.75" customHeight="1">
      <c r="A947" s="2"/>
      <c r="B947" s="2"/>
      <c r="C947" s="3"/>
      <c r="D947" s="2"/>
      <c r="E947" s="4"/>
      <c r="F947" s="5"/>
      <c r="G947" s="6"/>
      <c r="H947" s="2"/>
      <c r="I947" s="7"/>
      <c r="J947" s="8"/>
      <c r="K947" s="3"/>
      <c r="L947" s="3"/>
    </row>
    <row r="948" ht="21.75" customHeight="1">
      <c r="A948" s="2"/>
      <c r="B948" s="2"/>
      <c r="C948" s="3"/>
      <c r="D948" s="2"/>
      <c r="E948" s="4"/>
      <c r="F948" s="5"/>
      <c r="G948" s="6"/>
      <c r="H948" s="2"/>
      <c r="I948" s="7"/>
      <c r="J948" s="8"/>
      <c r="K948" s="3"/>
      <c r="L948" s="3"/>
    </row>
  </sheetData>
  <dataValidations>
    <dataValidation type="list" allowBlank="1" showErrorMessage="1" sqref="J2:J948">
      <formula1>#REF!</formula1>
    </dataValidation>
    <dataValidation type="custom" allowBlank="1" showDropDown="1" sqref="F2:F948">
      <formula1>OR(NOT(ISERROR(DATEVALUE(F2))), AND(ISNUMBER(F2), LEFT(CELL("format", F2))="D"))</formula1>
    </dataValidation>
    <dataValidation type="custom" allowBlank="1" showDropDown="1" sqref="E2:E948">
      <formula1>AND(ISNUMBER(E2),(NOT(OR(NOT(ISERROR(DATEVALUE(E2))), AND(ISNUMBER(E2), LEFT(CELL("format", E2))="D")))))</formula1>
    </dataValidation>
  </dataValidations>
  <hyperlinks>
    <hyperlink r:id="rId1" ref="H8"/>
    <hyperlink r:id="rId2" ref="H9"/>
    <hyperlink r:id="rId3" ref="I9"/>
    <hyperlink r:id="rId4" ref="H10"/>
    <hyperlink r:id="rId5" ref="I10"/>
    <hyperlink r:id="rId6" ref="H12"/>
    <hyperlink r:id="rId7" ref="H14"/>
    <hyperlink r:id="rId8" ref="H16"/>
    <hyperlink r:id="rId9" ref="H17"/>
    <hyperlink r:id="rId10" ref="H19"/>
    <hyperlink r:id="rId11" ref="H59"/>
    <hyperlink r:id="rId12" ref="I59"/>
    <hyperlink r:id="rId13" ref="H62"/>
    <hyperlink r:id="rId14" ref="I62"/>
    <hyperlink r:id="rId15" ref="H78"/>
    <hyperlink r:id="rId16" ref="I78"/>
  </hyperlinks>
  <printOptions/>
  <pageMargins bottom="0.787401575" footer="0.0" header="0.0" left="0.511811024" right="0.511811024" top="0.787401575"/>
  <pageSetup orientation="landscape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7.5"/>
    <col customWidth="1" min="2" max="2" width="48.25"/>
    <col customWidth="1" min="3" max="3" width="34.13"/>
    <col customWidth="1" min="4" max="5" width="32.0"/>
    <col customWidth="1" min="6" max="7" width="37.38"/>
  </cols>
  <sheetData>
    <row r="1" ht="22.5" customHeight="1">
      <c r="A1" s="16" t="s">
        <v>184</v>
      </c>
      <c r="B1" s="16" t="s">
        <v>185</v>
      </c>
      <c r="C1" s="16" t="s">
        <v>186</v>
      </c>
      <c r="D1" s="17" t="s">
        <v>187</v>
      </c>
      <c r="E1" s="17" t="s">
        <v>1</v>
      </c>
      <c r="F1" s="16" t="s">
        <v>188</v>
      </c>
      <c r="G1" s="18" t="s">
        <v>10</v>
      </c>
    </row>
    <row r="2" ht="22.5" customHeight="1">
      <c r="A2" s="19" t="s">
        <v>12</v>
      </c>
      <c r="B2" s="20">
        <v>250913.0</v>
      </c>
      <c r="C2" s="21" t="s">
        <v>189</v>
      </c>
      <c r="D2" s="19" t="s">
        <v>190</v>
      </c>
      <c r="E2" s="19" t="s">
        <v>13</v>
      </c>
      <c r="F2" s="19" t="s">
        <v>191</v>
      </c>
      <c r="G2" s="22"/>
    </row>
    <row r="3" ht="22.5" customHeight="1">
      <c r="A3" s="19" t="s">
        <v>15</v>
      </c>
      <c r="B3" s="19" t="s">
        <v>17</v>
      </c>
      <c r="C3" s="21" t="s">
        <v>192</v>
      </c>
      <c r="D3" s="19" t="s">
        <v>193</v>
      </c>
      <c r="E3" s="19" t="s">
        <v>16</v>
      </c>
      <c r="F3" s="19" t="s">
        <v>191</v>
      </c>
      <c r="G3" s="22"/>
    </row>
    <row r="4" ht="22.5" customHeight="1">
      <c r="A4" s="19" t="s">
        <v>15</v>
      </c>
      <c r="B4" s="19" t="s">
        <v>19</v>
      </c>
      <c r="C4" s="21" t="s">
        <v>194</v>
      </c>
      <c r="D4" s="19" t="s">
        <v>195</v>
      </c>
      <c r="E4" s="19" t="s">
        <v>18</v>
      </c>
      <c r="F4" s="19" t="s">
        <v>191</v>
      </c>
      <c r="G4" s="22"/>
    </row>
    <row r="5" ht="22.5" customHeight="1">
      <c r="A5" s="19" t="s">
        <v>20</v>
      </c>
      <c r="B5" s="19" t="s">
        <v>22</v>
      </c>
      <c r="C5" s="21" t="s">
        <v>189</v>
      </c>
      <c r="D5" s="19" t="s">
        <v>196</v>
      </c>
      <c r="E5" s="19"/>
      <c r="F5" s="19"/>
      <c r="G5" s="22">
        <v>45975.0</v>
      </c>
    </row>
    <row r="6" ht="22.5" customHeight="1">
      <c r="A6" s="19" t="s">
        <v>20</v>
      </c>
      <c r="B6" s="19" t="s">
        <v>23</v>
      </c>
      <c r="C6" s="21" t="s">
        <v>194</v>
      </c>
      <c r="D6" s="19" t="s">
        <v>197</v>
      </c>
      <c r="E6" s="19"/>
      <c r="F6" s="19" t="s">
        <v>191</v>
      </c>
      <c r="G6" s="22"/>
    </row>
    <row r="7" ht="22.5" customHeight="1">
      <c r="A7" s="19" t="s">
        <v>27</v>
      </c>
      <c r="B7" s="19" t="s">
        <v>28</v>
      </c>
      <c r="C7" s="21" t="s">
        <v>189</v>
      </c>
      <c r="D7" s="19" t="s">
        <v>198</v>
      </c>
      <c r="E7" s="19"/>
      <c r="F7" s="19" t="s">
        <v>191</v>
      </c>
      <c r="G7" s="22">
        <v>45978.0</v>
      </c>
    </row>
    <row r="8" ht="22.5" customHeight="1">
      <c r="A8" s="19" t="s">
        <v>30</v>
      </c>
      <c r="B8" s="19" t="s">
        <v>32</v>
      </c>
      <c r="C8" s="21" t="s">
        <v>189</v>
      </c>
      <c r="D8" s="23"/>
      <c r="E8" s="23"/>
      <c r="F8" s="19" t="s">
        <v>33</v>
      </c>
      <c r="G8" s="22">
        <v>45974.0</v>
      </c>
    </row>
    <row r="9" ht="22.5" customHeight="1">
      <c r="A9" s="19" t="s">
        <v>199</v>
      </c>
      <c r="B9" s="19" t="s">
        <v>200</v>
      </c>
      <c r="C9" s="21" t="s">
        <v>189</v>
      </c>
      <c r="D9" s="19" t="s">
        <v>120</v>
      </c>
      <c r="E9" s="19"/>
      <c r="F9" s="19" t="s">
        <v>191</v>
      </c>
      <c r="G9" s="22"/>
    </row>
    <row r="10" ht="22.5" customHeight="1">
      <c r="A10" s="19" t="s">
        <v>73</v>
      </c>
      <c r="B10" s="19" t="s">
        <v>201</v>
      </c>
      <c r="C10" s="21" t="s">
        <v>189</v>
      </c>
      <c r="D10" s="23"/>
      <c r="E10" s="23"/>
      <c r="F10" s="19" t="s">
        <v>202</v>
      </c>
      <c r="G10" s="22"/>
    </row>
    <row r="11" ht="22.5" customHeight="1">
      <c r="A11" s="19" t="s">
        <v>70</v>
      </c>
      <c r="B11" s="19" t="s">
        <v>203</v>
      </c>
      <c r="C11" s="21" t="s">
        <v>189</v>
      </c>
      <c r="D11" s="19" t="s">
        <v>204</v>
      </c>
      <c r="E11" s="19"/>
      <c r="F11" s="19" t="s">
        <v>191</v>
      </c>
      <c r="G11" s="22"/>
    </row>
    <row r="12" ht="22.5" customHeight="1">
      <c r="A12" s="19" t="s">
        <v>59</v>
      </c>
      <c r="B12" s="19" t="s">
        <v>205</v>
      </c>
      <c r="C12" s="21" t="s">
        <v>189</v>
      </c>
      <c r="D12" s="19" t="s">
        <v>206</v>
      </c>
      <c r="E12" s="19"/>
      <c r="F12" s="19" t="s">
        <v>191</v>
      </c>
      <c r="G12" s="22"/>
    </row>
    <row r="13" ht="22.5" customHeight="1">
      <c r="A13" s="19" t="s">
        <v>24</v>
      </c>
      <c r="B13" s="19" t="s">
        <v>207</v>
      </c>
      <c r="C13" s="21" t="s">
        <v>189</v>
      </c>
      <c r="D13" s="19" t="s">
        <v>120</v>
      </c>
      <c r="E13" s="19"/>
      <c r="F13" s="19" t="s">
        <v>191</v>
      </c>
      <c r="G13" s="22"/>
    </row>
    <row r="14" ht="22.5" customHeight="1">
      <c r="A14" s="19" t="s">
        <v>208</v>
      </c>
      <c r="B14" s="19" t="s">
        <v>209</v>
      </c>
      <c r="C14" s="21" t="s">
        <v>189</v>
      </c>
      <c r="D14" s="23"/>
      <c r="E14" s="23"/>
      <c r="F14" s="19" t="s">
        <v>191</v>
      </c>
      <c r="G14" s="22"/>
    </row>
    <row r="15" ht="22.5" customHeight="1">
      <c r="A15" s="19" t="s">
        <v>210</v>
      </c>
      <c r="B15" s="19" t="s">
        <v>211</v>
      </c>
      <c r="C15" s="21" t="s">
        <v>189</v>
      </c>
      <c r="D15" s="23"/>
      <c r="E15" s="23"/>
      <c r="F15" s="19" t="s">
        <v>191</v>
      </c>
      <c r="G15" s="22"/>
    </row>
    <row r="16" ht="22.5" customHeight="1">
      <c r="A16" s="19" t="s">
        <v>78</v>
      </c>
      <c r="B16" s="19" t="s">
        <v>212</v>
      </c>
      <c r="C16" s="21" t="s">
        <v>189</v>
      </c>
      <c r="D16" s="23"/>
      <c r="E16" s="23"/>
      <c r="F16" s="19" t="s">
        <v>191</v>
      </c>
      <c r="G16" s="22"/>
    </row>
    <row r="17" ht="22.5" customHeight="1">
      <c r="A17" s="19" t="s">
        <v>87</v>
      </c>
      <c r="B17" s="19" t="s">
        <v>213</v>
      </c>
      <c r="C17" s="21" t="s">
        <v>189</v>
      </c>
      <c r="D17" s="19" t="s">
        <v>214</v>
      </c>
      <c r="E17" s="19"/>
      <c r="F17" s="19" t="s">
        <v>191</v>
      </c>
      <c r="G17" s="22">
        <v>45978.0</v>
      </c>
    </row>
    <row r="18" ht="22.5" customHeight="1">
      <c r="A18" s="19" t="s">
        <v>42</v>
      </c>
      <c r="B18" s="19" t="s">
        <v>43</v>
      </c>
      <c r="C18" s="21" t="s">
        <v>189</v>
      </c>
      <c r="D18" s="19" t="s">
        <v>206</v>
      </c>
      <c r="E18" s="19"/>
      <c r="F18" s="19" t="s">
        <v>215</v>
      </c>
      <c r="G18" s="22">
        <v>45974.0</v>
      </c>
    </row>
    <row r="19" ht="22.5" customHeight="1">
      <c r="A19" s="19" t="s">
        <v>44</v>
      </c>
      <c r="B19" s="19" t="s">
        <v>45</v>
      </c>
      <c r="C19" s="21" t="s">
        <v>189</v>
      </c>
      <c r="D19" s="19" t="s">
        <v>216</v>
      </c>
      <c r="E19" s="19"/>
      <c r="F19" s="19" t="s">
        <v>191</v>
      </c>
      <c r="G19" s="22"/>
    </row>
    <row r="20" ht="22.5" customHeight="1">
      <c r="A20" s="19" t="s">
        <v>217</v>
      </c>
      <c r="B20" s="19" t="s">
        <v>218</v>
      </c>
      <c r="C20" s="21" t="s">
        <v>189</v>
      </c>
      <c r="D20" s="19" t="s">
        <v>219</v>
      </c>
      <c r="E20" s="19"/>
      <c r="F20" s="19" t="s">
        <v>191</v>
      </c>
      <c r="G20" s="22"/>
    </row>
    <row r="21" ht="22.5" customHeight="1">
      <c r="A21" s="19" t="s">
        <v>47</v>
      </c>
      <c r="B21" s="19" t="s">
        <v>48</v>
      </c>
      <c r="C21" s="21" t="s">
        <v>189</v>
      </c>
      <c r="D21" s="23"/>
      <c r="E21" s="23"/>
      <c r="F21" s="19" t="s">
        <v>191</v>
      </c>
      <c r="G21" s="22"/>
    </row>
    <row r="22" ht="22.5" customHeight="1">
      <c r="A22" s="19" t="s">
        <v>49</v>
      </c>
      <c r="B22" s="19" t="s">
        <v>50</v>
      </c>
      <c r="C22" s="21" t="s">
        <v>189</v>
      </c>
      <c r="D22" s="23"/>
      <c r="E22" s="23"/>
      <c r="F22" s="19" t="s">
        <v>220</v>
      </c>
      <c r="G22" s="22"/>
    </row>
    <row r="23" ht="22.5" customHeight="1">
      <c r="A23" s="19" t="s">
        <v>49</v>
      </c>
      <c r="B23" s="19" t="s">
        <v>57</v>
      </c>
      <c r="C23" s="21" t="s">
        <v>189</v>
      </c>
      <c r="D23" s="19" t="s">
        <v>219</v>
      </c>
      <c r="E23" s="19"/>
      <c r="F23" s="19" t="s">
        <v>191</v>
      </c>
      <c r="G23" s="22"/>
    </row>
    <row r="24" ht="22.5" customHeight="1">
      <c r="A24" s="19" t="s">
        <v>59</v>
      </c>
      <c r="B24" s="19" t="s">
        <v>60</v>
      </c>
      <c r="C24" s="21" t="s">
        <v>189</v>
      </c>
      <c r="D24" s="19" t="s">
        <v>120</v>
      </c>
      <c r="E24" s="19"/>
      <c r="F24" s="19"/>
      <c r="G24" s="22"/>
    </row>
    <row r="25" ht="22.5" customHeight="1">
      <c r="A25" s="19" t="s">
        <v>62</v>
      </c>
      <c r="B25" s="19" t="s">
        <v>64</v>
      </c>
      <c r="C25" s="21" t="s">
        <v>189</v>
      </c>
      <c r="D25" s="19" t="s">
        <v>221</v>
      </c>
      <c r="E25" s="19"/>
      <c r="F25" s="19"/>
      <c r="G25" s="22">
        <v>45978.0</v>
      </c>
    </row>
    <row r="26" ht="22.5" customHeight="1">
      <c r="A26" s="19" t="s">
        <v>49</v>
      </c>
      <c r="B26" s="19" t="s">
        <v>65</v>
      </c>
      <c r="C26" s="21" t="s">
        <v>189</v>
      </c>
      <c r="D26" s="19" t="s">
        <v>120</v>
      </c>
      <c r="E26" s="19"/>
      <c r="F26" s="19"/>
      <c r="G26" s="22"/>
    </row>
    <row r="27" ht="22.5" customHeight="1">
      <c r="A27" s="19" t="s">
        <v>222</v>
      </c>
      <c r="B27" s="19" t="s">
        <v>223</v>
      </c>
      <c r="C27" s="21" t="s">
        <v>189</v>
      </c>
      <c r="D27" s="19" t="s">
        <v>224</v>
      </c>
      <c r="E27" s="19"/>
      <c r="F27" s="19" t="s">
        <v>225</v>
      </c>
      <c r="G27" s="22">
        <v>45975.0</v>
      </c>
    </row>
    <row r="28" ht="21.75" customHeight="1">
      <c r="A28" s="24" t="s">
        <v>140</v>
      </c>
      <c r="B28" s="24" t="s">
        <v>226</v>
      </c>
      <c r="C28" s="25" t="s">
        <v>189</v>
      </c>
      <c r="D28" s="24"/>
      <c r="E28" s="24"/>
      <c r="F28" s="24" t="s">
        <v>227</v>
      </c>
      <c r="G28" s="26">
        <v>45973.0</v>
      </c>
    </row>
    <row r="29" ht="21.75" customHeight="1">
      <c r="A29" s="19" t="s">
        <v>70</v>
      </c>
      <c r="B29" s="19" t="s">
        <v>71</v>
      </c>
      <c r="C29" s="21" t="s">
        <v>189</v>
      </c>
      <c r="D29" s="19" t="s">
        <v>120</v>
      </c>
      <c r="E29" s="19"/>
      <c r="F29" s="19" t="s">
        <v>228</v>
      </c>
      <c r="G29" s="22"/>
    </row>
    <row r="30" ht="21.75" customHeight="1">
      <c r="A30" s="19" t="s">
        <v>47</v>
      </c>
      <c r="B30" s="19" t="s">
        <v>72</v>
      </c>
      <c r="C30" s="21" t="s">
        <v>189</v>
      </c>
      <c r="D30" s="23"/>
      <c r="E30" s="23"/>
      <c r="F30" s="19"/>
      <c r="G30" s="22"/>
    </row>
    <row r="31" ht="21.75" customHeight="1">
      <c r="A31" s="19" t="s">
        <v>73</v>
      </c>
      <c r="B31" s="19" t="s">
        <v>76</v>
      </c>
      <c r="C31" s="21" t="s">
        <v>189</v>
      </c>
      <c r="D31" s="23"/>
      <c r="E31" s="19" t="s">
        <v>229</v>
      </c>
      <c r="F31" s="19" t="s">
        <v>77</v>
      </c>
      <c r="G31" s="22"/>
    </row>
    <row r="32" ht="21.75" customHeight="1">
      <c r="A32" s="19" t="s">
        <v>78</v>
      </c>
      <c r="B32" s="19" t="s">
        <v>79</v>
      </c>
      <c r="C32" s="21" t="s">
        <v>189</v>
      </c>
      <c r="D32" s="23"/>
      <c r="E32" s="23"/>
      <c r="F32" s="19"/>
      <c r="G32" s="22"/>
    </row>
    <row r="33" ht="21.75" customHeight="1">
      <c r="A33" s="19" t="s">
        <v>80</v>
      </c>
      <c r="B33" s="19" t="s">
        <v>83</v>
      </c>
      <c r="C33" s="21" t="s">
        <v>189</v>
      </c>
      <c r="D33" s="23"/>
      <c r="E33" s="23"/>
      <c r="F33" s="19" t="s">
        <v>77</v>
      </c>
      <c r="G33" s="22">
        <v>45975.0</v>
      </c>
    </row>
    <row r="34" ht="21.75" customHeight="1">
      <c r="A34" s="19" t="s">
        <v>85</v>
      </c>
      <c r="B34" s="19" t="s">
        <v>86</v>
      </c>
      <c r="C34" s="21" t="s">
        <v>189</v>
      </c>
      <c r="D34" s="23"/>
      <c r="E34" s="23"/>
      <c r="F34" s="19"/>
      <c r="G34" s="22"/>
    </row>
    <row r="35" ht="21.75" customHeight="1">
      <c r="A35" s="19" t="s">
        <v>87</v>
      </c>
      <c r="B35" s="19" t="s">
        <v>88</v>
      </c>
      <c r="C35" s="21" t="s">
        <v>189</v>
      </c>
      <c r="D35" s="23"/>
      <c r="E35" s="23"/>
      <c r="F35" s="19"/>
      <c r="G35" s="22"/>
    </row>
    <row r="36" ht="21.75" customHeight="1">
      <c r="A36" s="19" t="s">
        <v>89</v>
      </c>
      <c r="B36" s="19" t="s">
        <v>90</v>
      </c>
      <c r="C36" s="21" t="s">
        <v>189</v>
      </c>
      <c r="D36" s="23"/>
      <c r="E36" s="23"/>
      <c r="F36" s="19"/>
      <c r="G36" s="22"/>
    </row>
    <row r="37" ht="21.75" customHeight="1">
      <c r="A37" s="19" t="s">
        <v>85</v>
      </c>
      <c r="B37" s="19" t="s">
        <v>92</v>
      </c>
      <c r="C37" s="21" t="s">
        <v>189</v>
      </c>
      <c r="D37" s="23"/>
      <c r="E37" s="23"/>
      <c r="F37" s="19"/>
      <c r="G37" s="22"/>
    </row>
    <row r="38" ht="21.75" customHeight="1">
      <c r="A38" s="19" t="s">
        <v>42</v>
      </c>
      <c r="B38" s="19" t="s">
        <v>230</v>
      </c>
      <c r="C38" s="21" t="s">
        <v>189</v>
      </c>
      <c r="D38" s="23"/>
      <c r="E38" s="23"/>
      <c r="F38" s="19"/>
      <c r="G38" s="22"/>
    </row>
    <row r="39" ht="21.75" customHeight="1">
      <c r="A39" s="19" t="s">
        <v>78</v>
      </c>
      <c r="B39" s="19" t="s">
        <v>93</v>
      </c>
      <c r="C39" s="21" t="s">
        <v>189</v>
      </c>
      <c r="D39" s="23"/>
      <c r="E39" s="23"/>
      <c r="F39" s="19" t="s">
        <v>94</v>
      </c>
      <c r="G39" s="22"/>
    </row>
    <row r="40" ht="21.75" customHeight="1">
      <c r="A40" s="19" t="s">
        <v>95</v>
      </c>
      <c r="B40" s="19" t="s">
        <v>97</v>
      </c>
      <c r="C40" s="21" t="s">
        <v>189</v>
      </c>
      <c r="D40" s="19" t="s">
        <v>231</v>
      </c>
      <c r="E40" s="19"/>
      <c r="F40" s="19" t="s">
        <v>77</v>
      </c>
      <c r="G40" s="22">
        <v>45992.0</v>
      </c>
    </row>
    <row r="41" ht="21.75" customHeight="1">
      <c r="A41" s="19" t="s">
        <v>232</v>
      </c>
      <c r="B41" s="19" t="s">
        <v>101</v>
      </c>
      <c r="C41" s="21" t="s">
        <v>189</v>
      </c>
      <c r="D41" s="23"/>
      <c r="E41" s="23"/>
      <c r="F41" s="19"/>
      <c r="G41" s="22"/>
    </row>
    <row r="42" ht="21.75" customHeight="1">
      <c r="A42" s="19" t="s">
        <v>70</v>
      </c>
      <c r="B42" s="19" t="s">
        <v>102</v>
      </c>
      <c r="C42" s="21" t="s">
        <v>189</v>
      </c>
      <c r="D42" s="23"/>
      <c r="E42" s="23"/>
      <c r="F42" s="19"/>
      <c r="G42" s="22"/>
    </row>
    <row r="43" ht="21.75" customHeight="1">
      <c r="A43" s="19" t="s">
        <v>70</v>
      </c>
      <c r="B43" s="19" t="s">
        <v>103</v>
      </c>
      <c r="C43" s="21" t="s">
        <v>194</v>
      </c>
      <c r="D43" s="19" t="s">
        <v>233</v>
      </c>
      <c r="E43" s="19"/>
      <c r="F43" s="19"/>
      <c r="G43" s="22"/>
    </row>
    <row r="44" ht="21.75" customHeight="1">
      <c r="A44" s="19" t="s">
        <v>59</v>
      </c>
      <c r="B44" s="19" t="s">
        <v>104</v>
      </c>
      <c r="C44" s="21" t="s">
        <v>189</v>
      </c>
      <c r="D44" s="23"/>
      <c r="E44" s="23"/>
      <c r="F44" s="19"/>
      <c r="G44" s="22"/>
    </row>
    <row r="45" ht="21.75" customHeight="1">
      <c r="A45" s="19" t="s">
        <v>78</v>
      </c>
      <c r="B45" s="19" t="s">
        <v>105</v>
      </c>
      <c r="C45" s="21" t="s">
        <v>189</v>
      </c>
      <c r="D45" s="23"/>
      <c r="E45" s="23"/>
      <c r="F45" s="19"/>
      <c r="G45" s="22"/>
    </row>
    <row r="46" ht="21.75" customHeight="1">
      <c r="A46" s="19" t="s">
        <v>85</v>
      </c>
      <c r="B46" s="19" t="s">
        <v>106</v>
      </c>
      <c r="C46" s="21" t="s">
        <v>189</v>
      </c>
      <c r="D46" s="23"/>
      <c r="E46" s="23"/>
      <c r="F46" s="19"/>
      <c r="G46" s="22"/>
    </row>
    <row r="47" ht="21.75" customHeight="1">
      <c r="A47" s="19" t="s">
        <v>47</v>
      </c>
      <c r="B47" s="19" t="s">
        <v>107</v>
      </c>
      <c r="C47" s="21" t="s">
        <v>189</v>
      </c>
      <c r="D47" s="23"/>
      <c r="E47" s="23"/>
      <c r="F47" s="19"/>
      <c r="G47" s="22"/>
    </row>
    <row r="48" ht="21.75" customHeight="1">
      <c r="A48" s="19" t="s">
        <v>108</v>
      </c>
      <c r="B48" s="19" t="s">
        <v>109</v>
      </c>
      <c r="C48" s="21" t="s">
        <v>189</v>
      </c>
      <c r="D48" s="23"/>
      <c r="E48" s="23"/>
      <c r="F48" s="19"/>
      <c r="G48" s="22"/>
    </row>
    <row r="49" ht="21.75" customHeight="1">
      <c r="A49" s="19" t="s">
        <v>234</v>
      </c>
      <c r="B49" s="19" t="s">
        <v>235</v>
      </c>
      <c r="C49" s="21" t="s">
        <v>189</v>
      </c>
      <c r="D49" s="19" t="s">
        <v>236</v>
      </c>
      <c r="E49" s="19"/>
      <c r="F49" s="19"/>
      <c r="G49" s="22"/>
    </row>
    <row r="50" ht="21.75" customHeight="1">
      <c r="A50" s="19" t="s">
        <v>59</v>
      </c>
      <c r="B50" s="19" t="s">
        <v>110</v>
      </c>
      <c r="C50" s="21" t="s">
        <v>189</v>
      </c>
      <c r="D50" s="23"/>
      <c r="E50" s="23"/>
      <c r="F50" s="19"/>
      <c r="G50" s="22"/>
    </row>
    <row r="51" ht="21.75" customHeight="1">
      <c r="A51" s="19" t="s">
        <v>237</v>
      </c>
      <c r="B51" s="19" t="s">
        <v>238</v>
      </c>
      <c r="C51" s="21" t="s">
        <v>189</v>
      </c>
      <c r="D51" s="23"/>
      <c r="E51" s="23"/>
      <c r="F51" s="19"/>
      <c r="G51" s="22"/>
    </row>
    <row r="52" ht="21.75" customHeight="1">
      <c r="A52" s="19" t="s">
        <v>89</v>
      </c>
      <c r="B52" s="19" t="s">
        <v>111</v>
      </c>
      <c r="C52" s="21" t="s">
        <v>189</v>
      </c>
      <c r="D52" s="23"/>
      <c r="E52" s="23"/>
      <c r="F52" s="19"/>
      <c r="G52" s="22"/>
    </row>
    <row r="53" ht="21.75" customHeight="1">
      <c r="A53" s="19" t="s">
        <v>85</v>
      </c>
      <c r="B53" s="19" t="s">
        <v>112</v>
      </c>
      <c r="C53" s="21" t="s">
        <v>189</v>
      </c>
      <c r="D53" s="23"/>
      <c r="E53" s="23"/>
      <c r="F53" s="19"/>
      <c r="G53" s="22"/>
    </row>
    <row r="54" ht="21.75" customHeight="1">
      <c r="A54" s="19" t="s">
        <v>59</v>
      </c>
      <c r="B54" s="19" t="s">
        <v>114</v>
      </c>
      <c r="C54" s="21" t="s">
        <v>189</v>
      </c>
      <c r="D54" s="23"/>
      <c r="E54" s="23"/>
      <c r="F54" s="19"/>
      <c r="G54" s="22"/>
    </row>
    <row r="55" ht="21.75" customHeight="1">
      <c r="A55" s="19" t="s">
        <v>89</v>
      </c>
      <c r="B55" s="19" t="s">
        <v>115</v>
      </c>
      <c r="C55" s="21" t="s">
        <v>189</v>
      </c>
      <c r="D55" s="23"/>
      <c r="E55" s="23"/>
      <c r="F55" s="19"/>
      <c r="G55" s="22"/>
    </row>
    <row r="56" ht="21.75" customHeight="1">
      <c r="A56" s="19" t="s">
        <v>70</v>
      </c>
      <c r="B56" s="19" t="s">
        <v>116</v>
      </c>
      <c r="C56" s="21" t="s">
        <v>189</v>
      </c>
      <c r="D56" s="23"/>
      <c r="E56" s="23"/>
      <c r="F56" s="19"/>
      <c r="G56" s="22"/>
    </row>
    <row r="57" ht="21.75" customHeight="1">
      <c r="A57" s="19" t="s">
        <v>85</v>
      </c>
      <c r="B57" s="19" t="s">
        <v>117</v>
      </c>
      <c r="C57" s="21" t="s">
        <v>189</v>
      </c>
      <c r="D57" s="23"/>
      <c r="E57" s="23"/>
      <c r="F57" s="19"/>
      <c r="G57" s="22"/>
    </row>
    <row r="58" ht="21.75" customHeight="1">
      <c r="A58" s="19" t="s">
        <v>118</v>
      </c>
      <c r="B58" s="19" t="s">
        <v>117</v>
      </c>
      <c r="C58" s="21" t="s">
        <v>189</v>
      </c>
      <c r="D58" s="19" t="s">
        <v>239</v>
      </c>
      <c r="E58" s="19"/>
      <c r="F58" s="19"/>
      <c r="G58" s="22">
        <v>45989.0</v>
      </c>
    </row>
    <row r="59" ht="21.75" customHeight="1">
      <c r="A59" s="19" t="s">
        <v>89</v>
      </c>
      <c r="B59" s="19" t="s">
        <v>121</v>
      </c>
      <c r="C59" s="21" t="s">
        <v>189</v>
      </c>
      <c r="D59" s="23"/>
      <c r="E59" s="23"/>
      <c r="F59" s="19"/>
      <c r="G59" s="22"/>
    </row>
    <row r="60" ht="21.75" customHeight="1">
      <c r="A60" s="19" t="s">
        <v>59</v>
      </c>
      <c r="B60" s="19" t="s">
        <v>122</v>
      </c>
      <c r="C60" s="21" t="s">
        <v>189</v>
      </c>
      <c r="D60" s="19" t="s">
        <v>120</v>
      </c>
      <c r="E60" s="19"/>
      <c r="F60" s="19"/>
      <c r="G60" s="22"/>
    </row>
    <row r="61" ht="21.75" customHeight="1">
      <c r="A61" s="19" t="s">
        <v>123</v>
      </c>
      <c r="B61" s="19" t="s">
        <v>124</v>
      </c>
      <c r="C61" s="21" t="s">
        <v>189</v>
      </c>
      <c r="D61" s="19" t="s">
        <v>240</v>
      </c>
      <c r="E61" s="19"/>
      <c r="F61" s="19"/>
      <c r="G61" s="22"/>
    </row>
    <row r="62" ht="21.75" customHeight="1">
      <c r="A62" s="19" t="s">
        <v>47</v>
      </c>
      <c r="B62" s="19" t="s">
        <v>125</v>
      </c>
      <c r="C62" s="21" t="s">
        <v>189</v>
      </c>
      <c r="D62" s="23"/>
      <c r="E62" s="23"/>
      <c r="F62" s="19"/>
      <c r="G62" s="22"/>
    </row>
    <row r="63" ht="21.75" customHeight="1">
      <c r="A63" s="19" t="s">
        <v>241</v>
      </c>
      <c r="B63" s="19" t="s">
        <v>242</v>
      </c>
      <c r="C63" s="21" t="s">
        <v>189</v>
      </c>
      <c r="D63" s="23"/>
      <c r="E63" s="23"/>
      <c r="F63" s="19"/>
      <c r="G63" s="22"/>
    </row>
    <row r="64" ht="21.75" customHeight="1">
      <c r="A64" s="19" t="s">
        <v>126</v>
      </c>
      <c r="B64" s="19" t="s">
        <v>127</v>
      </c>
      <c r="C64" s="21" t="s">
        <v>189</v>
      </c>
      <c r="D64" s="23"/>
      <c r="E64" s="23"/>
      <c r="F64" s="19"/>
      <c r="G64" s="22"/>
    </row>
    <row r="65" ht="21.75" customHeight="1">
      <c r="A65" s="19" t="s">
        <v>128</v>
      </c>
      <c r="B65" s="19" t="s">
        <v>129</v>
      </c>
      <c r="C65" s="21" t="s">
        <v>189</v>
      </c>
      <c r="D65" s="23"/>
      <c r="E65" s="23"/>
      <c r="F65" s="19"/>
      <c r="G65" s="22"/>
    </row>
    <row r="66" ht="21.75" customHeight="1">
      <c r="A66" s="19" t="s">
        <v>49</v>
      </c>
      <c r="B66" s="19" t="s">
        <v>243</v>
      </c>
      <c r="C66" s="21" t="s">
        <v>189</v>
      </c>
      <c r="D66" s="23"/>
      <c r="E66" s="23"/>
      <c r="F66" s="19"/>
      <c r="G66" s="22"/>
    </row>
    <row r="67" ht="21.75" customHeight="1">
      <c r="A67" s="19" t="s">
        <v>59</v>
      </c>
      <c r="B67" s="19" t="s">
        <v>130</v>
      </c>
      <c r="C67" s="21" t="s">
        <v>189</v>
      </c>
      <c r="D67" s="23"/>
      <c r="E67" s="23"/>
      <c r="F67" s="19"/>
      <c r="G67" s="22"/>
    </row>
    <row r="68" ht="21.75" customHeight="1">
      <c r="A68" s="19" t="s">
        <v>87</v>
      </c>
      <c r="B68" s="19" t="s">
        <v>244</v>
      </c>
      <c r="C68" s="21" t="s">
        <v>192</v>
      </c>
      <c r="D68" s="19"/>
      <c r="E68" s="19" t="s">
        <v>245</v>
      </c>
      <c r="F68" s="19"/>
      <c r="G68" s="22"/>
    </row>
    <row r="69" ht="21.75" customHeight="1">
      <c r="A69" s="19" t="s">
        <v>89</v>
      </c>
      <c r="B69" s="19" t="s">
        <v>154</v>
      </c>
      <c r="C69" s="21" t="s">
        <v>246</v>
      </c>
      <c r="D69" s="19" t="s">
        <v>247</v>
      </c>
      <c r="E69" s="23"/>
      <c r="F69" s="19"/>
      <c r="G69" s="22"/>
    </row>
    <row r="70" ht="21.75" customHeight="1">
      <c r="A70" s="19" t="s">
        <v>140</v>
      </c>
      <c r="B70" s="19" t="s">
        <v>248</v>
      </c>
      <c r="C70" s="21" t="s">
        <v>189</v>
      </c>
      <c r="D70" s="23"/>
      <c r="E70" s="23"/>
      <c r="F70" s="19"/>
      <c r="G70" s="22"/>
    </row>
    <row r="71" ht="21.75" customHeight="1">
      <c r="A71" s="19" t="s">
        <v>78</v>
      </c>
      <c r="B71" s="19" t="s">
        <v>131</v>
      </c>
      <c r="C71" s="21" t="s">
        <v>189</v>
      </c>
      <c r="D71" s="23"/>
      <c r="E71" s="23"/>
      <c r="F71" s="19"/>
      <c r="G71" s="22"/>
    </row>
    <row r="72" ht="21.75" customHeight="1">
      <c r="A72" s="19" t="s">
        <v>70</v>
      </c>
      <c r="B72" s="19" t="s">
        <v>132</v>
      </c>
      <c r="C72" s="21" t="s">
        <v>194</v>
      </c>
      <c r="D72" s="19" t="s">
        <v>249</v>
      </c>
      <c r="E72" s="23"/>
      <c r="F72" s="19"/>
      <c r="G72" s="22"/>
    </row>
    <row r="73" ht="21.75" customHeight="1">
      <c r="A73" s="19" t="s">
        <v>89</v>
      </c>
      <c r="B73" s="19" t="s">
        <v>155</v>
      </c>
      <c r="C73" s="21" t="s">
        <v>246</v>
      </c>
      <c r="D73" s="19" t="s">
        <v>250</v>
      </c>
      <c r="E73" s="23"/>
      <c r="F73" s="19"/>
      <c r="G73" s="22"/>
    </row>
    <row r="74" ht="21.75" customHeight="1">
      <c r="A74" s="19" t="s">
        <v>73</v>
      </c>
      <c r="B74" s="19" t="s">
        <v>136</v>
      </c>
      <c r="C74" s="21" t="s">
        <v>246</v>
      </c>
      <c r="D74" s="23"/>
      <c r="E74" s="19" t="s">
        <v>134</v>
      </c>
      <c r="F74" s="19"/>
      <c r="G74" s="22"/>
    </row>
    <row r="75" ht="21.75" customHeight="1">
      <c r="A75" s="19" t="s">
        <v>140</v>
      </c>
      <c r="B75" s="19" t="s">
        <v>142</v>
      </c>
      <c r="C75" s="21" t="s">
        <v>189</v>
      </c>
      <c r="D75" s="23"/>
      <c r="E75" s="19" t="s">
        <v>141</v>
      </c>
      <c r="F75" s="19"/>
      <c r="G75" s="22"/>
    </row>
    <row r="76" ht="21.75" customHeight="1">
      <c r="A76" s="19" t="s">
        <v>143</v>
      </c>
      <c r="B76" s="19" t="s">
        <v>144</v>
      </c>
      <c r="C76" s="21" t="s">
        <v>189</v>
      </c>
      <c r="D76" s="23"/>
      <c r="E76" s="23"/>
      <c r="F76" s="19"/>
      <c r="G76" s="22"/>
    </row>
    <row r="77" ht="21.75" customHeight="1">
      <c r="A77" s="19" t="s">
        <v>70</v>
      </c>
      <c r="B77" s="19" t="s">
        <v>149</v>
      </c>
      <c r="C77" s="21" t="s">
        <v>251</v>
      </c>
      <c r="D77" s="19" t="s">
        <v>252</v>
      </c>
      <c r="E77" s="23"/>
      <c r="F77" s="19"/>
      <c r="G77" s="22"/>
    </row>
    <row r="78" ht="21.75" customHeight="1">
      <c r="A78" s="19" t="s">
        <v>44</v>
      </c>
      <c r="B78" s="19" t="s">
        <v>151</v>
      </c>
      <c r="C78" s="21" t="s">
        <v>189</v>
      </c>
      <c r="D78" s="19" t="s">
        <v>253</v>
      </c>
      <c r="E78" s="23"/>
      <c r="F78" s="19"/>
      <c r="G78" s="22"/>
    </row>
    <row r="79" ht="21.75" customHeight="1">
      <c r="A79" s="19" t="s">
        <v>78</v>
      </c>
      <c r="B79" s="19" t="s">
        <v>150</v>
      </c>
      <c r="C79" s="21" t="s">
        <v>189</v>
      </c>
      <c r="D79" s="19" t="s">
        <v>120</v>
      </c>
      <c r="E79" s="23"/>
      <c r="F79" s="19"/>
      <c r="G79" s="22"/>
    </row>
    <row r="80" ht="21.75" customHeight="1">
      <c r="A80" s="19" t="s">
        <v>152</v>
      </c>
      <c r="B80" s="19" t="s">
        <v>153</v>
      </c>
      <c r="C80" s="21" t="s">
        <v>189</v>
      </c>
      <c r="D80" s="19" t="s">
        <v>254</v>
      </c>
      <c r="E80" s="23"/>
      <c r="F80" s="19"/>
      <c r="G80" s="22"/>
    </row>
    <row r="81" ht="21.75" customHeight="1">
      <c r="A81" s="19" t="s">
        <v>47</v>
      </c>
      <c r="B81" s="19" t="s">
        <v>158</v>
      </c>
      <c r="C81" s="21" t="s">
        <v>251</v>
      </c>
      <c r="D81" s="23"/>
      <c r="E81" s="23"/>
      <c r="F81" s="19"/>
      <c r="G81" s="22"/>
    </row>
    <row r="82" ht="21.75" customHeight="1">
      <c r="A82" s="19" t="s">
        <v>159</v>
      </c>
      <c r="B82" s="19" t="s">
        <v>162</v>
      </c>
      <c r="C82" s="21" t="s">
        <v>246</v>
      </c>
      <c r="D82" s="23"/>
      <c r="E82" s="19" t="s">
        <v>160</v>
      </c>
      <c r="F82" s="19"/>
      <c r="G82" s="22">
        <v>46006.0</v>
      </c>
    </row>
    <row r="83" ht="21.75" customHeight="1">
      <c r="A83" s="19" t="s">
        <v>168</v>
      </c>
      <c r="B83" s="19" t="s">
        <v>170</v>
      </c>
      <c r="C83" s="21" t="s">
        <v>246</v>
      </c>
      <c r="D83" s="19" t="s">
        <v>255</v>
      </c>
      <c r="E83" s="19" t="s">
        <v>256</v>
      </c>
      <c r="F83" s="19" t="s">
        <v>77</v>
      </c>
      <c r="G83" s="22">
        <v>46007.0</v>
      </c>
    </row>
    <row r="84" ht="21.75" customHeight="1">
      <c r="A84" s="19" t="s">
        <v>42</v>
      </c>
      <c r="B84" s="19" t="s">
        <v>167</v>
      </c>
      <c r="C84" s="21" t="s">
        <v>246</v>
      </c>
      <c r="D84" s="19" t="s">
        <v>120</v>
      </c>
      <c r="E84" s="19" t="s">
        <v>81</v>
      </c>
      <c r="F84" s="19"/>
      <c r="G84" s="22">
        <v>46006.0</v>
      </c>
    </row>
    <row r="85" ht="21.75" customHeight="1">
      <c r="A85" s="19" t="s">
        <v>164</v>
      </c>
      <c r="B85" s="19" t="s">
        <v>166</v>
      </c>
      <c r="C85" s="21" t="s">
        <v>246</v>
      </c>
      <c r="D85" s="23"/>
      <c r="E85" s="19" t="s">
        <v>257</v>
      </c>
      <c r="F85" s="19"/>
      <c r="G85" s="22"/>
    </row>
    <row r="86" ht="21.75" customHeight="1">
      <c r="A86" s="19" t="s">
        <v>47</v>
      </c>
      <c r="B86" s="19" t="s">
        <v>171</v>
      </c>
      <c r="C86" s="21" t="s">
        <v>251</v>
      </c>
      <c r="D86" s="23"/>
      <c r="E86" s="23"/>
      <c r="F86" s="19"/>
      <c r="G86" s="22"/>
    </row>
    <row r="87" ht="21.75" customHeight="1">
      <c r="A87" s="19" t="s">
        <v>118</v>
      </c>
      <c r="B87" s="19" t="s">
        <v>176</v>
      </c>
      <c r="C87" s="21" t="s">
        <v>251</v>
      </c>
      <c r="D87" s="19" t="s">
        <v>258</v>
      </c>
      <c r="E87" s="19" t="s">
        <v>259</v>
      </c>
      <c r="F87" s="19" t="s">
        <v>77</v>
      </c>
      <c r="G87" s="22">
        <v>46006.0</v>
      </c>
    </row>
    <row r="88" ht="21.75" customHeight="1">
      <c r="A88" s="19" t="s">
        <v>168</v>
      </c>
      <c r="B88" s="19" t="s">
        <v>174</v>
      </c>
      <c r="C88" s="21" t="s">
        <v>246</v>
      </c>
      <c r="D88" s="19" t="s">
        <v>255</v>
      </c>
      <c r="E88" s="19" t="s">
        <v>172</v>
      </c>
      <c r="F88" s="19" t="s">
        <v>77</v>
      </c>
      <c r="G88" s="22">
        <v>46007.0</v>
      </c>
    </row>
    <row r="89" ht="21.75" customHeight="1">
      <c r="A89" s="19" t="s">
        <v>181</v>
      </c>
      <c r="B89" s="19" t="s">
        <v>183</v>
      </c>
      <c r="C89" s="21" t="s">
        <v>246</v>
      </c>
      <c r="D89" s="23"/>
      <c r="E89" s="19" t="s">
        <v>182</v>
      </c>
      <c r="F89" s="19"/>
      <c r="G89" s="22"/>
    </row>
    <row r="90" ht="21.75" customHeight="1">
      <c r="A90" s="19"/>
      <c r="B90" s="19"/>
      <c r="C90" s="21"/>
      <c r="D90" s="23"/>
      <c r="E90" s="23"/>
      <c r="F90" s="19"/>
      <c r="G90" s="22"/>
    </row>
    <row r="91" ht="21.75" customHeight="1">
      <c r="A91" s="19"/>
      <c r="B91" s="19"/>
      <c r="C91" s="21"/>
      <c r="D91" s="23"/>
      <c r="E91" s="23"/>
      <c r="F91" s="19"/>
      <c r="G91" s="22"/>
    </row>
    <row r="92" ht="21.75" customHeight="1">
      <c r="A92" s="19"/>
      <c r="B92" s="19"/>
      <c r="C92" s="21"/>
      <c r="D92" s="23"/>
      <c r="E92" s="23"/>
      <c r="F92" s="19"/>
      <c r="G92" s="22"/>
    </row>
    <row r="93" ht="21.75" customHeight="1">
      <c r="A93" s="19"/>
      <c r="B93" s="19"/>
      <c r="C93" s="21"/>
      <c r="D93" s="23"/>
      <c r="E93" s="23"/>
      <c r="F93" s="19"/>
      <c r="G93" s="22"/>
    </row>
    <row r="94" ht="21.75" customHeight="1">
      <c r="A94" s="19"/>
      <c r="B94" s="19"/>
      <c r="C94" s="21"/>
      <c r="D94" s="23"/>
      <c r="E94" s="23"/>
      <c r="F94" s="19"/>
      <c r="G94" s="22"/>
    </row>
    <row r="95" ht="21.75" customHeight="1">
      <c r="A95" s="19"/>
      <c r="B95" s="19"/>
      <c r="C95" s="21"/>
      <c r="D95" s="23"/>
      <c r="E95" s="23"/>
      <c r="F95" s="19"/>
      <c r="G95" s="22"/>
    </row>
    <row r="96" ht="21.75" customHeight="1">
      <c r="A96" s="19"/>
      <c r="B96" s="19"/>
      <c r="C96" s="21"/>
      <c r="D96" s="23"/>
      <c r="E96" s="23"/>
      <c r="F96" s="19"/>
      <c r="G96" s="22"/>
    </row>
    <row r="97" ht="21.75" customHeight="1">
      <c r="A97" s="19"/>
      <c r="B97" s="19"/>
      <c r="C97" s="21"/>
      <c r="D97" s="23"/>
      <c r="E97" s="23"/>
      <c r="F97" s="19"/>
      <c r="G97" s="22"/>
    </row>
    <row r="98" ht="21.75" customHeight="1">
      <c r="A98" s="19"/>
      <c r="B98" s="19"/>
      <c r="C98" s="21"/>
      <c r="D98" s="23"/>
      <c r="E98" s="23"/>
      <c r="F98" s="19"/>
      <c r="G98" s="22"/>
    </row>
    <row r="99" ht="21.75" customHeight="1">
      <c r="A99" s="19"/>
      <c r="B99" s="19"/>
      <c r="C99" s="21"/>
      <c r="D99" s="23"/>
      <c r="E99" s="23"/>
      <c r="F99" s="19"/>
      <c r="G99" s="22"/>
    </row>
    <row r="100" ht="21.75" customHeight="1">
      <c r="A100" s="19"/>
      <c r="B100" s="19"/>
      <c r="C100" s="21"/>
      <c r="D100" s="23"/>
      <c r="E100" s="23"/>
      <c r="F100" s="19"/>
      <c r="G100" s="22"/>
    </row>
    <row r="101" ht="21.75" customHeight="1">
      <c r="A101" s="19"/>
      <c r="B101" s="19"/>
      <c r="C101" s="21"/>
      <c r="D101" s="23"/>
      <c r="E101" s="23"/>
      <c r="F101" s="19"/>
      <c r="G101" s="22"/>
    </row>
    <row r="102" ht="21.75" customHeight="1">
      <c r="A102" s="19"/>
      <c r="B102" s="19"/>
      <c r="C102" s="21"/>
      <c r="D102" s="23"/>
      <c r="E102" s="23"/>
      <c r="F102" s="19"/>
      <c r="G102" s="22"/>
    </row>
    <row r="103" ht="21.75" customHeight="1">
      <c r="A103" s="19"/>
      <c r="B103" s="19"/>
      <c r="C103" s="21"/>
      <c r="D103" s="23"/>
      <c r="E103" s="23"/>
      <c r="F103" s="19"/>
      <c r="G103" s="22"/>
    </row>
    <row r="104" ht="21.75" customHeight="1">
      <c r="A104" s="19"/>
      <c r="B104" s="19"/>
      <c r="C104" s="21"/>
      <c r="D104" s="23"/>
      <c r="E104" s="23"/>
      <c r="F104" s="19"/>
      <c r="G104" s="22"/>
    </row>
    <row r="105" ht="21.75" customHeight="1">
      <c r="A105" s="19"/>
      <c r="B105" s="19"/>
      <c r="C105" s="21"/>
      <c r="D105" s="23"/>
      <c r="E105" s="23"/>
      <c r="F105" s="19"/>
      <c r="G105" s="22"/>
    </row>
    <row r="106" ht="21.75" customHeight="1">
      <c r="A106" s="19"/>
      <c r="B106" s="19"/>
      <c r="C106" s="21"/>
      <c r="D106" s="23"/>
      <c r="E106" s="23"/>
      <c r="F106" s="19"/>
      <c r="G106" s="22"/>
    </row>
    <row r="107" ht="21.75" customHeight="1">
      <c r="A107" s="19"/>
      <c r="B107" s="19"/>
      <c r="C107" s="21"/>
      <c r="D107" s="23"/>
      <c r="E107" s="23"/>
      <c r="F107" s="19"/>
      <c r="G107" s="22"/>
    </row>
    <row r="108" ht="21.75" customHeight="1">
      <c r="A108" s="19"/>
      <c r="B108" s="19"/>
      <c r="C108" s="21"/>
      <c r="D108" s="23"/>
      <c r="E108" s="23"/>
      <c r="F108" s="19"/>
      <c r="G108" s="22"/>
    </row>
    <row r="109" ht="21.75" customHeight="1">
      <c r="A109" s="19"/>
      <c r="B109" s="19"/>
      <c r="C109" s="21"/>
      <c r="D109" s="23"/>
      <c r="E109" s="23"/>
      <c r="F109" s="19"/>
      <c r="G109" s="22"/>
    </row>
    <row r="110" ht="21.75" customHeight="1">
      <c r="A110" s="19"/>
      <c r="B110" s="19"/>
      <c r="C110" s="21"/>
      <c r="D110" s="23"/>
      <c r="E110" s="23"/>
      <c r="F110" s="19"/>
      <c r="G110" s="22"/>
    </row>
    <row r="111" ht="21.75" customHeight="1">
      <c r="A111" s="19"/>
      <c r="B111" s="19"/>
      <c r="C111" s="21"/>
      <c r="D111" s="23"/>
      <c r="E111" s="23"/>
      <c r="F111" s="19"/>
      <c r="G111" s="22"/>
    </row>
    <row r="112" ht="21.75" customHeight="1">
      <c r="A112" s="19"/>
      <c r="B112" s="19"/>
      <c r="C112" s="21"/>
      <c r="D112" s="23"/>
      <c r="E112" s="23"/>
      <c r="F112" s="19"/>
      <c r="G112" s="22"/>
    </row>
    <row r="113" ht="21.75" customHeight="1">
      <c r="A113" s="19"/>
      <c r="B113" s="19"/>
      <c r="C113" s="21"/>
      <c r="D113" s="23"/>
      <c r="E113" s="23"/>
      <c r="F113" s="19"/>
      <c r="G113" s="22"/>
    </row>
    <row r="114" ht="21.75" customHeight="1">
      <c r="A114" s="19"/>
      <c r="B114" s="19"/>
      <c r="C114" s="21"/>
      <c r="D114" s="23"/>
      <c r="E114" s="23"/>
      <c r="F114" s="19"/>
      <c r="G114" s="22"/>
    </row>
    <row r="115" ht="21.75" customHeight="1">
      <c r="A115" s="19"/>
      <c r="B115" s="19"/>
      <c r="C115" s="21"/>
      <c r="D115" s="23"/>
      <c r="E115" s="23"/>
      <c r="F115" s="19"/>
      <c r="G115" s="22"/>
    </row>
    <row r="116" ht="21.75" customHeight="1">
      <c r="A116" s="19"/>
      <c r="B116" s="19"/>
      <c r="C116" s="21"/>
      <c r="D116" s="23"/>
      <c r="E116" s="23"/>
      <c r="F116" s="19"/>
      <c r="G116" s="22"/>
    </row>
    <row r="117" ht="21.75" customHeight="1">
      <c r="A117" s="19"/>
      <c r="B117" s="19"/>
      <c r="C117" s="21"/>
      <c r="D117" s="23"/>
      <c r="E117" s="23"/>
      <c r="F117" s="19"/>
      <c r="G117" s="22"/>
    </row>
    <row r="118" ht="21.75" customHeight="1">
      <c r="A118" s="19"/>
      <c r="B118" s="19"/>
      <c r="C118" s="21"/>
      <c r="D118" s="23"/>
      <c r="E118" s="23"/>
      <c r="F118" s="19"/>
      <c r="G118" s="22"/>
    </row>
    <row r="119" ht="21.75" customHeight="1">
      <c r="A119" s="19"/>
      <c r="B119" s="19"/>
      <c r="C119" s="21"/>
      <c r="D119" s="23"/>
      <c r="E119" s="23"/>
      <c r="F119" s="19"/>
      <c r="G119" s="22"/>
    </row>
    <row r="120" ht="21.75" customHeight="1">
      <c r="A120" s="19"/>
      <c r="B120" s="19"/>
      <c r="C120" s="21"/>
      <c r="D120" s="23"/>
      <c r="E120" s="23"/>
      <c r="F120" s="19"/>
      <c r="G120" s="22"/>
    </row>
    <row r="121" ht="21.75" customHeight="1">
      <c r="A121" s="19"/>
      <c r="B121" s="19"/>
      <c r="C121" s="21"/>
      <c r="D121" s="23"/>
      <c r="E121" s="23"/>
      <c r="F121" s="19"/>
      <c r="G121" s="22"/>
    </row>
    <row r="122" ht="21.75" customHeight="1">
      <c r="A122" s="19"/>
      <c r="B122" s="19"/>
      <c r="C122" s="21"/>
      <c r="D122" s="23"/>
      <c r="E122" s="23"/>
      <c r="F122" s="19"/>
      <c r="G122" s="22"/>
    </row>
    <row r="123" ht="21.75" customHeight="1">
      <c r="A123" s="19"/>
      <c r="B123" s="19"/>
      <c r="C123" s="21"/>
      <c r="D123" s="23"/>
      <c r="E123" s="23"/>
      <c r="F123" s="19"/>
      <c r="G123" s="22"/>
    </row>
    <row r="124" ht="21.75" customHeight="1">
      <c r="A124" s="19"/>
      <c r="B124" s="19"/>
      <c r="C124" s="21"/>
      <c r="D124" s="23"/>
      <c r="E124" s="23"/>
      <c r="F124" s="19"/>
      <c r="G124" s="22"/>
    </row>
    <row r="125" ht="21.75" customHeight="1">
      <c r="A125" s="19"/>
      <c r="B125" s="19"/>
      <c r="C125" s="21"/>
      <c r="D125" s="23"/>
      <c r="E125" s="23"/>
      <c r="F125" s="19"/>
      <c r="G125" s="22"/>
    </row>
    <row r="126" ht="21.75" customHeight="1">
      <c r="A126" s="19"/>
      <c r="B126" s="19"/>
      <c r="C126" s="21"/>
      <c r="D126" s="23"/>
      <c r="E126" s="23"/>
      <c r="F126" s="19"/>
      <c r="G126" s="22"/>
    </row>
    <row r="127" ht="21.75" customHeight="1">
      <c r="A127" s="19"/>
      <c r="B127" s="19"/>
      <c r="C127" s="21"/>
      <c r="D127" s="23"/>
      <c r="E127" s="23"/>
      <c r="F127" s="19"/>
      <c r="G127" s="22"/>
    </row>
    <row r="128" ht="21.75" customHeight="1">
      <c r="A128" s="19"/>
      <c r="B128" s="19"/>
      <c r="C128" s="21"/>
      <c r="D128" s="23"/>
      <c r="E128" s="23"/>
      <c r="F128" s="19"/>
      <c r="G128" s="22"/>
    </row>
    <row r="129" ht="21.75" customHeight="1">
      <c r="A129" s="19"/>
      <c r="B129" s="19"/>
      <c r="C129" s="21"/>
      <c r="D129" s="23"/>
      <c r="E129" s="23"/>
      <c r="F129" s="19"/>
      <c r="G129" s="22"/>
    </row>
    <row r="130" ht="21.75" customHeight="1">
      <c r="A130" s="19"/>
      <c r="B130" s="19"/>
      <c r="C130" s="21"/>
      <c r="D130" s="23"/>
      <c r="E130" s="23"/>
      <c r="F130" s="19"/>
      <c r="G130" s="22"/>
    </row>
    <row r="131" ht="21.75" customHeight="1">
      <c r="A131" s="19"/>
      <c r="B131" s="19"/>
      <c r="C131" s="21"/>
      <c r="D131" s="23"/>
      <c r="E131" s="23"/>
      <c r="F131" s="19"/>
      <c r="G131" s="22"/>
    </row>
    <row r="132" ht="21.75" customHeight="1">
      <c r="A132" s="19"/>
      <c r="B132" s="19"/>
      <c r="C132" s="21"/>
      <c r="D132" s="23"/>
      <c r="E132" s="23"/>
      <c r="F132" s="19"/>
      <c r="G132" s="22"/>
    </row>
    <row r="133" ht="21.75" customHeight="1">
      <c r="A133" s="19"/>
      <c r="B133" s="19"/>
      <c r="C133" s="21"/>
      <c r="D133" s="23"/>
      <c r="E133" s="23"/>
      <c r="F133" s="19"/>
      <c r="G133" s="22"/>
    </row>
    <row r="134" ht="21.75" customHeight="1">
      <c r="A134" s="19"/>
      <c r="B134" s="19"/>
      <c r="C134" s="21"/>
      <c r="D134" s="23"/>
      <c r="E134" s="23"/>
      <c r="F134" s="19"/>
      <c r="G134" s="22"/>
    </row>
    <row r="135" ht="21.75" customHeight="1">
      <c r="A135" s="19"/>
      <c r="B135" s="19"/>
      <c r="C135" s="21"/>
      <c r="D135" s="23"/>
      <c r="E135" s="23"/>
      <c r="F135" s="19"/>
      <c r="G135" s="22"/>
    </row>
    <row r="136" ht="21.75" customHeight="1">
      <c r="A136" s="19"/>
      <c r="B136" s="19"/>
      <c r="C136" s="21"/>
      <c r="D136" s="23"/>
      <c r="E136" s="23"/>
      <c r="F136" s="19"/>
      <c r="G136" s="22"/>
    </row>
    <row r="137" ht="21.75" customHeight="1">
      <c r="A137" s="19"/>
      <c r="B137" s="19"/>
      <c r="C137" s="21"/>
      <c r="D137" s="23"/>
      <c r="E137" s="23"/>
      <c r="F137" s="19"/>
      <c r="G137" s="22"/>
    </row>
    <row r="138" ht="21.75" customHeight="1">
      <c r="A138" s="19"/>
      <c r="B138" s="19"/>
      <c r="C138" s="21"/>
      <c r="D138" s="23"/>
      <c r="E138" s="23"/>
      <c r="F138" s="19"/>
      <c r="G138" s="22"/>
    </row>
    <row r="139" ht="21.75" customHeight="1">
      <c r="A139" s="19"/>
      <c r="B139" s="19"/>
      <c r="C139" s="21"/>
      <c r="D139" s="23"/>
      <c r="E139" s="23"/>
      <c r="F139" s="19"/>
      <c r="G139" s="22"/>
    </row>
    <row r="140" ht="21.75" customHeight="1">
      <c r="A140" s="19"/>
      <c r="B140" s="19"/>
      <c r="C140" s="21"/>
      <c r="D140" s="23"/>
      <c r="E140" s="23"/>
      <c r="F140" s="19"/>
      <c r="G140" s="22"/>
    </row>
    <row r="141" ht="21.75" customHeight="1">
      <c r="A141" s="19"/>
      <c r="B141" s="19"/>
      <c r="C141" s="21"/>
      <c r="D141" s="23"/>
      <c r="E141" s="23"/>
      <c r="F141" s="19"/>
      <c r="G141" s="22"/>
    </row>
    <row r="142" ht="21.75" customHeight="1">
      <c r="A142" s="19"/>
      <c r="B142" s="19"/>
      <c r="C142" s="21"/>
      <c r="D142" s="23"/>
      <c r="E142" s="23"/>
      <c r="F142" s="19"/>
      <c r="G142" s="22"/>
    </row>
    <row r="143" ht="21.75" customHeight="1">
      <c r="A143" s="19"/>
      <c r="B143" s="19"/>
      <c r="C143" s="21"/>
      <c r="D143" s="23"/>
      <c r="E143" s="23"/>
      <c r="F143" s="19"/>
      <c r="G143" s="22"/>
    </row>
    <row r="144" ht="21.75" customHeight="1">
      <c r="A144" s="19"/>
      <c r="B144" s="19"/>
      <c r="C144" s="21"/>
      <c r="D144" s="23"/>
      <c r="E144" s="23"/>
      <c r="F144" s="19"/>
      <c r="G144" s="22"/>
    </row>
    <row r="145" ht="21.75" customHeight="1">
      <c r="A145" s="19"/>
      <c r="B145" s="19"/>
      <c r="C145" s="21"/>
      <c r="D145" s="23"/>
      <c r="E145" s="23"/>
      <c r="F145" s="19"/>
      <c r="G145" s="22"/>
    </row>
    <row r="146" ht="21.75" customHeight="1">
      <c r="A146" s="19"/>
      <c r="B146" s="19"/>
      <c r="C146" s="21"/>
      <c r="D146" s="23"/>
      <c r="E146" s="23"/>
      <c r="F146" s="19"/>
      <c r="G146" s="22"/>
    </row>
    <row r="147" ht="21.75" customHeight="1">
      <c r="A147" s="19"/>
      <c r="B147" s="19"/>
      <c r="C147" s="21"/>
      <c r="D147" s="23"/>
      <c r="E147" s="23"/>
      <c r="F147" s="19"/>
      <c r="G147" s="22"/>
    </row>
    <row r="148" ht="21.75" customHeight="1">
      <c r="A148" s="19"/>
      <c r="B148" s="19"/>
      <c r="C148" s="21"/>
      <c r="D148" s="23"/>
      <c r="E148" s="23"/>
      <c r="F148" s="19"/>
      <c r="G148" s="22"/>
    </row>
    <row r="149" ht="21.75" customHeight="1">
      <c r="A149" s="19"/>
      <c r="B149" s="19"/>
      <c r="C149" s="21"/>
      <c r="D149" s="23"/>
      <c r="E149" s="23"/>
      <c r="F149" s="19"/>
      <c r="G149" s="22"/>
    </row>
    <row r="150" ht="21.75" customHeight="1">
      <c r="A150" s="19"/>
      <c r="B150" s="19"/>
      <c r="C150" s="21"/>
      <c r="D150" s="23"/>
      <c r="E150" s="23"/>
      <c r="F150" s="19"/>
      <c r="G150" s="22"/>
    </row>
    <row r="151" ht="21.75" customHeight="1">
      <c r="A151" s="19"/>
      <c r="B151" s="19"/>
      <c r="C151" s="21"/>
      <c r="D151" s="23"/>
      <c r="E151" s="23"/>
      <c r="F151" s="19"/>
      <c r="G151" s="22"/>
    </row>
    <row r="152" ht="21.75" customHeight="1">
      <c r="A152" s="19"/>
      <c r="B152" s="19"/>
      <c r="C152" s="21"/>
      <c r="D152" s="23"/>
      <c r="E152" s="23"/>
      <c r="F152" s="19"/>
      <c r="G152" s="22"/>
    </row>
    <row r="153" ht="21.75" customHeight="1">
      <c r="A153" s="19"/>
      <c r="B153" s="19"/>
      <c r="C153" s="21"/>
      <c r="D153" s="23"/>
      <c r="E153" s="23"/>
      <c r="F153" s="19"/>
      <c r="G153" s="22"/>
    </row>
    <row r="154" ht="21.75" customHeight="1">
      <c r="A154" s="19"/>
      <c r="B154" s="19"/>
      <c r="C154" s="21"/>
      <c r="D154" s="23"/>
      <c r="E154" s="23"/>
      <c r="F154" s="19"/>
      <c r="G154" s="22"/>
    </row>
    <row r="155" ht="21.75" customHeight="1">
      <c r="A155" s="19"/>
      <c r="B155" s="19"/>
      <c r="C155" s="21"/>
      <c r="D155" s="23"/>
      <c r="E155" s="23"/>
      <c r="F155" s="19"/>
      <c r="G155" s="22"/>
    </row>
    <row r="156" ht="21.75" customHeight="1">
      <c r="A156" s="19"/>
      <c r="B156" s="19"/>
      <c r="C156" s="21"/>
      <c r="D156" s="23"/>
      <c r="E156" s="23"/>
      <c r="F156" s="19"/>
      <c r="G156" s="22"/>
    </row>
    <row r="157" ht="21.75" customHeight="1">
      <c r="A157" s="19"/>
      <c r="B157" s="19"/>
      <c r="C157" s="21"/>
      <c r="D157" s="23"/>
      <c r="E157" s="23"/>
      <c r="F157" s="19"/>
      <c r="G157" s="22"/>
    </row>
    <row r="158" ht="21.75" customHeight="1">
      <c r="A158" s="19"/>
      <c r="B158" s="19"/>
      <c r="C158" s="21"/>
      <c r="D158" s="23"/>
      <c r="E158" s="23"/>
      <c r="F158" s="19"/>
      <c r="G158" s="22"/>
    </row>
    <row r="159" ht="21.75" customHeight="1">
      <c r="A159" s="19"/>
      <c r="B159" s="19"/>
      <c r="C159" s="21"/>
      <c r="D159" s="23"/>
      <c r="E159" s="23"/>
      <c r="F159" s="19"/>
      <c r="G159" s="22"/>
    </row>
    <row r="160" ht="21.75" customHeight="1">
      <c r="A160" s="19"/>
      <c r="B160" s="19"/>
      <c r="C160" s="21"/>
      <c r="D160" s="23"/>
      <c r="E160" s="23"/>
      <c r="F160" s="19"/>
      <c r="G160" s="22"/>
    </row>
    <row r="161" ht="21.75" customHeight="1">
      <c r="A161" s="19"/>
      <c r="B161" s="19"/>
      <c r="C161" s="21"/>
      <c r="D161" s="23"/>
      <c r="E161" s="23"/>
      <c r="F161" s="19"/>
      <c r="G161" s="22"/>
    </row>
    <row r="162" ht="21.75" customHeight="1">
      <c r="A162" s="19"/>
      <c r="B162" s="19"/>
      <c r="C162" s="21"/>
      <c r="D162" s="23"/>
      <c r="E162" s="23"/>
      <c r="F162" s="19"/>
      <c r="G162" s="22"/>
    </row>
    <row r="163" ht="21.75" customHeight="1">
      <c r="A163" s="19"/>
      <c r="B163" s="19"/>
      <c r="C163" s="21"/>
      <c r="D163" s="23"/>
      <c r="E163" s="23"/>
      <c r="F163" s="19"/>
      <c r="G163" s="22"/>
    </row>
    <row r="164" ht="21.75" customHeight="1">
      <c r="A164" s="19"/>
      <c r="B164" s="19"/>
      <c r="C164" s="21"/>
      <c r="D164" s="23"/>
      <c r="E164" s="23"/>
      <c r="F164" s="19"/>
      <c r="G164" s="22"/>
    </row>
    <row r="165" ht="21.75" customHeight="1">
      <c r="A165" s="19"/>
      <c r="B165" s="19"/>
      <c r="C165" s="21"/>
      <c r="D165" s="23"/>
      <c r="E165" s="23"/>
      <c r="F165" s="19"/>
      <c r="G165" s="22"/>
    </row>
    <row r="166" ht="21.75" customHeight="1">
      <c r="A166" s="19"/>
      <c r="B166" s="19"/>
      <c r="C166" s="21"/>
      <c r="D166" s="23"/>
      <c r="E166" s="23"/>
      <c r="F166" s="19"/>
      <c r="G166" s="22"/>
    </row>
    <row r="167" ht="21.75" customHeight="1">
      <c r="A167" s="19"/>
      <c r="B167" s="19"/>
      <c r="C167" s="21"/>
      <c r="D167" s="23"/>
      <c r="E167" s="23"/>
      <c r="F167" s="19"/>
      <c r="G167" s="22"/>
    </row>
    <row r="168" ht="21.75" customHeight="1">
      <c r="A168" s="19"/>
      <c r="B168" s="19"/>
      <c r="C168" s="21"/>
      <c r="D168" s="23"/>
      <c r="E168" s="23"/>
      <c r="F168" s="19"/>
      <c r="G168" s="22"/>
    </row>
    <row r="169" ht="21.75" customHeight="1">
      <c r="A169" s="19"/>
      <c r="B169" s="19"/>
      <c r="C169" s="21"/>
      <c r="D169" s="23"/>
      <c r="E169" s="23"/>
      <c r="F169" s="19"/>
      <c r="G169" s="22"/>
    </row>
    <row r="170" ht="21.75" customHeight="1">
      <c r="A170" s="19"/>
      <c r="B170" s="19"/>
      <c r="C170" s="21"/>
      <c r="D170" s="23"/>
      <c r="E170" s="23"/>
      <c r="F170" s="19"/>
      <c r="G170" s="22"/>
    </row>
    <row r="171" ht="21.75" customHeight="1">
      <c r="A171" s="19"/>
      <c r="B171" s="19"/>
      <c r="C171" s="21"/>
      <c r="D171" s="23"/>
      <c r="E171" s="23"/>
      <c r="F171" s="19"/>
      <c r="G171" s="22"/>
    </row>
    <row r="172" ht="21.75" customHeight="1">
      <c r="A172" s="19"/>
      <c r="B172" s="19"/>
      <c r="C172" s="21"/>
      <c r="D172" s="23"/>
      <c r="E172" s="23"/>
      <c r="F172" s="19"/>
      <c r="G172" s="22"/>
    </row>
    <row r="173" ht="21.75" customHeight="1">
      <c r="A173" s="19"/>
      <c r="B173" s="19"/>
      <c r="C173" s="21"/>
      <c r="D173" s="23"/>
      <c r="E173" s="23"/>
      <c r="F173" s="19"/>
      <c r="G173" s="22"/>
    </row>
    <row r="174" ht="21.75" customHeight="1">
      <c r="A174" s="19"/>
      <c r="B174" s="19"/>
      <c r="C174" s="21"/>
      <c r="D174" s="23"/>
      <c r="E174" s="23"/>
      <c r="F174" s="19"/>
      <c r="G174" s="22"/>
    </row>
    <row r="175" ht="21.75" customHeight="1">
      <c r="A175" s="19"/>
      <c r="B175" s="19"/>
      <c r="C175" s="21"/>
      <c r="D175" s="23"/>
      <c r="E175" s="23"/>
      <c r="F175" s="19"/>
      <c r="G175" s="22"/>
    </row>
    <row r="176" ht="21.75" customHeight="1">
      <c r="A176" s="19"/>
      <c r="B176" s="19"/>
      <c r="C176" s="21"/>
      <c r="D176" s="23"/>
      <c r="E176" s="23"/>
      <c r="F176" s="19"/>
      <c r="G176" s="22"/>
    </row>
    <row r="177" ht="21.75" customHeight="1">
      <c r="A177" s="19"/>
      <c r="B177" s="19"/>
      <c r="C177" s="21"/>
      <c r="D177" s="23"/>
      <c r="E177" s="23"/>
      <c r="F177" s="19"/>
      <c r="G177" s="22"/>
    </row>
    <row r="178" ht="21.75" customHeight="1">
      <c r="A178" s="19"/>
      <c r="B178" s="19"/>
      <c r="C178" s="21"/>
      <c r="D178" s="23"/>
      <c r="E178" s="23"/>
      <c r="F178" s="19"/>
      <c r="G178" s="22"/>
    </row>
    <row r="179" ht="21.75" customHeight="1">
      <c r="A179" s="19"/>
      <c r="B179" s="19"/>
      <c r="C179" s="21"/>
      <c r="D179" s="23"/>
      <c r="E179" s="23"/>
      <c r="F179" s="19"/>
      <c r="G179" s="22"/>
    </row>
    <row r="180" ht="21.75" customHeight="1">
      <c r="A180" s="19"/>
      <c r="B180" s="19"/>
      <c r="C180" s="21"/>
      <c r="D180" s="23"/>
      <c r="E180" s="23"/>
      <c r="F180" s="19"/>
      <c r="G180" s="22"/>
    </row>
    <row r="181" ht="21.75" customHeight="1">
      <c r="A181" s="19"/>
      <c r="B181" s="19"/>
      <c r="C181" s="21"/>
      <c r="D181" s="23"/>
      <c r="E181" s="23"/>
      <c r="F181" s="19"/>
      <c r="G181" s="22"/>
    </row>
    <row r="182" ht="21.75" customHeight="1">
      <c r="A182" s="19"/>
      <c r="B182" s="19"/>
      <c r="C182" s="21"/>
      <c r="D182" s="23"/>
      <c r="E182" s="23"/>
      <c r="F182" s="19"/>
      <c r="G182" s="22"/>
    </row>
    <row r="183" ht="21.75" customHeight="1">
      <c r="A183" s="19"/>
      <c r="B183" s="19"/>
      <c r="C183" s="21"/>
      <c r="D183" s="23"/>
      <c r="E183" s="23"/>
      <c r="F183" s="19"/>
      <c r="G183" s="22"/>
    </row>
    <row r="184" ht="21.75" customHeight="1">
      <c r="A184" s="19"/>
      <c r="B184" s="19"/>
      <c r="C184" s="21"/>
      <c r="D184" s="23"/>
      <c r="E184" s="23"/>
      <c r="F184" s="19"/>
      <c r="G184" s="22"/>
    </row>
    <row r="185" ht="21.75" customHeight="1">
      <c r="A185" s="19"/>
      <c r="B185" s="19"/>
      <c r="C185" s="21"/>
      <c r="D185" s="23"/>
      <c r="E185" s="23"/>
      <c r="F185" s="19"/>
      <c r="G185" s="22"/>
    </row>
    <row r="186" ht="21.75" customHeight="1">
      <c r="A186" s="19"/>
      <c r="B186" s="19"/>
      <c r="C186" s="21"/>
      <c r="D186" s="23"/>
      <c r="E186" s="23"/>
      <c r="F186" s="19"/>
      <c r="G186" s="22"/>
    </row>
    <row r="187" ht="21.75" customHeight="1">
      <c r="A187" s="19"/>
      <c r="B187" s="19"/>
      <c r="C187" s="21"/>
      <c r="D187" s="23"/>
      <c r="E187" s="23"/>
      <c r="F187" s="19"/>
      <c r="G187" s="22"/>
    </row>
    <row r="188" ht="21.75" customHeight="1">
      <c r="A188" s="19"/>
      <c r="B188" s="19"/>
      <c r="C188" s="21"/>
      <c r="D188" s="23"/>
      <c r="E188" s="23"/>
      <c r="F188" s="19"/>
      <c r="G188" s="22"/>
    </row>
    <row r="189" ht="21.75" customHeight="1">
      <c r="A189" s="19"/>
      <c r="B189" s="19"/>
      <c r="C189" s="21"/>
      <c r="D189" s="23"/>
      <c r="E189" s="23"/>
      <c r="F189" s="19"/>
      <c r="G189" s="22"/>
    </row>
    <row r="190" ht="21.75" customHeight="1">
      <c r="A190" s="19"/>
      <c r="B190" s="19"/>
      <c r="C190" s="21"/>
      <c r="D190" s="23"/>
      <c r="E190" s="23"/>
      <c r="F190" s="19"/>
      <c r="G190" s="22"/>
    </row>
    <row r="191" ht="21.75" customHeight="1">
      <c r="A191" s="19"/>
      <c r="B191" s="19"/>
      <c r="C191" s="21"/>
      <c r="D191" s="23"/>
      <c r="E191" s="23"/>
      <c r="F191" s="19"/>
      <c r="G191" s="22"/>
    </row>
    <row r="192" ht="21.75" customHeight="1">
      <c r="A192" s="19"/>
      <c r="B192" s="19"/>
      <c r="C192" s="21"/>
      <c r="D192" s="23"/>
      <c r="E192" s="23"/>
      <c r="F192" s="19"/>
      <c r="G192" s="22"/>
    </row>
    <row r="193" ht="21.75" customHeight="1">
      <c r="A193" s="19"/>
      <c r="B193" s="19"/>
      <c r="C193" s="21"/>
      <c r="D193" s="23"/>
      <c r="E193" s="23"/>
      <c r="F193" s="19"/>
      <c r="G193" s="22"/>
    </row>
    <row r="194" ht="21.75" customHeight="1">
      <c r="A194" s="19"/>
      <c r="B194" s="19"/>
      <c r="C194" s="21"/>
      <c r="D194" s="23"/>
      <c r="E194" s="23"/>
      <c r="F194" s="19"/>
      <c r="G194" s="22"/>
    </row>
    <row r="195" ht="21.75" customHeight="1">
      <c r="A195" s="19"/>
      <c r="B195" s="19"/>
      <c r="C195" s="21"/>
      <c r="D195" s="23"/>
      <c r="E195" s="23"/>
      <c r="F195" s="19"/>
      <c r="G195" s="22"/>
    </row>
    <row r="196" ht="21.75" customHeight="1">
      <c r="A196" s="19"/>
      <c r="B196" s="19"/>
      <c r="C196" s="21"/>
      <c r="D196" s="23"/>
      <c r="E196" s="23"/>
      <c r="F196" s="19"/>
      <c r="G196" s="22"/>
    </row>
    <row r="197" ht="21.75" customHeight="1">
      <c r="A197" s="19"/>
      <c r="B197" s="19"/>
      <c r="C197" s="21"/>
      <c r="D197" s="23"/>
      <c r="E197" s="23"/>
      <c r="F197" s="19"/>
      <c r="G197" s="22"/>
    </row>
    <row r="198" ht="21.75" customHeight="1">
      <c r="A198" s="19"/>
      <c r="B198" s="19"/>
      <c r="C198" s="21"/>
      <c r="D198" s="23"/>
      <c r="E198" s="23"/>
      <c r="F198" s="19"/>
      <c r="G198" s="22"/>
    </row>
    <row r="199" ht="21.75" customHeight="1">
      <c r="A199" s="19"/>
      <c r="B199" s="19"/>
      <c r="C199" s="21"/>
      <c r="D199" s="23"/>
      <c r="E199" s="23"/>
      <c r="F199" s="19"/>
      <c r="G199" s="22"/>
    </row>
    <row r="200" ht="21.75" customHeight="1">
      <c r="A200" s="19"/>
      <c r="B200" s="19"/>
      <c r="C200" s="21"/>
      <c r="D200" s="23"/>
      <c r="E200" s="23"/>
      <c r="F200" s="19"/>
      <c r="G200" s="22"/>
    </row>
    <row r="201" ht="21.75" customHeight="1">
      <c r="A201" s="19"/>
      <c r="B201" s="19"/>
      <c r="C201" s="21"/>
      <c r="D201" s="23"/>
      <c r="E201" s="23"/>
      <c r="F201" s="19"/>
      <c r="G201" s="22"/>
    </row>
    <row r="202" ht="21.75" customHeight="1">
      <c r="A202" s="19"/>
      <c r="B202" s="19"/>
      <c r="C202" s="21"/>
      <c r="D202" s="23"/>
      <c r="E202" s="23"/>
      <c r="F202" s="19"/>
      <c r="G202" s="22"/>
    </row>
    <row r="203" ht="21.75" customHeight="1">
      <c r="A203" s="19"/>
      <c r="B203" s="19"/>
      <c r="C203" s="21"/>
      <c r="D203" s="23"/>
      <c r="E203" s="23"/>
      <c r="F203" s="19"/>
      <c r="G203" s="22"/>
    </row>
    <row r="204" ht="21.75" customHeight="1">
      <c r="A204" s="19"/>
      <c r="B204" s="19"/>
      <c r="C204" s="21"/>
      <c r="D204" s="23"/>
      <c r="E204" s="23"/>
      <c r="F204" s="19"/>
      <c r="G204" s="22"/>
    </row>
    <row r="205" ht="21.75" customHeight="1">
      <c r="A205" s="19"/>
      <c r="B205" s="19"/>
      <c r="C205" s="21"/>
      <c r="D205" s="23"/>
      <c r="E205" s="23"/>
      <c r="F205" s="19"/>
      <c r="G205" s="22"/>
    </row>
    <row r="206" ht="21.75" customHeight="1">
      <c r="A206" s="19"/>
      <c r="B206" s="19"/>
      <c r="C206" s="21"/>
      <c r="D206" s="23"/>
      <c r="E206" s="23"/>
      <c r="F206" s="19"/>
      <c r="G206" s="22"/>
    </row>
    <row r="207" ht="21.75" customHeight="1">
      <c r="A207" s="19"/>
      <c r="B207" s="19"/>
      <c r="C207" s="21"/>
      <c r="D207" s="23"/>
      <c r="E207" s="23"/>
      <c r="F207" s="19"/>
      <c r="G207" s="22"/>
    </row>
    <row r="208" ht="21.75" customHeight="1">
      <c r="A208" s="19"/>
      <c r="B208" s="19"/>
      <c r="C208" s="21"/>
      <c r="D208" s="23"/>
      <c r="E208" s="23"/>
      <c r="F208" s="19"/>
      <c r="G208" s="22"/>
    </row>
    <row r="209" ht="21.75" customHeight="1">
      <c r="A209" s="19"/>
      <c r="B209" s="19"/>
      <c r="C209" s="21"/>
      <c r="D209" s="23"/>
      <c r="E209" s="23"/>
      <c r="F209" s="19"/>
      <c r="G209" s="22"/>
    </row>
    <row r="210" ht="21.75" customHeight="1">
      <c r="A210" s="19"/>
      <c r="B210" s="19"/>
      <c r="C210" s="21"/>
      <c r="D210" s="23"/>
      <c r="E210" s="23"/>
      <c r="F210" s="19"/>
      <c r="G210" s="22"/>
    </row>
    <row r="211" ht="21.75" customHeight="1">
      <c r="A211" s="19"/>
      <c r="B211" s="19"/>
      <c r="C211" s="21"/>
      <c r="D211" s="23"/>
      <c r="E211" s="23"/>
      <c r="F211" s="19"/>
      <c r="G211" s="22"/>
    </row>
    <row r="212" ht="21.75" customHeight="1">
      <c r="A212" s="19"/>
      <c r="B212" s="19"/>
      <c r="C212" s="21"/>
      <c r="D212" s="23"/>
      <c r="E212" s="23"/>
      <c r="F212" s="19"/>
      <c r="G212" s="22"/>
    </row>
    <row r="213" ht="21.75" customHeight="1">
      <c r="A213" s="19"/>
      <c r="B213" s="19"/>
      <c r="C213" s="21"/>
      <c r="D213" s="23"/>
      <c r="E213" s="23"/>
      <c r="F213" s="19"/>
      <c r="G213" s="22"/>
    </row>
    <row r="214" ht="21.75" customHeight="1">
      <c r="A214" s="19"/>
      <c r="B214" s="19"/>
      <c r="C214" s="21"/>
      <c r="D214" s="23"/>
      <c r="E214" s="23"/>
      <c r="F214" s="19"/>
      <c r="G214" s="22"/>
    </row>
    <row r="215" ht="21.75" customHeight="1">
      <c r="A215" s="19"/>
      <c r="B215" s="19"/>
      <c r="C215" s="21"/>
      <c r="D215" s="23"/>
      <c r="E215" s="23"/>
      <c r="F215" s="19"/>
      <c r="G215" s="22"/>
    </row>
    <row r="216" ht="21.75" customHeight="1">
      <c r="A216" s="19"/>
      <c r="B216" s="19"/>
      <c r="C216" s="21"/>
      <c r="D216" s="23"/>
      <c r="E216" s="23"/>
      <c r="F216" s="19"/>
      <c r="G216" s="22"/>
    </row>
    <row r="217" ht="21.75" customHeight="1">
      <c r="A217" s="19"/>
      <c r="B217" s="19"/>
      <c r="C217" s="21"/>
      <c r="D217" s="23"/>
      <c r="E217" s="23"/>
      <c r="F217" s="19"/>
      <c r="G217" s="22"/>
    </row>
    <row r="218" ht="21.75" customHeight="1">
      <c r="A218" s="19"/>
      <c r="B218" s="19"/>
      <c r="C218" s="21"/>
      <c r="D218" s="23"/>
      <c r="E218" s="23"/>
      <c r="F218" s="19"/>
      <c r="G218" s="22"/>
    </row>
    <row r="219" ht="21.75" customHeight="1">
      <c r="A219" s="19"/>
      <c r="B219" s="19"/>
      <c r="C219" s="21"/>
      <c r="D219" s="23"/>
      <c r="E219" s="23"/>
      <c r="F219" s="19"/>
      <c r="G219" s="22"/>
    </row>
    <row r="220" ht="21.75" customHeight="1">
      <c r="A220" s="19"/>
      <c r="B220" s="19"/>
      <c r="C220" s="21"/>
      <c r="D220" s="23"/>
      <c r="E220" s="23"/>
      <c r="F220" s="19"/>
      <c r="G220" s="22"/>
    </row>
    <row r="221" ht="21.75" customHeight="1">
      <c r="A221" s="19"/>
      <c r="B221" s="19"/>
      <c r="C221" s="21"/>
      <c r="D221" s="23"/>
      <c r="E221" s="23"/>
      <c r="F221" s="19"/>
      <c r="G221" s="22"/>
    </row>
    <row r="222" ht="21.75" customHeight="1">
      <c r="A222" s="19"/>
      <c r="B222" s="19"/>
      <c r="C222" s="21"/>
      <c r="D222" s="23"/>
      <c r="E222" s="23"/>
      <c r="F222" s="19"/>
      <c r="G222" s="22"/>
    </row>
    <row r="223" ht="21.75" customHeight="1">
      <c r="A223" s="19"/>
      <c r="B223" s="19"/>
      <c r="C223" s="21"/>
      <c r="D223" s="23"/>
      <c r="E223" s="23"/>
      <c r="F223" s="19"/>
      <c r="G223" s="22"/>
    </row>
    <row r="224" ht="21.75" customHeight="1">
      <c r="A224" s="19"/>
      <c r="B224" s="19"/>
      <c r="C224" s="21"/>
      <c r="D224" s="23"/>
      <c r="E224" s="23"/>
      <c r="F224" s="19"/>
      <c r="G224" s="22"/>
    </row>
    <row r="225" ht="21.75" customHeight="1">
      <c r="A225" s="19"/>
      <c r="B225" s="19"/>
      <c r="C225" s="21"/>
      <c r="D225" s="23"/>
      <c r="E225" s="23"/>
      <c r="F225" s="19"/>
      <c r="G225" s="22"/>
    </row>
    <row r="226" ht="21.75" customHeight="1">
      <c r="A226" s="19"/>
      <c r="B226" s="19"/>
      <c r="C226" s="21"/>
      <c r="D226" s="23"/>
      <c r="E226" s="23"/>
      <c r="F226" s="19"/>
      <c r="G226" s="22"/>
    </row>
    <row r="227" ht="21.75" customHeight="1">
      <c r="A227" s="19"/>
      <c r="B227" s="19"/>
      <c r="C227" s="21"/>
      <c r="D227" s="23"/>
      <c r="E227" s="23"/>
      <c r="F227" s="19"/>
      <c r="G227" s="22"/>
    </row>
    <row r="228" ht="21.75" customHeight="1">
      <c r="A228" s="19"/>
      <c r="B228" s="19"/>
      <c r="C228" s="21"/>
      <c r="D228" s="23"/>
      <c r="E228" s="23"/>
      <c r="F228" s="19"/>
      <c r="G228" s="22"/>
    </row>
    <row r="229" ht="21.75" customHeight="1">
      <c r="A229" s="19"/>
      <c r="B229" s="19"/>
      <c r="C229" s="21"/>
      <c r="D229" s="23"/>
      <c r="E229" s="23"/>
      <c r="F229" s="19"/>
      <c r="G229" s="22"/>
    </row>
    <row r="230" ht="21.75" customHeight="1">
      <c r="A230" s="19"/>
      <c r="B230" s="19"/>
      <c r="C230" s="21"/>
      <c r="D230" s="23"/>
      <c r="E230" s="23"/>
      <c r="F230" s="19"/>
      <c r="G230" s="22"/>
    </row>
    <row r="231" ht="21.75" customHeight="1">
      <c r="A231" s="19"/>
      <c r="B231" s="19"/>
      <c r="C231" s="21"/>
      <c r="D231" s="23"/>
      <c r="E231" s="23"/>
      <c r="F231" s="19"/>
      <c r="G231" s="22"/>
    </row>
    <row r="232" ht="21.75" customHeight="1">
      <c r="A232" s="19"/>
      <c r="B232" s="19"/>
      <c r="C232" s="21"/>
      <c r="D232" s="23"/>
      <c r="E232" s="23"/>
      <c r="F232" s="19"/>
      <c r="G232" s="22"/>
    </row>
    <row r="233" ht="21.75" customHeight="1">
      <c r="A233" s="19"/>
      <c r="B233" s="19"/>
      <c r="C233" s="21"/>
      <c r="D233" s="23"/>
      <c r="E233" s="23"/>
      <c r="F233" s="19"/>
      <c r="G233" s="22"/>
    </row>
    <row r="234" ht="21.75" customHeight="1">
      <c r="A234" s="19"/>
      <c r="B234" s="19"/>
      <c r="C234" s="21"/>
      <c r="D234" s="23"/>
      <c r="E234" s="23"/>
      <c r="F234" s="19"/>
      <c r="G234" s="22"/>
    </row>
    <row r="235" ht="21.75" customHeight="1">
      <c r="A235" s="19"/>
      <c r="B235" s="19"/>
      <c r="C235" s="21"/>
      <c r="D235" s="23"/>
      <c r="E235" s="23"/>
      <c r="F235" s="19"/>
      <c r="G235" s="22"/>
    </row>
    <row r="236" ht="21.75" customHeight="1">
      <c r="A236" s="19"/>
      <c r="B236" s="19"/>
      <c r="C236" s="21"/>
      <c r="D236" s="23"/>
      <c r="E236" s="23"/>
      <c r="F236" s="19"/>
      <c r="G236" s="22"/>
    </row>
    <row r="237" ht="21.75" customHeight="1">
      <c r="A237" s="19"/>
      <c r="B237" s="19"/>
      <c r="C237" s="21"/>
      <c r="D237" s="23"/>
      <c r="E237" s="23"/>
      <c r="F237" s="19"/>
      <c r="G237" s="22"/>
    </row>
    <row r="238" ht="21.75" customHeight="1">
      <c r="A238" s="19"/>
      <c r="B238" s="19"/>
      <c r="C238" s="21"/>
      <c r="D238" s="23"/>
      <c r="E238" s="23"/>
      <c r="F238" s="19"/>
      <c r="G238" s="22"/>
    </row>
    <row r="239" ht="21.75" customHeight="1">
      <c r="A239" s="19"/>
      <c r="B239" s="19"/>
      <c r="C239" s="21"/>
      <c r="D239" s="23"/>
      <c r="E239" s="23"/>
      <c r="F239" s="19"/>
      <c r="G239" s="22"/>
    </row>
    <row r="240" ht="21.75" customHeight="1">
      <c r="A240" s="19"/>
      <c r="B240" s="19"/>
      <c r="C240" s="21"/>
      <c r="D240" s="23"/>
      <c r="E240" s="23"/>
      <c r="F240" s="19"/>
      <c r="G240" s="22"/>
    </row>
    <row r="241" ht="21.75" customHeight="1">
      <c r="A241" s="19"/>
      <c r="B241" s="19"/>
      <c r="C241" s="21"/>
      <c r="D241" s="23"/>
      <c r="E241" s="23"/>
      <c r="F241" s="19"/>
      <c r="G241" s="22"/>
    </row>
    <row r="242" ht="21.75" customHeight="1">
      <c r="A242" s="19"/>
      <c r="B242" s="19"/>
      <c r="C242" s="21"/>
      <c r="D242" s="23"/>
      <c r="E242" s="23"/>
      <c r="F242" s="19"/>
      <c r="G242" s="22"/>
    </row>
    <row r="243" ht="21.75" customHeight="1">
      <c r="A243" s="19"/>
      <c r="B243" s="19"/>
      <c r="C243" s="21"/>
      <c r="D243" s="23"/>
      <c r="E243" s="23"/>
      <c r="F243" s="19"/>
      <c r="G243" s="22"/>
    </row>
    <row r="244" ht="21.75" customHeight="1">
      <c r="A244" s="19"/>
      <c r="B244" s="19"/>
      <c r="C244" s="21"/>
      <c r="D244" s="23"/>
      <c r="E244" s="23"/>
      <c r="F244" s="19"/>
      <c r="G244" s="22"/>
    </row>
    <row r="245" ht="21.75" customHeight="1">
      <c r="A245" s="19"/>
      <c r="B245" s="19"/>
      <c r="C245" s="21"/>
      <c r="D245" s="23"/>
      <c r="E245" s="23"/>
      <c r="F245" s="19"/>
      <c r="G245" s="22"/>
    </row>
    <row r="246" ht="21.75" customHeight="1">
      <c r="A246" s="19"/>
      <c r="B246" s="19"/>
      <c r="C246" s="21"/>
      <c r="D246" s="23"/>
      <c r="E246" s="23"/>
      <c r="F246" s="19"/>
      <c r="G246" s="22"/>
    </row>
    <row r="247" ht="21.75" customHeight="1">
      <c r="A247" s="19"/>
      <c r="B247" s="19"/>
      <c r="C247" s="21"/>
      <c r="D247" s="23"/>
      <c r="E247" s="23"/>
      <c r="F247" s="19"/>
      <c r="G247" s="22"/>
    </row>
    <row r="248" ht="21.75" customHeight="1">
      <c r="A248" s="19"/>
      <c r="B248" s="19"/>
      <c r="C248" s="21"/>
      <c r="D248" s="23"/>
      <c r="E248" s="23"/>
      <c r="F248" s="19"/>
      <c r="G248" s="22"/>
    </row>
    <row r="249" ht="21.75" customHeight="1">
      <c r="A249" s="19"/>
      <c r="B249" s="19"/>
      <c r="C249" s="21"/>
      <c r="D249" s="23"/>
      <c r="E249" s="23"/>
      <c r="F249" s="19"/>
      <c r="G249" s="22"/>
    </row>
    <row r="250" ht="21.75" customHeight="1">
      <c r="A250" s="19"/>
      <c r="B250" s="19"/>
      <c r="C250" s="21"/>
      <c r="D250" s="23"/>
      <c r="E250" s="23"/>
      <c r="F250" s="19"/>
      <c r="G250" s="22"/>
    </row>
    <row r="251" ht="21.75" customHeight="1">
      <c r="A251" s="19"/>
      <c r="B251" s="19"/>
      <c r="C251" s="21"/>
      <c r="D251" s="23"/>
      <c r="E251" s="23"/>
      <c r="F251" s="19"/>
      <c r="G251" s="22"/>
    </row>
    <row r="252" ht="21.75" customHeight="1">
      <c r="A252" s="19"/>
      <c r="B252" s="19"/>
      <c r="C252" s="21"/>
      <c r="D252" s="23"/>
      <c r="E252" s="23"/>
      <c r="F252" s="19"/>
      <c r="G252" s="22"/>
    </row>
    <row r="253" ht="21.75" customHeight="1">
      <c r="A253" s="19"/>
      <c r="B253" s="19"/>
      <c r="C253" s="21"/>
      <c r="D253" s="23"/>
      <c r="E253" s="23"/>
      <c r="F253" s="19"/>
      <c r="G253" s="22"/>
    </row>
    <row r="254" ht="21.75" customHeight="1">
      <c r="A254" s="19"/>
      <c r="B254" s="19"/>
      <c r="C254" s="21"/>
      <c r="D254" s="23"/>
      <c r="E254" s="23"/>
      <c r="F254" s="19"/>
      <c r="G254" s="22"/>
    </row>
    <row r="255" ht="21.75" customHeight="1">
      <c r="A255" s="19"/>
      <c r="B255" s="19"/>
      <c r="C255" s="21"/>
      <c r="D255" s="23"/>
      <c r="E255" s="23"/>
      <c r="F255" s="19"/>
      <c r="G255" s="22"/>
    </row>
    <row r="256" ht="21.75" customHeight="1">
      <c r="A256" s="19"/>
      <c r="B256" s="19"/>
      <c r="C256" s="21"/>
      <c r="D256" s="23"/>
      <c r="E256" s="23"/>
      <c r="F256" s="19"/>
      <c r="G256" s="22"/>
    </row>
    <row r="257" ht="21.75" customHeight="1">
      <c r="A257" s="19"/>
      <c r="B257" s="19"/>
      <c r="C257" s="21"/>
      <c r="D257" s="23"/>
      <c r="E257" s="23"/>
      <c r="F257" s="19"/>
      <c r="G257" s="22"/>
    </row>
    <row r="258" ht="21.75" customHeight="1">
      <c r="A258" s="19"/>
      <c r="B258" s="19"/>
      <c r="C258" s="21"/>
      <c r="D258" s="23"/>
      <c r="E258" s="23"/>
      <c r="F258" s="19"/>
      <c r="G258" s="22"/>
    </row>
    <row r="259" ht="21.75" customHeight="1">
      <c r="A259" s="19"/>
      <c r="B259" s="19"/>
      <c r="C259" s="21"/>
      <c r="D259" s="23"/>
      <c r="E259" s="23"/>
      <c r="F259" s="19"/>
      <c r="G259" s="22"/>
    </row>
    <row r="260" ht="21.75" customHeight="1">
      <c r="A260" s="19"/>
      <c r="B260" s="19"/>
      <c r="C260" s="21"/>
      <c r="D260" s="23"/>
      <c r="E260" s="23"/>
      <c r="F260" s="19"/>
      <c r="G260" s="22"/>
    </row>
    <row r="261" ht="21.75" customHeight="1">
      <c r="A261" s="19"/>
      <c r="B261" s="19"/>
      <c r="C261" s="21"/>
      <c r="D261" s="23"/>
      <c r="E261" s="23"/>
      <c r="F261" s="19"/>
      <c r="G261" s="22"/>
    </row>
    <row r="262" ht="21.75" customHeight="1">
      <c r="A262" s="19"/>
      <c r="B262" s="19"/>
      <c r="C262" s="21"/>
      <c r="D262" s="23"/>
      <c r="E262" s="23"/>
      <c r="F262" s="19"/>
      <c r="G262" s="22"/>
    </row>
    <row r="263" ht="21.75" customHeight="1">
      <c r="A263" s="19"/>
      <c r="B263" s="19"/>
      <c r="C263" s="21"/>
      <c r="D263" s="23"/>
      <c r="E263" s="23"/>
      <c r="F263" s="19"/>
      <c r="G263" s="22"/>
    </row>
    <row r="264" ht="21.75" customHeight="1">
      <c r="A264" s="19"/>
      <c r="B264" s="19"/>
      <c r="C264" s="21"/>
      <c r="D264" s="23"/>
      <c r="E264" s="23"/>
      <c r="F264" s="19"/>
      <c r="G264" s="22"/>
    </row>
    <row r="265" ht="21.75" customHeight="1">
      <c r="A265" s="19"/>
      <c r="B265" s="19"/>
      <c r="C265" s="21"/>
      <c r="D265" s="23"/>
      <c r="E265" s="23"/>
      <c r="F265" s="19"/>
      <c r="G265" s="22"/>
    </row>
    <row r="266" ht="21.75" customHeight="1">
      <c r="A266" s="19"/>
      <c r="B266" s="19"/>
      <c r="C266" s="21"/>
      <c r="D266" s="23"/>
      <c r="E266" s="23"/>
      <c r="F266" s="19"/>
      <c r="G266" s="22"/>
    </row>
    <row r="267" ht="21.75" customHeight="1">
      <c r="A267" s="19"/>
      <c r="B267" s="19"/>
      <c r="C267" s="21"/>
      <c r="D267" s="23"/>
      <c r="E267" s="23"/>
      <c r="F267" s="19"/>
      <c r="G267" s="22"/>
    </row>
    <row r="268" ht="21.75" customHeight="1">
      <c r="A268" s="19"/>
      <c r="B268" s="19"/>
      <c r="C268" s="21"/>
      <c r="D268" s="23"/>
      <c r="E268" s="23"/>
      <c r="F268" s="19"/>
      <c r="G268" s="22"/>
    </row>
    <row r="269" ht="21.75" customHeight="1">
      <c r="A269" s="19"/>
      <c r="B269" s="19"/>
      <c r="C269" s="21"/>
      <c r="D269" s="23"/>
      <c r="E269" s="23"/>
      <c r="F269" s="19"/>
      <c r="G269" s="22"/>
    </row>
    <row r="270" ht="21.75" customHeight="1">
      <c r="A270" s="19"/>
      <c r="B270" s="19"/>
      <c r="C270" s="21"/>
      <c r="D270" s="23"/>
      <c r="E270" s="23"/>
      <c r="F270" s="19"/>
      <c r="G270" s="22"/>
    </row>
    <row r="271" ht="21.75" customHeight="1">
      <c r="A271" s="19"/>
      <c r="B271" s="19"/>
      <c r="C271" s="21"/>
      <c r="D271" s="23"/>
      <c r="E271" s="23"/>
      <c r="F271" s="19"/>
      <c r="G271" s="22"/>
    </row>
    <row r="272" ht="21.75" customHeight="1">
      <c r="A272" s="19"/>
      <c r="B272" s="19"/>
      <c r="C272" s="21"/>
      <c r="D272" s="23"/>
      <c r="E272" s="23"/>
      <c r="F272" s="19"/>
      <c r="G272" s="22"/>
    </row>
    <row r="273" ht="21.75" customHeight="1">
      <c r="A273" s="19"/>
      <c r="B273" s="19"/>
      <c r="C273" s="21"/>
      <c r="D273" s="23"/>
      <c r="E273" s="23"/>
      <c r="F273" s="19"/>
      <c r="G273" s="22"/>
    </row>
    <row r="274" ht="21.75" customHeight="1">
      <c r="A274" s="19"/>
      <c r="B274" s="19"/>
      <c r="C274" s="21"/>
      <c r="D274" s="23"/>
      <c r="E274" s="23"/>
      <c r="F274" s="19"/>
      <c r="G274" s="22"/>
    </row>
    <row r="275" ht="21.75" customHeight="1">
      <c r="A275" s="19"/>
      <c r="B275" s="19"/>
      <c r="C275" s="21"/>
      <c r="D275" s="23"/>
      <c r="E275" s="23"/>
      <c r="F275" s="19"/>
      <c r="G275" s="22"/>
    </row>
    <row r="276" ht="21.75" customHeight="1">
      <c r="A276" s="19"/>
      <c r="B276" s="19"/>
      <c r="C276" s="21"/>
      <c r="D276" s="23"/>
      <c r="E276" s="23"/>
      <c r="F276" s="19"/>
      <c r="G276" s="22"/>
    </row>
    <row r="277" ht="21.75" customHeight="1">
      <c r="A277" s="19"/>
      <c r="B277" s="19"/>
      <c r="C277" s="21"/>
      <c r="D277" s="23"/>
      <c r="E277" s="23"/>
      <c r="F277" s="19"/>
      <c r="G277" s="22"/>
    </row>
    <row r="278" ht="21.75" customHeight="1">
      <c r="A278" s="19"/>
      <c r="B278" s="19"/>
      <c r="C278" s="21"/>
      <c r="D278" s="23"/>
      <c r="E278" s="23"/>
      <c r="F278" s="19"/>
      <c r="G278" s="22"/>
    </row>
    <row r="279" ht="21.75" customHeight="1">
      <c r="A279" s="19"/>
      <c r="B279" s="19"/>
      <c r="C279" s="21"/>
      <c r="D279" s="23"/>
      <c r="E279" s="23"/>
      <c r="F279" s="19"/>
      <c r="G279" s="22"/>
    </row>
    <row r="280" ht="21.75" customHeight="1">
      <c r="A280" s="19"/>
      <c r="B280" s="19"/>
      <c r="C280" s="21"/>
      <c r="D280" s="23"/>
      <c r="E280" s="23"/>
      <c r="F280" s="19"/>
      <c r="G280" s="22"/>
    </row>
    <row r="281" ht="21.75" customHeight="1">
      <c r="A281" s="19"/>
      <c r="B281" s="19"/>
      <c r="C281" s="21"/>
      <c r="D281" s="23"/>
      <c r="E281" s="23"/>
      <c r="F281" s="19"/>
      <c r="G281" s="22"/>
    </row>
    <row r="282" ht="21.75" customHeight="1">
      <c r="A282" s="19"/>
      <c r="B282" s="19"/>
      <c r="C282" s="21"/>
      <c r="D282" s="23"/>
      <c r="E282" s="23"/>
      <c r="F282" s="19"/>
      <c r="G282" s="22"/>
    </row>
    <row r="283" ht="21.75" customHeight="1">
      <c r="A283" s="19"/>
      <c r="B283" s="19"/>
      <c r="C283" s="21"/>
      <c r="D283" s="23"/>
      <c r="E283" s="23"/>
      <c r="F283" s="19"/>
      <c r="G283" s="22"/>
    </row>
    <row r="284" ht="21.75" customHeight="1">
      <c r="A284" s="19"/>
      <c r="B284" s="19"/>
      <c r="C284" s="21"/>
      <c r="D284" s="23"/>
      <c r="E284" s="23"/>
      <c r="F284" s="19"/>
      <c r="G284" s="22"/>
    </row>
    <row r="285" ht="21.75" customHeight="1">
      <c r="A285" s="19"/>
      <c r="B285" s="19"/>
      <c r="C285" s="21"/>
      <c r="D285" s="23"/>
      <c r="E285" s="23"/>
      <c r="F285" s="19"/>
      <c r="G285" s="22"/>
    </row>
    <row r="286" ht="21.75" customHeight="1">
      <c r="A286" s="19"/>
      <c r="B286" s="19"/>
      <c r="C286" s="21"/>
      <c r="D286" s="23"/>
      <c r="E286" s="23"/>
      <c r="F286" s="19"/>
      <c r="G286" s="22"/>
    </row>
    <row r="287" ht="21.75" customHeight="1">
      <c r="A287" s="19"/>
      <c r="B287" s="19"/>
      <c r="C287" s="21"/>
      <c r="D287" s="23"/>
      <c r="E287" s="23"/>
      <c r="F287" s="19"/>
      <c r="G287" s="22"/>
    </row>
    <row r="288" ht="21.75" customHeight="1">
      <c r="A288" s="19"/>
      <c r="B288" s="19"/>
      <c r="C288" s="21"/>
      <c r="D288" s="23"/>
      <c r="E288" s="23"/>
      <c r="F288" s="19"/>
      <c r="G288" s="22"/>
    </row>
    <row r="289" ht="21.75" customHeight="1">
      <c r="A289" s="19"/>
      <c r="B289" s="19"/>
      <c r="C289" s="21"/>
      <c r="D289" s="23"/>
      <c r="E289" s="23"/>
      <c r="F289" s="19"/>
      <c r="G289" s="22"/>
    </row>
    <row r="290" ht="21.75" customHeight="1">
      <c r="A290" s="19"/>
      <c r="B290" s="19"/>
      <c r="C290" s="21"/>
      <c r="D290" s="23"/>
      <c r="E290" s="23"/>
      <c r="F290" s="19"/>
      <c r="G290" s="22"/>
    </row>
    <row r="291" ht="21.75" customHeight="1">
      <c r="A291" s="19"/>
      <c r="B291" s="19"/>
      <c r="C291" s="21"/>
      <c r="D291" s="23"/>
      <c r="E291" s="23"/>
      <c r="F291" s="19"/>
      <c r="G291" s="22"/>
    </row>
    <row r="292" ht="21.75" customHeight="1">
      <c r="A292" s="19"/>
      <c r="B292" s="19"/>
      <c r="C292" s="21"/>
      <c r="D292" s="23"/>
      <c r="E292" s="23"/>
      <c r="F292" s="19"/>
      <c r="G292" s="22"/>
    </row>
    <row r="293" ht="21.75" customHeight="1">
      <c r="A293" s="19"/>
      <c r="B293" s="19"/>
      <c r="C293" s="21"/>
      <c r="D293" s="23"/>
      <c r="E293" s="23"/>
      <c r="F293" s="19"/>
      <c r="G293" s="22"/>
    </row>
    <row r="294" ht="21.75" customHeight="1">
      <c r="A294" s="19"/>
      <c r="B294" s="19"/>
      <c r="C294" s="21"/>
      <c r="D294" s="23"/>
      <c r="E294" s="23"/>
      <c r="F294" s="19"/>
      <c r="G294" s="22"/>
    </row>
    <row r="295" ht="21.75" customHeight="1">
      <c r="A295" s="19"/>
      <c r="B295" s="19"/>
      <c r="C295" s="21"/>
      <c r="D295" s="23"/>
      <c r="E295" s="23"/>
      <c r="F295" s="19"/>
      <c r="G295" s="22"/>
    </row>
    <row r="296" ht="21.75" customHeight="1">
      <c r="A296" s="19"/>
      <c r="B296" s="19"/>
      <c r="C296" s="21"/>
      <c r="D296" s="23"/>
      <c r="E296" s="23"/>
      <c r="F296" s="19"/>
      <c r="G296" s="22"/>
    </row>
    <row r="297" ht="21.75" customHeight="1">
      <c r="A297" s="19"/>
      <c r="B297" s="19"/>
      <c r="C297" s="21"/>
      <c r="D297" s="23"/>
      <c r="E297" s="23"/>
      <c r="F297" s="19"/>
      <c r="G297" s="22"/>
    </row>
    <row r="298" ht="21.75" customHeight="1">
      <c r="A298" s="19"/>
      <c r="B298" s="19"/>
      <c r="C298" s="21"/>
      <c r="D298" s="23"/>
      <c r="E298" s="23"/>
      <c r="F298" s="19"/>
      <c r="G298" s="22"/>
    </row>
    <row r="299" ht="21.75" customHeight="1">
      <c r="A299" s="19"/>
      <c r="B299" s="19"/>
      <c r="C299" s="21"/>
      <c r="D299" s="23"/>
      <c r="E299" s="23"/>
      <c r="F299" s="19"/>
      <c r="G299" s="22"/>
    </row>
    <row r="300" ht="21.75" customHeight="1">
      <c r="A300" s="19"/>
      <c r="B300" s="19"/>
      <c r="C300" s="21"/>
      <c r="D300" s="23"/>
      <c r="E300" s="23"/>
      <c r="F300" s="19"/>
      <c r="G300" s="22"/>
    </row>
    <row r="301" ht="21.75" customHeight="1">
      <c r="A301" s="19"/>
      <c r="B301" s="19"/>
      <c r="C301" s="21"/>
      <c r="D301" s="23"/>
      <c r="E301" s="23"/>
      <c r="F301" s="19"/>
      <c r="G301" s="22"/>
    </row>
    <row r="302" ht="21.75" customHeight="1">
      <c r="A302" s="19"/>
      <c r="B302" s="19"/>
      <c r="C302" s="21"/>
      <c r="D302" s="23"/>
      <c r="E302" s="23"/>
      <c r="F302" s="19"/>
      <c r="G302" s="22"/>
    </row>
    <row r="303" ht="21.75" customHeight="1">
      <c r="A303" s="19"/>
      <c r="B303" s="19"/>
      <c r="C303" s="21"/>
      <c r="D303" s="23"/>
      <c r="E303" s="23"/>
      <c r="F303" s="19"/>
      <c r="G303" s="22"/>
    </row>
    <row r="304" ht="21.75" customHeight="1">
      <c r="A304" s="19"/>
      <c r="B304" s="19"/>
      <c r="C304" s="21"/>
      <c r="D304" s="23"/>
      <c r="E304" s="23"/>
      <c r="F304" s="19"/>
      <c r="G304" s="22"/>
    </row>
    <row r="305" ht="21.75" customHeight="1">
      <c r="A305" s="19"/>
      <c r="B305" s="19"/>
      <c r="C305" s="21"/>
      <c r="D305" s="23"/>
      <c r="E305" s="23"/>
      <c r="F305" s="19"/>
      <c r="G305" s="22"/>
    </row>
    <row r="306" ht="21.75" customHeight="1">
      <c r="A306" s="19"/>
      <c r="B306" s="19"/>
      <c r="C306" s="21"/>
      <c r="D306" s="23"/>
      <c r="E306" s="23"/>
      <c r="F306" s="19"/>
      <c r="G306" s="22"/>
    </row>
    <row r="307" ht="21.75" customHeight="1">
      <c r="A307" s="19"/>
      <c r="B307" s="19"/>
      <c r="C307" s="21"/>
      <c r="D307" s="23"/>
      <c r="E307" s="23"/>
      <c r="F307" s="19"/>
      <c r="G307" s="22"/>
    </row>
    <row r="308" ht="21.75" customHeight="1">
      <c r="A308" s="19"/>
      <c r="B308" s="19"/>
      <c r="C308" s="21"/>
      <c r="D308" s="23"/>
      <c r="E308" s="23"/>
      <c r="F308" s="19"/>
      <c r="G308" s="22"/>
    </row>
    <row r="309" ht="21.75" customHeight="1">
      <c r="A309" s="19"/>
      <c r="B309" s="19"/>
      <c r="C309" s="21"/>
      <c r="D309" s="23"/>
      <c r="E309" s="23"/>
      <c r="F309" s="19"/>
      <c r="G309" s="22"/>
    </row>
    <row r="310" ht="21.75" customHeight="1">
      <c r="A310" s="19"/>
      <c r="B310" s="19"/>
      <c r="C310" s="21"/>
      <c r="D310" s="23"/>
      <c r="E310" s="23"/>
      <c r="F310" s="19"/>
      <c r="G310" s="22"/>
    </row>
    <row r="311" ht="21.75" customHeight="1">
      <c r="A311" s="19"/>
      <c r="B311" s="19"/>
      <c r="C311" s="21"/>
      <c r="D311" s="23"/>
      <c r="E311" s="23"/>
      <c r="F311" s="19"/>
      <c r="G311" s="22"/>
    </row>
    <row r="312" ht="21.75" customHeight="1">
      <c r="A312" s="19"/>
      <c r="B312" s="19"/>
      <c r="C312" s="21"/>
      <c r="D312" s="23"/>
      <c r="E312" s="23"/>
      <c r="F312" s="19"/>
      <c r="G312" s="22"/>
    </row>
    <row r="313" ht="21.75" customHeight="1">
      <c r="A313" s="19"/>
      <c r="B313" s="19"/>
      <c r="C313" s="21"/>
      <c r="D313" s="23"/>
      <c r="E313" s="23"/>
      <c r="F313" s="19"/>
      <c r="G313" s="22"/>
    </row>
    <row r="314" ht="21.75" customHeight="1">
      <c r="A314" s="19"/>
      <c r="B314" s="19"/>
      <c r="C314" s="21"/>
      <c r="D314" s="23"/>
      <c r="E314" s="23"/>
      <c r="F314" s="19"/>
      <c r="G314" s="22"/>
    </row>
    <row r="315" ht="21.75" customHeight="1">
      <c r="A315" s="19"/>
      <c r="B315" s="19"/>
      <c r="C315" s="21"/>
      <c r="D315" s="23"/>
      <c r="E315" s="23"/>
      <c r="F315" s="19"/>
      <c r="G315" s="22"/>
    </row>
    <row r="316" ht="21.75" customHeight="1">
      <c r="A316" s="19"/>
      <c r="B316" s="19"/>
      <c r="C316" s="21"/>
      <c r="D316" s="23"/>
      <c r="E316" s="23"/>
      <c r="F316" s="19"/>
      <c r="G316" s="22"/>
    </row>
    <row r="317" ht="21.75" customHeight="1">
      <c r="A317" s="19"/>
      <c r="B317" s="19"/>
      <c r="C317" s="21"/>
      <c r="D317" s="23"/>
      <c r="E317" s="23"/>
      <c r="F317" s="19"/>
      <c r="G317" s="22"/>
    </row>
    <row r="318" ht="21.75" customHeight="1">
      <c r="A318" s="19"/>
      <c r="B318" s="19"/>
      <c r="C318" s="21"/>
      <c r="D318" s="23"/>
      <c r="E318" s="23"/>
      <c r="F318" s="19"/>
      <c r="G318" s="22"/>
    </row>
    <row r="319" ht="21.75" customHeight="1">
      <c r="A319" s="19"/>
      <c r="B319" s="19"/>
      <c r="C319" s="21"/>
      <c r="D319" s="23"/>
      <c r="E319" s="23"/>
      <c r="F319" s="19"/>
      <c r="G319" s="22"/>
    </row>
    <row r="320" ht="21.75" customHeight="1">
      <c r="A320" s="19"/>
      <c r="B320" s="19"/>
      <c r="C320" s="21"/>
      <c r="D320" s="23"/>
      <c r="E320" s="23"/>
      <c r="F320" s="19"/>
      <c r="G320" s="22"/>
    </row>
    <row r="321" ht="21.75" customHeight="1">
      <c r="A321" s="19"/>
      <c r="B321" s="19"/>
      <c r="C321" s="21"/>
      <c r="D321" s="23"/>
      <c r="E321" s="23"/>
      <c r="F321" s="19"/>
      <c r="G321" s="22"/>
    </row>
    <row r="322" ht="21.75" customHeight="1">
      <c r="A322" s="19"/>
      <c r="B322" s="19"/>
      <c r="C322" s="21"/>
      <c r="D322" s="23"/>
      <c r="E322" s="23"/>
      <c r="F322" s="19"/>
      <c r="G322" s="22"/>
    </row>
    <row r="323" ht="21.75" customHeight="1">
      <c r="A323" s="19"/>
      <c r="B323" s="19"/>
      <c r="C323" s="21"/>
      <c r="D323" s="23"/>
      <c r="E323" s="23"/>
      <c r="F323" s="19"/>
      <c r="G323" s="22"/>
    </row>
    <row r="324" ht="21.75" customHeight="1">
      <c r="A324" s="19"/>
      <c r="B324" s="19"/>
      <c r="C324" s="21"/>
      <c r="D324" s="23"/>
      <c r="E324" s="23"/>
      <c r="F324" s="19"/>
      <c r="G324" s="22"/>
    </row>
    <row r="325" ht="21.75" customHeight="1">
      <c r="A325" s="19"/>
      <c r="B325" s="19"/>
      <c r="C325" s="21"/>
      <c r="D325" s="23"/>
      <c r="E325" s="23"/>
      <c r="F325" s="19"/>
      <c r="G325" s="22"/>
    </row>
    <row r="326" ht="21.75" customHeight="1">
      <c r="A326" s="19"/>
      <c r="B326" s="19"/>
      <c r="C326" s="21"/>
      <c r="D326" s="23"/>
      <c r="E326" s="23"/>
      <c r="F326" s="19"/>
      <c r="G326" s="22"/>
    </row>
    <row r="327" ht="21.75" customHeight="1">
      <c r="A327" s="19"/>
      <c r="B327" s="19"/>
      <c r="C327" s="21"/>
      <c r="D327" s="23"/>
      <c r="E327" s="23"/>
      <c r="F327" s="19"/>
      <c r="G327" s="22"/>
    </row>
    <row r="328" ht="21.75" customHeight="1">
      <c r="A328" s="19"/>
      <c r="B328" s="19"/>
      <c r="C328" s="21"/>
      <c r="D328" s="23"/>
      <c r="E328" s="23"/>
      <c r="F328" s="19"/>
      <c r="G328" s="22"/>
    </row>
    <row r="329" ht="21.75" customHeight="1">
      <c r="A329" s="19"/>
      <c r="B329" s="19"/>
      <c r="C329" s="21"/>
      <c r="D329" s="23"/>
      <c r="E329" s="23"/>
      <c r="F329" s="19"/>
      <c r="G329" s="22"/>
    </row>
    <row r="330" ht="21.75" customHeight="1">
      <c r="A330" s="19"/>
      <c r="B330" s="19"/>
      <c r="C330" s="21"/>
      <c r="D330" s="23"/>
      <c r="E330" s="23"/>
      <c r="F330" s="19"/>
      <c r="G330" s="22"/>
    </row>
    <row r="331" ht="21.75" customHeight="1">
      <c r="A331" s="19"/>
      <c r="B331" s="19"/>
      <c r="C331" s="21"/>
      <c r="D331" s="23"/>
      <c r="E331" s="23"/>
      <c r="F331" s="19"/>
      <c r="G331" s="22"/>
    </row>
    <row r="332" ht="21.75" customHeight="1">
      <c r="A332" s="19"/>
      <c r="B332" s="19"/>
      <c r="C332" s="21"/>
      <c r="D332" s="23"/>
      <c r="E332" s="23"/>
      <c r="F332" s="19"/>
      <c r="G332" s="22"/>
    </row>
    <row r="333" ht="21.75" customHeight="1">
      <c r="A333" s="19"/>
      <c r="B333" s="19"/>
      <c r="C333" s="21"/>
      <c r="D333" s="23"/>
      <c r="E333" s="23"/>
      <c r="F333" s="19"/>
      <c r="G333" s="22"/>
    </row>
    <row r="334" ht="21.75" customHeight="1">
      <c r="A334" s="19"/>
      <c r="B334" s="19"/>
      <c r="C334" s="21"/>
      <c r="D334" s="23"/>
      <c r="E334" s="23"/>
      <c r="F334" s="19"/>
      <c r="G334" s="22"/>
    </row>
    <row r="335" ht="21.75" customHeight="1">
      <c r="A335" s="19"/>
      <c r="B335" s="19"/>
      <c r="C335" s="21"/>
      <c r="D335" s="23"/>
      <c r="E335" s="23"/>
      <c r="F335" s="19"/>
      <c r="G335" s="22"/>
    </row>
    <row r="336" ht="21.75" customHeight="1">
      <c r="A336" s="19"/>
      <c r="B336" s="19"/>
      <c r="C336" s="21"/>
      <c r="D336" s="23"/>
      <c r="E336" s="23"/>
      <c r="F336" s="19"/>
      <c r="G336" s="22"/>
    </row>
    <row r="337" ht="21.75" customHeight="1">
      <c r="A337" s="19"/>
      <c r="B337" s="19"/>
      <c r="C337" s="21"/>
      <c r="D337" s="23"/>
      <c r="E337" s="23"/>
      <c r="F337" s="19"/>
      <c r="G337" s="22"/>
    </row>
    <row r="338" ht="21.75" customHeight="1">
      <c r="A338" s="19"/>
      <c r="B338" s="19"/>
      <c r="C338" s="21"/>
      <c r="D338" s="23"/>
      <c r="E338" s="23"/>
      <c r="F338" s="19"/>
      <c r="G338" s="22"/>
    </row>
    <row r="339" ht="21.75" customHeight="1">
      <c r="A339" s="19"/>
      <c r="B339" s="19"/>
      <c r="C339" s="21"/>
      <c r="D339" s="23"/>
      <c r="E339" s="23"/>
      <c r="F339" s="19"/>
      <c r="G339" s="22"/>
    </row>
    <row r="340" ht="21.75" customHeight="1">
      <c r="A340" s="19"/>
      <c r="B340" s="19"/>
      <c r="C340" s="21"/>
      <c r="D340" s="23"/>
      <c r="E340" s="23"/>
      <c r="F340" s="19"/>
      <c r="G340" s="22"/>
    </row>
    <row r="341" ht="21.75" customHeight="1">
      <c r="A341" s="19"/>
      <c r="B341" s="19"/>
      <c r="C341" s="21"/>
      <c r="D341" s="23"/>
      <c r="E341" s="23"/>
      <c r="F341" s="19"/>
      <c r="G341" s="22"/>
    </row>
    <row r="342" ht="21.75" customHeight="1">
      <c r="A342" s="19"/>
      <c r="B342" s="19"/>
      <c r="C342" s="21"/>
      <c r="D342" s="23"/>
      <c r="E342" s="23"/>
      <c r="F342" s="19"/>
      <c r="G342" s="22"/>
    </row>
    <row r="343" ht="21.75" customHeight="1">
      <c r="A343" s="19"/>
      <c r="B343" s="19"/>
      <c r="C343" s="21"/>
      <c r="D343" s="23"/>
      <c r="E343" s="23"/>
      <c r="F343" s="19"/>
      <c r="G343" s="22"/>
    </row>
    <row r="344" ht="21.75" customHeight="1">
      <c r="A344" s="19"/>
      <c r="B344" s="19"/>
      <c r="C344" s="21"/>
      <c r="D344" s="23"/>
      <c r="E344" s="23"/>
      <c r="F344" s="19"/>
      <c r="G344" s="22"/>
    </row>
    <row r="345" ht="21.75" customHeight="1">
      <c r="A345" s="19"/>
      <c r="B345" s="19"/>
      <c r="C345" s="21"/>
      <c r="D345" s="23"/>
      <c r="E345" s="23"/>
      <c r="F345" s="19"/>
      <c r="G345" s="22"/>
    </row>
    <row r="346" ht="21.75" customHeight="1">
      <c r="A346" s="19"/>
      <c r="B346" s="19"/>
      <c r="C346" s="21"/>
      <c r="D346" s="23"/>
      <c r="E346" s="23"/>
      <c r="F346" s="19"/>
      <c r="G346" s="22"/>
    </row>
    <row r="347" ht="21.75" customHeight="1">
      <c r="A347" s="19"/>
      <c r="B347" s="19"/>
      <c r="C347" s="21"/>
      <c r="D347" s="23"/>
      <c r="E347" s="23"/>
      <c r="F347" s="19"/>
      <c r="G347" s="22"/>
    </row>
    <row r="348" ht="21.75" customHeight="1">
      <c r="A348" s="19"/>
      <c r="B348" s="19"/>
      <c r="C348" s="21"/>
      <c r="D348" s="23"/>
      <c r="E348" s="23"/>
      <c r="F348" s="19"/>
      <c r="G348" s="22"/>
    </row>
    <row r="349" ht="21.75" customHeight="1">
      <c r="A349" s="19"/>
      <c r="B349" s="19"/>
      <c r="C349" s="21"/>
      <c r="D349" s="23"/>
      <c r="E349" s="23"/>
      <c r="F349" s="19"/>
      <c r="G349" s="22"/>
    </row>
    <row r="350" ht="21.75" customHeight="1">
      <c r="A350" s="19"/>
      <c r="B350" s="19"/>
      <c r="C350" s="21"/>
      <c r="D350" s="23"/>
      <c r="E350" s="23"/>
      <c r="F350" s="19"/>
      <c r="G350" s="22"/>
    </row>
    <row r="351" ht="21.75" customHeight="1">
      <c r="A351" s="19"/>
      <c r="B351" s="19"/>
      <c r="C351" s="21"/>
      <c r="D351" s="23"/>
      <c r="E351" s="23"/>
      <c r="F351" s="19"/>
      <c r="G351" s="22"/>
    </row>
    <row r="352" ht="21.75" customHeight="1">
      <c r="A352" s="19"/>
      <c r="B352" s="19"/>
      <c r="C352" s="21"/>
      <c r="D352" s="23"/>
      <c r="E352" s="23"/>
      <c r="F352" s="19"/>
      <c r="G352" s="22"/>
    </row>
    <row r="353" ht="21.75" customHeight="1">
      <c r="A353" s="19"/>
      <c r="B353" s="19"/>
      <c r="C353" s="21"/>
      <c r="D353" s="23"/>
      <c r="E353" s="23"/>
      <c r="F353" s="19"/>
      <c r="G353" s="22"/>
    </row>
    <row r="354" ht="21.75" customHeight="1">
      <c r="A354" s="19"/>
      <c r="B354" s="19"/>
      <c r="C354" s="21"/>
      <c r="D354" s="23"/>
      <c r="E354" s="23"/>
      <c r="F354" s="19"/>
      <c r="G354" s="22"/>
    </row>
    <row r="355" ht="21.75" customHeight="1">
      <c r="A355" s="19"/>
      <c r="B355" s="19"/>
      <c r="C355" s="21"/>
      <c r="D355" s="23"/>
      <c r="E355" s="23"/>
      <c r="F355" s="19"/>
      <c r="G355" s="22"/>
    </row>
    <row r="356" ht="21.75" customHeight="1">
      <c r="A356" s="19"/>
      <c r="B356" s="19"/>
      <c r="C356" s="21"/>
      <c r="D356" s="23"/>
      <c r="E356" s="23"/>
      <c r="F356" s="19"/>
      <c r="G356" s="22"/>
    </row>
    <row r="357" ht="21.75" customHeight="1">
      <c r="A357" s="19"/>
      <c r="B357" s="19"/>
      <c r="C357" s="21"/>
      <c r="D357" s="23"/>
      <c r="E357" s="23"/>
      <c r="F357" s="19"/>
      <c r="G357" s="22"/>
    </row>
    <row r="358" ht="21.75" customHeight="1">
      <c r="A358" s="19"/>
      <c r="B358" s="19"/>
      <c r="C358" s="21"/>
      <c r="D358" s="23"/>
      <c r="E358" s="23"/>
      <c r="F358" s="19"/>
      <c r="G358" s="22"/>
    </row>
    <row r="359" ht="21.75" customHeight="1">
      <c r="A359" s="19"/>
      <c r="B359" s="19"/>
      <c r="C359" s="21"/>
      <c r="D359" s="23"/>
      <c r="E359" s="23"/>
      <c r="F359" s="19"/>
      <c r="G359" s="22"/>
    </row>
    <row r="360" ht="21.75" customHeight="1">
      <c r="A360" s="19"/>
      <c r="B360" s="19"/>
      <c r="C360" s="21"/>
      <c r="D360" s="23"/>
      <c r="E360" s="23"/>
      <c r="F360" s="19"/>
      <c r="G360" s="22"/>
    </row>
    <row r="361" ht="21.75" customHeight="1">
      <c r="A361" s="19"/>
      <c r="B361" s="19"/>
      <c r="C361" s="21"/>
      <c r="D361" s="23"/>
      <c r="E361" s="23"/>
      <c r="F361" s="19"/>
      <c r="G361" s="22"/>
    </row>
    <row r="362" ht="21.75" customHeight="1">
      <c r="A362" s="19"/>
      <c r="B362" s="19"/>
      <c r="C362" s="21"/>
      <c r="D362" s="23"/>
      <c r="E362" s="23"/>
      <c r="F362" s="19"/>
      <c r="G362" s="22"/>
    </row>
    <row r="363" ht="21.75" customHeight="1">
      <c r="A363" s="19"/>
      <c r="B363" s="19"/>
      <c r="C363" s="21"/>
      <c r="D363" s="23"/>
      <c r="E363" s="23"/>
      <c r="F363" s="19"/>
      <c r="G363" s="22"/>
    </row>
    <row r="364" ht="21.75" customHeight="1">
      <c r="A364" s="19"/>
      <c r="B364" s="19"/>
      <c r="C364" s="21"/>
      <c r="D364" s="23"/>
      <c r="E364" s="23"/>
      <c r="F364" s="19"/>
      <c r="G364" s="22"/>
    </row>
    <row r="365" ht="21.75" customHeight="1">
      <c r="A365" s="19"/>
      <c r="B365" s="19"/>
      <c r="C365" s="21"/>
      <c r="D365" s="23"/>
      <c r="E365" s="23"/>
      <c r="F365" s="19"/>
      <c r="G365" s="22"/>
    </row>
    <row r="366" ht="21.75" customHeight="1">
      <c r="A366" s="19"/>
      <c r="B366" s="19"/>
      <c r="C366" s="21"/>
      <c r="D366" s="23"/>
      <c r="E366" s="23"/>
      <c r="F366" s="19"/>
      <c r="G366" s="22"/>
    </row>
    <row r="367" ht="21.75" customHeight="1">
      <c r="A367" s="19"/>
      <c r="B367" s="19"/>
      <c r="C367" s="21"/>
      <c r="D367" s="23"/>
      <c r="E367" s="23"/>
      <c r="F367" s="19"/>
      <c r="G367" s="22"/>
    </row>
    <row r="368" ht="21.75" customHeight="1">
      <c r="A368" s="19"/>
      <c r="B368" s="19"/>
      <c r="C368" s="21"/>
      <c r="D368" s="23"/>
      <c r="E368" s="23"/>
      <c r="F368" s="19"/>
      <c r="G368" s="22"/>
    </row>
    <row r="369" ht="21.75" customHeight="1">
      <c r="A369" s="19"/>
      <c r="B369" s="19"/>
      <c r="C369" s="21"/>
      <c r="D369" s="23"/>
      <c r="E369" s="23"/>
      <c r="F369" s="19"/>
      <c r="G369" s="22"/>
    </row>
    <row r="370" ht="21.75" customHeight="1">
      <c r="A370" s="19"/>
      <c r="B370" s="19"/>
      <c r="C370" s="21"/>
      <c r="D370" s="23"/>
      <c r="E370" s="23"/>
      <c r="F370" s="19"/>
      <c r="G370" s="22"/>
    </row>
    <row r="371" ht="21.75" customHeight="1">
      <c r="A371" s="19"/>
      <c r="B371" s="19"/>
      <c r="C371" s="21"/>
      <c r="D371" s="23"/>
      <c r="E371" s="23"/>
      <c r="F371" s="19"/>
      <c r="G371" s="22"/>
    </row>
    <row r="372" ht="21.75" customHeight="1">
      <c r="A372" s="19"/>
      <c r="B372" s="19"/>
      <c r="C372" s="21"/>
      <c r="D372" s="23"/>
      <c r="E372" s="23"/>
      <c r="F372" s="19"/>
      <c r="G372" s="22"/>
    </row>
    <row r="373" ht="21.75" customHeight="1">
      <c r="A373" s="19"/>
      <c r="B373" s="19"/>
      <c r="C373" s="21"/>
      <c r="D373" s="23"/>
      <c r="E373" s="23"/>
      <c r="F373" s="19"/>
      <c r="G373" s="22"/>
    </row>
    <row r="374" ht="21.75" customHeight="1">
      <c r="A374" s="19"/>
      <c r="B374" s="19"/>
      <c r="C374" s="21"/>
      <c r="D374" s="23"/>
      <c r="E374" s="23"/>
      <c r="F374" s="19"/>
      <c r="G374" s="22"/>
    </row>
    <row r="375" ht="21.75" customHeight="1">
      <c r="A375" s="19"/>
      <c r="B375" s="19"/>
      <c r="C375" s="21"/>
      <c r="D375" s="23"/>
      <c r="E375" s="23"/>
      <c r="F375" s="19"/>
      <c r="G375" s="22"/>
    </row>
    <row r="376" ht="21.75" customHeight="1">
      <c r="A376" s="19"/>
      <c r="B376" s="19"/>
      <c r="C376" s="21"/>
      <c r="D376" s="23"/>
      <c r="E376" s="23"/>
      <c r="F376" s="19"/>
      <c r="G376" s="22"/>
    </row>
    <row r="377" ht="21.75" customHeight="1">
      <c r="A377" s="19"/>
      <c r="B377" s="19"/>
      <c r="C377" s="21"/>
      <c r="D377" s="23"/>
      <c r="E377" s="23"/>
      <c r="F377" s="19"/>
      <c r="G377" s="22"/>
    </row>
    <row r="378" ht="21.75" customHeight="1">
      <c r="A378" s="19"/>
      <c r="B378" s="19"/>
      <c r="C378" s="21"/>
      <c r="D378" s="23"/>
      <c r="E378" s="23"/>
      <c r="F378" s="19"/>
      <c r="G378" s="22"/>
    </row>
    <row r="379" ht="21.75" customHeight="1">
      <c r="A379" s="19"/>
      <c r="B379" s="19"/>
      <c r="C379" s="21"/>
      <c r="D379" s="23"/>
      <c r="E379" s="23"/>
      <c r="F379" s="19"/>
      <c r="G379" s="22"/>
    </row>
    <row r="380" ht="21.75" customHeight="1">
      <c r="A380" s="19"/>
      <c r="B380" s="19"/>
      <c r="C380" s="21"/>
      <c r="D380" s="23"/>
      <c r="E380" s="23"/>
      <c r="F380" s="19"/>
      <c r="G380" s="22"/>
    </row>
    <row r="381" ht="21.75" customHeight="1">
      <c r="A381" s="19"/>
      <c r="B381" s="19"/>
      <c r="C381" s="21"/>
      <c r="D381" s="23"/>
      <c r="E381" s="23"/>
      <c r="F381" s="19"/>
      <c r="G381" s="22"/>
    </row>
    <row r="382" ht="21.75" customHeight="1">
      <c r="A382" s="19"/>
      <c r="B382" s="19"/>
      <c r="C382" s="21"/>
      <c r="D382" s="23"/>
      <c r="E382" s="23"/>
      <c r="F382" s="19"/>
      <c r="G382" s="22"/>
    </row>
    <row r="383" ht="21.75" customHeight="1">
      <c r="A383" s="19"/>
      <c r="B383" s="19"/>
      <c r="C383" s="21"/>
      <c r="D383" s="23"/>
      <c r="E383" s="23"/>
      <c r="F383" s="19"/>
      <c r="G383" s="22"/>
    </row>
    <row r="384" ht="21.75" customHeight="1">
      <c r="A384" s="19"/>
      <c r="B384" s="19"/>
      <c r="C384" s="21"/>
      <c r="D384" s="23"/>
      <c r="E384" s="23"/>
      <c r="F384" s="19"/>
      <c r="G384" s="22"/>
    </row>
    <row r="385" ht="21.75" customHeight="1">
      <c r="A385" s="19"/>
      <c r="B385" s="19"/>
      <c r="C385" s="21"/>
      <c r="D385" s="23"/>
      <c r="E385" s="23"/>
      <c r="F385" s="19"/>
      <c r="G385" s="22"/>
    </row>
    <row r="386" ht="21.75" customHeight="1">
      <c r="A386" s="19"/>
      <c r="B386" s="19"/>
      <c r="C386" s="21"/>
      <c r="D386" s="23"/>
      <c r="E386" s="23"/>
      <c r="F386" s="19"/>
      <c r="G386" s="22"/>
    </row>
    <row r="387" ht="21.75" customHeight="1">
      <c r="A387" s="19"/>
      <c r="B387" s="19"/>
      <c r="C387" s="21"/>
      <c r="D387" s="23"/>
      <c r="E387" s="23"/>
      <c r="F387" s="19"/>
      <c r="G387" s="22"/>
    </row>
    <row r="388" ht="21.75" customHeight="1">
      <c r="A388" s="19"/>
      <c r="B388" s="19"/>
      <c r="C388" s="21"/>
      <c r="D388" s="23"/>
      <c r="E388" s="23"/>
      <c r="F388" s="19"/>
      <c r="G388" s="22"/>
    </row>
    <row r="389" ht="21.75" customHeight="1">
      <c r="A389" s="19"/>
      <c r="B389" s="19"/>
      <c r="C389" s="21"/>
      <c r="D389" s="23"/>
      <c r="E389" s="23"/>
      <c r="F389" s="19"/>
      <c r="G389" s="22"/>
    </row>
    <row r="390" ht="21.75" customHeight="1">
      <c r="A390" s="19"/>
      <c r="B390" s="19"/>
      <c r="C390" s="21"/>
      <c r="D390" s="23"/>
      <c r="E390" s="23"/>
      <c r="F390" s="19"/>
      <c r="G390" s="22"/>
    </row>
    <row r="391" ht="21.75" customHeight="1">
      <c r="A391" s="19"/>
      <c r="B391" s="19"/>
      <c r="C391" s="21"/>
      <c r="D391" s="23"/>
      <c r="E391" s="23"/>
      <c r="F391" s="19"/>
      <c r="G391" s="22"/>
    </row>
    <row r="392" ht="21.75" customHeight="1">
      <c r="A392" s="19"/>
      <c r="B392" s="19"/>
      <c r="C392" s="21"/>
      <c r="D392" s="23"/>
      <c r="E392" s="23"/>
      <c r="F392" s="19"/>
      <c r="G392" s="22"/>
    </row>
    <row r="393" ht="21.75" customHeight="1">
      <c r="A393" s="19"/>
      <c r="B393" s="19"/>
      <c r="C393" s="21"/>
      <c r="D393" s="23"/>
      <c r="E393" s="23"/>
      <c r="F393" s="19"/>
      <c r="G393" s="22"/>
    </row>
    <row r="394" ht="21.75" customHeight="1">
      <c r="A394" s="19"/>
      <c r="B394" s="19"/>
      <c r="C394" s="21"/>
      <c r="D394" s="23"/>
      <c r="E394" s="23"/>
      <c r="F394" s="19"/>
      <c r="G394" s="22"/>
    </row>
    <row r="395" ht="21.75" customHeight="1">
      <c r="A395" s="19"/>
      <c r="B395" s="19"/>
      <c r="C395" s="21"/>
      <c r="D395" s="23"/>
      <c r="E395" s="23"/>
      <c r="F395" s="19"/>
      <c r="G395" s="22"/>
    </row>
    <row r="396" ht="21.75" customHeight="1">
      <c r="A396" s="19"/>
      <c r="B396" s="19"/>
      <c r="C396" s="21"/>
      <c r="D396" s="23"/>
      <c r="E396" s="23"/>
      <c r="F396" s="19"/>
      <c r="G396" s="22"/>
    </row>
    <row r="397" ht="21.75" customHeight="1">
      <c r="A397" s="19"/>
      <c r="B397" s="19"/>
      <c r="C397" s="21"/>
      <c r="D397" s="23"/>
      <c r="E397" s="23"/>
      <c r="F397" s="19"/>
      <c r="G397" s="22"/>
    </row>
    <row r="398" ht="21.75" customHeight="1">
      <c r="A398" s="19"/>
      <c r="B398" s="19"/>
      <c r="C398" s="21"/>
      <c r="D398" s="23"/>
      <c r="E398" s="23"/>
      <c r="F398" s="19"/>
      <c r="G398" s="22"/>
    </row>
    <row r="399" ht="21.75" customHeight="1">
      <c r="A399" s="19"/>
      <c r="B399" s="19"/>
      <c r="C399" s="21"/>
      <c r="D399" s="23"/>
      <c r="E399" s="23"/>
      <c r="F399" s="19"/>
      <c r="G399" s="22"/>
    </row>
    <row r="400" ht="21.75" customHeight="1">
      <c r="A400" s="19"/>
      <c r="B400" s="19"/>
      <c r="C400" s="21"/>
      <c r="D400" s="23"/>
      <c r="E400" s="23"/>
      <c r="F400" s="19"/>
      <c r="G400" s="22"/>
    </row>
    <row r="401" ht="21.75" customHeight="1">
      <c r="A401" s="19"/>
      <c r="B401" s="19"/>
      <c r="C401" s="21"/>
      <c r="D401" s="23"/>
      <c r="E401" s="23"/>
      <c r="F401" s="19"/>
      <c r="G401" s="22"/>
    </row>
    <row r="402" ht="21.75" customHeight="1">
      <c r="A402" s="19"/>
      <c r="B402" s="19"/>
      <c r="C402" s="21"/>
      <c r="D402" s="23"/>
      <c r="E402" s="23"/>
      <c r="F402" s="19"/>
      <c r="G402" s="22"/>
    </row>
    <row r="403" ht="21.75" customHeight="1">
      <c r="A403" s="19"/>
      <c r="B403" s="19"/>
      <c r="C403" s="21"/>
      <c r="D403" s="23"/>
      <c r="E403" s="23"/>
      <c r="F403" s="19"/>
      <c r="G403" s="22"/>
    </row>
    <row r="404" ht="21.75" customHeight="1">
      <c r="A404" s="19"/>
      <c r="B404" s="19"/>
      <c r="C404" s="21"/>
      <c r="D404" s="23"/>
      <c r="E404" s="23"/>
      <c r="F404" s="19"/>
      <c r="G404" s="22"/>
    </row>
    <row r="405" ht="21.75" customHeight="1">
      <c r="A405" s="19"/>
      <c r="B405" s="19"/>
      <c r="C405" s="21"/>
      <c r="D405" s="23"/>
      <c r="E405" s="23"/>
      <c r="F405" s="19"/>
      <c r="G405" s="22"/>
    </row>
    <row r="406" ht="21.75" customHeight="1">
      <c r="A406" s="19"/>
      <c r="B406" s="19"/>
      <c r="C406" s="21"/>
      <c r="D406" s="23"/>
      <c r="E406" s="23"/>
      <c r="F406" s="19"/>
      <c r="G406" s="22"/>
    </row>
    <row r="407" ht="21.75" customHeight="1">
      <c r="A407" s="19"/>
      <c r="B407" s="19"/>
      <c r="C407" s="21"/>
      <c r="D407" s="23"/>
      <c r="E407" s="23"/>
      <c r="F407" s="19"/>
      <c r="G407" s="22"/>
    </row>
    <row r="408" ht="21.75" customHeight="1">
      <c r="A408" s="19"/>
      <c r="B408" s="19"/>
      <c r="C408" s="21"/>
      <c r="D408" s="23"/>
      <c r="E408" s="23"/>
      <c r="F408" s="19"/>
      <c r="G408" s="22"/>
    </row>
    <row r="409" ht="21.75" customHeight="1">
      <c r="A409" s="19"/>
      <c r="B409" s="19"/>
      <c r="C409" s="21"/>
      <c r="D409" s="23"/>
      <c r="E409" s="23"/>
      <c r="F409" s="19"/>
      <c r="G409" s="22"/>
    </row>
    <row r="410" ht="21.75" customHeight="1">
      <c r="A410" s="19"/>
      <c r="B410" s="19"/>
      <c r="C410" s="21"/>
      <c r="D410" s="23"/>
      <c r="E410" s="23"/>
      <c r="F410" s="19"/>
      <c r="G410" s="22"/>
    </row>
    <row r="411" ht="21.75" customHeight="1">
      <c r="A411" s="19"/>
      <c r="B411" s="19"/>
      <c r="C411" s="21"/>
      <c r="D411" s="23"/>
      <c r="E411" s="23"/>
      <c r="F411" s="19"/>
      <c r="G411" s="22"/>
    </row>
    <row r="412" ht="21.75" customHeight="1">
      <c r="A412" s="19"/>
      <c r="B412" s="19"/>
      <c r="C412" s="21"/>
      <c r="D412" s="23"/>
      <c r="E412" s="23"/>
      <c r="F412" s="19"/>
      <c r="G412" s="22"/>
    </row>
    <row r="413" ht="21.75" customHeight="1">
      <c r="A413" s="19"/>
      <c r="B413" s="19"/>
      <c r="C413" s="21"/>
      <c r="D413" s="23"/>
      <c r="E413" s="23"/>
      <c r="F413" s="19"/>
      <c r="G413" s="22"/>
    </row>
    <row r="414" ht="21.75" customHeight="1">
      <c r="A414" s="19"/>
      <c r="B414" s="19"/>
      <c r="C414" s="21"/>
      <c r="D414" s="23"/>
      <c r="E414" s="23"/>
      <c r="F414" s="19"/>
      <c r="G414" s="22"/>
    </row>
    <row r="415" ht="21.75" customHeight="1">
      <c r="A415" s="19"/>
      <c r="B415" s="19"/>
      <c r="C415" s="21"/>
      <c r="D415" s="23"/>
      <c r="E415" s="23"/>
      <c r="F415" s="19"/>
      <c r="G415" s="22"/>
    </row>
    <row r="416" ht="21.75" customHeight="1">
      <c r="A416" s="19"/>
      <c r="B416" s="19"/>
      <c r="C416" s="21"/>
      <c r="D416" s="23"/>
      <c r="E416" s="23"/>
      <c r="F416" s="19"/>
      <c r="G416" s="22"/>
    </row>
    <row r="417" ht="21.75" customHeight="1">
      <c r="A417" s="19"/>
      <c r="B417" s="19"/>
      <c r="C417" s="21"/>
      <c r="D417" s="23"/>
      <c r="E417" s="23"/>
      <c r="F417" s="19"/>
      <c r="G417" s="22"/>
    </row>
    <row r="418" ht="21.75" customHeight="1">
      <c r="A418" s="19"/>
      <c r="B418" s="19"/>
      <c r="C418" s="21"/>
      <c r="D418" s="23"/>
      <c r="E418" s="23"/>
      <c r="F418" s="19"/>
      <c r="G418" s="22"/>
    </row>
    <row r="419" ht="21.75" customHeight="1">
      <c r="A419" s="19"/>
      <c r="B419" s="19"/>
      <c r="C419" s="21"/>
      <c r="D419" s="23"/>
      <c r="E419" s="23"/>
      <c r="F419" s="19"/>
      <c r="G419" s="22"/>
    </row>
    <row r="420" ht="21.75" customHeight="1">
      <c r="A420" s="19"/>
      <c r="B420" s="19"/>
      <c r="C420" s="21"/>
      <c r="D420" s="23"/>
      <c r="E420" s="23"/>
      <c r="F420" s="19"/>
      <c r="G420" s="22"/>
    </row>
    <row r="421" ht="21.75" customHeight="1">
      <c r="A421" s="19"/>
      <c r="B421" s="19"/>
      <c r="C421" s="21"/>
      <c r="D421" s="23"/>
      <c r="E421" s="23"/>
      <c r="F421" s="19"/>
      <c r="G421" s="22"/>
    </row>
    <row r="422" ht="21.75" customHeight="1">
      <c r="A422" s="19"/>
      <c r="B422" s="19"/>
      <c r="C422" s="21"/>
      <c r="D422" s="23"/>
      <c r="E422" s="23"/>
      <c r="F422" s="19"/>
      <c r="G422" s="22"/>
    </row>
    <row r="423" ht="21.75" customHeight="1">
      <c r="A423" s="19"/>
      <c r="B423" s="19"/>
      <c r="C423" s="21"/>
      <c r="D423" s="23"/>
      <c r="E423" s="23"/>
      <c r="F423" s="19"/>
      <c r="G423" s="22"/>
    </row>
    <row r="424" ht="21.75" customHeight="1">
      <c r="A424" s="19"/>
      <c r="B424" s="19"/>
      <c r="C424" s="21"/>
      <c r="D424" s="23"/>
      <c r="E424" s="23"/>
      <c r="F424" s="19"/>
      <c r="G424" s="22"/>
    </row>
    <row r="425" ht="21.75" customHeight="1">
      <c r="A425" s="19"/>
      <c r="B425" s="19"/>
      <c r="C425" s="21"/>
      <c r="D425" s="23"/>
      <c r="E425" s="23"/>
      <c r="F425" s="19"/>
      <c r="G425" s="22"/>
    </row>
    <row r="426" ht="21.75" customHeight="1">
      <c r="A426" s="19"/>
      <c r="B426" s="19"/>
      <c r="C426" s="21"/>
      <c r="D426" s="23"/>
      <c r="E426" s="23"/>
      <c r="F426" s="19"/>
      <c r="G426" s="22"/>
    </row>
    <row r="427" ht="21.75" customHeight="1">
      <c r="A427" s="19"/>
      <c r="B427" s="19"/>
      <c r="C427" s="21"/>
      <c r="D427" s="23"/>
      <c r="E427" s="23"/>
      <c r="F427" s="19"/>
      <c r="G427" s="22"/>
    </row>
    <row r="428" ht="21.75" customHeight="1">
      <c r="A428" s="19"/>
      <c r="B428" s="19"/>
      <c r="C428" s="21"/>
      <c r="D428" s="23"/>
      <c r="E428" s="23"/>
      <c r="F428" s="19"/>
      <c r="G428" s="22"/>
    </row>
    <row r="429" ht="21.75" customHeight="1">
      <c r="A429" s="19"/>
      <c r="B429" s="19"/>
      <c r="C429" s="21"/>
      <c r="D429" s="23"/>
      <c r="E429" s="23"/>
      <c r="F429" s="19"/>
      <c r="G429" s="22"/>
    </row>
    <row r="430" ht="21.75" customHeight="1">
      <c r="A430" s="19"/>
      <c r="B430" s="19"/>
      <c r="C430" s="21"/>
      <c r="D430" s="23"/>
      <c r="E430" s="23"/>
      <c r="F430" s="19"/>
      <c r="G430" s="22"/>
    </row>
    <row r="431" ht="21.75" customHeight="1">
      <c r="A431" s="19"/>
      <c r="B431" s="19"/>
      <c r="C431" s="21"/>
      <c r="D431" s="23"/>
      <c r="E431" s="23"/>
      <c r="F431" s="19"/>
      <c r="G431" s="22"/>
    </row>
    <row r="432" ht="21.75" customHeight="1">
      <c r="A432" s="19"/>
      <c r="B432" s="19"/>
      <c r="C432" s="21"/>
      <c r="D432" s="23"/>
      <c r="E432" s="23"/>
      <c r="F432" s="19"/>
      <c r="G432" s="22"/>
    </row>
    <row r="433" ht="21.75" customHeight="1">
      <c r="A433" s="19"/>
      <c r="B433" s="19"/>
      <c r="C433" s="21"/>
      <c r="D433" s="23"/>
      <c r="E433" s="23"/>
      <c r="F433" s="19"/>
      <c r="G433" s="22"/>
    </row>
    <row r="434" ht="21.75" customHeight="1">
      <c r="A434" s="19"/>
      <c r="B434" s="19"/>
      <c r="C434" s="21"/>
      <c r="D434" s="23"/>
      <c r="E434" s="23"/>
      <c r="F434" s="19"/>
      <c r="G434" s="22"/>
    </row>
    <row r="435" ht="21.75" customHeight="1">
      <c r="A435" s="19"/>
      <c r="B435" s="19"/>
      <c r="C435" s="21"/>
      <c r="D435" s="23"/>
      <c r="E435" s="23"/>
      <c r="F435" s="19"/>
      <c r="G435" s="22"/>
    </row>
    <row r="436" ht="21.75" customHeight="1">
      <c r="A436" s="19"/>
      <c r="B436" s="19"/>
      <c r="C436" s="21"/>
      <c r="D436" s="23"/>
      <c r="E436" s="23"/>
      <c r="F436" s="19"/>
      <c r="G436" s="22"/>
    </row>
    <row r="437" ht="21.75" customHeight="1">
      <c r="A437" s="19"/>
      <c r="B437" s="19"/>
      <c r="C437" s="21"/>
      <c r="D437" s="23"/>
      <c r="E437" s="23"/>
      <c r="F437" s="19"/>
      <c r="G437" s="22"/>
    </row>
    <row r="438" ht="21.75" customHeight="1">
      <c r="A438" s="19"/>
      <c r="B438" s="19"/>
      <c r="C438" s="21"/>
      <c r="D438" s="23"/>
      <c r="E438" s="23"/>
      <c r="F438" s="19"/>
      <c r="G438" s="22"/>
    </row>
    <row r="439" ht="21.75" customHeight="1">
      <c r="A439" s="19"/>
      <c r="B439" s="19"/>
      <c r="C439" s="21"/>
      <c r="D439" s="23"/>
      <c r="E439" s="23"/>
      <c r="F439" s="19"/>
      <c r="G439" s="22"/>
    </row>
    <row r="440" ht="21.75" customHeight="1">
      <c r="A440" s="19"/>
      <c r="B440" s="19"/>
      <c r="C440" s="21"/>
      <c r="D440" s="23"/>
      <c r="E440" s="23"/>
      <c r="F440" s="19"/>
      <c r="G440" s="22"/>
    </row>
    <row r="441" ht="21.75" customHeight="1">
      <c r="A441" s="19"/>
      <c r="B441" s="19"/>
      <c r="C441" s="21"/>
      <c r="D441" s="23"/>
      <c r="E441" s="23"/>
      <c r="F441" s="19"/>
      <c r="G441" s="22"/>
    </row>
    <row r="442" ht="21.75" customHeight="1">
      <c r="A442" s="19"/>
      <c r="B442" s="19"/>
      <c r="C442" s="21"/>
      <c r="D442" s="23"/>
      <c r="E442" s="23"/>
      <c r="F442" s="19"/>
      <c r="G442" s="22"/>
    </row>
    <row r="443" ht="21.75" customHeight="1">
      <c r="A443" s="19"/>
      <c r="B443" s="19"/>
      <c r="C443" s="21"/>
      <c r="D443" s="23"/>
      <c r="E443" s="23"/>
      <c r="F443" s="19"/>
      <c r="G443" s="22"/>
    </row>
    <row r="444" ht="21.75" customHeight="1">
      <c r="A444" s="19"/>
      <c r="B444" s="19"/>
      <c r="C444" s="21"/>
      <c r="D444" s="23"/>
      <c r="E444" s="23"/>
      <c r="F444" s="19"/>
      <c r="G444" s="22"/>
    </row>
    <row r="445" ht="21.75" customHeight="1">
      <c r="A445" s="19"/>
      <c r="B445" s="19"/>
      <c r="C445" s="21"/>
      <c r="D445" s="23"/>
      <c r="E445" s="23"/>
      <c r="F445" s="19"/>
      <c r="G445" s="22"/>
    </row>
    <row r="446" ht="21.75" customHeight="1">
      <c r="A446" s="19"/>
      <c r="B446" s="19"/>
      <c r="C446" s="21"/>
      <c r="D446" s="23"/>
      <c r="E446" s="23"/>
      <c r="F446" s="19"/>
      <c r="G446" s="22"/>
    </row>
    <row r="447" ht="21.75" customHeight="1">
      <c r="A447" s="19"/>
      <c r="B447" s="19"/>
      <c r="C447" s="21"/>
      <c r="D447" s="23"/>
      <c r="E447" s="23"/>
      <c r="F447" s="19"/>
      <c r="G447" s="22"/>
    </row>
    <row r="448" ht="21.75" customHeight="1">
      <c r="A448" s="19"/>
      <c r="B448" s="19"/>
      <c r="C448" s="21"/>
      <c r="D448" s="23"/>
      <c r="E448" s="23"/>
      <c r="F448" s="19"/>
      <c r="G448" s="22"/>
    </row>
    <row r="449" ht="21.75" customHeight="1">
      <c r="A449" s="19"/>
      <c r="B449" s="19"/>
      <c r="C449" s="21"/>
      <c r="D449" s="23"/>
      <c r="E449" s="23"/>
      <c r="F449" s="19"/>
      <c r="G449" s="22"/>
    </row>
    <row r="450" ht="21.75" customHeight="1">
      <c r="A450" s="19"/>
      <c r="B450" s="19"/>
      <c r="C450" s="21"/>
      <c r="D450" s="23"/>
      <c r="E450" s="23"/>
      <c r="F450" s="19"/>
      <c r="G450" s="22"/>
    </row>
    <row r="451" ht="21.75" customHeight="1">
      <c r="A451" s="19"/>
      <c r="B451" s="19"/>
      <c r="C451" s="21"/>
      <c r="D451" s="23"/>
      <c r="E451" s="23"/>
      <c r="F451" s="19"/>
      <c r="G451" s="22"/>
    </row>
    <row r="452" ht="21.75" customHeight="1">
      <c r="A452" s="19"/>
      <c r="B452" s="19"/>
      <c r="C452" s="21"/>
      <c r="D452" s="23"/>
      <c r="E452" s="23"/>
      <c r="F452" s="19"/>
      <c r="G452" s="22"/>
    </row>
    <row r="453" ht="21.75" customHeight="1">
      <c r="A453" s="19"/>
      <c r="B453" s="19"/>
      <c r="C453" s="21"/>
      <c r="D453" s="23"/>
      <c r="E453" s="23"/>
      <c r="F453" s="19"/>
      <c r="G453" s="22"/>
    </row>
    <row r="454" ht="21.75" customHeight="1">
      <c r="A454" s="19"/>
      <c r="B454" s="19"/>
      <c r="C454" s="21"/>
      <c r="D454" s="23"/>
      <c r="E454" s="23"/>
      <c r="F454" s="19"/>
      <c r="G454" s="22"/>
    </row>
    <row r="455" ht="21.75" customHeight="1">
      <c r="A455" s="19"/>
      <c r="B455" s="19"/>
      <c r="C455" s="21"/>
      <c r="D455" s="23"/>
      <c r="E455" s="23"/>
      <c r="F455" s="19"/>
      <c r="G455" s="22"/>
    </row>
    <row r="456" ht="21.75" customHeight="1">
      <c r="A456" s="19"/>
      <c r="B456" s="19"/>
      <c r="C456" s="21"/>
      <c r="D456" s="23"/>
      <c r="E456" s="23"/>
      <c r="F456" s="19"/>
      <c r="G456" s="22"/>
    </row>
    <row r="457" ht="21.75" customHeight="1">
      <c r="A457" s="19"/>
      <c r="B457" s="19"/>
      <c r="C457" s="21"/>
      <c r="D457" s="23"/>
      <c r="E457" s="23"/>
      <c r="F457" s="19"/>
      <c r="G457" s="22"/>
    </row>
    <row r="458" ht="21.75" customHeight="1">
      <c r="A458" s="19"/>
      <c r="B458" s="19"/>
      <c r="C458" s="21"/>
      <c r="D458" s="23"/>
      <c r="E458" s="23"/>
      <c r="F458" s="19"/>
      <c r="G458" s="22"/>
    </row>
    <row r="459" ht="21.75" customHeight="1">
      <c r="A459" s="19"/>
      <c r="B459" s="19"/>
      <c r="C459" s="21"/>
      <c r="D459" s="23"/>
      <c r="E459" s="23"/>
      <c r="F459" s="19"/>
      <c r="G459" s="22"/>
    </row>
    <row r="460" ht="21.75" customHeight="1">
      <c r="A460" s="19"/>
      <c r="B460" s="19"/>
      <c r="C460" s="21"/>
      <c r="D460" s="23"/>
      <c r="E460" s="23"/>
      <c r="F460" s="19"/>
      <c r="G460" s="22"/>
    </row>
    <row r="461" ht="21.75" customHeight="1">
      <c r="A461" s="19"/>
      <c r="B461" s="19"/>
      <c r="C461" s="21"/>
      <c r="D461" s="23"/>
      <c r="E461" s="23"/>
      <c r="F461" s="19"/>
      <c r="G461" s="22"/>
    </row>
    <row r="462" ht="21.75" customHeight="1">
      <c r="A462" s="19"/>
      <c r="B462" s="19"/>
      <c r="C462" s="21"/>
      <c r="D462" s="23"/>
      <c r="E462" s="23"/>
      <c r="F462" s="19"/>
      <c r="G462" s="22"/>
    </row>
    <row r="463" ht="21.75" customHeight="1">
      <c r="A463" s="19"/>
      <c r="B463" s="19"/>
      <c r="C463" s="21"/>
      <c r="D463" s="23"/>
      <c r="E463" s="23"/>
      <c r="F463" s="19"/>
      <c r="G463" s="22"/>
    </row>
    <row r="464" ht="21.75" customHeight="1">
      <c r="A464" s="19"/>
      <c r="B464" s="19"/>
      <c r="C464" s="21"/>
      <c r="D464" s="23"/>
      <c r="E464" s="23"/>
      <c r="F464" s="19"/>
      <c r="G464" s="22"/>
    </row>
    <row r="465" ht="21.75" customHeight="1">
      <c r="A465" s="19"/>
      <c r="B465" s="19"/>
      <c r="C465" s="21"/>
      <c r="D465" s="23"/>
      <c r="E465" s="23"/>
      <c r="F465" s="19"/>
      <c r="G465" s="22"/>
    </row>
    <row r="466" ht="21.75" customHeight="1">
      <c r="A466" s="19"/>
      <c r="B466" s="19"/>
      <c r="C466" s="21"/>
      <c r="D466" s="23"/>
      <c r="E466" s="23"/>
      <c r="F466" s="19"/>
      <c r="G466" s="22"/>
    </row>
    <row r="467" ht="21.75" customHeight="1">
      <c r="A467" s="19"/>
      <c r="B467" s="19"/>
      <c r="C467" s="21"/>
      <c r="D467" s="23"/>
      <c r="E467" s="23"/>
      <c r="F467" s="19"/>
      <c r="G467" s="22"/>
    </row>
    <row r="468" ht="21.75" customHeight="1">
      <c r="A468" s="19"/>
      <c r="B468" s="19"/>
      <c r="C468" s="21"/>
      <c r="D468" s="23"/>
      <c r="E468" s="23"/>
      <c r="F468" s="19"/>
      <c r="G468" s="22"/>
    </row>
    <row r="469" ht="21.75" customHeight="1">
      <c r="A469" s="19"/>
      <c r="B469" s="19"/>
      <c r="C469" s="21"/>
      <c r="D469" s="23"/>
      <c r="E469" s="23"/>
      <c r="F469" s="19"/>
      <c r="G469" s="22"/>
    </row>
    <row r="470" ht="21.75" customHeight="1">
      <c r="A470" s="19"/>
      <c r="B470" s="19"/>
      <c r="C470" s="21"/>
      <c r="D470" s="23"/>
      <c r="E470" s="23"/>
      <c r="F470" s="19"/>
      <c r="G470" s="22"/>
    </row>
    <row r="471" ht="21.75" customHeight="1">
      <c r="A471" s="19"/>
      <c r="B471" s="19"/>
      <c r="C471" s="21"/>
      <c r="D471" s="23"/>
      <c r="E471" s="23"/>
      <c r="F471" s="19"/>
      <c r="G471" s="22"/>
    </row>
    <row r="472" ht="21.75" customHeight="1">
      <c r="A472" s="19"/>
      <c r="B472" s="19"/>
      <c r="C472" s="21"/>
      <c r="D472" s="23"/>
      <c r="E472" s="23"/>
      <c r="F472" s="19"/>
      <c r="G472" s="22"/>
    </row>
    <row r="473" ht="21.75" customHeight="1">
      <c r="A473" s="19"/>
      <c r="B473" s="19"/>
      <c r="C473" s="21"/>
      <c r="D473" s="23"/>
      <c r="E473" s="23"/>
      <c r="F473" s="19"/>
      <c r="G473" s="22"/>
    </row>
    <row r="474" ht="21.75" customHeight="1">
      <c r="A474" s="19"/>
      <c r="B474" s="19"/>
      <c r="C474" s="21"/>
      <c r="D474" s="23"/>
      <c r="E474" s="23"/>
      <c r="F474" s="19"/>
      <c r="G474" s="22"/>
    </row>
    <row r="475" ht="21.75" customHeight="1">
      <c r="A475" s="19"/>
      <c r="B475" s="19"/>
      <c r="C475" s="21"/>
      <c r="D475" s="23"/>
      <c r="E475" s="23"/>
      <c r="F475" s="19"/>
      <c r="G475" s="22"/>
    </row>
    <row r="476" ht="21.75" customHeight="1">
      <c r="A476" s="19"/>
      <c r="B476" s="19"/>
      <c r="C476" s="21"/>
      <c r="D476" s="23"/>
      <c r="E476" s="23"/>
      <c r="F476" s="19"/>
      <c r="G476" s="22"/>
    </row>
    <row r="477" ht="21.75" customHeight="1">
      <c r="A477" s="19"/>
      <c r="B477" s="19"/>
      <c r="C477" s="21"/>
      <c r="D477" s="23"/>
      <c r="E477" s="23"/>
      <c r="F477" s="19"/>
      <c r="G477" s="22"/>
    </row>
    <row r="478" ht="21.75" customHeight="1">
      <c r="A478" s="19"/>
      <c r="B478" s="19"/>
      <c r="C478" s="21"/>
      <c r="D478" s="23"/>
      <c r="E478" s="23"/>
      <c r="F478" s="19"/>
      <c r="G478" s="22"/>
    </row>
    <row r="479" ht="21.75" customHeight="1">
      <c r="A479" s="19"/>
      <c r="B479" s="19"/>
      <c r="C479" s="21"/>
      <c r="D479" s="23"/>
      <c r="E479" s="23"/>
      <c r="F479" s="19"/>
      <c r="G479" s="22"/>
    </row>
    <row r="480" ht="21.75" customHeight="1">
      <c r="A480" s="19"/>
      <c r="B480" s="19"/>
      <c r="C480" s="21"/>
      <c r="D480" s="23"/>
      <c r="E480" s="23"/>
      <c r="F480" s="19"/>
      <c r="G480" s="22"/>
    </row>
    <row r="481" ht="21.75" customHeight="1">
      <c r="A481" s="19"/>
      <c r="B481" s="19"/>
      <c r="C481" s="21"/>
      <c r="D481" s="23"/>
      <c r="E481" s="23"/>
      <c r="F481" s="19"/>
      <c r="G481" s="22"/>
    </row>
    <row r="482" ht="21.75" customHeight="1">
      <c r="A482" s="19"/>
      <c r="B482" s="19"/>
      <c r="C482" s="21"/>
      <c r="D482" s="23"/>
      <c r="E482" s="23"/>
      <c r="F482" s="19"/>
      <c r="G482" s="22"/>
    </row>
    <row r="483" ht="21.75" customHeight="1">
      <c r="A483" s="19"/>
      <c r="B483" s="19"/>
      <c r="C483" s="21"/>
      <c r="D483" s="23"/>
      <c r="E483" s="23"/>
      <c r="F483" s="19"/>
      <c r="G483" s="22"/>
    </row>
    <row r="484" ht="21.75" customHeight="1">
      <c r="A484" s="19"/>
      <c r="B484" s="19"/>
      <c r="C484" s="21"/>
      <c r="D484" s="23"/>
      <c r="E484" s="23"/>
      <c r="F484" s="19"/>
      <c r="G484" s="22"/>
    </row>
    <row r="485" ht="21.75" customHeight="1">
      <c r="A485" s="19"/>
      <c r="B485" s="19"/>
      <c r="C485" s="21"/>
      <c r="D485" s="23"/>
      <c r="E485" s="23"/>
      <c r="F485" s="19"/>
      <c r="G485" s="22"/>
    </row>
    <row r="486" ht="21.75" customHeight="1">
      <c r="A486" s="19"/>
      <c r="B486" s="19"/>
      <c r="C486" s="21"/>
      <c r="D486" s="23"/>
      <c r="E486" s="23"/>
      <c r="F486" s="19"/>
      <c r="G486" s="22"/>
    </row>
    <row r="487" ht="21.75" customHeight="1">
      <c r="A487" s="19"/>
      <c r="B487" s="19"/>
      <c r="C487" s="21"/>
      <c r="D487" s="23"/>
      <c r="E487" s="23"/>
      <c r="F487" s="19"/>
      <c r="G487" s="22"/>
    </row>
    <row r="488" ht="21.75" customHeight="1">
      <c r="A488" s="19"/>
      <c r="B488" s="19"/>
      <c r="C488" s="21"/>
      <c r="D488" s="23"/>
      <c r="E488" s="23"/>
      <c r="F488" s="19"/>
      <c r="G488" s="22"/>
    </row>
    <row r="489" ht="21.75" customHeight="1">
      <c r="A489" s="19"/>
      <c r="B489" s="19"/>
      <c r="C489" s="21"/>
      <c r="D489" s="23"/>
      <c r="E489" s="23"/>
      <c r="F489" s="19"/>
      <c r="G489" s="22"/>
    </row>
    <row r="490" ht="21.75" customHeight="1">
      <c r="A490" s="19"/>
      <c r="B490" s="19"/>
      <c r="C490" s="21"/>
      <c r="D490" s="23"/>
      <c r="E490" s="23"/>
      <c r="F490" s="19"/>
      <c r="G490" s="22"/>
    </row>
    <row r="491" ht="21.75" customHeight="1">
      <c r="A491" s="19"/>
      <c r="B491" s="19"/>
      <c r="C491" s="21"/>
      <c r="D491" s="23"/>
      <c r="E491" s="23"/>
      <c r="F491" s="19"/>
      <c r="G491" s="22"/>
    </row>
    <row r="492" ht="21.75" customHeight="1">
      <c r="A492" s="19"/>
      <c r="B492" s="19"/>
      <c r="C492" s="21"/>
      <c r="D492" s="23"/>
      <c r="E492" s="23"/>
      <c r="F492" s="19"/>
      <c r="G492" s="22"/>
    </row>
    <row r="493" ht="21.75" customHeight="1">
      <c r="A493" s="19"/>
      <c r="B493" s="19"/>
      <c r="C493" s="21"/>
      <c r="D493" s="23"/>
      <c r="E493" s="23"/>
      <c r="F493" s="19"/>
      <c r="G493" s="22"/>
    </row>
    <row r="494" ht="21.75" customHeight="1">
      <c r="A494" s="19"/>
      <c r="B494" s="19"/>
      <c r="C494" s="21"/>
      <c r="D494" s="23"/>
      <c r="E494" s="23"/>
      <c r="F494" s="19"/>
      <c r="G494" s="22"/>
    </row>
    <row r="495" ht="21.75" customHeight="1">
      <c r="A495" s="19"/>
      <c r="B495" s="19"/>
      <c r="C495" s="21"/>
      <c r="D495" s="23"/>
      <c r="E495" s="23"/>
      <c r="F495" s="19"/>
      <c r="G495" s="22"/>
    </row>
    <row r="496" ht="21.75" customHeight="1">
      <c r="A496" s="19"/>
      <c r="B496" s="19"/>
      <c r="C496" s="21"/>
      <c r="D496" s="23"/>
      <c r="E496" s="23"/>
      <c r="F496" s="19"/>
      <c r="G496" s="22"/>
    </row>
    <row r="497" ht="21.75" customHeight="1">
      <c r="A497" s="19"/>
      <c r="B497" s="19"/>
      <c r="C497" s="21"/>
      <c r="D497" s="23"/>
      <c r="E497" s="23"/>
      <c r="F497" s="19"/>
      <c r="G497" s="22"/>
    </row>
    <row r="498" ht="21.75" customHeight="1">
      <c r="A498" s="19"/>
      <c r="B498" s="19"/>
      <c r="C498" s="21"/>
      <c r="D498" s="23"/>
      <c r="E498" s="23"/>
      <c r="F498" s="19"/>
      <c r="G498" s="22"/>
    </row>
    <row r="499" ht="21.75" customHeight="1">
      <c r="A499" s="19"/>
      <c r="B499" s="19"/>
      <c r="C499" s="21"/>
      <c r="D499" s="23"/>
      <c r="E499" s="23"/>
      <c r="F499" s="19"/>
      <c r="G499" s="22"/>
    </row>
    <row r="500" ht="21.75" customHeight="1">
      <c r="A500" s="19"/>
      <c r="B500" s="19"/>
      <c r="C500" s="21"/>
      <c r="D500" s="23"/>
      <c r="E500" s="23"/>
      <c r="F500" s="19"/>
      <c r="G500" s="22"/>
    </row>
    <row r="501" ht="21.75" customHeight="1">
      <c r="A501" s="19"/>
      <c r="B501" s="19"/>
      <c r="C501" s="21"/>
      <c r="D501" s="23"/>
      <c r="E501" s="23"/>
      <c r="F501" s="19"/>
      <c r="G501" s="22"/>
    </row>
    <row r="502" ht="21.75" customHeight="1">
      <c r="A502" s="19"/>
      <c r="B502" s="19"/>
      <c r="C502" s="21"/>
      <c r="D502" s="23"/>
      <c r="E502" s="23"/>
      <c r="F502" s="19"/>
      <c r="G502" s="22"/>
    </row>
    <row r="503" ht="21.75" customHeight="1">
      <c r="A503" s="19"/>
      <c r="B503" s="19"/>
      <c r="C503" s="21"/>
      <c r="D503" s="23"/>
      <c r="E503" s="23"/>
      <c r="F503" s="19"/>
      <c r="G503" s="22"/>
    </row>
    <row r="504" ht="21.75" customHeight="1">
      <c r="A504" s="19"/>
      <c r="B504" s="19"/>
      <c r="C504" s="21"/>
      <c r="D504" s="23"/>
      <c r="E504" s="23"/>
      <c r="F504" s="19"/>
      <c r="G504" s="22"/>
    </row>
    <row r="505" ht="21.75" customHeight="1">
      <c r="A505" s="19"/>
      <c r="B505" s="19"/>
      <c r="C505" s="21"/>
      <c r="D505" s="23"/>
      <c r="E505" s="23"/>
      <c r="F505" s="19"/>
      <c r="G505" s="22"/>
    </row>
    <row r="506" ht="21.75" customHeight="1">
      <c r="A506" s="19"/>
      <c r="B506" s="19"/>
      <c r="C506" s="21"/>
      <c r="D506" s="23"/>
      <c r="E506" s="23"/>
      <c r="F506" s="19"/>
      <c r="G506" s="22"/>
    </row>
    <row r="507" ht="21.75" customHeight="1">
      <c r="A507" s="19"/>
      <c r="B507" s="19"/>
      <c r="C507" s="21"/>
      <c r="D507" s="23"/>
      <c r="E507" s="23"/>
      <c r="F507" s="19"/>
      <c r="G507" s="22"/>
    </row>
    <row r="508" ht="21.75" customHeight="1">
      <c r="A508" s="19"/>
      <c r="B508" s="19"/>
      <c r="C508" s="21"/>
      <c r="D508" s="23"/>
      <c r="E508" s="23"/>
      <c r="F508" s="19"/>
      <c r="G508" s="22"/>
    </row>
    <row r="509" ht="21.75" customHeight="1">
      <c r="A509" s="19"/>
      <c r="B509" s="19"/>
      <c r="C509" s="21"/>
      <c r="D509" s="23"/>
      <c r="E509" s="23"/>
      <c r="F509" s="19"/>
      <c r="G509" s="22"/>
    </row>
    <row r="510" ht="21.75" customHeight="1">
      <c r="A510" s="19"/>
      <c r="B510" s="19"/>
      <c r="C510" s="21"/>
      <c r="D510" s="23"/>
      <c r="E510" s="23"/>
      <c r="F510" s="19"/>
      <c r="G510" s="22"/>
    </row>
    <row r="511" ht="21.75" customHeight="1">
      <c r="A511" s="19"/>
      <c r="B511" s="19"/>
      <c r="C511" s="21"/>
      <c r="D511" s="23"/>
      <c r="E511" s="23"/>
      <c r="F511" s="19"/>
      <c r="G511" s="22"/>
    </row>
    <row r="512" ht="21.75" customHeight="1">
      <c r="A512" s="19"/>
      <c r="B512" s="19"/>
      <c r="C512" s="21"/>
      <c r="D512" s="23"/>
      <c r="E512" s="23"/>
      <c r="F512" s="19"/>
      <c r="G512" s="22"/>
    </row>
    <row r="513" ht="21.75" customHeight="1">
      <c r="A513" s="19"/>
      <c r="B513" s="19"/>
      <c r="C513" s="21"/>
      <c r="D513" s="23"/>
      <c r="E513" s="23"/>
      <c r="F513" s="19"/>
      <c r="G513" s="22"/>
    </row>
    <row r="514" ht="21.75" customHeight="1">
      <c r="A514" s="19"/>
      <c r="B514" s="19"/>
      <c r="C514" s="21"/>
      <c r="D514" s="23"/>
      <c r="E514" s="23"/>
      <c r="F514" s="19"/>
      <c r="G514" s="22"/>
    </row>
    <row r="515" ht="21.75" customHeight="1">
      <c r="A515" s="19"/>
      <c r="B515" s="19"/>
      <c r="C515" s="21"/>
      <c r="D515" s="23"/>
      <c r="E515" s="23"/>
      <c r="F515" s="19"/>
      <c r="G515" s="22"/>
    </row>
    <row r="516" ht="21.75" customHeight="1">
      <c r="A516" s="19"/>
      <c r="B516" s="19"/>
      <c r="C516" s="21"/>
      <c r="D516" s="23"/>
      <c r="E516" s="23"/>
      <c r="F516" s="19"/>
      <c r="G516" s="22"/>
    </row>
    <row r="517" ht="21.75" customHeight="1">
      <c r="A517" s="19"/>
      <c r="B517" s="19"/>
      <c r="C517" s="21"/>
      <c r="D517" s="23"/>
      <c r="E517" s="23"/>
      <c r="F517" s="19"/>
      <c r="G517" s="22"/>
    </row>
    <row r="518" ht="21.75" customHeight="1">
      <c r="A518" s="19"/>
      <c r="B518" s="19"/>
      <c r="C518" s="21"/>
      <c r="D518" s="23"/>
      <c r="E518" s="23"/>
      <c r="F518" s="19"/>
      <c r="G518" s="22"/>
    </row>
    <row r="519" ht="21.75" customHeight="1">
      <c r="A519" s="19"/>
      <c r="B519" s="19"/>
      <c r="C519" s="21"/>
      <c r="D519" s="23"/>
      <c r="E519" s="23"/>
      <c r="F519" s="19"/>
      <c r="G519" s="22"/>
    </row>
    <row r="520" ht="21.75" customHeight="1">
      <c r="A520" s="19"/>
      <c r="B520" s="19"/>
      <c r="C520" s="21"/>
      <c r="D520" s="23"/>
      <c r="E520" s="23"/>
      <c r="F520" s="19"/>
      <c r="G520" s="22"/>
    </row>
    <row r="521" ht="21.75" customHeight="1">
      <c r="A521" s="19"/>
      <c r="B521" s="19"/>
      <c r="C521" s="21"/>
      <c r="D521" s="23"/>
      <c r="E521" s="23"/>
      <c r="F521" s="19"/>
      <c r="G521" s="22"/>
    </row>
    <row r="522" ht="21.75" customHeight="1">
      <c r="A522" s="19"/>
      <c r="B522" s="19"/>
      <c r="C522" s="21"/>
      <c r="D522" s="23"/>
      <c r="E522" s="23"/>
      <c r="F522" s="19"/>
      <c r="G522" s="22"/>
    </row>
    <row r="523" ht="21.75" customHeight="1">
      <c r="A523" s="19"/>
      <c r="B523" s="19"/>
      <c r="C523" s="21"/>
      <c r="D523" s="23"/>
      <c r="E523" s="23"/>
      <c r="F523" s="19"/>
      <c r="G523" s="22"/>
    </row>
    <row r="524" ht="21.75" customHeight="1">
      <c r="A524" s="19"/>
      <c r="B524" s="19"/>
      <c r="C524" s="21"/>
      <c r="D524" s="23"/>
      <c r="E524" s="23"/>
      <c r="F524" s="19"/>
      <c r="G524" s="22"/>
    </row>
    <row r="525" ht="21.75" customHeight="1">
      <c r="A525" s="19"/>
      <c r="B525" s="19"/>
      <c r="C525" s="21"/>
      <c r="D525" s="23"/>
      <c r="E525" s="23"/>
      <c r="F525" s="19"/>
      <c r="G525" s="22"/>
    </row>
    <row r="526" ht="21.75" customHeight="1">
      <c r="A526" s="19"/>
      <c r="B526" s="19"/>
      <c r="C526" s="21"/>
      <c r="D526" s="23"/>
      <c r="E526" s="23"/>
      <c r="F526" s="19"/>
      <c r="G526" s="22"/>
    </row>
    <row r="527" ht="21.75" customHeight="1">
      <c r="A527" s="19"/>
      <c r="B527" s="19"/>
      <c r="C527" s="21"/>
      <c r="D527" s="23"/>
      <c r="E527" s="23"/>
      <c r="F527" s="19"/>
      <c r="G527" s="22"/>
    </row>
    <row r="528" ht="21.75" customHeight="1">
      <c r="A528" s="19"/>
      <c r="B528" s="19"/>
      <c r="C528" s="21"/>
      <c r="D528" s="23"/>
      <c r="E528" s="23"/>
      <c r="F528" s="19"/>
      <c r="G528" s="22"/>
    </row>
    <row r="529" ht="21.75" customHeight="1">
      <c r="A529" s="19"/>
      <c r="B529" s="19"/>
      <c r="C529" s="21"/>
      <c r="D529" s="23"/>
      <c r="E529" s="23"/>
      <c r="F529" s="19"/>
      <c r="G529" s="22"/>
    </row>
    <row r="530" ht="21.75" customHeight="1">
      <c r="A530" s="19"/>
      <c r="B530" s="19"/>
      <c r="C530" s="21"/>
      <c r="D530" s="23"/>
      <c r="E530" s="23"/>
      <c r="F530" s="19"/>
      <c r="G530" s="22"/>
    </row>
    <row r="531" ht="21.75" customHeight="1">
      <c r="A531" s="19"/>
      <c r="B531" s="19"/>
      <c r="C531" s="21"/>
      <c r="D531" s="23"/>
      <c r="E531" s="23"/>
      <c r="F531" s="19"/>
      <c r="G531" s="22"/>
    </row>
    <row r="532" ht="21.75" customHeight="1">
      <c r="A532" s="19"/>
      <c r="B532" s="19"/>
      <c r="C532" s="21"/>
      <c r="D532" s="23"/>
      <c r="E532" s="23"/>
      <c r="F532" s="19"/>
      <c r="G532" s="22"/>
    </row>
    <row r="533" ht="21.75" customHeight="1">
      <c r="A533" s="19"/>
      <c r="B533" s="19"/>
      <c r="C533" s="21"/>
      <c r="D533" s="23"/>
      <c r="E533" s="23"/>
      <c r="F533" s="19"/>
      <c r="G533" s="22"/>
    </row>
    <row r="534" ht="21.75" customHeight="1">
      <c r="A534" s="19"/>
      <c r="B534" s="19"/>
      <c r="C534" s="21"/>
      <c r="D534" s="23"/>
      <c r="E534" s="23"/>
      <c r="F534" s="19"/>
      <c r="G534" s="22"/>
    </row>
    <row r="535" ht="21.75" customHeight="1">
      <c r="A535" s="19"/>
      <c r="B535" s="19"/>
      <c r="C535" s="21"/>
      <c r="D535" s="23"/>
      <c r="E535" s="23"/>
      <c r="F535" s="19"/>
      <c r="G535" s="22"/>
    </row>
    <row r="536" ht="21.75" customHeight="1">
      <c r="A536" s="19"/>
      <c r="B536" s="19"/>
      <c r="C536" s="21"/>
      <c r="D536" s="23"/>
      <c r="E536" s="23"/>
      <c r="F536" s="19"/>
      <c r="G536" s="22"/>
    </row>
    <row r="537" ht="21.75" customHeight="1">
      <c r="A537" s="19"/>
      <c r="B537" s="19"/>
      <c r="C537" s="21"/>
      <c r="D537" s="23"/>
      <c r="E537" s="23"/>
      <c r="F537" s="19"/>
      <c r="G537" s="22"/>
    </row>
    <row r="538" ht="21.75" customHeight="1">
      <c r="A538" s="19"/>
      <c r="B538" s="19"/>
      <c r="C538" s="21"/>
      <c r="D538" s="23"/>
      <c r="E538" s="23"/>
      <c r="F538" s="19"/>
      <c r="G538" s="22"/>
    </row>
    <row r="539" ht="21.75" customHeight="1">
      <c r="A539" s="19"/>
      <c r="B539" s="19"/>
      <c r="C539" s="21"/>
      <c r="D539" s="23"/>
      <c r="E539" s="23"/>
      <c r="F539" s="19"/>
      <c r="G539" s="22"/>
    </row>
    <row r="540" ht="21.75" customHeight="1">
      <c r="A540" s="19"/>
      <c r="B540" s="19"/>
      <c r="C540" s="21"/>
      <c r="D540" s="23"/>
      <c r="E540" s="23"/>
      <c r="F540" s="19"/>
      <c r="G540" s="22"/>
    </row>
    <row r="541" ht="21.75" customHeight="1">
      <c r="A541" s="19"/>
      <c r="B541" s="19"/>
      <c r="C541" s="21"/>
      <c r="D541" s="23"/>
      <c r="E541" s="23"/>
      <c r="F541" s="19"/>
      <c r="G541" s="22"/>
    </row>
    <row r="542" ht="21.75" customHeight="1">
      <c r="A542" s="19"/>
      <c r="B542" s="19"/>
      <c r="C542" s="21"/>
      <c r="D542" s="23"/>
      <c r="E542" s="23"/>
      <c r="F542" s="19"/>
      <c r="G542" s="22"/>
    </row>
    <row r="543" ht="21.75" customHeight="1">
      <c r="A543" s="19"/>
      <c r="B543" s="19"/>
      <c r="C543" s="21"/>
      <c r="D543" s="23"/>
      <c r="E543" s="23"/>
      <c r="F543" s="19"/>
      <c r="G543" s="22"/>
    </row>
    <row r="544" ht="21.75" customHeight="1">
      <c r="A544" s="19"/>
      <c r="B544" s="19"/>
      <c r="C544" s="21"/>
      <c r="D544" s="23"/>
      <c r="E544" s="23"/>
      <c r="F544" s="19"/>
      <c r="G544" s="22"/>
    </row>
    <row r="545" ht="21.75" customHeight="1">
      <c r="A545" s="19"/>
      <c r="B545" s="19"/>
      <c r="C545" s="21"/>
      <c r="D545" s="23"/>
      <c r="E545" s="23"/>
      <c r="F545" s="19"/>
      <c r="G545" s="22"/>
    </row>
    <row r="546" ht="21.75" customHeight="1">
      <c r="A546" s="19"/>
      <c r="B546" s="19"/>
      <c r="C546" s="21"/>
      <c r="D546" s="23"/>
      <c r="E546" s="23"/>
      <c r="F546" s="19"/>
      <c r="G546" s="22"/>
    </row>
    <row r="547" ht="21.75" customHeight="1">
      <c r="A547" s="19"/>
      <c r="B547" s="19"/>
      <c r="C547" s="21"/>
      <c r="D547" s="23"/>
      <c r="E547" s="23"/>
      <c r="F547" s="19"/>
      <c r="G547" s="22"/>
    </row>
    <row r="548" ht="21.75" customHeight="1">
      <c r="A548" s="19"/>
      <c r="B548" s="19"/>
      <c r="C548" s="21"/>
      <c r="D548" s="23"/>
      <c r="E548" s="23"/>
      <c r="F548" s="19"/>
      <c r="G548" s="22"/>
    </row>
    <row r="549" ht="21.75" customHeight="1">
      <c r="A549" s="19"/>
      <c r="B549" s="19"/>
      <c r="C549" s="21"/>
      <c r="D549" s="23"/>
      <c r="E549" s="23"/>
      <c r="F549" s="19"/>
      <c r="G549" s="22"/>
    </row>
    <row r="550" ht="21.75" customHeight="1">
      <c r="A550" s="19"/>
      <c r="B550" s="19"/>
      <c r="C550" s="21"/>
      <c r="D550" s="23"/>
      <c r="E550" s="23"/>
      <c r="F550" s="19"/>
      <c r="G550" s="22"/>
    </row>
    <row r="551" ht="21.75" customHeight="1">
      <c r="A551" s="19"/>
      <c r="B551" s="19"/>
      <c r="C551" s="21"/>
      <c r="D551" s="23"/>
      <c r="E551" s="23"/>
      <c r="F551" s="19"/>
      <c r="G551" s="22"/>
    </row>
    <row r="552" ht="21.75" customHeight="1">
      <c r="A552" s="19"/>
      <c r="B552" s="19"/>
      <c r="C552" s="21"/>
      <c r="D552" s="23"/>
      <c r="E552" s="23"/>
      <c r="F552" s="19"/>
      <c r="G552" s="22"/>
    </row>
    <row r="553" ht="21.75" customHeight="1">
      <c r="A553" s="19"/>
      <c r="B553" s="19"/>
      <c r="C553" s="21"/>
      <c r="D553" s="23"/>
      <c r="E553" s="23"/>
      <c r="F553" s="19"/>
      <c r="G553" s="22"/>
    </row>
    <row r="554" ht="21.75" customHeight="1">
      <c r="A554" s="19"/>
      <c r="B554" s="19"/>
      <c r="C554" s="21"/>
      <c r="D554" s="23"/>
      <c r="E554" s="23"/>
      <c r="F554" s="19"/>
      <c r="G554" s="22"/>
    </row>
    <row r="555" ht="21.75" customHeight="1">
      <c r="A555" s="19"/>
      <c r="B555" s="19"/>
      <c r="C555" s="21"/>
      <c r="D555" s="23"/>
      <c r="E555" s="23"/>
      <c r="F555" s="19"/>
      <c r="G555" s="22"/>
    </row>
    <row r="556" ht="21.75" customHeight="1">
      <c r="A556" s="19"/>
      <c r="B556" s="19"/>
      <c r="C556" s="21"/>
      <c r="D556" s="23"/>
      <c r="E556" s="23"/>
      <c r="F556" s="19"/>
      <c r="G556" s="22"/>
    </row>
    <row r="557" ht="21.75" customHeight="1">
      <c r="A557" s="19"/>
      <c r="B557" s="19"/>
      <c r="C557" s="21"/>
      <c r="D557" s="23"/>
      <c r="E557" s="23"/>
      <c r="F557" s="19"/>
      <c r="G557" s="22"/>
    </row>
    <row r="558" ht="21.75" customHeight="1">
      <c r="A558" s="19"/>
      <c r="B558" s="19"/>
      <c r="C558" s="21"/>
      <c r="D558" s="23"/>
      <c r="E558" s="23"/>
      <c r="F558" s="19"/>
      <c r="G558" s="22"/>
    </row>
    <row r="559" ht="21.75" customHeight="1">
      <c r="A559" s="19"/>
      <c r="B559" s="19"/>
      <c r="C559" s="21"/>
      <c r="D559" s="23"/>
      <c r="E559" s="23"/>
      <c r="F559" s="19"/>
      <c r="G559" s="22"/>
    </row>
    <row r="560" ht="21.75" customHeight="1">
      <c r="A560" s="19"/>
      <c r="B560" s="19"/>
      <c r="C560" s="21"/>
      <c r="D560" s="23"/>
      <c r="E560" s="23"/>
      <c r="F560" s="19"/>
      <c r="G560" s="22"/>
    </row>
    <row r="561" ht="21.75" customHeight="1">
      <c r="A561" s="19"/>
      <c r="B561" s="19"/>
      <c r="C561" s="21"/>
      <c r="D561" s="23"/>
      <c r="E561" s="23"/>
      <c r="F561" s="19"/>
      <c r="G561" s="22"/>
    </row>
    <row r="562" ht="21.75" customHeight="1">
      <c r="A562" s="19"/>
      <c r="B562" s="19"/>
      <c r="C562" s="21"/>
      <c r="D562" s="23"/>
      <c r="E562" s="23"/>
      <c r="F562" s="19"/>
      <c r="G562" s="22"/>
    </row>
    <row r="563" ht="21.75" customHeight="1">
      <c r="A563" s="19"/>
      <c r="B563" s="19"/>
      <c r="C563" s="21"/>
      <c r="D563" s="23"/>
      <c r="E563" s="23"/>
      <c r="F563" s="19"/>
      <c r="G563" s="22"/>
    </row>
    <row r="564" ht="21.75" customHeight="1">
      <c r="A564" s="19"/>
      <c r="B564" s="19"/>
      <c r="C564" s="21"/>
      <c r="D564" s="23"/>
      <c r="E564" s="23"/>
      <c r="F564" s="19"/>
      <c r="G564" s="22"/>
    </row>
    <row r="565" ht="21.75" customHeight="1">
      <c r="A565" s="19"/>
      <c r="B565" s="19"/>
      <c r="C565" s="21"/>
      <c r="D565" s="23"/>
      <c r="E565" s="23"/>
      <c r="F565" s="19"/>
      <c r="G565" s="22"/>
    </row>
    <row r="566" ht="21.75" customHeight="1">
      <c r="A566" s="19"/>
      <c r="B566" s="19"/>
      <c r="C566" s="21"/>
      <c r="D566" s="23"/>
      <c r="E566" s="23"/>
      <c r="F566" s="19"/>
      <c r="G566" s="22"/>
    </row>
    <row r="567" ht="21.75" customHeight="1">
      <c r="A567" s="19"/>
      <c r="B567" s="19"/>
      <c r="C567" s="21"/>
      <c r="D567" s="23"/>
      <c r="E567" s="23"/>
      <c r="F567" s="19"/>
      <c r="G567" s="22"/>
    </row>
    <row r="568" ht="21.75" customHeight="1">
      <c r="A568" s="19"/>
      <c r="B568" s="19"/>
      <c r="C568" s="21"/>
      <c r="D568" s="23"/>
      <c r="E568" s="23"/>
      <c r="F568" s="19"/>
      <c r="G568" s="22"/>
    </row>
    <row r="569" ht="21.75" customHeight="1">
      <c r="A569" s="19"/>
      <c r="B569" s="19"/>
      <c r="C569" s="21"/>
      <c r="D569" s="23"/>
      <c r="E569" s="23"/>
      <c r="F569" s="19"/>
      <c r="G569" s="22"/>
    </row>
    <row r="570" ht="21.75" customHeight="1">
      <c r="A570" s="19"/>
      <c r="B570" s="19"/>
      <c r="C570" s="21"/>
      <c r="D570" s="23"/>
      <c r="E570" s="23"/>
      <c r="F570" s="19"/>
      <c r="G570" s="22"/>
    </row>
    <row r="571" ht="21.75" customHeight="1">
      <c r="A571" s="19"/>
      <c r="B571" s="19"/>
      <c r="C571" s="21"/>
      <c r="D571" s="23"/>
      <c r="E571" s="23"/>
      <c r="F571" s="19"/>
      <c r="G571" s="22"/>
    </row>
    <row r="572" ht="21.75" customHeight="1">
      <c r="A572" s="19"/>
      <c r="B572" s="19"/>
      <c r="C572" s="21"/>
      <c r="D572" s="23"/>
      <c r="E572" s="23"/>
      <c r="F572" s="19"/>
      <c r="G572" s="22"/>
    </row>
    <row r="573" ht="21.75" customHeight="1">
      <c r="A573" s="19"/>
      <c r="B573" s="19"/>
      <c r="C573" s="21"/>
      <c r="D573" s="23"/>
      <c r="E573" s="23"/>
      <c r="F573" s="19"/>
      <c r="G573" s="22"/>
    </row>
    <row r="574" ht="21.75" customHeight="1">
      <c r="A574" s="19"/>
      <c r="B574" s="19"/>
      <c r="C574" s="21"/>
      <c r="D574" s="23"/>
      <c r="E574" s="23"/>
      <c r="F574" s="19"/>
      <c r="G574" s="22"/>
    </row>
    <row r="575" ht="21.75" customHeight="1">
      <c r="A575" s="19"/>
      <c r="B575" s="19"/>
      <c r="C575" s="21"/>
      <c r="D575" s="23"/>
      <c r="E575" s="23"/>
      <c r="F575" s="19"/>
      <c r="G575" s="22"/>
    </row>
    <row r="576" ht="21.75" customHeight="1">
      <c r="A576" s="19"/>
      <c r="B576" s="19"/>
      <c r="C576" s="21"/>
      <c r="D576" s="23"/>
      <c r="E576" s="23"/>
      <c r="F576" s="19"/>
      <c r="G576" s="22"/>
    </row>
    <row r="577" ht="21.75" customHeight="1">
      <c r="A577" s="19"/>
      <c r="B577" s="19"/>
      <c r="C577" s="21"/>
      <c r="D577" s="23"/>
      <c r="E577" s="23"/>
      <c r="F577" s="19"/>
      <c r="G577" s="22"/>
    </row>
    <row r="578" ht="21.75" customHeight="1">
      <c r="A578" s="19"/>
      <c r="B578" s="19"/>
      <c r="C578" s="21"/>
      <c r="D578" s="23"/>
      <c r="E578" s="23"/>
      <c r="F578" s="19"/>
      <c r="G578" s="22"/>
    </row>
    <row r="579" ht="21.75" customHeight="1">
      <c r="A579" s="19"/>
      <c r="B579" s="19"/>
      <c r="C579" s="21"/>
      <c r="D579" s="23"/>
      <c r="E579" s="23"/>
      <c r="F579" s="19"/>
      <c r="G579" s="22"/>
    </row>
    <row r="580" ht="21.75" customHeight="1">
      <c r="A580" s="19"/>
      <c r="B580" s="19"/>
      <c r="C580" s="21"/>
      <c r="D580" s="23"/>
      <c r="E580" s="23"/>
      <c r="F580" s="19"/>
      <c r="G580" s="22"/>
    </row>
    <row r="581" ht="21.75" customHeight="1">
      <c r="A581" s="19"/>
      <c r="B581" s="19"/>
      <c r="C581" s="21"/>
      <c r="D581" s="23"/>
      <c r="E581" s="23"/>
      <c r="F581" s="19"/>
      <c r="G581" s="22"/>
    </row>
    <row r="582" ht="21.75" customHeight="1">
      <c r="A582" s="19"/>
      <c r="B582" s="19"/>
      <c r="C582" s="21"/>
      <c r="D582" s="23"/>
      <c r="E582" s="23"/>
      <c r="F582" s="19"/>
      <c r="G582" s="22"/>
    </row>
    <row r="583" ht="21.75" customHeight="1">
      <c r="A583" s="19"/>
      <c r="B583" s="19"/>
      <c r="C583" s="21"/>
      <c r="D583" s="23"/>
      <c r="E583" s="23"/>
      <c r="F583" s="19"/>
      <c r="G583" s="22"/>
    </row>
    <row r="584" ht="21.75" customHeight="1">
      <c r="A584" s="19"/>
      <c r="B584" s="19"/>
      <c r="C584" s="21"/>
      <c r="D584" s="23"/>
      <c r="E584" s="23"/>
      <c r="F584" s="19"/>
      <c r="G584" s="22"/>
    </row>
    <row r="585" ht="21.75" customHeight="1">
      <c r="A585" s="19"/>
      <c r="B585" s="19"/>
      <c r="C585" s="21"/>
      <c r="D585" s="23"/>
      <c r="E585" s="23"/>
      <c r="F585" s="19"/>
      <c r="G585" s="22"/>
    </row>
    <row r="586" ht="21.75" customHeight="1">
      <c r="A586" s="19"/>
      <c r="B586" s="19"/>
      <c r="C586" s="21"/>
      <c r="D586" s="23"/>
      <c r="E586" s="23"/>
      <c r="F586" s="19"/>
      <c r="G586" s="22"/>
    </row>
    <row r="587" ht="21.75" customHeight="1">
      <c r="A587" s="19"/>
      <c r="B587" s="19"/>
      <c r="C587" s="21"/>
      <c r="D587" s="23"/>
      <c r="E587" s="23"/>
      <c r="F587" s="19"/>
      <c r="G587" s="22"/>
    </row>
    <row r="588" ht="21.75" customHeight="1">
      <c r="A588" s="19"/>
      <c r="B588" s="19"/>
      <c r="C588" s="21"/>
      <c r="D588" s="23"/>
      <c r="E588" s="23"/>
      <c r="F588" s="19"/>
      <c r="G588" s="22"/>
    </row>
    <row r="589" ht="21.75" customHeight="1">
      <c r="A589" s="19"/>
      <c r="B589" s="19"/>
      <c r="C589" s="21"/>
      <c r="D589" s="23"/>
      <c r="E589" s="23"/>
      <c r="F589" s="19"/>
      <c r="G589" s="22"/>
    </row>
    <row r="590" ht="21.75" customHeight="1">
      <c r="A590" s="19"/>
      <c r="B590" s="19"/>
      <c r="C590" s="21"/>
      <c r="D590" s="23"/>
      <c r="E590" s="23"/>
      <c r="F590" s="19"/>
      <c r="G590" s="22"/>
    </row>
    <row r="591" ht="21.75" customHeight="1">
      <c r="A591" s="19"/>
      <c r="B591" s="19"/>
      <c r="C591" s="21"/>
      <c r="D591" s="23"/>
      <c r="E591" s="23"/>
      <c r="F591" s="19"/>
      <c r="G591" s="22"/>
    </row>
    <row r="592" ht="21.75" customHeight="1">
      <c r="A592" s="19"/>
      <c r="B592" s="19"/>
      <c r="C592" s="21"/>
      <c r="D592" s="23"/>
      <c r="E592" s="23"/>
      <c r="F592" s="19"/>
      <c r="G592" s="22"/>
    </row>
    <row r="593" ht="21.75" customHeight="1">
      <c r="A593" s="19"/>
      <c r="B593" s="19"/>
      <c r="C593" s="21"/>
      <c r="D593" s="23"/>
      <c r="E593" s="23"/>
      <c r="F593" s="19"/>
      <c r="G593" s="22"/>
    </row>
    <row r="594" ht="21.75" customHeight="1">
      <c r="A594" s="19"/>
      <c r="B594" s="19"/>
      <c r="C594" s="21"/>
      <c r="D594" s="23"/>
      <c r="E594" s="23"/>
      <c r="F594" s="19"/>
      <c r="G594" s="22"/>
    </row>
    <row r="595" ht="21.75" customHeight="1">
      <c r="A595" s="19"/>
      <c r="B595" s="19"/>
      <c r="C595" s="21"/>
      <c r="D595" s="23"/>
      <c r="E595" s="23"/>
      <c r="F595" s="19"/>
      <c r="G595" s="22"/>
    </row>
    <row r="596" ht="21.75" customHeight="1">
      <c r="A596" s="19"/>
      <c r="B596" s="19"/>
      <c r="C596" s="21"/>
      <c r="D596" s="23"/>
      <c r="E596" s="23"/>
      <c r="F596" s="19"/>
      <c r="G596" s="22"/>
    </row>
    <row r="597" ht="21.75" customHeight="1">
      <c r="A597" s="19"/>
      <c r="B597" s="19"/>
      <c r="C597" s="21"/>
      <c r="D597" s="23"/>
      <c r="E597" s="23"/>
      <c r="F597" s="19"/>
      <c r="G597" s="22"/>
    </row>
    <row r="598" ht="21.75" customHeight="1">
      <c r="A598" s="19"/>
      <c r="B598" s="19"/>
      <c r="C598" s="21"/>
      <c r="D598" s="23"/>
      <c r="E598" s="23"/>
      <c r="F598" s="19"/>
      <c r="G598" s="22"/>
    </row>
    <row r="599" ht="21.75" customHeight="1">
      <c r="A599" s="19"/>
      <c r="B599" s="19"/>
      <c r="C599" s="21"/>
      <c r="D599" s="23"/>
      <c r="E599" s="23"/>
      <c r="F599" s="19"/>
      <c r="G599" s="22"/>
    </row>
    <row r="600" ht="21.75" customHeight="1">
      <c r="A600" s="19"/>
      <c r="B600" s="19"/>
      <c r="C600" s="21"/>
      <c r="D600" s="23"/>
      <c r="E600" s="23"/>
      <c r="F600" s="19"/>
      <c r="G600" s="22"/>
    </row>
    <row r="601" ht="21.75" customHeight="1">
      <c r="A601" s="19"/>
      <c r="B601" s="19"/>
      <c r="C601" s="21"/>
      <c r="D601" s="23"/>
      <c r="E601" s="23"/>
      <c r="F601" s="19"/>
      <c r="G601" s="22"/>
    </row>
    <row r="602" ht="21.75" customHeight="1">
      <c r="A602" s="19"/>
      <c r="B602" s="19"/>
      <c r="C602" s="21"/>
      <c r="D602" s="23"/>
      <c r="E602" s="23"/>
      <c r="F602" s="19"/>
      <c r="G602" s="22"/>
    </row>
    <row r="603" ht="21.75" customHeight="1">
      <c r="A603" s="19"/>
      <c r="B603" s="19"/>
      <c r="C603" s="21"/>
      <c r="D603" s="23"/>
      <c r="E603" s="23"/>
      <c r="F603" s="19"/>
      <c r="G603" s="22"/>
    </row>
    <row r="604" ht="21.75" customHeight="1">
      <c r="A604" s="19"/>
      <c r="B604" s="19"/>
      <c r="C604" s="21"/>
      <c r="D604" s="23"/>
      <c r="E604" s="23"/>
      <c r="F604" s="19"/>
      <c r="G604" s="22"/>
    </row>
    <row r="605" ht="21.75" customHeight="1">
      <c r="A605" s="19"/>
      <c r="B605" s="19"/>
      <c r="C605" s="21"/>
      <c r="D605" s="23"/>
      <c r="E605" s="23"/>
      <c r="F605" s="19"/>
      <c r="G605" s="22"/>
    </row>
    <row r="606" ht="21.75" customHeight="1">
      <c r="A606" s="19"/>
      <c r="B606" s="19"/>
      <c r="C606" s="21"/>
      <c r="D606" s="23"/>
      <c r="E606" s="23"/>
      <c r="F606" s="19"/>
      <c r="G606" s="22"/>
    </row>
    <row r="607" ht="21.75" customHeight="1">
      <c r="A607" s="19"/>
      <c r="B607" s="19"/>
      <c r="C607" s="21"/>
      <c r="D607" s="23"/>
      <c r="E607" s="23"/>
      <c r="F607" s="19"/>
      <c r="G607" s="22"/>
    </row>
    <row r="608" ht="21.75" customHeight="1">
      <c r="A608" s="19"/>
      <c r="B608" s="19"/>
      <c r="C608" s="21"/>
      <c r="D608" s="23"/>
      <c r="E608" s="23"/>
      <c r="F608" s="19"/>
      <c r="G608" s="22"/>
    </row>
    <row r="609" ht="21.75" customHeight="1">
      <c r="A609" s="19"/>
      <c r="B609" s="19"/>
      <c r="C609" s="21"/>
      <c r="D609" s="23"/>
      <c r="E609" s="23"/>
      <c r="F609" s="19"/>
      <c r="G609" s="22"/>
    </row>
    <row r="610" ht="21.75" customHeight="1">
      <c r="A610" s="19"/>
      <c r="B610" s="19"/>
      <c r="C610" s="21"/>
      <c r="D610" s="23"/>
      <c r="E610" s="23"/>
      <c r="F610" s="19"/>
      <c r="G610" s="22"/>
    </row>
    <row r="611" ht="21.75" customHeight="1">
      <c r="A611" s="19"/>
      <c r="B611" s="19"/>
      <c r="C611" s="21"/>
      <c r="D611" s="23"/>
      <c r="E611" s="23"/>
      <c r="F611" s="19"/>
      <c r="G611" s="22"/>
    </row>
    <row r="612" ht="21.75" customHeight="1">
      <c r="A612" s="19"/>
      <c r="B612" s="19"/>
      <c r="C612" s="21"/>
      <c r="D612" s="23"/>
      <c r="E612" s="23"/>
      <c r="F612" s="19"/>
      <c r="G612" s="22"/>
    </row>
    <row r="613" ht="21.75" customHeight="1">
      <c r="A613" s="19"/>
      <c r="B613" s="19"/>
      <c r="C613" s="21"/>
      <c r="D613" s="23"/>
      <c r="E613" s="23"/>
      <c r="F613" s="19"/>
      <c r="G613" s="22"/>
    </row>
    <row r="614" ht="21.75" customHeight="1">
      <c r="A614" s="19"/>
      <c r="B614" s="19"/>
      <c r="C614" s="21"/>
      <c r="D614" s="23"/>
      <c r="E614" s="23"/>
      <c r="F614" s="19"/>
      <c r="G614" s="22"/>
    </row>
    <row r="615" ht="21.75" customHeight="1">
      <c r="A615" s="19"/>
      <c r="B615" s="19"/>
      <c r="C615" s="21"/>
      <c r="D615" s="23"/>
      <c r="E615" s="23"/>
      <c r="F615" s="19"/>
      <c r="G615" s="22"/>
    </row>
    <row r="616" ht="21.75" customHeight="1">
      <c r="A616" s="19"/>
      <c r="B616" s="19"/>
      <c r="C616" s="21"/>
      <c r="D616" s="23"/>
      <c r="E616" s="23"/>
      <c r="F616" s="19"/>
      <c r="G616" s="22"/>
    </row>
    <row r="617" ht="21.75" customHeight="1">
      <c r="A617" s="19"/>
      <c r="B617" s="19"/>
      <c r="C617" s="21"/>
      <c r="D617" s="23"/>
      <c r="E617" s="23"/>
      <c r="F617" s="19"/>
      <c r="G617" s="22"/>
    </row>
    <row r="618" ht="21.75" customHeight="1">
      <c r="A618" s="19"/>
      <c r="B618" s="19"/>
      <c r="C618" s="21"/>
      <c r="D618" s="23"/>
      <c r="E618" s="23"/>
      <c r="F618" s="19"/>
      <c r="G618" s="22"/>
    </row>
    <row r="619" ht="21.75" customHeight="1">
      <c r="A619" s="19"/>
      <c r="B619" s="19"/>
      <c r="C619" s="21"/>
      <c r="D619" s="23"/>
      <c r="E619" s="23"/>
      <c r="F619" s="19"/>
      <c r="G619" s="22"/>
    </row>
    <row r="620" ht="21.75" customHeight="1">
      <c r="A620" s="19"/>
      <c r="B620" s="19"/>
      <c r="C620" s="21"/>
      <c r="D620" s="23"/>
      <c r="E620" s="23"/>
      <c r="F620" s="19"/>
      <c r="G620" s="22"/>
    </row>
    <row r="621" ht="21.75" customHeight="1">
      <c r="A621" s="19"/>
      <c r="B621" s="19"/>
      <c r="C621" s="21"/>
      <c r="D621" s="23"/>
      <c r="E621" s="23"/>
      <c r="F621" s="19"/>
      <c r="G621" s="22"/>
    </row>
    <row r="622" ht="21.75" customHeight="1">
      <c r="A622" s="19"/>
      <c r="B622" s="19"/>
      <c r="C622" s="21"/>
      <c r="D622" s="23"/>
      <c r="E622" s="23"/>
      <c r="F622" s="19"/>
      <c r="G622" s="22"/>
    </row>
    <row r="623" ht="21.75" customHeight="1">
      <c r="A623" s="19"/>
      <c r="B623" s="19"/>
      <c r="C623" s="21"/>
      <c r="D623" s="23"/>
      <c r="E623" s="23"/>
      <c r="F623" s="19"/>
      <c r="G623" s="22"/>
    </row>
    <row r="624" ht="21.75" customHeight="1">
      <c r="A624" s="19"/>
      <c r="B624" s="19"/>
      <c r="C624" s="21"/>
      <c r="D624" s="23"/>
      <c r="E624" s="23"/>
      <c r="F624" s="19"/>
      <c r="G624" s="22"/>
    </row>
    <row r="625" ht="21.75" customHeight="1">
      <c r="A625" s="19"/>
      <c r="B625" s="19"/>
      <c r="C625" s="21"/>
      <c r="D625" s="23"/>
      <c r="E625" s="23"/>
      <c r="F625" s="19"/>
      <c r="G625" s="22"/>
    </row>
    <row r="626" ht="21.75" customHeight="1">
      <c r="A626" s="19"/>
      <c r="B626" s="19"/>
      <c r="C626" s="21"/>
      <c r="D626" s="23"/>
      <c r="E626" s="23"/>
      <c r="F626" s="19"/>
      <c r="G626" s="22"/>
    </row>
    <row r="627" ht="21.75" customHeight="1">
      <c r="A627" s="19"/>
      <c r="B627" s="19"/>
      <c r="C627" s="21"/>
      <c r="D627" s="23"/>
      <c r="E627" s="23"/>
      <c r="F627" s="19"/>
      <c r="G627" s="22"/>
    </row>
    <row r="628" ht="21.75" customHeight="1">
      <c r="A628" s="19"/>
      <c r="B628" s="19"/>
      <c r="C628" s="21"/>
      <c r="D628" s="23"/>
      <c r="E628" s="23"/>
      <c r="F628" s="19"/>
      <c r="G628" s="22"/>
    </row>
    <row r="629" ht="21.75" customHeight="1">
      <c r="A629" s="19"/>
      <c r="B629" s="19"/>
      <c r="C629" s="21"/>
      <c r="D629" s="23"/>
      <c r="E629" s="23"/>
      <c r="F629" s="19"/>
      <c r="G629" s="22"/>
    </row>
    <row r="630" ht="21.75" customHeight="1">
      <c r="A630" s="19"/>
      <c r="B630" s="19"/>
      <c r="C630" s="21"/>
      <c r="D630" s="23"/>
      <c r="E630" s="23"/>
      <c r="F630" s="19"/>
      <c r="G630" s="22"/>
    </row>
    <row r="631" ht="21.75" customHeight="1">
      <c r="A631" s="19"/>
      <c r="B631" s="19"/>
      <c r="C631" s="21"/>
      <c r="D631" s="23"/>
      <c r="E631" s="23"/>
      <c r="F631" s="19"/>
      <c r="G631" s="22"/>
    </row>
    <row r="632" ht="21.75" customHeight="1">
      <c r="A632" s="19"/>
      <c r="B632" s="19"/>
      <c r="C632" s="21"/>
      <c r="D632" s="23"/>
      <c r="E632" s="23"/>
      <c r="F632" s="19"/>
      <c r="G632" s="22"/>
    </row>
    <row r="633" ht="21.75" customHeight="1">
      <c r="A633" s="19"/>
      <c r="B633" s="19"/>
      <c r="C633" s="21"/>
      <c r="D633" s="23"/>
      <c r="E633" s="23"/>
      <c r="F633" s="19"/>
      <c r="G633" s="22"/>
    </row>
    <row r="634" ht="21.75" customHeight="1">
      <c r="A634" s="19"/>
      <c r="B634" s="19"/>
      <c r="C634" s="21"/>
      <c r="D634" s="23"/>
      <c r="E634" s="23"/>
      <c r="F634" s="19"/>
      <c r="G634" s="22"/>
    </row>
    <row r="635" ht="21.75" customHeight="1">
      <c r="A635" s="19"/>
      <c r="B635" s="19"/>
      <c r="C635" s="21"/>
      <c r="D635" s="23"/>
      <c r="E635" s="23"/>
      <c r="F635" s="19"/>
      <c r="G635" s="22"/>
    </row>
    <row r="636" ht="21.75" customHeight="1">
      <c r="A636" s="19"/>
      <c r="B636" s="19"/>
      <c r="C636" s="21"/>
      <c r="D636" s="23"/>
      <c r="E636" s="23"/>
      <c r="F636" s="19"/>
      <c r="G636" s="22"/>
    </row>
    <row r="637" ht="21.75" customHeight="1">
      <c r="A637" s="19"/>
      <c r="B637" s="19"/>
      <c r="C637" s="21"/>
      <c r="D637" s="23"/>
      <c r="E637" s="23"/>
      <c r="F637" s="19"/>
      <c r="G637" s="22"/>
    </row>
    <row r="638" ht="21.75" customHeight="1">
      <c r="A638" s="19"/>
      <c r="B638" s="19"/>
      <c r="C638" s="21"/>
      <c r="D638" s="23"/>
      <c r="E638" s="23"/>
      <c r="F638" s="19"/>
      <c r="G638" s="22"/>
    </row>
    <row r="639" ht="21.75" customHeight="1">
      <c r="A639" s="19"/>
      <c r="B639" s="19"/>
      <c r="C639" s="21"/>
      <c r="D639" s="23"/>
      <c r="E639" s="23"/>
      <c r="F639" s="19"/>
      <c r="G639" s="22"/>
    </row>
    <row r="640" ht="21.75" customHeight="1">
      <c r="A640" s="19"/>
      <c r="B640" s="19"/>
      <c r="C640" s="21"/>
      <c r="D640" s="23"/>
      <c r="E640" s="23"/>
      <c r="F640" s="19"/>
      <c r="G640" s="22"/>
    </row>
    <row r="641" ht="21.75" customHeight="1">
      <c r="A641" s="19"/>
      <c r="B641" s="19"/>
      <c r="C641" s="21"/>
      <c r="D641" s="23"/>
      <c r="E641" s="23"/>
      <c r="F641" s="19"/>
      <c r="G641" s="22"/>
    </row>
    <row r="642" ht="21.75" customHeight="1">
      <c r="A642" s="19"/>
      <c r="B642" s="19"/>
      <c r="C642" s="21"/>
      <c r="D642" s="23"/>
      <c r="E642" s="23"/>
      <c r="F642" s="19"/>
      <c r="G642" s="22"/>
    </row>
    <row r="643" ht="21.75" customHeight="1">
      <c r="A643" s="19"/>
      <c r="B643" s="19"/>
      <c r="C643" s="21"/>
      <c r="D643" s="23"/>
      <c r="E643" s="23"/>
      <c r="F643" s="19"/>
      <c r="G643" s="22"/>
    </row>
    <row r="644" ht="21.75" customHeight="1">
      <c r="A644" s="19"/>
      <c r="B644" s="19"/>
      <c r="C644" s="21"/>
      <c r="D644" s="23"/>
      <c r="E644" s="23"/>
      <c r="F644" s="19"/>
      <c r="G644" s="22"/>
    </row>
    <row r="645" ht="21.75" customHeight="1">
      <c r="A645" s="19"/>
      <c r="B645" s="19"/>
      <c r="C645" s="21"/>
      <c r="D645" s="23"/>
      <c r="E645" s="23"/>
      <c r="F645" s="19"/>
      <c r="G645" s="22"/>
    </row>
    <row r="646" ht="21.75" customHeight="1">
      <c r="A646" s="19"/>
      <c r="B646" s="19"/>
      <c r="C646" s="21"/>
      <c r="D646" s="23"/>
      <c r="E646" s="23"/>
      <c r="F646" s="19"/>
      <c r="G646" s="22"/>
    </row>
    <row r="647" ht="21.75" customHeight="1">
      <c r="A647" s="19"/>
      <c r="B647" s="19"/>
      <c r="C647" s="21"/>
      <c r="D647" s="23"/>
      <c r="E647" s="23"/>
      <c r="F647" s="19"/>
      <c r="G647" s="22"/>
    </row>
    <row r="648" ht="21.75" customHeight="1">
      <c r="A648" s="19"/>
      <c r="B648" s="19"/>
      <c r="C648" s="21"/>
      <c r="D648" s="23"/>
      <c r="E648" s="23"/>
      <c r="F648" s="19"/>
      <c r="G648" s="22"/>
    </row>
    <row r="649" ht="21.75" customHeight="1">
      <c r="A649" s="19"/>
      <c r="B649" s="19"/>
      <c r="C649" s="21"/>
      <c r="D649" s="23"/>
      <c r="E649" s="23"/>
      <c r="F649" s="19"/>
      <c r="G649" s="22"/>
    </row>
    <row r="650" ht="21.75" customHeight="1">
      <c r="A650" s="19"/>
      <c r="B650" s="19"/>
      <c r="C650" s="21"/>
      <c r="D650" s="23"/>
      <c r="E650" s="23"/>
      <c r="F650" s="19"/>
      <c r="G650" s="22"/>
    </row>
    <row r="651" ht="21.75" customHeight="1">
      <c r="A651" s="19"/>
      <c r="B651" s="19"/>
      <c r="C651" s="21"/>
      <c r="D651" s="23"/>
      <c r="E651" s="23"/>
      <c r="F651" s="19"/>
      <c r="G651" s="22"/>
    </row>
    <row r="652" ht="21.75" customHeight="1">
      <c r="A652" s="19"/>
      <c r="B652" s="19"/>
      <c r="C652" s="21"/>
      <c r="D652" s="23"/>
      <c r="E652" s="23"/>
      <c r="F652" s="19"/>
      <c r="G652" s="22"/>
    </row>
    <row r="653" ht="21.75" customHeight="1">
      <c r="A653" s="19"/>
      <c r="B653" s="19"/>
      <c r="C653" s="21"/>
      <c r="D653" s="23"/>
      <c r="E653" s="23"/>
      <c r="F653" s="19"/>
      <c r="G653" s="22"/>
    </row>
    <row r="654" ht="21.75" customHeight="1">
      <c r="A654" s="19"/>
      <c r="B654" s="19"/>
      <c r="C654" s="21"/>
      <c r="D654" s="23"/>
      <c r="E654" s="23"/>
      <c r="F654" s="19"/>
      <c r="G654" s="22"/>
    </row>
    <row r="655" ht="21.75" customHeight="1">
      <c r="A655" s="19"/>
      <c r="B655" s="19"/>
      <c r="C655" s="21"/>
      <c r="D655" s="23"/>
      <c r="E655" s="23"/>
      <c r="F655" s="19"/>
      <c r="G655" s="22"/>
    </row>
    <row r="656" ht="21.75" customHeight="1">
      <c r="A656" s="19"/>
      <c r="B656" s="19"/>
      <c r="C656" s="21"/>
      <c r="D656" s="23"/>
      <c r="E656" s="23"/>
      <c r="F656" s="19"/>
      <c r="G656" s="22"/>
    </row>
    <row r="657" ht="21.75" customHeight="1">
      <c r="A657" s="19"/>
      <c r="B657" s="19"/>
      <c r="C657" s="21"/>
      <c r="D657" s="23"/>
      <c r="E657" s="23"/>
      <c r="F657" s="19"/>
      <c r="G657" s="22"/>
    </row>
    <row r="658" ht="21.75" customHeight="1">
      <c r="A658" s="19"/>
      <c r="B658" s="19"/>
      <c r="C658" s="21"/>
      <c r="D658" s="23"/>
      <c r="E658" s="23"/>
      <c r="F658" s="19"/>
      <c r="G658" s="22"/>
    </row>
    <row r="659" ht="21.75" customHeight="1">
      <c r="A659" s="19"/>
      <c r="B659" s="19"/>
      <c r="C659" s="21"/>
      <c r="D659" s="23"/>
      <c r="E659" s="23"/>
      <c r="F659" s="19"/>
      <c r="G659" s="22"/>
    </row>
    <row r="660" ht="21.75" customHeight="1">
      <c r="A660" s="19"/>
      <c r="B660" s="19"/>
      <c r="C660" s="21"/>
      <c r="D660" s="23"/>
      <c r="E660" s="23"/>
      <c r="F660" s="19"/>
      <c r="G660" s="22"/>
    </row>
    <row r="661" ht="21.75" customHeight="1">
      <c r="A661" s="19"/>
      <c r="B661" s="19"/>
      <c r="C661" s="21"/>
      <c r="D661" s="23"/>
      <c r="E661" s="23"/>
      <c r="F661" s="19"/>
      <c r="G661" s="22"/>
    </row>
    <row r="662" ht="21.75" customHeight="1">
      <c r="A662" s="19"/>
      <c r="B662" s="19"/>
      <c r="C662" s="21"/>
      <c r="D662" s="23"/>
      <c r="E662" s="23"/>
      <c r="F662" s="19"/>
      <c r="G662" s="22"/>
    </row>
    <row r="663" ht="21.75" customHeight="1">
      <c r="A663" s="19"/>
      <c r="B663" s="19"/>
      <c r="C663" s="21"/>
      <c r="D663" s="23"/>
      <c r="E663" s="23"/>
      <c r="F663" s="19"/>
      <c r="G663" s="22"/>
    </row>
    <row r="664" ht="21.75" customHeight="1">
      <c r="A664" s="19"/>
      <c r="B664" s="19"/>
      <c r="C664" s="21"/>
      <c r="D664" s="23"/>
      <c r="E664" s="23"/>
      <c r="F664" s="19"/>
      <c r="G664" s="22"/>
    </row>
    <row r="665" ht="21.75" customHeight="1">
      <c r="A665" s="19"/>
      <c r="B665" s="19"/>
      <c r="C665" s="21"/>
      <c r="D665" s="23"/>
      <c r="E665" s="23"/>
      <c r="F665" s="19"/>
      <c r="G665" s="22"/>
    </row>
    <row r="666" ht="21.75" customHeight="1">
      <c r="A666" s="19"/>
      <c r="B666" s="19"/>
      <c r="C666" s="21"/>
      <c r="D666" s="23"/>
      <c r="E666" s="23"/>
      <c r="F666" s="19"/>
      <c r="G666" s="22"/>
    </row>
    <row r="667" ht="21.75" customHeight="1">
      <c r="A667" s="19"/>
      <c r="B667" s="19"/>
      <c r="C667" s="21"/>
      <c r="D667" s="23"/>
      <c r="E667" s="23"/>
      <c r="F667" s="19"/>
      <c r="G667" s="22"/>
    </row>
    <row r="668" ht="21.75" customHeight="1">
      <c r="A668" s="19"/>
      <c r="B668" s="19"/>
      <c r="C668" s="21"/>
      <c r="D668" s="23"/>
      <c r="E668" s="23"/>
      <c r="F668" s="19"/>
      <c r="G668" s="22"/>
    </row>
    <row r="669" ht="21.75" customHeight="1">
      <c r="A669" s="19"/>
      <c r="B669" s="19"/>
      <c r="C669" s="21"/>
      <c r="D669" s="23"/>
      <c r="E669" s="23"/>
      <c r="F669" s="19"/>
      <c r="G669" s="22"/>
    </row>
    <row r="670" ht="21.75" customHeight="1">
      <c r="A670" s="19"/>
      <c r="B670" s="19"/>
      <c r="C670" s="21"/>
      <c r="D670" s="23"/>
      <c r="E670" s="23"/>
      <c r="F670" s="19"/>
      <c r="G670" s="22"/>
    </row>
    <row r="671" ht="21.75" customHeight="1">
      <c r="A671" s="19"/>
      <c r="B671" s="19"/>
      <c r="C671" s="21"/>
      <c r="D671" s="23"/>
      <c r="E671" s="23"/>
      <c r="F671" s="19"/>
      <c r="G671" s="22"/>
    </row>
    <row r="672" ht="21.75" customHeight="1">
      <c r="A672" s="19"/>
      <c r="B672" s="19"/>
      <c r="C672" s="21"/>
      <c r="D672" s="23"/>
      <c r="E672" s="23"/>
      <c r="F672" s="19"/>
      <c r="G672" s="22"/>
    </row>
    <row r="673" ht="21.75" customHeight="1">
      <c r="A673" s="19"/>
      <c r="B673" s="19"/>
      <c r="C673" s="21"/>
      <c r="D673" s="23"/>
      <c r="E673" s="23"/>
      <c r="F673" s="19"/>
      <c r="G673" s="22"/>
    </row>
    <row r="674" ht="21.75" customHeight="1">
      <c r="A674" s="19"/>
      <c r="B674" s="19"/>
      <c r="C674" s="21"/>
      <c r="D674" s="23"/>
      <c r="E674" s="23"/>
      <c r="F674" s="19"/>
      <c r="G674" s="22"/>
    </row>
    <row r="675" ht="21.75" customHeight="1">
      <c r="A675" s="19"/>
      <c r="B675" s="19"/>
      <c r="C675" s="21"/>
      <c r="D675" s="23"/>
      <c r="E675" s="23"/>
      <c r="F675" s="19"/>
      <c r="G675" s="22"/>
    </row>
    <row r="676" ht="21.75" customHeight="1">
      <c r="A676" s="19"/>
      <c r="B676" s="19"/>
      <c r="C676" s="21"/>
      <c r="D676" s="23"/>
      <c r="E676" s="23"/>
      <c r="F676" s="19"/>
      <c r="G676" s="22"/>
    </row>
    <row r="677" ht="21.75" customHeight="1">
      <c r="A677" s="19"/>
      <c r="B677" s="19"/>
      <c r="C677" s="21"/>
      <c r="D677" s="23"/>
      <c r="E677" s="23"/>
      <c r="F677" s="19"/>
      <c r="G677" s="22"/>
    </row>
    <row r="678" ht="21.75" customHeight="1">
      <c r="A678" s="19"/>
      <c r="B678" s="19"/>
      <c r="C678" s="21"/>
      <c r="D678" s="23"/>
      <c r="E678" s="23"/>
      <c r="F678" s="19"/>
      <c r="G678" s="22"/>
    </row>
    <row r="679" ht="21.75" customHeight="1">
      <c r="A679" s="19"/>
      <c r="B679" s="19"/>
      <c r="C679" s="21"/>
      <c r="D679" s="23"/>
      <c r="E679" s="23"/>
      <c r="F679" s="19"/>
      <c r="G679" s="22"/>
    </row>
    <row r="680" ht="21.75" customHeight="1">
      <c r="A680" s="19"/>
      <c r="B680" s="19"/>
      <c r="C680" s="21"/>
      <c r="D680" s="23"/>
      <c r="E680" s="23"/>
      <c r="F680" s="19"/>
      <c r="G680" s="22"/>
    </row>
    <row r="681" ht="21.75" customHeight="1">
      <c r="A681" s="19"/>
      <c r="B681" s="19"/>
      <c r="C681" s="21"/>
      <c r="D681" s="23"/>
      <c r="E681" s="23"/>
      <c r="F681" s="19"/>
      <c r="G681" s="22"/>
    </row>
    <row r="682" ht="21.75" customHeight="1">
      <c r="A682" s="19"/>
      <c r="B682" s="19"/>
      <c r="C682" s="21"/>
      <c r="D682" s="23"/>
      <c r="E682" s="23"/>
      <c r="F682" s="19"/>
      <c r="G682" s="22"/>
    </row>
    <row r="683" ht="21.75" customHeight="1">
      <c r="A683" s="19"/>
      <c r="B683" s="19"/>
      <c r="C683" s="21"/>
      <c r="D683" s="23"/>
      <c r="E683" s="23"/>
      <c r="F683" s="19"/>
      <c r="G683" s="22"/>
    </row>
    <row r="684" ht="21.75" customHeight="1">
      <c r="A684" s="19"/>
      <c r="B684" s="19"/>
      <c r="C684" s="21"/>
      <c r="D684" s="23"/>
      <c r="E684" s="23"/>
      <c r="F684" s="19"/>
      <c r="G684" s="22"/>
    </row>
    <row r="685" ht="21.75" customHeight="1">
      <c r="A685" s="19"/>
      <c r="B685" s="19"/>
      <c r="C685" s="21"/>
      <c r="D685" s="23"/>
      <c r="E685" s="23"/>
      <c r="F685" s="19"/>
      <c r="G685" s="22"/>
    </row>
    <row r="686" ht="21.75" customHeight="1">
      <c r="A686" s="19"/>
      <c r="B686" s="19"/>
      <c r="C686" s="21"/>
      <c r="D686" s="23"/>
      <c r="E686" s="23"/>
      <c r="F686" s="19"/>
      <c r="G686" s="22"/>
    </row>
    <row r="687" ht="21.75" customHeight="1">
      <c r="A687" s="19"/>
      <c r="B687" s="19"/>
      <c r="C687" s="21"/>
      <c r="D687" s="23"/>
      <c r="E687" s="23"/>
      <c r="F687" s="19"/>
      <c r="G687" s="22"/>
    </row>
    <row r="688" ht="21.75" customHeight="1">
      <c r="A688" s="19"/>
      <c r="B688" s="19"/>
      <c r="C688" s="21"/>
      <c r="D688" s="23"/>
      <c r="E688" s="23"/>
      <c r="F688" s="19"/>
      <c r="G688" s="22"/>
    </row>
    <row r="689" ht="21.75" customHeight="1">
      <c r="A689" s="19"/>
      <c r="B689" s="19"/>
      <c r="C689" s="21"/>
      <c r="D689" s="23"/>
      <c r="E689" s="23"/>
      <c r="F689" s="19"/>
      <c r="G689" s="22"/>
    </row>
    <row r="690" ht="21.75" customHeight="1">
      <c r="A690" s="19"/>
      <c r="B690" s="19"/>
      <c r="C690" s="21"/>
      <c r="D690" s="23"/>
      <c r="E690" s="23"/>
      <c r="F690" s="19"/>
      <c r="G690" s="22"/>
    </row>
    <row r="691" ht="21.75" customHeight="1">
      <c r="A691" s="19"/>
      <c r="B691" s="19"/>
      <c r="C691" s="21"/>
      <c r="D691" s="23"/>
      <c r="E691" s="23"/>
      <c r="F691" s="19"/>
      <c r="G691" s="22"/>
    </row>
    <row r="692" ht="21.75" customHeight="1">
      <c r="A692" s="19"/>
      <c r="B692" s="19"/>
      <c r="C692" s="21"/>
      <c r="D692" s="23"/>
      <c r="E692" s="23"/>
      <c r="F692" s="19"/>
      <c r="G692" s="22"/>
    </row>
    <row r="693" ht="21.75" customHeight="1">
      <c r="A693" s="19"/>
      <c r="B693" s="19"/>
      <c r="C693" s="21"/>
      <c r="D693" s="23"/>
      <c r="E693" s="23"/>
      <c r="F693" s="19"/>
      <c r="G693" s="22"/>
    </row>
    <row r="694" ht="21.75" customHeight="1">
      <c r="A694" s="19"/>
      <c r="B694" s="19"/>
      <c r="C694" s="21"/>
      <c r="D694" s="23"/>
      <c r="E694" s="23"/>
      <c r="F694" s="19"/>
      <c r="G694" s="22"/>
    </row>
    <row r="695" ht="21.75" customHeight="1">
      <c r="A695" s="19"/>
      <c r="B695" s="19"/>
      <c r="C695" s="21"/>
      <c r="D695" s="23"/>
      <c r="E695" s="23"/>
      <c r="F695" s="19"/>
      <c r="G695" s="22"/>
    </row>
    <row r="696" ht="21.75" customHeight="1">
      <c r="A696" s="19"/>
      <c r="B696" s="19"/>
      <c r="C696" s="21"/>
      <c r="D696" s="23"/>
      <c r="E696" s="23"/>
      <c r="F696" s="19"/>
      <c r="G696" s="22"/>
    </row>
    <row r="697" ht="21.75" customHeight="1">
      <c r="A697" s="19"/>
      <c r="B697" s="19"/>
      <c r="C697" s="21"/>
      <c r="D697" s="23"/>
      <c r="E697" s="23"/>
      <c r="F697" s="19"/>
      <c r="G697" s="22"/>
    </row>
    <row r="698" ht="21.75" customHeight="1">
      <c r="A698" s="19"/>
      <c r="B698" s="19"/>
      <c r="C698" s="21"/>
      <c r="D698" s="23"/>
      <c r="E698" s="23"/>
      <c r="F698" s="19"/>
      <c r="G698" s="22"/>
    </row>
    <row r="699" ht="21.75" customHeight="1">
      <c r="A699" s="19"/>
      <c r="B699" s="19"/>
      <c r="C699" s="21"/>
      <c r="D699" s="23"/>
      <c r="E699" s="23"/>
      <c r="F699" s="19"/>
      <c r="G699" s="22"/>
    </row>
    <row r="700" ht="21.75" customHeight="1">
      <c r="A700" s="19"/>
      <c r="B700" s="19"/>
      <c r="C700" s="21"/>
      <c r="D700" s="23"/>
      <c r="E700" s="23"/>
      <c r="F700" s="19"/>
      <c r="G700" s="22"/>
    </row>
    <row r="701" ht="21.75" customHeight="1">
      <c r="A701" s="19"/>
      <c r="B701" s="19"/>
      <c r="C701" s="21"/>
      <c r="D701" s="23"/>
      <c r="E701" s="23"/>
      <c r="F701" s="19"/>
      <c r="G701" s="22"/>
    </row>
    <row r="702" ht="21.75" customHeight="1">
      <c r="A702" s="19"/>
      <c r="B702" s="19"/>
      <c r="C702" s="21"/>
      <c r="D702" s="23"/>
      <c r="E702" s="23"/>
      <c r="F702" s="19"/>
      <c r="G702" s="22"/>
    </row>
    <row r="703" ht="21.75" customHeight="1">
      <c r="A703" s="19"/>
      <c r="B703" s="19"/>
      <c r="C703" s="21"/>
      <c r="D703" s="23"/>
      <c r="E703" s="23"/>
      <c r="F703" s="19"/>
      <c r="G703" s="22"/>
    </row>
    <row r="704" ht="21.75" customHeight="1">
      <c r="A704" s="19"/>
      <c r="B704" s="19"/>
      <c r="C704" s="21"/>
      <c r="D704" s="23"/>
      <c r="E704" s="23"/>
      <c r="F704" s="19"/>
      <c r="G704" s="22"/>
    </row>
    <row r="705" ht="21.75" customHeight="1">
      <c r="A705" s="19"/>
      <c r="B705" s="19"/>
      <c r="C705" s="21"/>
      <c r="D705" s="23"/>
      <c r="E705" s="23"/>
      <c r="F705" s="19"/>
      <c r="G705" s="22"/>
    </row>
    <row r="706" ht="21.75" customHeight="1">
      <c r="A706" s="19"/>
      <c r="B706" s="19"/>
      <c r="C706" s="21"/>
      <c r="D706" s="23"/>
      <c r="E706" s="23"/>
      <c r="F706" s="19"/>
      <c r="G706" s="22"/>
    </row>
    <row r="707" ht="21.75" customHeight="1">
      <c r="A707" s="19"/>
      <c r="B707" s="19"/>
      <c r="C707" s="21"/>
      <c r="D707" s="23"/>
      <c r="E707" s="23"/>
      <c r="F707" s="19"/>
      <c r="G707" s="22"/>
    </row>
    <row r="708" ht="21.75" customHeight="1">
      <c r="A708" s="19"/>
      <c r="B708" s="19"/>
      <c r="C708" s="21"/>
      <c r="D708" s="23"/>
      <c r="E708" s="23"/>
      <c r="F708" s="19"/>
      <c r="G708" s="22"/>
    </row>
    <row r="709" ht="21.75" customHeight="1">
      <c r="A709" s="19"/>
      <c r="B709" s="19"/>
      <c r="C709" s="21"/>
      <c r="D709" s="23"/>
      <c r="E709" s="23"/>
      <c r="F709" s="19"/>
      <c r="G709" s="22"/>
    </row>
    <row r="710" ht="21.75" customHeight="1">
      <c r="A710" s="19"/>
      <c r="B710" s="19"/>
      <c r="C710" s="21"/>
      <c r="D710" s="23"/>
      <c r="E710" s="23"/>
      <c r="F710" s="19"/>
      <c r="G710" s="22"/>
    </row>
    <row r="711" ht="21.75" customHeight="1">
      <c r="A711" s="19"/>
      <c r="B711" s="19"/>
      <c r="C711" s="21"/>
      <c r="D711" s="23"/>
      <c r="E711" s="23"/>
      <c r="F711" s="19"/>
      <c r="G711" s="22"/>
    </row>
    <row r="712" ht="21.75" customHeight="1">
      <c r="A712" s="19"/>
      <c r="B712" s="19"/>
      <c r="C712" s="21"/>
      <c r="D712" s="23"/>
      <c r="E712" s="23"/>
      <c r="F712" s="19"/>
      <c r="G712" s="22"/>
    </row>
    <row r="713" ht="21.75" customHeight="1">
      <c r="A713" s="19"/>
      <c r="B713" s="19"/>
      <c r="C713" s="21"/>
      <c r="D713" s="23"/>
      <c r="E713" s="23"/>
      <c r="F713" s="19"/>
      <c r="G713" s="22"/>
    </row>
    <row r="714" ht="21.75" customHeight="1">
      <c r="A714" s="19"/>
      <c r="B714" s="19"/>
      <c r="C714" s="21"/>
      <c r="D714" s="23"/>
      <c r="E714" s="23"/>
      <c r="F714" s="19"/>
      <c r="G714" s="22"/>
    </row>
    <row r="715" ht="21.75" customHeight="1">
      <c r="A715" s="19"/>
      <c r="B715" s="19"/>
      <c r="C715" s="21"/>
      <c r="D715" s="23"/>
      <c r="E715" s="23"/>
      <c r="F715" s="19"/>
      <c r="G715" s="22"/>
    </row>
    <row r="716" ht="21.75" customHeight="1">
      <c r="A716" s="19"/>
      <c r="B716" s="19"/>
      <c r="C716" s="21"/>
      <c r="D716" s="23"/>
      <c r="E716" s="23"/>
      <c r="F716" s="19"/>
      <c r="G716" s="22"/>
    </row>
    <row r="717" ht="21.75" customHeight="1">
      <c r="A717" s="19"/>
      <c r="B717" s="19"/>
      <c r="C717" s="21"/>
      <c r="D717" s="23"/>
      <c r="E717" s="23"/>
      <c r="F717" s="19"/>
      <c r="G717" s="22"/>
    </row>
    <row r="718" ht="21.75" customHeight="1">
      <c r="A718" s="19"/>
      <c r="B718" s="19"/>
      <c r="C718" s="21"/>
      <c r="D718" s="23"/>
      <c r="E718" s="23"/>
      <c r="F718" s="19"/>
      <c r="G718" s="22"/>
    </row>
    <row r="719" ht="21.75" customHeight="1">
      <c r="A719" s="19"/>
      <c r="B719" s="19"/>
      <c r="C719" s="21"/>
      <c r="D719" s="23"/>
      <c r="E719" s="23"/>
      <c r="F719" s="19"/>
      <c r="G719" s="22"/>
    </row>
    <row r="720" ht="21.75" customHeight="1">
      <c r="A720" s="19"/>
      <c r="B720" s="19"/>
      <c r="C720" s="21"/>
      <c r="D720" s="23"/>
      <c r="E720" s="23"/>
      <c r="F720" s="19"/>
      <c r="G720" s="22"/>
    </row>
    <row r="721" ht="21.75" customHeight="1">
      <c r="A721" s="19"/>
      <c r="B721" s="19"/>
      <c r="C721" s="21"/>
      <c r="D721" s="23"/>
      <c r="E721" s="23"/>
      <c r="F721" s="19"/>
      <c r="G721" s="22"/>
    </row>
    <row r="722" ht="21.75" customHeight="1">
      <c r="A722" s="19"/>
      <c r="B722" s="19"/>
      <c r="C722" s="21"/>
      <c r="D722" s="23"/>
      <c r="E722" s="23"/>
      <c r="F722" s="19"/>
      <c r="G722" s="22"/>
    </row>
    <row r="723" ht="21.75" customHeight="1">
      <c r="A723" s="19"/>
      <c r="B723" s="19"/>
      <c r="C723" s="21"/>
      <c r="D723" s="23"/>
      <c r="E723" s="23"/>
      <c r="F723" s="19"/>
      <c r="G723" s="22"/>
    </row>
    <row r="724" ht="21.75" customHeight="1">
      <c r="A724" s="19"/>
      <c r="B724" s="19"/>
      <c r="C724" s="21"/>
      <c r="D724" s="23"/>
      <c r="E724" s="23"/>
      <c r="F724" s="19"/>
      <c r="G724" s="22"/>
    </row>
    <row r="725" ht="21.75" customHeight="1">
      <c r="A725" s="19"/>
      <c r="B725" s="19"/>
      <c r="C725" s="21"/>
      <c r="D725" s="23"/>
      <c r="E725" s="23"/>
      <c r="F725" s="19"/>
      <c r="G725" s="22"/>
    </row>
    <row r="726" ht="21.75" customHeight="1">
      <c r="A726" s="19"/>
      <c r="B726" s="19"/>
      <c r="C726" s="21"/>
      <c r="D726" s="23"/>
      <c r="E726" s="23"/>
      <c r="F726" s="19"/>
      <c r="G726" s="22"/>
    </row>
    <row r="727" ht="21.75" customHeight="1">
      <c r="A727" s="19"/>
      <c r="B727" s="19"/>
      <c r="C727" s="21"/>
      <c r="D727" s="23"/>
      <c r="E727" s="23"/>
      <c r="F727" s="19"/>
      <c r="G727" s="22"/>
    </row>
    <row r="728" ht="21.75" customHeight="1">
      <c r="A728" s="19"/>
      <c r="B728" s="19"/>
      <c r="C728" s="21"/>
      <c r="D728" s="23"/>
      <c r="E728" s="23"/>
      <c r="F728" s="19"/>
      <c r="G728" s="22"/>
    </row>
    <row r="729" ht="21.75" customHeight="1">
      <c r="A729" s="19"/>
      <c r="B729" s="19"/>
      <c r="C729" s="21"/>
      <c r="D729" s="23"/>
      <c r="E729" s="23"/>
      <c r="F729" s="19"/>
      <c r="G729" s="22"/>
    </row>
    <row r="730" ht="21.75" customHeight="1">
      <c r="A730" s="19"/>
      <c r="B730" s="19"/>
      <c r="C730" s="21"/>
      <c r="D730" s="23"/>
      <c r="E730" s="23"/>
      <c r="F730" s="19"/>
      <c r="G730" s="22"/>
    </row>
    <row r="731" ht="21.75" customHeight="1">
      <c r="A731" s="19"/>
      <c r="B731" s="19"/>
      <c r="C731" s="21"/>
      <c r="D731" s="23"/>
      <c r="E731" s="23"/>
      <c r="F731" s="19"/>
      <c r="G731" s="22"/>
    </row>
    <row r="732" ht="21.75" customHeight="1">
      <c r="A732" s="19"/>
      <c r="B732" s="19"/>
      <c r="C732" s="21"/>
      <c r="D732" s="23"/>
      <c r="E732" s="23"/>
      <c r="F732" s="19"/>
      <c r="G732" s="22"/>
    </row>
    <row r="733" ht="21.75" customHeight="1">
      <c r="A733" s="19"/>
      <c r="B733" s="19"/>
      <c r="C733" s="21"/>
      <c r="D733" s="23"/>
      <c r="E733" s="23"/>
      <c r="F733" s="19"/>
      <c r="G733" s="22"/>
    </row>
    <row r="734" ht="21.75" customHeight="1">
      <c r="A734" s="19"/>
      <c r="B734" s="19"/>
      <c r="C734" s="21"/>
      <c r="D734" s="23"/>
      <c r="E734" s="23"/>
      <c r="F734" s="19"/>
      <c r="G734" s="22"/>
    </row>
    <row r="735" ht="21.75" customHeight="1">
      <c r="A735" s="19"/>
      <c r="B735" s="19"/>
      <c r="C735" s="21"/>
      <c r="D735" s="23"/>
      <c r="E735" s="23"/>
      <c r="F735" s="19"/>
      <c r="G735" s="22"/>
    </row>
    <row r="736" ht="21.75" customHeight="1">
      <c r="A736" s="19"/>
      <c r="B736" s="19"/>
      <c r="C736" s="21"/>
      <c r="D736" s="23"/>
      <c r="E736" s="23"/>
      <c r="F736" s="19"/>
      <c r="G736" s="22"/>
    </row>
    <row r="737" ht="21.75" customHeight="1">
      <c r="A737" s="19"/>
      <c r="B737" s="19"/>
      <c r="C737" s="21"/>
      <c r="D737" s="23"/>
      <c r="E737" s="23"/>
      <c r="F737" s="19"/>
      <c r="G737" s="22"/>
    </row>
    <row r="738" ht="21.75" customHeight="1">
      <c r="A738" s="19"/>
      <c r="B738" s="19"/>
      <c r="C738" s="21"/>
      <c r="D738" s="23"/>
      <c r="E738" s="23"/>
      <c r="F738" s="19"/>
      <c r="G738" s="22"/>
    </row>
    <row r="739" ht="21.75" customHeight="1">
      <c r="A739" s="19"/>
      <c r="B739" s="19"/>
      <c r="C739" s="21"/>
      <c r="D739" s="23"/>
      <c r="E739" s="23"/>
      <c r="F739" s="19"/>
      <c r="G739" s="22"/>
    </row>
    <row r="740" ht="21.75" customHeight="1">
      <c r="A740" s="19"/>
      <c r="B740" s="19"/>
      <c r="C740" s="21"/>
      <c r="D740" s="23"/>
      <c r="E740" s="23"/>
      <c r="F740" s="19"/>
      <c r="G740" s="22"/>
    </row>
    <row r="741" ht="21.75" customHeight="1">
      <c r="A741" s="19"/>
      <c r="B741" s="19"/>
      <c r="C741" s="21"/>
      <c r="D741" s="23"/>
      <c r="E741" s="23"/>
      <c r="F741" s="19"/>
      <c r="G741" s="22"/>
    </row>
    <row r="742" ht="21.75" customHeight="1">
      <c r="A742" s="19"/>
      <c r="B742" s="19"/>
      <c r="C742" s="21"/>
      <c r="D742" s="23"/>
      <c r="E742" s="23"/>
      <c r="F742" s="19"/>
      <c r="G742" s="22"/>
    </row>
    <row r="743" ht="21.75" customHeight="1">
      <c r="A743" s="19"/>
      <c r="B743" s="19"/>
      <c r="C743" s="21"/>
      <c r="D743" s="23"/>
      <c r="E743" s="23"/>
      <c r="F743" s="19"/>
      <c r="G743" s="22"/>
    </row>
    <row r="744" ht="21.75" customHeight="1">
      <c r="A744" s="19"/>
      <c r="B744" s="19"/>
      <c r="C744" s="21"/>
      <c r="D744" s="23"/>
      <c r="E744" s="23"/>
      <c r="F744" s="19"/>
      <c r="G744" s="22"/>
    </row>
    <row r="745" ht="21.75" customHeight="1">
      <c r="A745" s="19"/>
      <c r="B745" s="19"/>
      <c r="C745" s="21"/>
      <c r="D745" s="23"/>
      <c r="E745" s="23"/>
      <c r="F745" s="19"/>
      <c r="G745" s="22"/>
    </row>
    <row r="746" ht="21.75" customHeight="1">
      <c r="A746" s="19"/>
      <c r="B746" s="19"/>
      <c r="C746" s="21"/>
      <c r="D746" s="23"/>
      <c r="E746" s="23"/>
      <c r="F746" s="19"/>
      <c r="G746" s="22"/>
    </row>
    <row r="747" ht="21.75" customHeight="1">
      <c r="A747" s="19"/>
      <c r="B747" s="19"/>
      <c r="C747" s="21"/>
      <c r="D747" s="23"/>
      <c r="E747" s="23"/>
      <c r="F747" s="19"/>
      <c r="G747" s="22"/>
    </row>
    <row r="748" ht="21.75" customHeight="1">
      <c r="A748" s="19"/>
      <c r="B748" s="19"/>
      <c r="C748" s="21"/>
      <c r="D748" s="23"/>
      <c r="E748" s="23"/>
      <c r="F748" s="19"/>
      <c r="G748" s="22"/>
    </row>
    <row r="749" ht="21.75" customHeight="1">
      <c r="A749" s="19"/>
      <c r="B749" s="19"/>
      <c r="C749" s="21"/>
      <c r="D749" s="23"/>
      <c r="E749" s="23"/>
      <c r="F749" s="19"/>
      <c r="G749" s="22"/>
    </row>
    <row r="750" ht="21.75" customHeight="1">
      <c r="A750" s="19"/>
      <c r="B750" s="19"/>
      <c r="C750" s="21"/>
      <c r="D750" s="23"/>
      <c r="E750" s="23"/>
      <c r="F750" s="19"/>
      <c r="G750" s="22"/>
    </row>
    <row r="751" ht="21.75" customHeight="1">
      <c r="A751" s="19"/>
      <c r="B751" s="19"/>
      <c r="C751" s="21"/>
      <c r="D751" s="23"/>
      <c r="E751" s="23"/>
      <c r="F751" s="19"/>
      <c r="G751" s="22"/>
    </row>
    <row r="752" ht="21.75" customHeight="1">
      <c r="A752" s="19"/>
      <c r="B752" s="19"/>
      <c r="C752" s="21"/>
      <c r="D752" s="23"/>
      <c r="E752" s="23"/>
      <c r="F752" s="19"/>
      <c r="G752" s="22"/>
    </row>
    <row r="753" ht="21.75" customHeight="1">
      <c r="A753" s="19"/>
      <c r="B753" s="19"/>
      <c r="C753" s="21"/>
      <c r="D753" s="23"/>
      <c r="E753" s="23"/>
      <c r="F753" s="19"/>
      <c r="G753" s="22"/>
    </row>
    <row r="754" ht="21.75" customHeight="1">
      <c r="A754" s="19"/>
      <c r="B754" s="19"/>
      <c r="C754" s="21"/>
      <c r="D754" s="23"/>
      <c r="E754" s="23"/>
      <c r="F754" s="19"/>
      <c r="G754" s="22"/>
    </row>
    <row r="755" ht="21.75" customHeight="1">
      <c r="A755" s="19"/>
      <c r="B755" s="19"/>
      <c r="C755" s="21"/>
      <c r="D755" s="23"/>
      <c r="E755" s="23"/>
      <c r="F755" s="19"/>
      <c r="G755" s="22"/>
    </row>
    <row r="756" ht="21.75" customHeight="1">
      <c r="A756" s="19"/>
      <c r="B756" s="19"/>
      <c r="C756" s="21"/>
      <c r="D756" s="23"/>
      <c r="E756" s="23"/>
      <c r="F756" s="19"/>
      <c r="G756" s="22"/>
    </row>
    <row r="757" ht="21.75" customHeight="1">
      <c r="A757" s="19"/>
      <c r="B757" s="19"/>
      <c r="C757" s="21"/>
      <c r="D757" s="23"/>
      <c r="E757" s="23"/>
      <c r="F757" s="19"/>
      <c r="G757" s="22"/>
    </row>
    <row r="758" ht="21.75" customHeight="1">
      <c r="A758" s="19"/>
      <c r="B758" s="19"/>
      <c r="C758" s="21"/>
      <c r="D758" s="23"/>
      <c r="E758" s="23"/>
      <c r="F758" s="19"/>
      <c r="G758" s="22"/>
    </row>
    <row r="759" ht="21.75" customHeight="1">
      <c r="A759" s="19"/>
      <c r="B759" s="19"/>
      <c r="C759" s="21"/>
      <c r="D759" s="23"/>
      <c r="E759" s="23"/>
      <c r="F759" s="19"/>
      <c r="G759" s="22"/>
    </row>
    <row r="760" ht="21.75" customHeight="1">
      <c r="A760" s="19"/>
      <c r="B760" s="19"/>
      <c r="C760" s="21"/>
      <c r="D760" s="23"/>
      <c r="E760" s="23"/>
      <c r="F760" s="19"/>
      <c r="G760" s="22"/>
    </row>
    <row r="761" ht="21.75" customHeight="1">
      <c r="A761" s="19"/>
      <c r="B761" s="19"/>
      <c r="C761" s="21"/>
      <c r="D761" s="23"/>
      <c r="E761" s="23"/>
      <c r="F761" s="19"/>
      <c r="G761" s="22"/>
    </row>
    <row r="762" ht="21.75" customHeight="1">
      <c r="A762" s="19"/>
      <c r="B762" s="19"/>
      <c r="C762" s="21"/>
      <c r="D762" s="23"/>
      <c r="E762" s="23"/>
      <c r="F762" s="19"/>
      <c r="G762" s="22"/>
    </row>
    <row r="763" ht="21.75" customHeight="1">
      <c r="A763" s="19"/>
      <c r="B763" s="19"/>
      <c r="C763" s="21"/>
      <c r="D763" s="23"/>
      <c r="E763" s="23"/>
      <c r="F763" s="19"/>
      <c r="G763" s="22"/>
    </row>
    <row r="764" ht="21.75" customHeight="1">
      <c r="A764" s="19"/>
      <c r="B764" s="19"/>
      <c r="C764" s="21"/>
      <c r="D764" s="23"/>
      <c r="E764" s="23"/>
      <c r="F764" s="19"/>
      <c r="G764" s="22"/>
    </row>
    <row r="765" ht="21.75" customHeight="1">
      <c r="A765" s="19"/>
      <c r="B765" s="19"/>
      <c r="C765" s="21"/>
      <c r="D765" s="23"/>
      <c r="E765" s="23"/>
      <c r="F765" s="19"/>
      <c r="G765" s="22"/>
    </row>
    <row r="766" ht="21.75" customHeight="1">
      <c r="A766" s="19"/>
      <c r="B766" s="19"/>
      <c r="C766" s="21"/>
      <c r="D766" s="23"/>
      <c r="E766" s="23"/>
      <c r="F766" s="19"/>
      <c r="G766" s="22"/>
    </row>
    <row r="767" ht="21.75" customHeight="1">
      <c r="A767" s="19"/>
      <c r="B767" s="19"/>
      <c r="C767" s="21"/>
      <c r="D767" s="23"/>
      <c r="E767" s="23"/>
      <c r="F767" s="19"/>
      <c r="G767" s="22"/>
    </row>
    <row r="768" ht="21.75" customHeight="1">
      <c r="A768" s="19"/>
      <c r="B768" s="19"/>
      <c r="C768" s="21"/>
      <c r="D768" s="23"/>
      <c r="E768" s="23"/>
      <c r="F768" s="19"/>
      <c r="G768" s="22"/>
    </row>
    <row r="769" ht="21.75" customHeight="1">
      <c r="A769" s="19"/>
      <c r="B769" s="19"/>
      <c r="C769" s="21"/>
      <c r="D769" s="23"/>
      <c r="E769" s="23"/>
      <c r="F769" s="19"/>
      <c r="G769" s="22"/>
    </row>
    <row r="770" ht="21.75" customHeight="1">
      <c r="A770" s="19"/>
      <c r="B770" s="19"/>
      <c r="C770" s="21"/>
      <c r="D770" s="23"/>
      <c r="E770" s="23"/>
      <c r="F770" s="19"/>
      <c r="G770" s="22"/>
    </row>
    <row r="771" ht="21.75" customHeight="1">
      <c r="A771" s="19"/>
      <c r="B771" s="19"/>
      <c r="C771" s="21"/>
      <c r="D771" s="23"/>
      <c r="E771" s="23"/>
      <c r="F771" s="19"/>
      <c r="G771" s="22"/>
    </row>
    <row r="772" ht="21.75" customHeight="1">
      <c r="A772" s="19"/>
      <c r="B772" s="19"/>
      <c r="C772" s="21"/>
      <c r="D772" s="23"/>
      <c r="E772" s="23"/>
      <c r="F772" s="19"/>
      <c r="G772" s="22"/>
    </row>
    <row r="773" ht="21.75" customHeight="1">
      <c r="A773" s="19"/>
      <c r="B773" s="19"/>
      <c r="C773" s="21"/>
      <c r="D773" s="23"/>
      <c r="E773" s="23"/>
      <c r="F773" s="19"/>
      <c r="G773" s="22"/>
    </row>
    <row r="774" ht="21.75" customHeight="1">
      <c r="A774" s="19"/>
      <c r="B774" s="19"/>
      <c r="C774" s="21"/>
      <c r="D774" s="23"/>
      <c r="E774" s="23"/>
      <c r="F774" s="19"/>
      <c r="G774" s="22"/>
    </row>
    <row r="775" ht="21.75" customHeight="1">
      <c r="A775" s="19"/>
      <c r="B775" s="19"/>
      <c r="C775" s="21"/>
      <c r="D775" s="23"/>
      <c r="E775" s="23"/>
      <c r="F775" s="19"/>
      <c r="G775" s="22"/>
    </row>
    <row r="776" ht="21.75" customHeight="1">
      <c r="A776" s="19"/>
      <c r="B776" s="19"/>
      <c r="C776" s="21"/>
      <c r="D776" s="23"/>
      <c r="E776" s="23"/>
      <c r="F776" s="19"/>
      <c r="G776" s="22"/>
    </row>
    <row r="777" ht="21.75" customHeight="1">
      <c r="A777" s="19"/>
      <c r="B777" s="19"/>
      <c r="C777" s="21"/>
      <c r="D777" s="23"/>
      <c r="E777" s="23"/>
      <c r="F777" s="19"/>
      <c r="G777" s="22"/>
    </row>
    <row r="778" ht="21.75" customHeight="1">
      <c r="A778" s="19"/>
      <c r="B778" s="19"/>
      <c r="C778" s="21"/>
      <c r="D778" s="23"/>
      <c r="E778" s="23"/>
      <c r="F778" s="19"/>
      <c r="G778" s="22"/>
    </row>
    <row r="779" ht="21.75" customHeight="1">
      <c r="A779" s="19"/>
      <c r="B779" s="19"/>
      <c r="C779" s="21"/>
      <c r="D779" s="23"/>
      <c r="E779" s="23"/>
      <c r="F779" s="19"/>
      <c r="G779" s="22"/>
    </row>
    <row r="780" ht="21.75" customHeight="1">
      <c r="A780" s="19"/>
      <c r="B780" s="19"/>
      <c r="C780" s="21"/>
      <c r="D780" s="23"/>
      <c r="E780" s="23"/>
      <c r="F780" s="19"/>
      <c r="G780" s="22"/>
    </row>
    <row r="781" ht="21.75" customHeight="1">
      <c r="A781" s="19"/>
      <c r="B781" s="19"/>
      <c r="C781" s="21"/>
      <c r="D781" s="23"/>
      <c r="E781" s="23"/>
      <c r="F781" s="19"/>
      <c r="G781" s="22"/>
    </row>
    <row r="782" ht="21.75" customHeight="1">
      <c r="A782" s="19"/>
      <c r="B782" s="19"/>
      <c r="C782" s="21"/>
      <c r="D782" s="23"/>
      <c r="E782" s="23"/>
      <c r="F782" s="19"/>
      <c r="G782" s="22"/>
    </row>
    <row r="783" ht="21.75" customHeight="1">
      <c r="A783" s="19"/>
      <c r="B783" s="19"/>
      <c r="C783" s="21"/>
      <c r="D783" s="23"/>
      <c r="E783" s="23"/>
      <c r="F783" s="19"/>
      <c r="G783" s="22"/>
    </row>
    <row r="784" ht="21.75" customHeight="1">
      <c r="A784" s="19"/>
      <c r="B784" s="19"/>
      <c r="C784" s="21"/>
      <c r="D784" s="23"/>
      <c r="E784" s="23"/>
      <c r="F784" s="19"/>
      <c r="G784" s="22"/>
    </row>
    <row r="785" ht="21.75" customHeight="1">
      <c r="A785" s="19"/>
      <c r="B785" s="19"/>
      <c r="C785" s="21"/>
      <c r="D785" s="23"/>
      <c r="E785" s="23"/>
      <c r="F785" s="19"/>
      <c r="G785" s="22"/>
    </row>
    <row r="786" ht="21.75" customHeight="1">
      <c r="A786" s="19"/>
      <c r="B786" s="19"/>
      <c r="C786" s="21"/>
      <c r="D786" s="23"/>
      <c r="E786" s="23"/>
      <c r="F786" s="19"/>
      <c r="G786" s="22"/>
    </row>
    <row r="787" ht="21.75" customHeight="1">
      <c r="A787" s="19"/>
      <c r="B787" s="19"/>
      <c r="C787" s="21"/>
      <c r="D787" s="23"/>
      <c r="E787" s="23"/>
      <c r="F787" s="19"/>
      <c r="G787" s="22"/>
    </row>
    <row r="788" ht="21.75" customHeight="1">
      <c r="A788" s="19"/>
      <c r="B788" s="19"/>
      <c r="C788" s="21"/>
      <c r="D788" s="23"/>
      <c r="E788" s="23"/>
      <c r="F788" s="19"/>
      <c r="G788" s="22"/>
    </row>
    <row r="789" ht="21.75" customHeight="1">
      <c r="A789" s="19"/>
      <c r="B789" s="19"/>
      <c r="C789" s="21"/>
      <c r="D789" s="23"/>
      <c r="E789" s="23"/>
      <c r="F789" s="19"/>
      <c r="G789" s="22"/>
    </row>
    <row r="790" ht="21.75" customHeight="1">
      <c r="A790" s="19"/>
      <c r="B790" s="19"/>
      <c r="C790" s="21"/>
      <c r="D790" s="23"/>
      <c r="E790" s="23"/>
      <c r="F790" s="19"/>
      <c r="G790" s="22"/>
    </row>
    <row r="791" ht="21.75" customHeight="1">
      <c r="A791" s="19"/>
      <c r="B791" s="19"/>
      <c r="C791" s="21"/>
      <c r="D791" s="23"/>
      <c r="E791" s="23"/>
      <c r="F791" s="19"/>
      <c r="G791" s="22"/>
    </row>
    <row r="792" ht="21.75" customHeight="1">
      <c r="A792" s="19"/>
      <c r="B792" s="19"/>
      <c r="C792" s="21"/>
      <c r="D792" s="23"/>
      <c r="E792" s="23"/>
      <c r="F792" s="19"/>
      <c r="G792" s="22"/>
    </row>
    <row r="793" ht="21.75" customHeight="1">
      <c r="A793" s="19"/>
      <c r="B793" s="19"/>
      <c r="C793" s="21"/>
      <c r="D793" s="23"/>
      <c r="E793" s="23"/>
      <c r="F793" s="19"/>
      <c r="G793" s="22"/>
    </row>
    <row r="794" ht="21.75" customHeight="1">
      <c r="A794" s="19"/>
      <c r="B794" s="19"/>
      <c r="C794" s="21"/>
      <c r="D794" s="23"/>
      <c r="E794" s="23"/>
      <c r="F794" s="19"/>
      <c r="G794" s="22"/>
    </row>
    <row r="795" ht="21.75" customHeight="1">
      <c r="A795" s="19"/>
      <c r="B795" s="19"/>
      <c r="C795" s="21"/>
      <c r="D795" s="23"/>
      <c r="E795" s="23"/>
      <c r="F795" s="19"/>
      <c r="G795" s="22"/>
    </row>
    <row r="796" ht="21.75" customHeight="1">
      <c r="A796" s="19"/>
      <c r="B796" s="19"/>
      <c r="C796" s="21"/>
      <c r="D796" s="23"/>
      <c r="E796" s="23"/>
      <c r="F796" s="19"/>
      <c r="G796" s="22"/>
    </row>
    <row r="797" ht="21.75" customHeight="1">
      <c r="A797" s="19"/>
      <c r="B797" s="19"/>
      <c r="C797" s="21"/>
      <c r="D797" s="23"/>
      <c r="E797" s="23"/>
      <c r="F797" s="19"/>
      <c r="G797" s="22"/>
    </row>
    <row r="798" ht="21.75" customHeight="1">
      <c r="A798" s="19"/>
      <c r="B798" s="19"/>
      <c r="C798" s="21"/>
      <c r="D798" s="23"/>
      <c r="E798" s="23"/>
      <c r="F798" s="19"/>
      <c r="G798" s="22"/>
    </row>
    <row r="799" ht="21.75" customHeight="1">
      <c r="A799" s="19"/>
      <c r="B799" s="19"/>
      <c r="C799" s="21"/>
      <c r="D799" s="23"/>
      <c r="E799" s="23"/>
      <c r="F799" s="19"/>
      <c r="G799" s="22"/>
    </row>
    <row r="800" ht="21.75" customHeight="1">
      <c r="A800" s="19"/>
      <c r="B800" s="19"/>
      <c r="C800" s="21"/>
      <c r="D800" s="23"/>
      <c r="E800" s="23"/>
      <c r="F800" s="19"/>
      <c r="G800" s="22"/>
    </row>
    <row r="801" ht="21.75" customHeight="1">
      <c r="A801" s="19"/>
      <c r="B801" s="19"/>
      <c r="C801" s="21"/>
      <c r="D801" s="23"/>
      <c r="E801" s="23"/>
      <c r="F801" s="19"/>
      <c r="G801" s="22"/>
    </row>
    <row r="802" ht="21.75" customHeight="1">
      <c r="A802" s="19"/>
      <c r="B802" s="19"/>
      <c r="C802" s="21"/>
      <c r="D802" s="23"/>
      <c r="E802" s="23"/>
      <c r="F802" s="19"/>
      <c r="G802" s="22"/>
    </row>
    <row r="803" ht="21.75" customHeight="1">
      <c r="A803" s="19"/>
      <c r="B803" s="19"/>
      <c r="C803" s="21"/>
      <c r="D803" s="23"/>
      <c r="E803" s="23"/>
      <c r="F803" s="19"/>
      <c r="G803" s="22"/>
    </row>
    <row r="804" ht="21.75" customHeight="1">
      <c r="A804" s="19"/>
      <c r="B804" s="19"/>
      <c r="C804" s="21"/>
      <c r="D804" s="23"/>
      <c r="E804" s="23"/>
      <c r="F804" s="19"/>
      <c r="G804" s="22"/>
    </row>
    <row r="805" ht="21.75" customHeight="1">
      <c r="A805" s="19"/>
      <c r="B805" s="19"/>
      <c r="C805" s="21"/>
      <c r="D805" s="23"/>
      <c r="E805" s="23"/>
      <c r="F805" s="19"/>
      <c r="G805" s="22"/>
    </row>
    <row r="806" ht="21.75" customHeight="1">
      <c r="A806" s="19"/>
      <c r="B806" s="19"/>
      <c r="C806" s="21"/>
      <c r="D806" s="23"/>
      <c r="E806" s="23"/>
      <c r="F806" s="19"/>
      <c r="G806" s="22"/>
    </row>
    <row r="807" ht="21.75" customHeight="1">
      <c r="A807" s="19"/>
      <c r="B807" s="19"/>
      <c r="C807" s="21"/>
      <c r="D807" s="23"/>
      <c r="E807" s="23"/>
      <c r="F807" s="19"/>
      <c r="G807" s="22"/>
    </row>
    <row r="808" ht="21.75" customHeight="1">
      <c r="A808" s="19"/>
      <c r="B808" s="19"/>
      <c r="C808" s="21"/>
      <c r="D808" s="23"/>
      <c r="E808" s="23"/>
      <c r="F808" s="19"/>
      <c r="G808" s="22"/>
    </row>
    <row r="809" ht="21.75" customHeight="1">
      <c r="A809" s="19"/>
      <c r="B809" s="19"/>
      <c r="C809" s="21"/>
      <c r="D809" s="23"/>
      <c r="E809" s="23"/>
      <c r="F809" s="19"/>
      <c r="G809" s="22"/>
    </row>
    <row r="810" ht="21.75" customHeight="1">
      <c r="A810" s="19"/>
      <c r="B810" s="19"/>
      <c r="C810" s="21"/>
      <c r="D810" s="23"/>
      <c r="E810" s="23"/>
      <c r="F810" s="19"/>
      <c r="G810" s="22"/>
    </row>
    <row r="811" ht="21.75" customHeight="1">
      <c r="A811" s="19"/>
      <c r="B811" s="19"/>
      <c r="C811" s="21"/>
      <c r="D811" s="23"/>
      <c r="E811" s="23"/>
      <c r="F811" s="19"/>
      <c r="G811" s="22"/>
    </row>
    <row r="812" ht="21.75" customHeight="1">
      <c r="A812" s="19"/>
      <c r="B812" s="19"/>
      <c r="C812" s="21"/>
      <c r="D812" s="23"/>
      <c r="E812" s="23"/>
      <c r="F812" s="19"/>
      <c r="G812" s="22"/>
    </row>
    <row r="813" ht="21.75" customHeight="1">
      <c r="A813" s="19"/>
      <c r="B813" s="19"/>
      <c r="C813" s="21"/>
      <c r="D813" s="23"/>
      <c r="E813" s="23"/>
      <c r="F813" s="19"/>
      <c r="G813" s="22"/>
    </row>
    <row r="814" ht="21.75" customHeight="1">
      <c r="A814" s="19"/>
      <c r="B814" s="19"/>
      <c r="C814" s="21"/>
      <c r="D814" s="23"/>
      <c r="E814" s="23"/>
      <c r="F814" s="19"/>
      <c r="G814" s="22"/>
    </row>
    <row r="815" ht="21.75" customHeight="1">
      <c r="A815" s="19"/>
      <c r="B815" s="19"/>
      <c r="C815" s="21"/>
      <c r="D815" s="23"/>
      <c r="E815" s="23"/>
      <c r="F815" s="19"/>
      <c r="G815" s="22"/>
    </row>
    <row r="816" ht="21.75" customHeight="1">
      <c r="A816" s="19"/>
      <c r="B816" s="19"/>
      <c r="C816" s="21"/>
      <c r="D816" s="23"/>
      <c r="E816" s="23"/>
      <c r="F816" s="19"/>
      <c r="G816" s="22"/>
    </row>
    <row r="817" ht="21.75" customHeight="1">
      <c r="A817" s="19"/>
      <c r="B817" s="19"/>
      <c r="C817" s="21"/>
      <c r="D817" s="23"/>
      <c r="E817" s="23"/>
      <c r="F817" s="19"/>
      <c r="G817" s="22"/>
    </row>
    <row r="818" ht="21.75" customHeight="1">
      <c r="A818" s="19"/>
      <c r="B818" s="19"/>
      <c r="C818" s="21"/>
      <c r="D818" s="23"/>
      <c r="E818" s="23"/>
      <c r="F818" s="19"/>
      <c r="G818" s="22"/>
    </row>
    <row r="819" ht="21.75" customHeight="1">
      <c r="A819" s="19"/>
      <c r="B819" s="19"/>
      <c r="C819" s="21"/>
      <c r="D819" s="23"/>
      <c r="E819" s="23"/>
      <c r="F819" s="19"/>
      <c r="G819" s="22"/>
    </row>
    <row r="820" ht="21.75" customHeight="1">
      <c r="A820" s="19"/>
      <c r="B820" s="19"/>
      <c r="C820" s="21"/>
      <c r="D820" s="23"/>
      <c r="E820" s="23"/>
      <c r="F820" s="19"/>
      <c r="G820" s="22"/>
    </row>
    <row r="821" ht="21.75" customHeight="1">
      <c r="A821" s="19"/>
      <c r="B821" s="19"/>
      <c r="C821" s="21"/>
      <c r="D821" s="23"/>
      <c r="E821" s="23"/>
      <c r="F821" s="19"/>
      <c r="G821" s="22"/>
    </row>
    <row r="822" ht="21.75" customHeight="1">
      <c r="A822" s="19"/>
      <c r="B822" s="19"/>
      <c r="C822" s="21"/>
      <c r="D822" s="23"/>
      <c r="E822" s="23"/>
      <c r="F822" s="19"/>
      <c r="G822" s="22"/>
    </row>
    <row r="823" ht="21.75" customHeight="1">
      <c r="A823" s="19"/>
      <c r="B823" s="19"/>
      <c r="C823" s="21"/>
      <c r="D823" s="23"/>
      <c r="E823" s="23"/>
      <c r="F823" s="19"/>
      <c r="G823" s="22"/>
    </row>
    <row r="824" ht="21.75" customHeight="1">
      <c r="A824" s="19"/>
      <c r="B824" s="19"/>
      <c r="C824" s="21"/>
      <c r="D824" s="23"/>
      <c r="E824" s="23"/>
      <c r="F824" s="19"/>
      <c r="G824" s="22"/>
    </row>
    <row r="825" ht="21.75" customHeight="1">
      <c r="A825" s="19"/>
      <c r="B825" s="19"/>
      <c r="C825" s="21"/>
      <c r="D825" s="23"/>
      <c r="E825" s="23"/>
      <c r="F825" s="19"/>
      <c r="G825" s="22"/>
    </row>
    <row r="826" ht="21.75" customHeight="1">
      <c r="A826" s="19"/>
      <c r="B826" s="19"/>
      <c r="C826" s="21"/>
      <c r="D826" s="23"/>
      <c r="E826" s="23"/>
      <c r="F826" s="19"/>
      <c r="G826" s="22"/>
    </row>
    <row r="827" ht="21.75" customHeight="1">
      <c r="A827" s="19"/>
      <c r="B827" s="19"/>
      <c r="C827" s="21"/>
      <c r="D827" s="23"/>
      <c r="E827" s="23"/>
      <c r="F827" s="19"/>
      <c r="G827" s="22"/>
    </row>
    <row r="828" ht="21.75" customHeight="1">
      <c r="A828" s="19"/>
      <c r="B828" s="19"/>
      <c r="C828" s="21"/>
      <c r="D828" s="23"/>
      <c r="E828" s="23"/>
      <c r="F828" s="19"/>
      <c r="G828" s="22"/>
    </row>
    <row r="829" ht="21.75" customHeight="1">
      <c r="A829" s="19"/>
      <c r="B829" s="19"/>
      <c r="C829" s="21"/>
      <c r="D829" s="23"/>
      <c r="E829" s="23"/>
      <c r="F829" s="19"/>
      <c r="G829" s="22"/>
    </row>
    <row r="830" ht="21.75" customHeight="1">
      <c r="A830" s="19"/>
      <c r="B830" s="19"/>
      <c r="C830" s="21"/>
      <c r="D830" s="23"/>
      <c r="E830" s="23"/>
      <c r="F830" s="19"/>
      <c r="G830" s="22"/>
    </row>
    <row r="831" ht="21.75" customHeight="1">
      <c r="A831" s="19"/>
      <c r="B831" s="19"/>
      <c r="C831" s="21"/>
      <c r="D831" s="23"/>
      <c r="E831" s="23"/>
      <c r="F831" s="19"/>
      <c r="G831" s="22"/>
    </row>
    <row r="832" ht="21.75" customHeight="1">
      <c r="A832" s="19"/>
      <c r="B832" s="19"/>
      <c r="C832" s="21"/>
      <c r="D832" s="23"/>
      <c r="E832" s="23"/>
      <c r="F832" s="19"/>
      <c r="G832" s="22"/>
    </row>
    <row r="833" ht="21.75" customHeight="1">
      <c r="A833" s="19"/>
      <c r="B833" s="19"/>
      <c r="C833" s="21"/>
      <c r="D833" s="23"/>
      <c r="E833" s="23"/>
      <c r="F833" s="19"/>
      <c r="G833" s="22"/>
    </row>
    <row r="834" ht="21.75" customHeight="1">
      <c r="A834" s="19"/>
      <c r="B834" s="19"/>
      <c r="C834" s="21"/>
      <c r="D834" s="23"/>
      <c r="E834" s="23"/>
      <c r="F834" s="19"/>
      <c r="G834" s="22"/>
    </row>
    <row r="835" ht="21.75" customHeight="1">
      <c r="A835" s="19"/>
      <c r="B835" s="19"/>
      <c r="C835" s="21"/>
      <c r="D835" s="23"/>
      <c r="E835" s="23"/>
      <c r="F835" s="19"/>
      <c r="G835" s="22"/>
    </row>
    <row r="836" ht="21.75" customHeight="1">
      <c r="A836" s="19"/>
      <c r="B836" s="19"/>
      <c r="C836" s="21"/>
      <c r="D836" s="23"/>
      <c r="E836" s="23"/>
      <c r="F836" s="19"/>
      <c r="G836" s="22"/>
    </row>
    <row r="837" ht="21.75" customHeight="1">
      <c r="A837" s="19"/>
      <c r="B837" s="19"/>
      <c r="C837" s="21"/>
      <c r="D837" s="23"/>
      <c r="E837" s="23"/>
      <c r="F837" s="19"/>
      <c r="G837" s="22"/>
    </row>
    <row r="838" ht="21.75" customHeight="1">
      <c r="A838" s="19"/>
      <c r="B838" s="19"/>
      <c r="C838" s="21"/>
      <c r="D838" s="23"/>
      <c r="E838" s="23"/>
      <c r="F838" s="19"/>
      <c r="G838" s="22"/>
    </row>
    <row r="839" ht="21.75" customHeight="1">
      <c r="A839" s="19"/>
      <c r="B839" s="19"/>
      <c r="C839" s="21"/>
      <c r="D839" s="23"/>
      <c r="E839" s="23"/>
      <c r="F839" s="19"/>
      <c r="G839" s="22"/>
    </row>
    <row r="840" ht="21.75" customHeight="1">
      <c r="A840" s="19"/>
      <c r="B840" s="19"/>
      <c r="C840" s="21"/>
      <c r="D840" s="23"/>
      <c r="E840" s="23"/>
      <c r="F840" s="19"/>
      <c r="G840" s="22"/>
    </row>
    <row r="841" ht="21.75" customHeight="1">
      <c r="A841" s="19"/>
      <c r="B841" s="19"/>
      <c r="C841" s="21"/>
      <c r="D841" s="23"/>
      <c r="E841" s="23"/>
      <c r="F841" s="19"/>
      <c r="G841" s="22"/>
    </row>
    <row r="842" ht="21.75" customHeight="1">
      <c r="A842" s="19"/>
      <c r="B842" s="19"/>
      <c r="C842" s="21"/>
      <c r="D842" s="23"/>
      <c r="E842" s="23"/>
      <c r="F842" s="19"/>
      <c r="G842" s="22"/>
    </row>
    <row r="843" ht="21.75" customHeight="1">
      <c r="A843" s="19"/>
      <c r="B843" s="19"/>
      <c r="C843" s="21"/>
      <c r="D843" s="23"/>
      <c r="E843" s="23"/>
      <c r="F843" s="19"/>
      <c r="G843" s="22"/>
    </row>
    <row r="844" ht="21.75" customHeight="1">
      <c r="A844" s="19"/>
      <c r="B844" s="19"/>
      <c r="C844" s="21"/>
      <c r="D844" s="23"/>
      <c r="E844" s="23"/>
      <c r="F844" s="19"/>
      <c r="G844" s="22"/>
    </row>
    <row r="845" ht="21.75" customHeight="1">
      <c r="A845" s="19"/>
      <c r="B845" s="19"/>
      <c r="C845" s="21"/>
      <c r="D845" s="23"/>
      <c r="E845" s="23"/>
      <c r="F845" s="19"/>
      <c r="G845" s="22"/>
    </row>
    <row r="846" ht="21.75" customHeight="1">
      <c r="A846" s="19"/>
      <c r="B846" s="19"/>
      <c r="C846" s="21"/>
      <c r="D846" s="23"/>
      <c r="E846" s="23"/>
      <c r="F846" s="19"/>
      <c r="G846" s="22"/>
    </row>
    <row r="847" ht="21.75" customHeight="1">
      <c r="A847" s="19"/>
      <c r="B847" s="19"/>
      <c r="C847" s="21"/>
      <c r="D847" s="23"/>
      <c r="E847" s="23"/>
      <c r="F847" s="19"/>
      <c r="G847" s="22"/>
    </row>
    <row r="848" ht="21.75" customHeight="1">
      <c r="A848" s="19"/>
      <c r="B848" s="19"/>
      <c r="C848" s="21"/>
      <c r="D848" s="23"/>
      <c r="E848" s="23"/>
      <c r="F848" s="19"/>
      <c r="G848" s="22"/>
    </row>
    <row r="849" ht="21.75" customHeight="1">
      <c r="A849" s="19"/>
      <c r="B849" s="19"/>
      <c r="C849" s="21"/>
      <c r="D849" s="23"/>
      <c r="E849" s="23"/>
      <c r="F849" s="19"/>
      <c r="G849" s="22"/>
    </row>
    <row r="850" ht="21.75" customHeight="1">
      <c r="A850" s="19"/>
      <c r="B850" s="19"/>
      <c r="C850" s="21"/>
      <c r="D850" s="23"/>
      <c r="E850" s="23"/>
      <c r="F850" s="19"/>
      <c r="G850" s="22"/>
    </row>
    <row r="851" ht="21.75" customHeight="1">
      <c r="A851" s="19"/>
      <c r="B851" s="19"/>
      <c r="C851" s="21"/>
      <c r="D851" s="23"/>
      <c r="E851" s="23"/>
      <c r="F851" s="19"/>
      <c r="G851" s="22"/>
    </row>
    <row r="852" ht="21.75" customHeight="1">
      <c r="A852" s="19"/>
      <c r="B852" s="19"/>
      <c r="C852" s="21"/>
      <c r="D852" s="23"/>
      <c r="E852" s="23"/>
      <c r="F852" s="19"/>
      <c r="G852" s="22"/>
    </row>
    <row r="853" ht="21.75" customHeight="1">
      <c r="A853" s="19"/>
      <c r="B853" s="19"/>
      <c r="C853" s="21"/>
      <c r="D853" s="23"/>
      <c r="E853" s="23"/>
      <c r="F853" s="19"/>
      <c r="G853" s="22"/>
    </row>
    <row r="854" ht="21.75" customHeight="1">
      <c r="A854" s="19"/>
      <c r="B854" s="19"/>
      <c r="C854" s="21"/>
      <c r="D854" s="23"/>
      <c r="E854" s="23"/>
      <c r="F854" s="19"/>
      <c r="G854" s="22"/>
    </row>
    <row r="855" ht="21.75" customHeight="1">
      <c r="A855" s="19"/>
      <c r="B855" s="19"/>
      <c r="C855" s="21"/>
      <c r="D855" s="23"/>
      <c r="E855" s="23"/>
      <c r="F855" s="19"/>
      <c r="G855" s="22"/>
    </row>
    <row r="856" ht="21.75" customHeight="1">
      <c r="A856" s="19"/>
      <c r="B856" s="19"/>
      <c r="C856" s="21"/>
      <c r="D856" s="23"/>
      <c r="E856" s="23"/>
      <c r="F856" s="19"/>
      <c r="G856" s="22"/>
    </row>
    <row r="857" ht="21.75" customHeight="1">
      <c r="A857" s="19"/>
      <c r="B857" s="19"/>
      <c r="C857" s="21"/>
      <c r="D857" s="23"/>
      <c r="E857" s="23"/>
      <c r="F857" s="19"/>
      <c r="G857" s="22"/>
    </row>
    <row r="858" ht="21.75" customHeight="1">
      <c r="A858" s="19"/>
      <c r="B858" s="19"/>
      <c r="C858" s="21"/>
      <c r="D858" s="23"/>
      <c r="E858" s="23"/>
      <c r="F858" s="19"/>
      <c r="G858" s="22"/>
    </row>
    <row r="859" ht="21.75" customHeight="1">
      <c r="A859" s="19"/>
      <c r="B859" s="19"/>
      <c r="C859" s="21"/>
      <c r="D859" s="23"/>
      <c r="E859" s="23"/>
      <c r="F859" s="19"/>
      <c r="G859" s="22"/>
    </row>
    <row r="860" ht="21.75" customHeight="1">
      <c r="A860" s="19"/>
      <c r="B860" s="19"/>
      <c r="C860" s="21"/>
      <c r="D860" s="23"/>
      <c r="E860" s="23"/>
      <c r="F860" s="19"/>
      <c r="G860" s="22"/>
    </row>
    <row r="861" ht="21.75" customHeight="1">
      <c r="A861" s="19"/>
      <c r="B861" s="19"/>
      <c r="C861" s="21"/>
      <c r="D861" s="23"/>
      <c r="E861" s="23"/>
      <c r="F861" s="19"/>
      <c r="G861" s="22"/>
    </row>
    <row r="862" ht="21.75" customHeight="1">
      <c r="A862" s="19"/>
      <c r="B862" s="19"/>
      <c r="C862" s="21"/>
      <c r="D862" s="23"/>
      <c r="E862" s="23"/>
      <c r="F862" s="19"/>
      <c r="G862" s="22"/>
    </row>
    <row r="863" ht="21.75" customHeight="1">
      <c r="A863" s="19"/>
      <c r="B863" s="19"/>
      <c r="C863" s="21"/>
      <c r="D863" s="23"/>
      <c r="E863" s="23"/>
      <c r="F863" s="19"/>
      <c r="G863" s="22"/>
    </row>
    <row r="864" ht="21.75" customHeight="1">
      <c r="A864" s="19"/>
      <c r="B864" s="19"/>
      <c r="C864" s="21"/>
      <c r="D864" s="23"/>
      <c r="E864" s="23"/>
      <c r="F864" s="19"/>
      <c r="G864" s="22"/>
    </row>
    <row r="865" ht="21.75" customHeight="1">
      <c r="A865" s="19"/>
      <c r="B865" s="19"/>
      <c r="C865" s="21"/>
      <c r="D865" s="23"/>
      <c r="E865" s="23"/>
      <c r="F865" s="19"/>
      <c r="G865" s="22"/>
    </row>
    <row r="866" ht="21.75" customHeight="1">
      <c r="A866" s="19"/>
      <c r="B866" s="19"/>
      <c r="C866" s="21"/>
      <c r="D866" s="23"/>
      <c r="E866" s="23"/>
      <c r="F866" s="19"/>
      <c r="G866" s="22"/>
    </row>
    <row r="867" ht="21.75" customHeight="1">
      <c r="A867" s="19"/>
      <c r="B867" s="19"/>
      <c r="C867" s="21"/>
      <c r="D867" s="23"/>
      <c r="E867" s="23"/>
      <c r="F867" s="19"/>
      <c r="G867" s="22"/>
    </row>
    <row r="868" ht="21.75" customHeight="1">
      <c r="A868" s="19"/>
      <c r="B868" s="19"/>
      <c r="C868" s="21"/>
      <c r="D868" s="23"/>
      <c r="E868" s="23"/>
      <c r="F868" s="19"/>
      <c r="G868" s="22"/>
    </row>
    <row r="869" ht="21.75" customHeight="1">
      <c r="A869" s="19"/>
      <c r="B869" s="19"/>
      <c r="C869" s="21"/>
      <c r="D869" s="23"/>
      <c r="E869" s="23"/>
      <c r="F869" s="19"/>
      <c r="G869" s="22"/>
    </row>
    <row r="870" ht="21.75" customHeight="1">
      <c r="A870" s="19"/>
      <c r="B870" s="19"/>
      <c r="C870" s="21"/>
      <c r="D870" s="23"/>
      <c r="E870" s="23"/>
      <c r="F870" s="19"/>
      <c r="G870" s="22"/>
    </row>
    <row r="871" ht="21.75" customHeight="1">
      <c r="A871" s="19"/>
      <c r="B871" s="19"/>
      <c r="C871" s="21"/>
      <c r="D871" s="23"/>
      <c r="E871" s="23"/>
      <c r="F871" s="19"/>
      <c r="G871" s="22"/>
    </row>
    <row r="872" ht="21.75" customHeight="1">
      <c r="A872" s="19"/>
      <c r="B872" s="19"/>
      <c r="C872" s="21"/>
      <c r="D872" s="23"/>
      <c r="E872" s="23"/>
      <c r="F872" s="19"/>
      <c r="G872" s="22"/>
    </row>
    <row r="873" ht="21.75" customHeight="1">
      <c r="A873" s="19"/>
      <c r="B873" s="19"/>
      <c r="C873" s="21"/>
      <c r="D873" s="23"/>
      <c r="E873" s="23"/>
      <c r="F873" s="19"/>
      <c r="G873" s="22"/>
    </row>
    <row r="874" ht="21.75" customHeight="1">
      <c r="A874" s="19"/>
      <c r="B874" s="19"/>
      <c r="C874" s="21"/>
      <c r="D874" s="23"/>
      <c r="E874" s="23"/>
      <c r="F874" s="19"/>
      <c r="G874" s="22"/>
    </row>
    <row r="875" ht="21.75" customHeight="1">
      <c r="A875" s="19"/>
      <c r="B875" s="19"/>
      <c r="C875" s="21"/>
      <c r="D875" s="23"/>
      <c r="E875" s="23"/>
      <c r="F875" s="19"/>
      <c r="G875" s="22"/>
    </row>
    <row r="876" ht="21.75" customHeight="1">
      <c r="A876" s="19"/>
      <c r="B876" s="19"/>
      <c r="C876" s="21"/>
      <c r="D876" s="23"/>
      <c r="E876" s="23"/>
      <c r="F876" s="19"/>
      <c r="G876" s="22"/>
    </row>
    <row r="877" ht="21.75" customHeight="1">
      <c r="A877" s="19"/>
      <c r="B877" s="19"/>
      <c r="C877" s="21"/>
      <c r="D877" s="23"/>
      <c r="E877" s="23"/>
      <c r="F877" s="19"/>
      <c r="G877" s="22"/>
    </row>
    <row r="878" ht="21.75" customHeight="1">
      <c r="A878" s="19"/>
      <c r="B878" s="19"/>
      <c r="C878" s="21"/>
      <c r="D878" s="23"/>
      <c r="E878" s="23"/>
      <c r="F878" s="19"/>
      <c r="G878" s="22"/>
    </row>
    <row r="879" ht="21.75" customHeight="1">
      <c r="A879" s="19"/>
      <c r="B879" s="19"/>
      <c r="C879" s="21"/>
      <c r="D879" s="23"/>
      <c r="E879" s="23"/>
      <c r="F879" s="19"/>
      <c r="G879" s="22"/>
    </row>
    <row r="880" ht="21.75" customHeight="1">
      <c r="A880" s="19"/>
      <c r="B880" s="19"/>
      <c r="C880" s="21"/>
      <c r="D880" s="23"/>
      <c r="E880" s="23"/>
      <c r="F880" s="19"/>
      <c r="G880" s="22"/>
    </row>
    <row r="881" ht="21.75" customHeight="1">
      <c r="A881" s="19"/>
      <c r="B881" s="19"/>
      <c r="C881" s="21"/>
      <c r="D881" s="23"/>
      <c r="E881" s="23"/>
      <c r="F881" s="19"/>
      <c r="G881" s="22"/>
    </row>
    <row r="882" ht="21.75" customHeight="1">
      <c r="A882" s="19"/>
      <c r="B882" s="19"/>
      <c r="C882" s="21"/>
      <c r="D882" s="23"/>
      <c r="E882" s="23"/>
      <c r="F882" s="19"/>
      <c r="G882" s="22"/>
    </row>
    <row r="883" ht="21.75" customHeight="1">
      <c r="A883" s="19"/>
      <c r="B883" s="19"/>
      <c r="C883" s="21"/>
      <c r="D883" s="23"/>
      <c r="E883" s="23"/>
      <c r="F883" s="19"/>
      <c r="G883" s="22"/>
    </row>
    <row r="884" ht="21.75" customHeight="1">
      <c r="A884" s="19"/>
      <c r="B884" s="19"/>
      <c r="C884" s="21"/>
      <c r="D884" s="23"/>
      <c r="E884" s="23"/>
      <c r="F884" s="19"/>
      <c r="G884" s="22"/>
    </row>
    <row r="885" ht="21.75" customHeight="1">
      <c r="A885" s="19"/>
      <c r="B885" s="19"/>
      <c r="C885" s="21"/>
      <c r="D885" s="23"/>
      <c r="E885" s="23"/>
      <c r="F885" s="19"/>
      <c r="G885" s="22"/>
    </row>
    <row r="886" ht="21.75" customHeight="1">
      <c r="A886" s="19"/>
      <c r="B886" s="19"/>
      <c r="C886" s="21"/>
      <c r="D886" s="23"/>
      <c r="E886" s="23"/>
      <c r="F886" s="19"/>
      <c r="G886" s="22"/>
    </row>
    <row r="887" ht="21.75" customHeight="1">
      <c r="A887" s="19"/>
      <c r="B887" s="19"/>
      <c r="C887" s="21"/>
      <c r="D887" s="23"/>
      <c r="E887" s="23"/>
      <c r="F887" s="19"/>
      <c r="G887" s="22"/>
    </row>
    <row r="888" ht="21.75" customHeight="1">
      <c r="A888" s="19"/>
      <c r="B888" s="19"/>
      <c r="C888" s="21"/>
      <c r="D888" s="23"/>
      <c r="E888" s="23"/>
      <c r="F888" s="19"/>
      <c r="G888" s="22"/>
    </row>
    <row r="889" ht="21.75" customHeight="1">
      <c r="A889" s="19"/>
      <c r="B889" s="19"/>
      <c r="C889" s="21"/>
      <c r="D889" s="23"/>
      <c r="E889" s="23"/>
      <c r="F889" s="19"/>
      <c r="G889" s="22"/>
    </row>
    <row r="890" ht="21.75" customHeight="1">
      <c r="A890" s="19"/>
      <c r="B890" s="19"/>
      <c r="C890" s="21"/>
      <c r="D890" s="23"/>
      <c r="E890" s="23"/>
      <c r="F890" s="19"/>
      <c r="G890" s="22"/>
    </row>
    <row r="891" ht="21.75" customHeight="1">
      <c r="A891" s="19"/>
      <c r="B891" s="19"/>
      <c r="C891" s="21"/>
      <c r="D891" s="23"/>
      <c r="E891" s="23"/>
      <c r="F891" s="19"/>
      <c r="G891" s="22"/>
    </row>
    <row r="892" ht="21.75" customHeight="1">
      <c r="A892" s="19"/>
      <c r="B892" s="19"/>
      <c r="C892" s="21"/>
      <c r="D892" s="23"/>
      <c r="E892" s="23"/>
      <c r="F892" s="19"/>
      <c r="G892" s="22"/>
    </row>
    <row r="893" ht="21.75" customHeight="1">
      <c r="A893" s="19"/>
      <c r="B893" s="19"/>
      <c r="C893" s="21"/>
      <c r="D893" s="23"/>
      <c r="E893" s="23"/>
      <c r="F893" s="19"/>
      <c r="G893" s="22"/>
    </row>
    <row r="894" ht="21.75" customHeight="1">
      <c r="A894" s="19"/>
      <c r="B894" s="19"/>
      <c r="C894" s="21"/>
      <c r="D894" s="23"/>
      <c r="E894" s="23"/>
      <c r="F894" s="19"/>
      <c r="G894" s="22"/>
    </row>
    <row r="895" ht="21.75" customHeight="1">
      <c r="A895" s="19"/>
      <c r="B895" s="19"/>
      <c r="C895" s="21"/>
      <c r="D895" s="23"/>
      <c r="E895" s="23"/>
      <c r="F895" s="19"/>
      <c r="G895" s="22"/>
    </row>
    <row r="896" ht="21.75" customHeight="1">
      <c r="A896" s="19"/>
      <c r="B896" s="19"/>
      <c r="C896" s="21"/>
      <c r="D896" s="23"/>
      <c r="E896" s="23"/>
      <c r="F896" s="19"/>
      <c r="G896" s="22"/>
    </row>
    <row r="897" ht="21.75" customHeight="1">
      <c r="A897" s="19"/>
      <c r="B897" s="19"/>
      <c r="C897" s="21"/>
      <c r="D897" s="23"/>
      <c r="E897" s="23"/>
      <c r="F897" s="19"/>
      <c r="G897" s="22"/>
    </row>
    <row r="898" ht="21.75" customHeight="1">
      <c r="A898" s="19"/>
      <c r="B898" s="19"/>
      <c r="C898" s="21"/>
      <c r="D898" s="23"/>
      <c r="E898" s="23"/>
      <c r="F898" s="19"/>
      <c r="G898" s="22"/>
    </row>
    <row r="899" ht="21.75" customHeight="1">
      <c r="A899" s="19"/>
      <c r="B899" s="19"/>
      <c r="C899" s="21"/>
      <c r="D899" s="23"/>
      <c r="E899" s="23"/>
      <c r="F899" s="19"/>
      <c r="G899" s="22"/>
    </row>
    <row r="900" ht="21.75" customHeight="1">
      <c r="A900" s="19"/>
      <c r="B900" s="19"/>
      <c r="C900" s="21"/>
      <c r="D900" s="23"/>
      <c r="E900" s="23"/>
      <c r="F900" s="19"/>
      <c r="G900" s="22"/>
    </row>
    <row r="901" ht="21.75" customHeight="1">
      <c r="A901" s="19"/>
      <c r="B901" s="19"/>
      <c r="C901" s="21"/>
      <c r="D901" s="23"/>
      <c r="E901" s="23"/>
      <c r="F901" s="19"/>
      <c r="G901" s="22"/>
    </row>
    <row r="902" ht="21.75" customHeight="1">
      <c r="A902" s="19"/>
      <c r="B902" s="19"/>
      <c r="C902" s="21"/>
      <c r="D902" s="23"/>
      <c r="E902" s="23"/>
      <c r="F902" s="19"/>
      <c r="G902" s="22"/>
    </row>
    <row r="903" ht="21.75" customHeight="1">
      <c r="A903" s="19"/>
      <c r="B903" s="19"/>
      <c r="C903" s="21"/>
      <c r="D903" s="23"/>
      <c r="E903" s="23"/>
      <c r="F903" s="19"/>
      <c r="G903" s="22"/>
    </row>
    <row r="904" ht="21.75" customHeight="1">
      <c r="A904" s="19"/>
      <c r="B904" s="19"/>
      <c r="C904" s="21"/>
      <c r="D904" s="23"/>
      <c r="E904" s="23"/>
      <c r="F904" s="19"/>
      <c r="G904" s="22"/>
    </row>
    <row r="905" ht="21.75" customHeight="1">
      <c r="A905" s="19"/>
      <c r="B905" s="19"/>
      <c r="C905" s="21"/>
      <c r="D905" s="23"/>
      <c r="E905" s="23"/>
      <c r="F905" s="19"/>
      <c r="G905" s="22"/>
    </row>
    <row r="906" ht="21.75" customHeight="1">
      <c r="A906" s="19"/>
      <c r="B906" s="19"/>
      <c r="C906" s="21"/>
      <c r="D906" s="23"/>
      <c r="E906" s="23"/>
      <c r="F906" s="19"/>
      <c r="G906" s="22"/>
    </row>
    <row r="907" ht="21.75" customHeight="1">
      <c r="A907" s="19"/>
      <c r="B907" s="19"/>
      <c r="C907" s="21"/>
      <c r="D907" s="23"/>
      <c r="E907" s="23"/>
      <c r="F907" s="19"/>
      <c r="G907" s="22"/>
    </row>
    <row r="908" ht="21.75" customHeight="1">
      <c r="A908" s="19"/>
      <c r="B908" s="19"/>
      <c r="C908" s="21"/>
      <c r="D908" s="23"/>
      <c r="E908" s="23"/>
      <c r="F908" s="19"/>
      <c r="G908" s="22"/>
    </row>
    <row r="909" ht="21.75" customHeight="1">
      <c r="A909" s="19"/>
      <c r="B909" s="19"/>
      <c r="C909" s="21"/>
      <c r="D909" s="23"/>
      <c r="E909" s="23"/>
      <c r="F909" s="19"/>
      <c r="G909" s="22"/>
    </row>
    <row r="910" ht="21.75" customHeight="1">
      <c r="A910" s="19"/>
      <c r="B910" s="19"/>
      <c r="C910" s="21"/>
      <c r="D910" s="23"/>
      <c r="E910" s="23"/>
      <c r="F910" s="19"/>
      <c r="G910" s="22"/>
    </row>
    <row r="911" ht="21.75" customHeight="1">
      <c r="A911" s="19"/>
      <c r="B911" s="19"/>
      <c r="C911" s="21"/>
      <c r="D911" s="23"/>
      <c r="E911" s="23"/>
      <c r="F911" s="19"/>
      <c r="G911" s="22"/>
    </row>
    <row r="912" ht="21.75" customHeight="1">
      <c r="A912" s="19"/>
      <c r="B912" s="19"/>
      <c r="C912" s="21"/>
      <c r="D912" s="23"/>
      <c r="E912" s="23"/>
      <c r="F912" s="19"/>
      <c r="G912" s="22"/>
    </row>
    <row r="913" ht="21.75" customHeight="1">
      <c r="A913" s="19"/>
      <c r="B913" s="19"/>
      <c r="C913" s="21"/>
      <c r="D913" s="23"/>
      <c r="E913" s="23"/>
      <c r="F913" s="19"/>
      <c r="G913" s="22"/>
    </row>
    <row r="914" ht="21.75" customHeight="1">
      <c r="A914" s="19"/>
      <c r="B914" s="19"/>
      <c r="C914" s="21"/>
      <c r="D914" s="23"/>
      <c r="E914" s="23"/>
      <c r="F914" s="19"/>
      <c r="G914" s="22"/>
    </row>
    <row r="915" ht="21.75" customHeight="1">
      <c r="A915" s="19"/>
      <c r="B915" s="19"/>
      <c r="C915" s="21"/>
      <c r="D915" s="23"/>
      <c r="E915" s="23"/>
      <c r="F915" s="19"/>
      <c r="G915" s="22"/>
    </row>
    <row r="916" ht="21.75" customHeight="1">
      <c r="A916" s="19"/>
      <c r="B916" s="19"/>
      <c r="C916" s="21"/>
      <c r="D916" s="23"/>
      <c r="E916" s="23"/>
      <c r="F916" s="19"/>
      <c r="G916" s="22"/>
    </row>
    <row r="917" ht="21.75" customHeight="1">
      <c r="A917" s="19"/>
      <c r="B917" s="19"/>
      <c r="C917" s="21"/>
      <c r="D917" s="23"/>
      <c r="E917" s="23"/>
      <c r="F917" s="19"/>
      <c r="G917" s="22"/>
    </row>
    <row r="918" ht="21.75" customHeight="1">
      <c r="A918" s="19"/>
      <c r="B918" s="19"/>
      <c r="C918" s="21"/>
      <c r="D918" s="23"/>
      <c r="E918" s="23"/>
      <c r="F918" s="19"/>
      <c r="G918" s="22"/>
    </row>
    <row r="919" ht="21.75" customHeight="1">
      <c r="A919" s="19"/>
      <c r="B919" s="19"/>
      <c r="C919" s="21"/>
      <c r="D919" s="23"/>
      <c r="E919" s="23"/>
      <c r="F919" s="19"/>
      <c r="G919" s="22"/>
    </row>
    <row r="920" ht="21.75" customHeight="1">
      <c r="A920" s="19"/>
      <c r="B920" s="19"/>
      <c r="C920" s="21"/>
      <c r="D920" s="23"/>
      <c r="E920" s="23"/>
      <c r="F920" s="19"/>
      <c r="G920" s="22"/>
    </row>
    <row r="921" ht="21.75" customHeight="1">
      <c r="A921" s="19"/>
      <c r="B921" s="19"/>
      <c r="C921" s="21"/>
      <c r="D921" s="23"/>
      <c r="E921" s="23"/>
      <c r="F921" s="19"/>
      <c r="G921" s="22"/>
    </row>
    <row r="922" ht="21.75" customHeight="1">
      <c r="A922" s="19"/>
      <c r="B922" s="19"/>
      <c r="C922" s="21"/>
      <c r="D922" s="23"/>
      <c r="E922" s="23"/>
      <c r="F922" s="19"/>
      <c r="G922" s="22"/>
    </row>
    <row r="923" ht="21.75" customHeight="1">
      <c r="A923" s="19"/>
      <c r="B923" s="19"/>
      <c r="C923" s="21"/>
      <c r="D923" s="23"/>
      <c r="E923" s="23"/>
      <c r="F923" s="19"/>
      <c r="G923" s="22"/>
    </row>
    <row r="924" ht="21.75" customHeight="1">
      <c r="A924" s="19"/>
      <c r="B924" s="19"/>
      <c r="C924" s="21"/>
      <c r="D924" s="23"/>
      <c r="E924" s="23"/>
      <c r="F924" s="19"/>
      <c r="G924" s="22"/>
    </row>
    <row r="925" ht="21.75" customHeight="1">
      <c r="A925" s="19"/>
      <c r="B925" s="19"/>
      <c r="C925" s="21"/>
      <c r="D925" s="23"/>
      <c r="E925" s="23"/>
      <c r="F925" s="19"/>
      <c r="G925" s="22"/>
    </row>
    <row r="926" ht="21.75" customHeight="1">
      <c r="A926" s="19"/>
      <c r="B926" s="19"/>
      <c r="C926" s="21"/>
      <c r="D926" s="23"/>
      <c r="E926" s="23"/>
      <c r="F926" s="19"/>
      <c r="G926" s="22"/>
    </row>
    <row r="927" ht="21.75" customHeight="1">
      <c r="A927" s="19"/>
      <c r="B927" s="19"/>
      <c r="C927" s="21"/>
      <c r="D927" s="23"/>
      <c r="E927" s="23"/>
      <c r="F927" s="19"/>
      <c r="G927" s="22"/>
    </row>
    <row r="928" ht="21.75" customHeight="1">
      <c r="A928" s="19"/>
      <c r="B928" s="19"/>
      <c r="C928" s="21"/>
      <c r="D928" s="23"/>
      <c r="E928" s="23"/>
      <c r="F928" s="19"/>
      <c r="G928" s="22"/>
    </row>
    <row r="929" ht="21.75" customHeight="1">
      <c r="A929" s="19"/>
      <c r="B929" s="19"/>
      <c r="C929" s="21"/>
      <c r="D929" s="23"/>
      <c r="E929" s="23"/>
      <c r="F929" s="19"/>
      <c r="G929" s="22"/>
    </row>
    <row r="930" ht="21.75" customHeight="1">
      <c r="A930" s="19"/>
      <c r="B930" s="19"/>
      <c r="C930" s="21"/>
      <c r="D930" s="23"/>
      <c r="E930" s="23"/>
      <c r="F930" s="19"/>
      <c r="G930" s="22"/>
    </row>
    <row r="931" ht="21.75" customHeight="1">
      <c r="A931" s="19"/>
      <c r="B931" s="19"/>
      <c r="C931" s="21"/>
      <c r="D931" s="23"/>
      <c r="E931" s="23"/>
      <c r="F931" s="19"/>
      <c r="G931" s="22"/>
    </row>
    <row r="932" ht="21.75" customHeight="1">
      <c r="A932" s="19"/>
      <c r="B932" s="19"/>
      <c r="C932" s="21"/>
      <c r="D932" s="23"/>
      <c r="E932" s="23"/>
      <c r="F932" s="19"/>
      <c r="G932" s="22"/>
    </row>
    <row r="933" ht="21.75" customHeight="1">
      <c r="A933" s="19"/>
      <c r="B933" s="19"/>
      <c r="C933" s="21"/>
      <c r="D933" s="23"/>
      <c r="E933" s="23"/>
      <c r="F933" s="19"/>
      <c r="G933" s="22"/>
    </row>
    <row r="934" ht="21.75" customHeight="1">
      <c r="A934" s="19"/>
      <c r="B934" s="19"/>
      <c r="C934" s="21"/>
      <c r="D934" s="23"/>
      <c r="E934" s="23"/>
      <c r="F934" s="19"/>
      <c r="G934" s="22"/>
    </row>
    <row r="935" ht="21.75" customHeight="1">
      <c r="A935" s="19"/>
      <c r="B935" s="19"/>
      <c r="C935" s="21"/>
      <c r="D935" s="23"/>
      <c r="E935" s="23"/>
      <c r="F935" s="19"/>
      <c r="G935" s="22"/>
    </row>
    <row r="936" ht="21.75" customHeight="1">
      <c r="A936" s="19"/>
      <c r="B936" s="19"/>
      <c r="C936" s="21"/>
      <c r="D936" s="23"/>
      <c r="E936" s="23"/>
      <c r="F936" s="19"/>
      <c r="G936" s="22"/>
    </row>
    <row r="937" ht="21.75" customHeight="1">
      <c r="A937" s="19"/>
      <c r="B937" s="19"/>
      <c r="C937" s="21"/>
      <c r="D937" s="23"/>
      <c r="E937" s="23"/>
      <c r="F937" s="19"/>
      <c r="G937" s="22"/>
    </row>
    <row r="938" ht="21.75" customHeight="1">
      <c r="A938" s="19"/>
      <c r="B938" s="19"/>
      <c r="C938" s="21"/>
      <c r="D938" s="23"/>
      <c r="E938" s="23"/>
      <c r="F938" s="19"/>
      <c r="G938" s="22"/>
    </row>
    <row r="939" ht="21.75" customHeight="1">
      <c r="A939" s="19"/>
      <c r="B939" s="19"/>
      <c r="C939" s="21"/>
      <c r="D939" s="23"/>
      <c r="E939" s="23"/>
      <c r="F939" s="19"/>
      <c r="G939" s="22"/>
    </row>
    <row r="940" ht="21.75" customHeight="1">
      <c r="A940" s="19"/>
      <c r="B940" s="19"/>
      <c r="C940" s="21"/>
      <c r="D940" s="23"/>
      <c r="E940" s="23"/>
      <c r="F940" s="19"/>
      <c r="G940" s="22"/>
    </row>
    <row r="941" ht="21.75" customHeight="1">
      <c r="A941" s="19"/>
      <c r="B941" s="19"/>
      <c r="C941" s="21"/>
      <c r="D941" s="23"/>
      <c r="E941" s="23"/>
      <c r="F941" s="19"/>
      <c r="G941" s="22"/>
    </row>
    <row r="942" ht="21.75" customHeight="1">
      <c r="A942" s="19"/>
      <c r="B942" s="19"/>
      <c r="C942" s="21"/>
      <c r="D942" s="23"/>
      <c r="E942" s="23"/>
      <c r="F942" s="19"/>
      <c r="G942" s="22"/>
    </row>
    <row r="943" ht="21.75" customHeight="1">
      <c r="A943" s="19"/>
      <c r="B943" s="19"/>
      <c r="C943" s="21"/>
      <c r="D943" s="23"/>
      <c r="E943" s="23"/>
      <c r="F943" s="19"/>
      <c r="G943" s="22"/>
    </row>
    <row r="944" ht="21.75" customHeight="1">
      <c r="A944" s="19"/>
      <c r="B944" s="19"/>
      <c r="C944" s="21"/>
      <c r="D944" s="23"/>
      <c r="E944" s="23"/>
      <c r="F944" s="19"/>
      <c r="G944" s="22"/>
    </row>
    <row r="945" ht="21.75" customHeight="1">
      <c r="A945" s="19"/>
      <c r="B945" s="19"/>
      <c r="C945" s="21"/>
      <c r="D945" s="23"/>
      <c r="E945" s="23"/>
      <c r="F945" s="19"/>
      <c r="G945" s="22"/>
    </row>
    <row r="946" ht="21.75" customHeight="1">
      <c r="A946" s="19"/>
      <c r="B946" s="19"/>
      <c r="C946" s="21"/>
      <c r="D946" s="23"/>
      <c r="E946" s="23"/>
      <c r="F946" s="19"/>
      <c r="G946" s="22"/>
    </row>
    <row r="947" ht="21.75" customHeight="1">
      <c r="A947" s="19"/>
      <c r="B947" s="19"/>
      <c r="C947" s="21"/>
      <c r="D947" s="23"/>
      <c r="E947" s="23"/>
      <c r="F947" s="19"/>
      <c r="G947" s="22"/>
    </row>
    <row r="948" ht="21.75" customHeight="1">
      <c r="A948" s="19"/>
      <c r="B948" s="19"/>
      <c r="C948" s="21"/>
      <c r="D948" s="23"/>
      <c r="E948" s="23"/>
      <c r="F948" s="19"/>
      <c r="G948" s="22"/>
    </row>
    <row r="949" ht="21.75" customHeight="1">
      <c r="A949" s="19"/>
      <c r="B949" s="19"/>
      <c r="C949" s="21"/>
      <c r="D949" s="23"/>
      <c r="E949" s="23"/>
      <c r="F949" s="19"/>
      <c r="G949" s="22"/>
    </row>
    <row r="950" ht="21.75" customHeight="1">
      <c r="A950" s="19"/>
      <c r="B950" s="19"/>
      <c r="C950" s="21"/>
      <c r="D950" s="23"/>
      <c r="E950" s="23"/>
      <c r="F950" s="19"/>
      <c r="G950" s="22"/>
    </row>
    <row r="951" ht="21.75" customHeight="1">
      <c r="A951" s="19"/>
      <c r="B951" s="19"/>
      <c r="C951" s="21"/>
      <c r="D951" s="23"/>
      <c r="E951" s="23"/>
      <c r="F951" s="19"/>
      <c r="G951" s="22"/>
    </row>
    <row r="952" ht="21.75" customHeight="1">
      <c r="A952" s="19"/>
      <c r="B952" s="19"/>
      <c r="C952" s="21"/>
      <c r="D952" s="23"/>
      <c r="E952" s="23"/>
      <c r="F952" s="19"/>
      <c r="G952" s="22"/>
    </row>
    <row r="953" ht="21.75" customHeight="1">
      <c r="A953" s="19"/>
      <c r="B953" s="19"/>
      <c r="C953" s="21"/>
      <c r="D953" s="23"/>
      <c r="E953" s="23"/>
      <c r="F953" s="19"/>
      <c r="G953" s="22"/>
    </row>
    <row r="954" ht="21.75" customHeight="1">
      <c r="A954" s="19"/>
      <c r="B954" s="19"/>
      <c r="C954" s="21"/>
      <c r="D954" s="23"/>
      <c r="E954" s="23"/>
      <c r="F954" s="19"/>
      <c r="G954" s="22"/>
    </row>
    <row r="955" ht="21.75" customHeight="1">
      <c r="A955" s="19"/>
      <c r="B955" s="19"/>
      <c r="C955" s="21"/>
      <c r="D955" s="23"/>
      <c r="E955" s="23"/>
      <c r="F955" s="19"/>
      <c r="G955" s="22"/>
    </row>
    <row r="956" ht="21.75" customHeight="1">
      <c r="A956" s="19"/>
      <c r="B956" s="19"/>
      <c r="C956" s="21"/>
      <c r="D956" s="23"/>
      <c r="E956" s="23"/>
      <c r="F956" s="19"/>
      <c r="G956" s="22"/>
    </row>
    <row r="957" ht="21.75" customHeight="1">
      <c r="A957" s="19"/>
      <c r="B957" s="19"/>
      <c r="C957" s="21"/>
      <c r="D957" s="23"/>
      <c r="E957" s="23"/>
      <c r="F957" s="19"/>
      <c r="G957" s="22"/>
    </row>
    <row r="958" ht="21.75" customHeight="1">
      <c r="A958" s="19"/>
      <c r="B958" s="19"/>
      <c r="C958" s="21"/>
      <c r="D958" s="23"/>
      <c r="E958" s="23"/>
      <c r="F958" s="19"/>
      <c r="G958" s="22"/>
    </row>
  </sheetData>
  <dataValidations>
    <dataValidation type="custom" allowBlank="1" showDropDown="1" sqref="G2:G958">
      <formula1>OR(NOT(ISERROR(DATEVALUE(G2))), AND(ISNUMBER(G2), LEFT(CELL("format", G2))="D"))</formula1>
    </dataValidation>
    <dataValidation type="list" allowBlank="1" sqref="C2:C958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</cols>
  <sheetData>
    <row r="1">
      <c r="A1" s="27" t="s">
        <v>260</v>
      </c>
      <c r="B1" s="28" t="s">
        <v>261</v>
      </c>
    </row>
    <row r="2">
      <c r="A2" s="27" t="s">
        <v>262</v>
      </c>
      <c r="B2" s="28">
        <v>1.0</v>
      </c>
    </row>
    <row r="3">
      <c r="A3" s="27" t="s">
        <v>263</v>
      </c>
      <c r="B3" s="28" t="s">
        <v>264</v>
      </c>
    </row>
    <row r="4">
      <c r="A4" s="27" t="s">
        <v>265</v>
      </c>
      <c r="B4" s="28">
        <v>10.0</v>
      </c>
    </row>
    <row r="5">
      <c r="A5" s="27" t="s">
        <v>266</v>
      </c>
      <c r="B5" s="29">
        <v>45778.0</v>
      </c>
    </row>
    <row r="6">
      <c r="A6" s="30"/>
      <c r="B6" s="31"/>
    </row>
    <row r="7">
      <c r="A7" s="30"/>
      <c r="B7" s="31"/>
    </row>
    <row r="8">
      <c r="A8" s="30"/>
      <c r="B8" s="31"/>
    </row>
    <row r="9">
      <c r="A9" s="30"/>
      <c r="B9" s="31"/>
    </row>
    <row r="10">
      <c r="A10" s="30"/>
      <c r="B10" s="31"/>
    </row>
    <row r="11">
      <c r="A11" s="30"/>
      <c r="B11" s="31"/>
    </row>
    <row r="12">
      <c r="A12" s="30"/>
      <c r="B12" s="31"/>
    </row>
    <row r="13">
      <c r="A13" s="30"/>
      <c r="B13" s="31"/>
    </row>
    <row r="14">
      <c r="A14" s="30"/>
      <c r="B14" s="31"/>
    </row>
    <row r="15">
      <c r="A15" s="30"/>
      <c r="B15" s="31"/>
    </row>
    <row r="16">
      <c r="A16" s="30"/>
      <c r="B16" s="31"/>
    </row>
    <row r="17">
      <c r="A17" s="30"/>
      <c r="B17" s="31"/>
    </row>
    <row r="18">
      <c r="A18" s="30"/>
      <c r="B18" s="31"/>
    </row>
    <row r="19">
      <c r="A19" s="30"/>
      <c r="B19" s="31"/>
    </row>
    <row r="20">
      <c r="A20" s="30"/>
      <c r="B20" s="31"/>
    </row>
    <row r="21">
      <c r="A21" s="30"/>
      <c r="B21" s="31"/>
    </row>
    <row r="22">
      <c r="A22" s="30"/>
      <c r="B22" s="31"/>
    </row>
    <row r="23">
      <c r="A23" s="30"/>
      <c r="B23" s="31"/>
    </row>
    <row r="24">
      <c r="A24" s="30"/>
      <c r="B24" s="31"/>
    </row>
    <row r="25">
      <c r="A25" s="30"/>
      <c r="B25" s="31"/>
    </row>
    <row r="26">
      <c r="A26" s="30"/>
      <c r="B26" s="31"/>
    </row>
    <row r="27">
      <c r="A27" s="30"/>
      <c r="B27" s="31"/>
    </row>
    <row r="28">
      <c r="A28" s="30"/>
      <c r="B28" s="31"/>
    </row>
    <row r="29">
      <c r="A29" s="30"/>
      <c r="B29" s="31"/>
    </row>
    <row r="30">
      <c r="A30" s="30"/>
      <c r="B30" s="31"/>
    </row>
    <row r="31">
      <c r="A31" s="30"/>
      <c r="B31" s="31"/>
    </row>
    <row r="32">
      <c r="A32" s="30"/>
      <c r="B32" s="31"/>
    </row>
    <row r="33">
      <c r="A33" s="30"/>
      <c r="B33" s="31"/>
    </row>
    <row r="34">
      <c r="A34" s="30"/>
      <c r="B34" s="31"/>
    </row>
    <row r="35">
      <c r="A35" s="30"/>
      <c r="B35" s="31"/>
    </row>
    <row r="36">
      <c r="A36" s="30"/>
      <c r="B36" s="31"/>
    </row>
    <row r="37">
      <c r="A37" s="30"/>
      <c r="B37" s="31"/>
    </row>
    <row r="38">
      <c r="A38" s="30"/>
      <c r="B38" s="31"/>
    </row>
    <row r="39">
      <c r="A39" s="30"/>
      <c r="B39" s="31"/>
    </row>
    <row r="40">
      <c r="A40" s="30"/>
      <c r="B40" s="31"/>
    </row>
    <row r="41">
      <c r="A41" s="30"/>
      <c r="B41" s="31"/>
    </row>
    <row r="42">
      <c r="A42" s="30"/>
      <c r="B42" s="31"/>
    </row>
    <row r="43">
      <c r="A43" s="30"/>
      <c r="B43" s="31"/>
    </row>
    <row r="44">
      <c r="A44" s="30"/>
      <c r="B44" s="31"/>
    </row>
    <row r="45">
      <c r="A45" s="30"/>
      <c r="B45" s="31"/>
    </row>
    <row r="46">
      <c r="A46" s="30"/>
      <c r="B46" s="31"/>
    </row>
    <row r="47">
      <c r="A47" s="30"/>
      <c r="B47" s="31"/>
    </row>
    <row r="48">
      <c r="A48" s="30"/>
      <c r="B48" s="31"/>
    </row>
    <row r="49">
      <c r="A49" s="30"/>
      <c r="B49" s="31"/>
    </row>
    <row r="50">
      <c r="A50" s="30"/>
      <c r="B50" s="31"/>
    </row>
    <row r="51">
      <c r="A51" s="30"/>
      <c r="B51" s="31"/>
    </row>
    <row r="52">
      <c r="A52" s="30"/>
      <c r="B52" s="31"/>
    </row>
    <row r="53">
      <c r="A53" s="30"/>
      <c r="B53" s="31"/>
    </row>
    <row r="54">
      <c r="A54" s="30"/>
      <c r="B54" s="31"/>
    </row>
    <row r="55">
      <c r="A55" s="30"/>
      <c r="B55" s="31"/>
    </row>
    <row r="56">
      <c r="A56" s="30"/>
      <c r="B56" s="31"/>
    </row>
    <row r="57">
      <c r="A57" s="30"/>
      <c r="B57" s="31"/>
    </row>
    <row r="58">
      <c r="A58" s="30"/>
      <c r="B58" s="31"/>
    </row>
    <row r="59">
      <c r="A59" s="30"/>
      <c r="B59" s="31"/>
    </row>
    <row r="60">
      <c r="A60" s="30"/>
      <c r="B60" s="31"/>
    </row>
    <row r="61">
      <c r="A61" s="30"/>
      <c r="B61" s="31"/>
    </row>
    <row r="62">
      <c r="A62" s="30"/>
      <c r="B62" s="31"/>
    </row>
    <row r="63">
      <c r="A63" s="30"/>
      <c r="B63" s="31"/>
    </row>
    <row r="64">
      <c r="A64" s="30"/>
      <c r="B64" s="31"/>
    </row>
    <row r="65">
      <c r="A65" s="30"/>
      <c r="B65" s="31"/>
    </row>
    <row r="66">
      <c r="A66" s="30"/>
      <c r="B66" s="31"/>
    </row>
    <row r="67">
      <c r="A67" s="30"/>
      <c r="B67" s="31"/>
    </row>
    <row r="68">
      <c r="A68" s="30"/>
      <c r="B68" s="31"/>
    </row>
    <row r="69">
      <c r="A69" s="30"/>
      <c r="B69" s="31"/>
    </row>
    <row r="70">
      <c r="A70" s="30"/>
      <c r="B70" s="31"/>
    </row>
    <row r="71">
      <c r="A71" s="30"/>
      <c r="B71" s="31"/>
    </row>
    <row r="72">
      <c r="A72" s="30"/>
      <c r="B72" s="31"/>
    </row>
    <row r="73">
      <c r="A73" s="30"/>
      <c r="B73" s="31"/>
    </row>
    <row r="74">
      <c r="A74" s="30"/>
      <c r="B74" s="31"/>
    </row>
    <row r="75">
      <c r="A75" s="30"/>
      <c r="B75" s="31"/>
    </row>
    <row r="76">
      <c r="A76" s="30"/>
      <c r="B76" s="31"/>
    </row>
    <row r="77">
      <c r="A77" s="30"/>
      <c r="B77" s="31"/>
    </row>
    <row r="78">
      <c r="A78" s="30"/>
      <c r="B78" s="31"/>
    </row>
    <row r="79">
      <c r="A79" s="30"/>
      <c r="B79" s="31"/>
    </row>
    <row r="80">
      <c r="A80" s="30"/>
      <c r="B80" s="31"/>
    </row>
    <row r="81">
      <c r="A81" s="30"/>
      <c r="B81" s="31"/>
    </row>
    <row r="82">
      <c r="A82" s="30"/>
      <c r="B82" s="31"/>
    </row>
    <row r="83">
      <c r="A83" s="30"/>
      <c r="B83" s="31"/>
    </row>
    <row r="84">
      <c r="A84" s="30"/>
      <c r="B84" s="31"/>
    </row>
    <row r="85">
      <c r="A85" s="30"/>
      <c r="B85" s="31"/>
    </row>
    <row r="86">
      <c r="A86" s="30"/>
      <c r="B86" s="31"/>
    </row>
    <row r="87">
      <c r="A87" s="30"/>
      <c r="B87" s="31"/>
    </row>
    <row r="88">
      <c r="A88" s="30"/>
      <c r="B88" s="31"/>
    </row>
    <row r="89">
      <c r="A89" s="30"/>
      <c r="B89" s="31"/>
    </row>
    <row r="90">
      <c r="A90" s="30"/>
      <c r="B90" s="31"/>
    </row>
    <row r="91">
      <c r="A91" s="30"/>
      <c r="B91" s="31"/>
    </row>
    <row r="92">
      <c r="A92" s="30"/>
      <c r="B92" s="31"/>
    </row>
    <row r="93">
      <c r="A93" s="30"/>
      <c r="B93" s="31"/>
    </row>
    <row r="94">
      <c r="A94" s="30"/>
      <c r="B94" s="31"/>
    </row>
    <row r="95">
      <c r="A95" s="30"/>
      <c r="B95" s="31"/>
    </row>
    <row r="96">
      <c r="A96" s="30"/>
      <c r="B96" s="31"/>
    </row>
    <row r="97">
      <c r="A97" s="30"/>
      <c r="B97" s="31"/>
    </row>
    <row r="98">
      <c r="A98" s="30"/>
      <c r="B98" s="31"/>
    </row>
    <row r="99">
      <c r="A99" s="30"/>
      <c r="B99" s="31"/>
    </row>
    <row r="100">
      <c r="A100" s="30"/>
      <c r="B100" s="31"/>
    </row>
    <row r="101">
      <c r="A101" s="30"/>
      <c r="B101" s="31"/>
    </row>
    <row r="102">
      <c r="A102" s="30"/>
      <c r="B102" s="31"/>
    </row>
    <row r="103">
      <c r="A103" s="30"/>
      <c r="B103" s="31"/>
    </row>
    <row r="104">
      <c r="A104" s="30"/>
      <c r="B104" s="31"/>
    </row>
    <row r="105">
      <c r="A105" s="30"/>
      <c r="B105" s="31"/>
    </row>
    <row r="106">
      <c r="A106" s="30"/>
      <c r="B106" s="31"/>
    </row>
    <row r="107">
      <c r="A107" s="30"/>
      <c r="B107" s="31"/>
    </row>
    <row r="108">
      <c r="A108" s="30"/>
      <c r="B108" s="31"/>
    </row>
    <row r="109">
      <c r="A109" s="30"/>
      <c r="B109" s="31"/>
    </row>
    <row r="110">
      <c r="A110" s="30"/>
      <c r="B110" s="31"/>
    </row>
    <row r="111">
      <c r="A111" s="30"/>
      <c r="B111" s="31"/>
    </row>
    <row r="112">
      <c r="A112" s="30"/>
      <c r="B112" s="31"/>
    </row>
    <row r="113">
      <c r="A113" s="30"/>
      <c r="B113" s="31"/>
    </row>
    <row r="114">
      <c r="A114" s="30"/>
      <c r="B114" s="31"/>
    </row>
    <row r="115">
      <c r="A115" s="30"/>
      <c r="B115" s="31"/>
    </row>
    <row r="116">
      <c r="A116" s="30"/>
      <c r="B116" s="31"/>
    </row>
    <row r="117">
      <c r="A117" s="30"/>
      <c r="B117" s="31"/>
    </row>
    <row r="118">
      <c r="A118" s="30"/>
      <c r="B118" s="31"/>
    </row>
    <row r="119">
      <c r="A119" s="30"/>
      <c r="B119" s="31"/>
    </row>
    <row r="120">
      <c r="A120" s="30"/>
      <c r="B120" s="31"/>
    </row>
    <row r="121">
      <c r="A121" s="30"/>
      <c r="B121" s="31"/>
    </row>
    <row r="122">
      <c r="A122" s="30"/>
      <c r="B122" s="31"/>
    </row>
    <row r="123">
      <c r="A123" s="30"/>
      <c r="B123" s="31"/>
    </row>
    <row r="124">
      <c r="A124" s="30"/>
      <c r="B124" s="31"/>
    </row>
    <row r="125">
      <c r="A125" s="30"/>
      <c r="B125" s="31"/>
    </row>
    <row r="126">
      <c r="A126" s="30"/>
      <c r="B126" s="31"/>
    </row>
    <row r="127">
      <c r="A127" s="30"/>
      <c r="B127" s="31"/>
    </row>
    <row r="128">
      <c r="A128" s="30"/>
      <c r="B128" s="31"/>
    </row>
    <row r="129">
      <c r="A129" s="30"/>
      <c r="B129" s="31"/>
    </row>
    <row r="130">
      <c r="A130" s="30"/>
      <c r="B130" s="31"/>
    </row>
    <row r="131">
      <c r="A131" s="30"/>
      <c r="B131" s="31"/>
    </row>
    <row r="132">
      <c r="A132" s="30"/>
      <c r="B132" s="31"/>
    </row>
    <row r="133">
      <c r="A133" s="30"/>
      <c r="B133" s="31"/>
    </row>
    <row r="134">
      <c r="A134" s="30"/>
      <c r="B134" s="31"/>
    </row>
    <row r="135">
      <c r="A135" s="30"/>
      <c r="B135" s="31"/>
    </row>
    <row r="136">
      <c r="A136" s="30"/>
      <c r="B136" s="31"/>
    </row>
    <row r="137">
      <c r="A137" s="30"/>
      <c r="B137" s="31"/>
    </row>
    <row r="138">
      <c r="A138" s="30"/>
      <c r="B138" s="31"/>
    </row>
    <row r="139">
      <c r="A139" s="30"/>
      <c r="B139" s="31"/>
    </row>
    <row r="140">
      <c r="A140" s="30"/>
      <c r="B140" s="31"/>
    </row>
    <row r="141">
      <c r="A141" s="30"/>
      <c r="B141" s="31"/>
    </row>
    <row r="142">
      <c r="A142" s="30"/>
      <c r="B142" s="31"/>
    </row>
    <row r="143">
      <c r="A143" s="30"/>
      <c r="B143" s="31"/>
    </row>
    <row r="144">
      <c r="A144" s="30"/>
      <c r="B144" s="31"/>
    </row>
    <row r="145">
      <c r="A145" s="30"/>
      <c r="B145" s="31"/>
    </row>
    <row r="146">
      <c r="A146" s="30"/>
      <c r="B146" s="31"/>
    </row>
    <row r="147">
      <c r="A147" s="30"/>
      <c r="B147" s="31"/>
    </row>
    <row r="148">
      <c r="A148" s="30"/>
      <c r="B148" s="31"/>
    </row>
    <row r="149">
      <c r="A149" s="30"/>
      <c r="B149" s="31"/>
    </row>
    <row r="150">
      <c r="A150" s="30"/>
      <c r="B150" s="31"/>
    </row>
    <row r="151">
      <c r="A151" s="30"/>
      <c r="B151" s="31"/>
    </row>
    <row r="152">
      <c r="A152" s="30"/>
      <c r="B152" s="31"/>
    </row>
    <row r="153">
      <c r="A153" s="30"/>
      <c r="B153" s="31"/>
    </row>
    <row r="154">
      <c r="A154" s="30"/>
      <c r="B154" s="31"/>
    </row>
    <row r="155">
      <c r="A155" s="30"/>
      <c r="B155" s="31"/>
    </row>
    <row r="156">
      <c r="A156" s="30"/>
      <c r="B156" s="31"/>
    </row>
    <row r="157">
      <c r="A157" s="30"/>
      <c r="B157" s="31"/>
    </row>
    <row r="158">
      <c r="A158" s="30"/>
      <c r="B158" s="31"/>
    </row>
    <row r="159">
      <c r="A159" s="30"/>
      <c r="B159" s="31"/>
    </row>
    <row r="160">
      <c r="A160" s="30"/>
      <c r="B160" s="31"/>
    </row>
    <row r="161">
      <c r="A161" s="30"/>
      <c r="B161" s="31"/>
    </row>
    <row r="162">
      <c r="A162" s="30"/>
      <c r="B162" s="31"/>
    </row>
    <row r="163">
      <c r="A163" s="30"/>
      <c r="B163" s="31"/>
    </row>
    <row r="164">
      <c r="A164" s="30"/>
      <c r="B164" s="31"/>
    </row>
    <row r="165">
      <c r="A165" s="30"/>
      <c r="B165" s="31"/>
    </row>
    <row r="166">
      <c r="A166" s="30"/>
      <c r="B166" s="31"/>
    </row>
    <row r="167">
      <c r="A167" s="30"/>
      <c r="B167" s="31"/>
    </row>
    <row r="168">
      <c r="A168" s="30"/>
      <c r="B168" s="31"/>
    </row>
    <row r="169">
      <c r="A169" s="30"/>
      <c r="B169" s="31"/>
    </row>
    <row r="170">
      <c r="A170" s="30"/>
      <c r="B170" s="31"/>
    </row>
    <row r="171">
      <c r="A171" s="30"/>
      <c r="B171" s="31"/>
    </row>
    <row r="172">
      <c r="A172" s="30"/>
      <c r="B172" s="31"/>
    </row>
    <row r="173">
      <c r="A173" s="30"/>
      <c r="B173" s="31"/>
    </row>
    <row r="174">
      <c r="A174" s="30"/>
      <c r="B174" s="31"/>
    </row>
    <row r="175">
      <c r="A175" s="30"/>
      <c r="B175" s="31"/>
    </row>
    <row r="176">
      <c r="A176" s="30"/>
      <c r="B176" s="31"/>
    </row>
    <row r="177">
      <c r="A177" s="30"/>
      <c r="B177" s="31"/>
    </row>
    <row r="178">
      <c r="A178" s="30"/>
      <c r="B178" s="31"/>
    </row>
    <row r="179">
      <c r="A179" s="30"/>
      <c r="B179" s="31"/>
    </row>
    <row r="180">
      <c r="A180" s="30"/>
      <c r="B180" s="31"/>
    </row>
    <row r="181">
      <c r="A181" s="30"/>
      <c r="B181" s="31"/>
    </row>
    <row r="182">
      <c r="A182" s="30"/>
      <c r="B182" s="31"/>
    </row>
    <row r="183">
      <c r="A183" s="30"/>
      <c r="B183" s="31"/>
    </row>
    <row r="184">
      <c r="A184" s="30"/>
      <c r="B184" s="31"/>
    </row>
    <row r="185">
      <c r="A185" s="30"/>
      <c r="B185" s="31"/>
    </row>
    <row r="186">
      <c r="A186" s="30"/>
      <c r="B186" s="31"/>
    </row>
    <row r="187">
      <c r="A187" s="30"/>
      <c r="B187" s="31"/>
    </row>
    <row r="188">
      <c r="A188" s="30"/>
      <c r="B188" s="31"/>
    </row>
    <row r="189">
      <c r="A189" s="30"/>
      <c r="B189" s="31"/>
    </row>
    <row r="190">
      <c r="A190" s="30"/>
      <c r="B190" s="31"/>
    </row>
    <row r="191">
      <c r="A191" s="30"/>
      <c r="B191" s="31"/>
    </row>
    <row r="192">
      <c r="A192" s="30"/>
      <c r="B192" s="31"/>
    </row>
    <row r="193">
      <c r="A193" s="30"/>
      <c r="B193" s="31"/>
    </row>
    <row r="194">
      <c r="A194" s="30"/>
      <c r="B194" s="31"/>
    </row>
    <row r="195">
      <c r="A195" s="30"/>
      <c r="B195" s="31"/>
    </row>
    <row r="196">
      <c r="A196" s="30"/>
      <c r="B196" s="31"/>
    </row>
    <row r="197">
      <c r="A197" s="30"/>
      <c r="B197" s="31"/>
    </row>
    <row r="198">
      <c r="A198" s="30"/>
      <c r="B198" s="31"/>
    </row>
    <row r="199">
      <c r="A199" s="30"/>
      <c r="B199" s="31"/>
    </row>
    <row r="200">
      <c r="A200" s="30"/>
      <c r="B200" s="31"/>
    </row>
    <row r="201">
      <c r="A201" s="30"/>
      <c r="B201" s="31"/>
    </row>
    <row r="202">
      <c r="A202" s="30"/>
      <c r="B202" s="31"/>
    </row>
    <row r="203">
      <c r="A203" s="30"/>
      <c r="B203" s="31"/>
    </row>
    <row r="204">
      <c r="A204" s="30"/>
      <c r="B204" s="31"/>
    </row>
    <row r="205">
      <c r="A205" s="30"/>
      <c r="B205" s="31"/>
    </row>
    <row r="206">
      <c r="A206" s="30"/>
      <c r="B206" s="31"/>
    </row>
    <row r="207">
      <c r="A207" s="30"/>
      <c r="B207" s="31"/>
    </row>
    <row r="208">
      <c r="A208" s="30"/>
      <c r="B208" s="31"/>
    </row>
    <row r="209">
      <c r="A209" s="30"/>
      <c r="B209" s="31"/>
    </row>
    <row r="210">
      <c r="A210" s="30"/>
      <c r="B210" s="31"/>
    </row>
    <row r="211">
      <c r="A211" s="30"/>
      <c r="B211" s="31"/>
    </row>
    <row r="212">
      <c r="A212" s="30"/>
      <c r="B212" s="31"/>
    </row>
    <row r="213">
      <c r="A213" s="30"/>
      <c r="B213" s="31"/>
    </row>
    <row r="214">
      <c r="A214" s="30"/>
      <c r="B214" s="31"/>
    </row>
    <row r="215">
      <c r="A215" s="30"/>
      <c r="B215" s="31"/>
    </row>
    <row r="216">
      <c r="A216" s="30"/>
      <c r="B216" s="31"/>
    </row>
    <row r="217">
      <c r="A217" s="30"/>
      <c r="B217" s="31"/>
    </row>
    <row r="218">
      <c r="A218" s="30"/>
      <c r="B218" s="31"/>
    </row>
    <row r="219">
      <c r="A219" s="30"/>
      <c r="B219" s="31"/>
    </row>
    <row r="220">
      <c r="A220" s="30"/>
      <c r="B220" s="31"/>
    </row>
    <row r="221">
      <c r="A221" s="30"/>
      <c r="B221" s="31"/>
    </row>
    <row r="222">
      <c r="A222" s="30"/>
      <c r="B222" s="31"/>
    </row>
    <row r="223">
      <c r="A223" s="30"/>
      <c r="B223" s="31"/>
    </row>
    <row r="224">
      <c r="A224" s="30"/>
      <c r="B224" s="31"/>
    </row>
    <row r="225">
      <c r="A225" s="30"/>
      <c r="B225" s="31"/>
    </row>
    <row r="226">
      <c r="A226" s="30"/>
      <c r="B226" s="31"/>
    </row>
    <row r="227">
      <c r="A227" s="30"/>
      <c r="B227" s="31"/>
    </row>
    <row r="228">
      <c r="A228" s="30"/>
      <c r="B228" s="31"/>
    </row>
    <row r="229">
      <c r="A229" s="30"/>
      <c r="B229" s="31"/>
    </row>
    <row r="230">
      <c r="A230" s="30"/>
      <c r="B230" s="31"/>
    </row>
    <row r="231">
      <c r="A231" s="30"/>
      <c r="B231" s="31"/>
    </row>
    <row r="232">
      <c r="A232" s="30"/>
      <c r="B232" s="31"/>
    </row>
    <row r="233">
      <c r="A233" s="30"/>
      <c r="B233" s="31"/>
    </row>
    <row r="234">
      <c r="A234" s="30"/>
      <c r="B234" s="31"/>
    </row>
    <row r="235">
      <c r="A235" s="30"/>
      <c r="B235" s="31"/>
    </row>
    <row r="236">
      <c r="A236" s="30"/>
      <c r="B236" s="31"/>
    </row>
    <row r="237">
      <c r="A237" s="30"/>
      <c r="B237" s="31"/>
    </row>
    <row r="238">
      <c r="A238" s="30"/>
      <c r="B238" s="31"/>
    </row>
    <row r="239">
      <c r="A239" s="30"/>
      <c r="B239" s="31"/>
    </row>
    <row r="240">
      <c r="A240" s="30"/>
      <c r="B240" s="31"/>
    </row>
    <row r="241">
      <c r="A241" s="30"/>
      <c r="B241" s="31"/>
    </row>
    <row r="242">
      <c r="A242" s="30"/>
      <c r="B242" s="31"/>
    </row>
    <row r="243">
      <c r="A243" s="30"/>
      <c r="B243" s="31"/>
    </row>
    <row r="244">
      <c r="A244" s="30"/>
      <c r="B244" s="31"/>
    </row>
    <row r="245">
      <c r="A245" s="30"/>
      <c r="B245" s="31"/>
    </row>
    <row r="246">
      <c r="A246" s="30"/>
      <c r="B246" s="31"/>
    </row>
    <row r="247">
      <c r="A247" s="30"/>
      <c r="B247" s="31"/>
    </row>
    <row r="248">
      <c r="A248" s="30"/>
      <c r="B248" s="31"/>
    </row>
    <row r="249">
      <c r="A249" s="30"/>
      <c r="B249" s="31"/>
    </row>
    <row r="250">
      <c r="A250" s="30"/>
      <c r="B250" s="31"/>
    </row>
    <row r="251">
      <c r="A251" s="30"/>
      <c r="B251" s="31"/>
    </row>
    <row r="252">
      <c r="A252" s="30"/>
      <c r="B252" s="31"/>
    </row>
    <row r="253">
      <c r="A253" s="30"/>
      <c r="B253" s="31"/>
    </row>
    <row r="254">
      <c r="A254" s="30"/>
      <c r="B254" s="31"/>
    </row>
    <row r="255">
      <c r="A255" s="30"/>
      <c r="B255" s="31"/>
    </row>
    <row r="256">
      <c r="A256" s="30"/>
      <c r="B256" s="31"/>
    </row>
    <row r="257">
      <c r="A257" s="30"/>
      <c r="B257" s="31"/>
    </row>
    <row r="258">
      <c r="A258" s="30"/>
      <c r="B258" s="31"/>
    </row>
    <row r="259">
      <c r="A259" s="30"/>
      <c r="B259" s="31"/>
    </row>
    <row r="260">
      <c r="A260" s="30"/>
      <c r="B260" s="31"/>
    </row>
    <row r="261">
      <c r="A261" s="30"/>
      <c r="B261" s="31"/>
    </row>
    <row r="262">
      <c r="A262" s="30"/>
      <c r="B262" s="31"/>
    </row>
    <row r="263">
      <c r="A263" s="30"/>
      <c r="B263" s="31"/>
    </row>
    <row r="264">
      <c r="A264" s="30"/>
      <c r="B264" s="31"/>
    </row>
    <row r="265">
      <c r="A265" s="30"/>
      <c r="B265" s="31"/>
    </row>
    <row r="266">
      <c r="A266" s="30"/>
      <c r="B266" s="31"/>
    </row>
    <row r="267">
      <c r="A267" s="30"/>
      <c r="B267" s="31"/>
    </row>
    <row r="268">
      <c r="A268" s="30"/>
      <c r="B268" s="31"/>
    </row>
    <row r="269">
      <c r="A269" s="30"/>
      <c r="B269" s="31"/>
    </row>
    <row r="270">
      <c r="A270" s="30"/>
      <c r="B270" s="31"/>
    </row>
    <row r="271">
      <c r="A271" s="30"/>
      <c r="B271" s="31"/>
    </row>
    <row r="272">
      <c r="A272" s="30"/>
      <c r="B272" s="31"/>
    </row>
    <row r="273">
      <c r="A273" s="30"/>
      <c r="B273" s="31"/>
    </row>
    <row r="274">
      <c r="A274" s="30"/>
      <c r="B274" s="31"/>
    </row>
    <row r="275">
      <c r="A275" s="30"/>
      <c r="B275" s="31"/>
    </row>
    <row r="276">
      <c r="A276" s="30"/>
      <c r="B276" s="31"/>
    </row>
    <row r="277">
      <c r="A277" s="30"/>
      <c r="B277" s="31"/>
    </row>
    <row r="278">
      <c r="A278" s="30"/>
      <c r="B278" s="31"/>
    </row>
    <row r="279">
      <c r="A279" s="30"/>
      <c r="B279" s="31"/>
    </row>
    <row r="280">
      <c r="A280" s="30"/>
      <c r="B280" s="31"/>
    </row>
    <row r="281">
      <c r="A281" s="30"/>
      <c r="B281" s="31"/>
    </row>
    <row r="282">
      <c r="A282" s="30"/>
      <c r="B282" s="31"/>
    </row>
    <row r="283">
      <c r="A283" s="30"/>
      <c r="B283" s="31"/>
    </row>
    <row r="284">
      <c r="A284" s="30"/>
      <c r="B284" s="31"/>
    </row>
    <row r="285">
      <c r="A285" s="30"/>
      <c r="B285" s="31"/>
    </row>
    <row r="286">
      <c r="A286" s="30"/>
      <c r="B286" s="31"/>
    </row>
    <row r="287">
      <c r="A287" s="30"/>
      <c r="B287" s="31"/>
    </row>
    <row r="288">
      <c r="A288" s="30"/>
      <c r="B288" s="31"/>
    </row>
    <row r="289">
      <c r="A289" s="30"/>
      <c r="B289" s="31"/>
    </row>
    <row r="290">
      <c r="A290" s="30"/>
      <c r="B290" s="31"/>
    </row>
    <row r="291">
      <c r="A291" s="30"/>
      <c r="B291" s="31"/>
    </row>
    <row r="292">
      <c r="A292" s="30"/>
      <c r="B292" s="31"/>
    </row>
    <row r="293">
      <c r="A293" s="30"/>
      <c r="B293" s="31"/>
    </row>
    <row r="294">
      <c r="A294" s="30"/>
      <c r="B294" s="31"/>
    </row>
    <row r="295">
      <c r="A295" s="30"/>
      <c r="B295" s="31"/>
    </row>
    <row r="296">
      <c r="A296" s="30"/>
      <c r="B296" s="31"/>
    </row>
    <row r="297">
      <c r="A297" s="30"/>
      <c r="B297" s="31"/>
    </row>
    <row r="298">
      <c r="A298" s="30"/>
      <c r="B298" s="31"/>
    </row>
    <row r="299">
      <c r="A299" s="30"/>
      <c r="B299" s="31"/>
    </row>
    <row r="300">
      <c r="A300" s="30"/>
      <c r="B300" s="31"/>
    </row>
    <row r="301">
      <c r="A301" s="30"/>
      <c r="B301" s="31"/>
    </row>
    <row r="302">
      <c r="A302" s="30"/>
      <c r="B302" s="31"/>
    </row>
    <row r="303">
      <c r="A303" s="30"/>
      <c r="B303" s="31"/>
    </row>
    <row r="304">
      <c r="A304" s="30"/>
      <c r="B304" s="31"/>
    </row>
    <row r="305">
      <c r="A305" s="30"/>
      <c r="B305" s="31"/>
    </row>
    <row r="306">
      <c r="A306" s="30"/>
      <c r="B306" s="31"/>
    </row>
    <row r="307">
      <c r="A307" s="30"/>
      <c r="B307" s="31"/>
    </row>
    <row r="308">
      <c r="A308" s="30"/>
      <c r="B308" s="31"/>
    </row>
    <row r="309">
      <c r="A309" s="30"/>
      <c r="B309" s="31"/>
    </row>
    <row r="310">
      <c r="A310" s="30"/>
      <c r="B310" s="31"/>
    </row>
    <row r="311">
      <c r="A311" s="30"/>
      <c r="B311" s="31"/>
    </row>
    <row r="312">
      <c r="A312" s="30"/>
      <c r="B312" s="31"/>
    </row>
    <row r="313">
      <c r="A313" s="30"/>
      <c r="B313" s="31"/>
    </row>
    <row r="314">
      <c r="A314" s="30"/>
      <c r="B314" s="31"/>
    </row>
    <row r="315">
      <c r="A315" s="30"/>
      <c r="B315" s="31"/>
    </row>
    <row r="316">
      <c r="A316" s="30"/>
      <c r="B316" s="31"/>
    </row>
    <row r="317">
      <c r="A317" s="30"/>
      <c r="B317" s="31"/>
    </row>
    <row r="318">
      <c r="A318" s="30"/>
      <c r="B318" s="31"/>
    </row>
    <row r="319">
      <c r="A319" s="30"/>
      <c r="B319" s="31"/>
    </row>
    <row r="320">
      <c r="A320" s="30"/>
      <c r="B320" s="31"/>
    </row>
    <row r="321">
      <c r="A321" s="30"/>
      <c r="B321" s="31"/>
    </row>
    <row r="322">
      <c r="A322" s="30"/>
      <c r="B322" s="31"/>
    </row>
    <row r="323">
      <c r="A323" s="30"/>
      <c r="B323" s="31"/>
    </row>
    <row r="324">
      <c r="A324" s="30"/>
      <c r="B324" s="31"/>
    </row>
    <row r="325">
      <c r="A325" s="30"/>
      <c r="B325" s="31"/>
    </row>
    <row r="326">
      <c r="A326" s="30"/>
      <c r="B326" s="31"/>
    </row>
    <row r="327">
      <c r="A327" s="30"/>
      <c r="B327" s="31"/>
    </row>
    <row r="328">
      <c r="A328" s="30"/>
      <c r="B328" s="31"/>
    </row>
    <row r="329">
      <c r="A329" s="30"/>
      <c r="B329" s="31"/>
    </row>
    <row r="330">
      <c r="A330" s="30"/>
      <c r="B330" s="31"/>
    </row>
    <row r="331">
      <c r="A331" s="30"/>
      <c r="B331" s="31"/>
    </row>
    <row r="332">
      <c r="A332" s="30"/>
      <c r="B332" s="31"/>
    </row>
    <row r="333">
      <c r="A333" s="30"/>
      <c r="B333" s="31"/>
    </row>
    <row r="334">
      <c r="A334" s="30"/>
      <c r="B334" s="31"/>
    </row>
    <row r="335">
      <c r="A335" s="30"/>
      <c r="B335" s="31"/>
    </row>
    <row r="336">
      <c r="A336" s="30"/>
      <c r="B336" s="31"/>
    </row>
    <row r="337">
      <c r="A337" s="30"/>
      <c r="B337" s="31"/>
    </row>
    <row r="338">
      <c r="A338" s="30"/>
      <c r="B338" s="31"/>
    </row>
    <row r="339">
      <c r="A339" s="30"/>
      <c r="B339" s="31"/>
    </row>
    <row r="340">
      <c r="A340" s="30"/>
      <c r="B340" s="31"/>
    </row>
    <row r="341">
      <c r="A341" s="30"/>
      <c r="B341" s="31"/>
    </row>
    <row r="342">
      <c r="A342" s="30"/>
      <c r="B342" s="31"/>
    </row>
    <row r="343">
      <c r="A343" s="30"/>
      <c r="B343" s="31"/>
    </row>
    <row r="344">
      <c r="A344" s="30"/>
      <c r="B344" s="31"/>
    </row>
    <row r="345">
      <c r="A345" s="30"/>
      <c r="B345" s="31"/>
    </row>
    <row r="346">
      <c r="A346" s="30"/>
      <c r="B346" s="31"/>
    </row>
    <row r="347">
      <c r="A347" s="30"/>
      <c r="B347" s="31"/>
    </row>
    <row r="348">
      <c r="A348" s="30"/>
      <c r="B348" s="31"/>
    </row>
    <row r="349">
      <c r="A349" s="30"/>
      <c r="B349" s="31"/>
    </row>
    <row r="350">
      <c r="A350" s="30"/>
      <c r="B350" s="31"/>
    </row>
    <row r="351">
      <c r="A351" s="30"/>
      <c r="B351" s="31"/>
    </row>
    <row r="352">
      <c r="A352" s="30"/>
      <c r="B352" s="31"/>
    </row>
    <row r="353">
      <c r="A353" s="30"/>
      <c r="B353" s="31"/>
    </row>
    <row r="354">
      <c r="A354" s="30"/>
      <c r="B354" s="31"/>
    </row>
    <row r="355">
      <c r="A355" s="30"/>
      <c r="B355" s="31"/>
    </row>
    <row r="356">
      <c r="A356" s="30"/>
      <c r="B356" s="31"/>
    </row>
    <row r="357">
      <c r="A357" s="30"/>
      <c r="B357" s="31"/>
    </row>
    <row r="358">
      <c r="A358" s="30"/>
      <c r="B358" s="31"/>
    </row>
    <row r="359">
      <c r="A359" s="30"/>
      <c r="B359" s="31"/>
    </row>
    <row r="360">
      <c r="A360" s="30"/>
      <c r="B360" s="31"/>
    </row>
    <row r="361">
      <c r="A361" s="30"/>
      <c r="B361" s="31"/>
    </row>
    <row r="362">
      <c r="A362" s="30"/>
      <c r="B362" s="31"/>
    </row>
    <row r="363">
      <c r="A363" s="30"/>
      <c r="B363" s="31"/>
    </row>
    <row r="364">
      <c r="A364" s="30"/>
      <c r="B364" s="31"/>
    </row>
    <row r="365">
      <c r="A365" s="30"/>
      <c r="B365" s="31"/>
    </row>
    <row r="366">
      <c r="A366" s="30"/>
      <c r="B366" s="31"/>
    </row>
    <row r="367">
      <c r="A367" s="30"/>
      <c r="B367" s="31"/>
    </row>
    <row r="368">
      <c r="A368" s="30"/>
      <c r="B368" s="31"/>
    </row>
    <row r="369">
      <c r="A369" s="30"/>
      <c r="B369" s="31"/>
    </row>
    <row r="370">
      <c r="A370" s="30"/>
      <c r="B370" s="31"/>
    </row>
    <row r="371">
      <c r="A371" s="30"/>
      <c r="B371" s="31"/>
    </row>
    <row r="372">
      <c r="A372" s="30"/>
      <c r="B372" s="31"/>
    </row>
    <row r="373">
      <c r="A373" s="30"/>
      <c r="B373" s="31"/>
    </row>
    <row r="374">
      <c r="A374" s="30"/>
      <c r="B374" s="31"/>
    </row>
    <row r="375">
      <c r="A375" s="30"/>
      <c r="B375" s="31"/>
    </row>
    <row r="376">
      <c r="A376" s="30"/>
      <c r="B376" s="31"/>
    </row>
    <row r="377">
      <c r="A377" s="30"/>
      <c r="B377" s="31"/>
    </row>
    <row r="378">
      <c r="A378" s="30"/>
      <c r="B378" s="31"/>
    </row>
    <row r="379">
      <c r="A379" s="30"/>
      <c r="B379" s="31"/>
    </row>
    <row r="380">
      <c r="A380" s="30"/>
      <c r="B380" s="31"/>
    </row>
    <row r="381">
      <c r="A381" s="30"/>
      <c r="B381" s="31"/>
    </row>
    <row r="382">
      <c r="A382" s="30"/>
      <c r="B382" s="31"/>
    </row>
    <row r="383">
      <c r="A383" s="30"/>
      <c r="B383" s="31"/>
    </row>
    <row r="384">
      <c r="A384" s="30"/>
      <c r="B384" s="31"/>
    </row>
    <row r="385">
      <c r="A385" s="30"/>
      <c r="B385" s="31"/>
    </row>
    <row r="386">
      <c r="A386" s="30"/>
      <c r="B386" s="31"/>
    </row>
    <row r="387">
      <c r="A387" s="30"/>
      <c r="B387" s="31"/>
    </row>
    <row r="388">
      <c r="A388" s="30"/>
      <c r="B388" s="31"/>
    </row>
    <row r="389">
      <c r="A389" s="30"/>
      <c r="B389" s="31"/>
    </row>
    <row r="390">
      <c r="A390" s="30"/>
      <c r="B390" s="31"/>
    </row>
    <row r="391">
      <c r="A391" s="30"/>
      <c r="B391" s="31"/>
    </row>
    <row r="392">
      <c r="A392" s="30"/>
      <c r="B392" s="31"/>
    </row>
    <row r="393">
      <c r="A393" s="30"/>
      <c r="B393" s="31"/>
    </row>
    <row r="394">
      <c r="A394" s="30"/>
      <c r="B394" s="31"/>
    </row>
    <row r="395">
      <c r="A395" s="30"/>
      <c r="B395" s="31"/>
    </row>
    <row r="396">
      <c r="A396" s="30"/>
      <c r="B396" s="31"/>
    </row>
    <row r="397">
      <c r="A397" s="30"/>
      <c r="B397" s="31"/>
    </row>
    <row r="398">
      <c r="A398" s="30"/>
      <c r="B398" s="31"/>
    </row>
    <row r="399">
      <c r="A399" s="30"/>
      <c r="B399" s="31"/>
    </row>
    <row r="400">
      <c r="A400" s="30"/>
      <c r="B400" s="31"/>
    </row>
    <row r="401">
      <c r="A401" s="30"/>
      <c r="B401" s="31"/>
    </row>
    <row r="402">
      <c r="A402" s="30"/>
      <c r="B402" s="31"/>
    </row>
    <row r="403">
      <c r="A403" s="30"/>
      <c r="B403" s="31"/>
    </row>
    <row r="404">
      <c r="A404" s="30"/>
      <c r="B404" s="31"/>
    </row>
    <row r="405">
      <c r="A405" s="30"/>
      <c r="B405" s="31"/>
    </row>
    <row r="406">
      <c r="A406" s="30"/>
      <c r="B406" s="31"/>
    </row>
    <row r="407">
      <c r="A407" s="30"/>
      <c r="B407" s="31"/>
    </row>
    <row r="408">
      <c r="A408" s="30"/>
      <c r="B408" s="31"/>
    </row>
    <row r="409">
      <c r="A409" s="30"/>
      <c r="B409" s="31"/>
    </row>
    <row r="410">
      <c r="A410" s="30"/>
      <c r="B410" s="31"/>
    </row>
    <row r="411">
      <c r="A411" s="30"/>
      <c r="B411" s="31"/>
    </row>
    <row r="412">
      <c r="A412" s="30"/>
      <c r="B412" s="31"/>
    </row>
    <row r="413">
      <c r="A413" s="30"/>
      <c r="B413" s="31"/>
    </row>
    <row r="414">
      <c r="A414" s="30"/>
      <c r="B414" s="31"/>
    </row>
    <row r="415">
      <c r="A415" s="30"/>
      <c r="B415" s="31"/>
    </row>
    <row r="416">
      <c r="A416" s="30"/>
      <c r="B416" s="31"/>
    </row>
    <row r="417">
      <c r="A417" s="30"/>
      <c r="B417" s="31"/>
    </row>
    <row r="418">
      <c r="A418" s="30"/>
      <c r="B418" s="31"/>
    </row>
    <row r="419">
      <c r="A419" s="30"/>
      <c r="B419" s="31"/>
    </row>
    <row r="420">
      <c r="A420" s="30"/>
      <c r="B420" s="31"/>
    </row>
    <row r="421">
      <c r="A421" s="30"/>
      <c r="B421" s="31"/>
    </row>
    <row r="422">
      <c r="A422" s="30"/>
      <c r="B422" s="31"/>
    </row>
    <row r="423">
      <c r="A423" s="30"/>
      <c r="B423" s="31"/>
    </row>
    <row r="424">
      <c r="A424" s="30"/>
      <c r="B424" s="31"/>
    </row>
    <row r="425">
      <c r="A425" s="30"/>
      <c r="B425" s="31"/>
    </row>
    <row r="426">
      <c r="A426" s="30"/>
      <c r="B426" s="31"/>
    </row>
    <row r="427">
      <c r="A427" s="30"/>
      <c r="B427" s="31"/>
    </row>
    <row r="428">
      <c r="A428" s="30"/>
      <c r="B428" s="31"/>
    </row>
    <row r="429">
      <c r="A429" s="30"/>
      <c r="B429" s="31"/>
    </row>
    <row r="430">
      <c r="A430" s="30"/>
      <c r="B430" s="31"/>
    </row>
    <row r="431">
      <c r="A431" s="30"/>
      <c r="B431" s="31"/>
    </row>
    <row r="432">
      <c r="A432" s="30"/>
      <c r="B432" s="31"/>
    </row>
    <row r="433">
      <c r="A433" s="30"/>
      <c r="B433" s="31"/>
    </row>
    <row r="434">
      <c r="A434" s="30"/>
      <c r="B434" s="31"/>
    </row>
    <row r="435">
      <c r="A435" s="30"/>
      <c r="B435" s="31"/>
    </row>
    <row r="436">
      <c r="A436" s="30"/>
      <c r="B436" s="31"/>
    </row>
    <row r="437">
      <c r="A437" s="30"/>
      <c r="B437" s="31"/>
    </row>
    <row r="438">
      <c r="A438" s="30"/>
      <c r="B438" s="31"/>
    </row>
    <row r="439">
      <c r="A439" s="30"/>
      <c r="B439" s="31"/>
    </row>
    <row r="440">
      <c r="A440" s="30"/>
      <c r="B440" s="31"/>
    </row>
    <row r="441">
      <c r="A441" s="30"/>
      <c r="B441" s="31"/>
    </row>
    <row r="442">
      <c r="A442" s="30"/>
      <c r="B442" s="31"/>
    </row>
    <row r="443">
      <c r="A443" s="30"/>
      <c r="B443" s="31"/>
    </row>
    <row r="444">
      <c r="A444" s="30"/>
      <c r="B444" s="31"/>
    </row>
    <row r="445">
      <c r="A445" s="30"/>
      <c r="B445" s="31"/>
    </row>
    <row r="446">
      <c r="A446" s="30"/>
      <c r="B446" s="31"/>
    </row>
    <row r="447">
      <c r="A447" s="30"/>
      <c r="B447" s="31"/>
    </row>
    <row r="448">
      <c r="A448" s="30"/>
      <c r="B448" s="31"/>
    </row>
    <row r="449">
      <c r="A449" s="30"/>
      <c r="B449" s="31"/>
    </row>
    <row r="450">
      <c r="A450" s="30"/>
      <c r="B450" s="31"/>
    </row>
    <row r="451">
      <c r="A451" s="30"/>
      <c r="B451" s="31"/>
    </row>
    <row r="452">
      <c r="A452" s="30"/>
      <c r="B452" s="31"/>
    </row>
    <row r="453">
      <c r="A453" s="30"/>
      <c r="B453" s="31"/>
    </row>
    <row r="454">
      <c r="A454" s="30"/>
      <c r="B454" s="31"/>
    </row>
    <row r="455">
      <c r="A455" s="30"/>
      <c r="B455" s="31"/>
    </row>
    <row r="456">
      <c r="A456" s="30"/>
      <c r="B456" s="31"/>
    </row>
    <row r="457">
      <c r="A457" s="30"/>
      <c r="B457" s="31"/>
    </row>
    <row r="458">
      <c r="A458" s="30"/>
      <c r="B458" s="31"/>
    </row>
    <row r="459">
      <c r="A459" s="30"/>
      <c r="B459" s="31"/>
    </row>
    <row r="460">
      <c r="A460" s="30"/>
      <c r="B460" s="31"/>
    </row>
    <row r="461">
      <c r="A461" s="30"/>
      <c r="B461" s="31"/>
    </row>
    <row r="462">
      <c r="A462" s="30"/>
      <c r="B462" s="31"/>
    </row>
    <row r="463">
      <c r="A463" s="30"/>
      <c r="B463" s="31"/>
    </row>
    <row r="464">
      <c r="A464" s="30"/>
      <c r="B464" s="31"/>
    </row>
    <row r="465">
      <c r="A465" s="30"/>
      <c r="B465" s="31"/>
    </row>
    <row r="466">
      <c r="A466" s="30"/>
      <c r="B466" s="31"/>
    </row>
    <row r="467">
      <c r="A467" s="30"/>
      <c r="B467" s="31"/>
    </row>
    <row r="468">
      <c r="A468" s="30"/>
      <c r="B468" s="31"/>
    </row>
    <row r="469">
      <c r="A469" s="30"/>
      <c r="B469" s="31"/>
    </row>
    <row r="470">
      <c r="A470" s="30"/>
      <c r="B470" s="31"/>
    </row>
    <row r="471">
      <c r="A471" s="30"/>
      <c r="B471" s="31"/>
    </row>
    <row r="472">
      <c r="A472" s="30"/>
      <c r="B472" s="31"/>
    </row>
    <row r="473">
      <c r="A473" s="30"/>
      <c r="B473" s="31"/>
    </row>
    <row r="474">
      <c r="A474" s="30"/>
      <c r="B474" s="31"/>
    </row>
    <row r="475">
      <c r="A475" s="30"/>
      <c r="B475" s="31"/>
    </row>
    <row r="476">
      <c r="A476" s="30"/>
      <c r="B476" s="31"/>
    </row>
    <row r="477">
      <c r="A477" s="30"/>
      <c r="B477" s="31"/>
    </row>
    <row r="478">
      <c r="A478" s="30"/>
      <c r="B478" s="31"/>
    </row>
    <row r="479">
      <c r="A479" s="30"/>
      <c r="B479" s="31"/>
    </row>
    <row r="480">
      <c r="A480" s="30"/>
      <c r="B480" s="31"/>
    </row>
    <row r="481">
      <c r="A481" s="30"/>
      <c r="B481" s="31"/>
    </row>
    <row r="482">
      <c r="A482" s="30"/>
      <c r="B482" s="31"/>
    </row>
    <row r="483">
      <c r="A483" s="30"/>
      <c r="B483" s="31"/>
    </row>
    <row r="484">
      <c r="A484" s="30"/>
      <c r="B484" s="31"/>
    </row>
    <row r="485">
      <c r="A485" s="30"/>
      <c r="B485" s="31"/>
    </row>
    <row r="486">
      <c r="A486" s="30"/>
      <c r="B486" s="31"/>
    </row>
    <row r="487">
      <c r="A487" s="30"/>
      <c r="B487" s="31"/>
    </row>
    <row r="488">
      <c r="A488" s="30"/>
      <c r="B488" s="31"/>
    </row>
    <row r="489">
      <c r="A489" s="30"/>
      <c r="B489" s="31"/>
    </row>
    <row r="490">
      <c r="A490" s="30"/>
      <c r="B490" s="31"/>
    </row>
    <row r="491">
      <c r="A491" s="30"/>
      <c r="B491" s="31"/>
    </row>
    <row r="492">
      <c r="A492" s="30"/>
      <c r="B492" s="31"/>
    </row>
    <row r="493">
      <c r="A493" s="30"/>
      <c r="B493" s="31"/>
    </row>
    <row r="494">
      <c r="A494" s="30"/>
      <c r="B494" s="31"/>
    </row>
    <row r="495">
      <c r="A495" s="30"/>
      <c r="B495" s="31"/>
    </row>
    <row r="496">
      <c r="A496" s="30"/>
      <c r="B496" s="31"/>
    </row>
    <row r="497">
      <c r="A497" s="30"/>
      <c r="B497" s="31"/>
    </row>
    <row r="498">
      <c r="A498" s="30"/>
      <c r="B498" s="31"/>
    </row>
    <row r="499">
      <c r="A499" s="30"/>
      <c r="B499" s="31"/>
    </row>
    <row r="500">
      <c r="A500" s="30"/>
      <c r="B500" s="31"/>
    </row>
    <row r="501">
      <c r="A501" s="30"/>
      <c r="B501" s="31"/>
    </row>
    <row r="502">
      <c r="A502" s="30"/>
      <c r="B502" s="31"/>
    </row>
    <row r="503">
      <c r="A503" s="30"/>
      <c r="B503" s="31"/>
    </row>
    <row r="504">
      <c r="A504" s="30"/>
      <c r="B504" s="31"/>
    </row>
    <row r="505">
      <c r="A505" s="30"/>
      <c r="B505" s="31"/>
    </row>
    <row r="506">
      <c r="A506" s="30"/>
      <c r="B506" s="31"/>
    </row>
    <row r="507">
      <c r="A507" s="30"/>
      <c r="B507" s="31"/>
    </row>
    <row r="508">
      <c r="A508" s="30"/>
      <c r="B508" s="31"/>
    </row>
    <row r="509">
      <c r="A509" s="30"/>
      <c r="B509" s="31"/>
    </row>
    <row r="510">
      <c r="A510" s="30"/>
      <c r="B510" s="31"/>
    </row>
    <row r="511">
      <c r="A511" s="30"/>
      <c r="B511" s="31"/>
    </row>
    <row r="512">
      <c r="A512" s="30"/>
      <c r="B512" s="31"/>
    </row>
    <row r="513">
      <c r="A513" s="30"/>
      <c r="B513" s="31"/>
    </row>
    <row r="514">
      <c r="A514" s="30"/>
      <c r="B514" s="31"/>
    </row>
    <row r="515">
      <c r="A515" s="30"/>
      <c r="B515" s="31"/>
    </row>
    <row r="516">
      <c r="A516" s="30"/>
      <c r="B516" s="31"/>
    </row>
    <row r="517">
      <c r="A517" s="30"/>
      <c r="B517" s="31"/>
    </row>
    <row r="518">
      <c r="A518" s="30"/>
      <c r="B518" s="31"/>
    </row>
    <row r="519">
      <c r="A519" s="30"/>
      <c r="B519" s="31"/>
    </row>
    <row r="520">
      <c r="A520" s="30"/>
      <c r="B520" s="31"/>
    </row>
    <row r="521">
      <c r="A521" s="30"/>
      <c r="B521" s="31"/>
    </row>
    <row r="522">
      <c r="A522" s="30"/>
      <c r="B522" s="31"/>
    </row>
    <row r="523">
      <c r="A523" s="30"/>
      <c r="B523" s="31"/>
    </row>
    <row r="524">
      <c r="A524" s="30"/>
      <c r="B524" s="31"/>
    </row>
    <row r="525">
      <c r="A525" s="30"/>
      <c r="B525" s="31"/>
    </row>
    <row r="526">
      <c r="A526" s="30"/>
      <c r="B526" s="31"/>
    </row>
    <row r="527">
      <c r="A527" s="30"/>
      <c r="B527" s="31"/>
    </row>
    <row r="528">
      <c r="A528" s="30"/>
      <c r="B528" s="31"/>
    </row>
    <row r="529">
      <c r="A529" s="30"/>
      <c r="B529" s="31"/>
    </row>
    <row r="530">
      <c r="A530" s="30"/>
      <c r="B530" s="31"/>
    </row>
    <row r="531">
      <c r="A531" s="30"/>
      <c r="B531" s="31"/>
    </row>
    <row r="532">
      <c r="A532" s="30"/>
      <c r="B532" s="31"/>
    </row>
    <row r="533">
      <c r="A533" s="30"/>
      <c r="B533" s="31"/>
    </row>
    <row r="534">
      <c r="A534" s="30"/>
      <c r="B534" s="31"/>
    </row>
    <row r="535">
      <c r="A535" s="30"/>
      <c r="B535" s="31"/>
    </row>
    <row r="536">
      <c r="A536" s="30"/>
      <c r="B536" s="31"/>
    </row>
    <row r="537">
      <c r="A537" s="30"/>
      <c r="B537" s="31"/>
    </row>
    <row r="538">
      <c r="A538" s="30"/>
      <c r="B538" s="31"/>
    </row>
    <row r="539">
      <c r="A539" s="30"/>
      <c r="B539" s="31"/>
    </row>
    <row r="540">
      <c r="A540" s="30"/>
      <c r="B540" s="31"/>
    </row>
    <row r="541">
      <c r="A541" s="30"/>
      <c r="B541" s="31"/>
    </row>
    <row r="542">
      <c r="A542" s="30"/>
      <c r="B542" s="31"/>
    </row>
    <row r="543">
      <c r="A543" s="30"/>
      <c r="B543" s="31"/>
    </row>
    <row r="544">
      <c r="A544" s="30"/>
      <c r="B544" s="31"/>
    </row>
    <row r="545">
      <c r="A545" s="30"/>
      <c r="B545" s="31"/>
    </row>
    <row r="546">
      <c r="A546" s="30"/>
      <c r="B546" s="31"/>
    </row>
    <row r="547">
      <c r="A547" s="30"/>
      <c r="B547" s="31"/>
    </row>
    <row r="548">
      <c r="A548" s="30"/>
      <c r="B548" s="31"/>
    </row>
    <row r="549">
      <c r="A549" s="30"/>
      <c r="B549" s="31"/>
    </row>
    <row r="550">
      <c r="A550" s="30"/>
      <c r="B550" s="31"/>
    </row>
    <row r="551">
      <c r="A551" s="30"/>
      <c r="B551" s="31"/>
    </row>
    <row r="552">
      <c r="A552" s="30"/>
      <c r="B552" s="31"/>
    </row>
    <row r="553">
      <c r="A553" s="30"/>
      <c r="B553" s="31"/>
    </row>
    <row r="554">
      <c r="A554" s="30"/>
      <c r="B554" s="31"/>
    </row>
    <row r="555">
      <c r="A555" s="30"/>
      <c r="B555" s="31"/>
    </row>
    <row r="556">
      <c r="A556" s="30"/>
      <c r="B556" s="31"/>
    </row>
    <row r="557">
      <c r="A557" s="30"/>
      <c r="B557" s="31"/>
    </row>
    <row r="558">
      <c r="A558" s="30"/>
      <c r="B558" s="31"/>
    </row>
    <row r="559">
      <c r="A559" s="30"/>
      <c r="B559" s="31"/>
    </row>
    <row r="560">
      <c r="A560" s="30"/>
      <c r="B560" s="31"/>
    </row>
    <row r="561">
      <c r="A561" s="30"/>
      <c r="B561" s="31"/>
    </row>
    <row r="562">
      <c r="A562" s="30"/>
      <c r="B562" s="31"/>
    </row>
    <row r="563">
      <c r="A563" s="30"/>
      <c r="B563" s="31"/>
    </row>
    <row r="564">
      <c r="A564" s="30"/>
      <c r="B564" s="31"/>
    </row>
    <row r="565">
      <c r="A565" s="30"/>
      <c r="B565" s="31"/>
    </row>
    <row r="566">
      <c r="A566" s="30"/>
      <c r="B566" s="31"/>
    </row>
    <row r="567">
      <c r="A567" s="30"/>
      <c r="B567" s="31"/>
    </row>
    <row r="568">
      <c r="A568" s="30"/>
      <c r="B568" s="31"/>
    </row>
    <row r="569">
      <c r="A569" s="30"/>
      <c r="B569" s="31"/>
    </row>
    <row r="570">
      <c r="A570" s="30"/>
      <c r="B570" s="31"/>
    </row>
    <row r="571">
      <c r="A571" s="30"/>
      <c r="B571" s="31"/>
    </row>
    <row r="572">
      <c r="A572" s="30"/>
      <c r="B572" s="31"/>
    </row>
    <row r="573">
      <c r="A573" s="30"/>
      <c r="B573" s="31"/>
    </row>
    <row r="574">
      <c r="A574" s="30"/>
      <c r="B574" s="31"/>
    </row>
    <row r="575">
      <c r="A575" s="30"/>
      <c r="B575" s="31"/>
    </row>
    <row r="576">
      <c r="A576" s="30"/>
      <c r="B576" s="31"/>
    </row>
    <row r="577">
      <c r="A577" s="30"/>
      <c r="B577" s="31"/>
    </row>
    <row r="578">
      <c r="A578" s="30"/>
      <c r="B578" s="31"/>
    </row>
    <row r="579">
      <c r="A579" s="30"/>
      <c r="B579" s="31"/>
    </row>
    <row r="580">
      <c r="A580" s="30"/>
      <c r="B580" s="31"/>
    </row>
    <row r="581">
      <c r="A581" s="30"/>
      <c r="B581" s="31"/>
    </row>
    <row r="582">
      <c r="A582" s="30"/>
      <c r="B582" s="31"/>
    </row>
    <row r="583">
      <c r="A583" s="30"/>
      <c r="B583" s="31"/>
    </row>
    <row r="584">
      <c r="A584" s="30"/>
      <c r="B584" s="31"/>
    </row>
    <row r="585">
      <c r="A585" s="30"/>
      <c r="B585" s="31"/>
    </row>
    <row r="586">
      <c r="A586" s="30"/>
      <c r="B586" s="31"/>
    </row>
    <row r="587">
      <c r="A587" s="30"/>
      <c r="B587" s="31"/>
    </row>
    <row r="588">
      <c r="A588" s="30"/>
      <c r="B588" s="31"/>
    </row>
    <row r="589">
      <c r="A589" s="30"/>
      <c r="B589" s="31"/>
    </row>
    <row r="590">
      <c r="A590" s="30"/>
      <c r="B590" s="31"/>
    </row>
    <row r="591">
      <c r="A591" s="30"/>
      <c r="B591" s="31"/>
    </row>
    <row r="592">
      <c r="A592" s="30"/>
      <c r="B592" s="31"/>
    </row>
    <row r="593">
      <c r="A593" s="30"/>
      <c r="B593" s="31"/>
    </row>
    <row r="594">
      <c r="A594" s="30"/>
      <c r="B594" s="31"/>
    </row>
    <row r="595">
      <c r="A595" s="30"/>
      <c r="B595" s="31"/>
    </row>
    <row r="596">
      <c r="A596" s="30"/>
      <c r="B596" s="31"/>
    </row>
    <row r="597">
      <c r="A597" s="30"/>
      <c r="B597" s="31"/>
    </row>
    <row r="598">
      <c r="A598" s="30"/>
      <c r="B598" s="31"/>
    </row>
    <row r="599">
      <c r="A599" s="30"/>
      <c r="B599" s="31"/>
    </row>
    <row r="600">
      <c r="A600" s="30"/>
      <c r="B600" s="31"/>
    </row>
    <row r="601">
      <c r="A601" s="30"/>
      <c r="B601" s="31"/>
    </row>
    <row r="602">
      <c r="A602" s="30"/>
      <c r="B602" s="31"/>
    </row>
    <row r="603">
      <c r="A603" s="30"/>
      <c r="B603" s="31"/>
    </row>
    <row r="604">
      <c r="A604" s="30"/>
      <c r="B604" s="31"/>
    </row>
    <row r="605">
      <c r="A605" s="30"/>
      <c r="B605" s="31"/>
    </row>
    <row r="606">
      <c r="A606" s="30"/>
      <c r="B606" s="31"/>
    </row>
    <row r="607">
      <c r="A607" s="30"/>
      <c r="B607" s="31"/>
    </row>
    <row r="608">
      <c r="A608" s="30"/>
      <c r="B608" s="31"/>
    </row>
    <row r="609">
      <c r="A609" s="30"/>
      <c r="B609" s="31"/>
    </row>
    <row r="610">
      <c r="A610" s="30"/>
      <c r="B610" s="31"/>
    </row>
    <row r="611">
      <c r="A611" s="30"/>
      <c r="B611" s="31"/>
    </row>
    <row r="612">
      <c r="A612" s="30"/>
      <c r="B612" s="31"/>
    </row>
    <row r="613">
      <c r="A613" s="30"/>
      <c r="B613" s="31"/>
    </row>
    <row r="614">
      <c r="A614" s="30"/>
      <c r="B614" s="31"/>
    </row>
    <row r="615">
      <c r="A615" s="30"/>
      <c r="B615" s="31"/>
    </row>
    <row r="616">
      <c r="A616" s="30"/>
      <c r="B616" s="31"/>
    </row>
    <row r="617">
      <c r="A617" s="30"/>
      <c r="B617" s="31"/>
    </row>
    <row r="618">
      <c r="A618" s="30"/>
      <c r="B618" s="31"/>
    </row>
    <row r="619">
      <c r="A619" s="30"/>
      <c r="B619" s="31"/>
    </row>
    <row r="620">
      <c r="A620" s="30"/>
      <c r="B620" s="31"/>
    </row>
    <row r="621">
      <c r="A621" s="30"/>
      <c r="B621" s="31"/>
    </row>
    <row r="622">
      <c r="A622" s="30"/>
      <c r="B622" s="31"/>
    </row>
    <row r="623">
      <c r="A623" s="30"/>
      <c r="B623" s="31"/>
    </row>
    <row r="624">
      <c r="A624" s="30"/>
      <c r="B624" s="31"/>
    </row>
    <row r="625">
      <c r="A625" s="30"/>
      <c r="B625" s="31"/>
    </row>
    <row r="626">
      <c r="A626" s="30"/>
      <c r="B626" s="31"/>
    </row>
    <row r="627">
      <c r="A627" s="30"/>
      <c r="B627" s="31"/>
    </row>
    <row r="628">
      <c r="A628" s="30"/>
      <c r="B628" s="31"/>
    </row>
    <row r="629">
      <c r="A629" s="30"/>
      <c r="B629" s="31"/>
    </row>
    <row r="630">
      <c r="A630" s="30"/>
      <c r="B630" s="31"/>
    </row>
    <row r="631">
      <c r="A631" s="30"/>
      <c r="B631" s="31"/>
    </row>
    <row r="632">
      <c r="A632" s="30"/>
      <c r="B632" s="31"/>
    </row>
    <row r="633">
      <c r="A633" s="30"/>
      <c r="B633" s="31"/>
    </row>
    <row r="634">
      <c r="A634" s="30"/>
      <c r="B634" s="31"/>
    </row>
    <row r="635">
      <c r="A635" s="30"/>
      <c r="B635" s="31"/>
    </row>
    <row r="636">
      <c r="A636" s="30"/>
      <c r="B636" s="31"/>
    </row>
    <row r="637">
      <c r="A637" s="30"/>
      <c r="B637" s="31"/>
    </row>
    <row r="638">
      <c r="A638" s="30"/>
      <c r="B638" s="31"/>
    </row>
    <row r="639">
      <c r="A639" s="30"/>
      <c r="B639" s="31"/>
    </row>
    <row r="640">
      <c r="A640" s="30"/>
      <c r="B640" s="31"/>
    </row>
    <row r="641">
      <c r="A641" s="30"/>
      <c r="B641" s="31"/>
    </row>
    <row r="642">
      <c r="A642" s="30"/>
      <c r="B642" s="31"/>
    </row>
    <row r="643">
      <c r="A643" s="30"/>
      <c r="B643" s="31"/>
    </row>
    <row r="644">
      <c r="A644" s="30"/>
      <c r="B644" s="31"/>
    </row>
    <row r="645">
      <c r="A645" s="30"/>
      <c r="B645" s="31"/>
    </row>
    <row r="646">
      <c r="A646" s="30"/>
      <c r="B646" s="31"/>
    </row>
    <row r="647">
      <c r="A647" s="30"/>
      <c r="B647" s="31"/>
    </row>
    <row r="648">
      <c r="A648" s="30"/>
      <c r="B648" s="31"/>
    </row>
    <row r="649">
      <c r="A649" s="30"/>
      <c r="B649" s="31"/>
    </row>
    <row r="650">
      <c r="A650" s="30"/>
      <c r="B650" s="31"/>
    </row>
    <row r="651">
      <c r="A651" s="30"/>
      <c r="B651" s="31"/>
    </row>
    <row r="652">
      <c r="A652" s="30"/>
      <c r="B652" s="31"/>
    </row>
    <row r="653">
      <c r="A653" s="30"/>
      <c r="B653" s="31"/>
    </row>
    <row r="654">
      <c r="A654" s="30"/>
      <c r="B654" s="31"/>
    </row>
    <row r="655">
      <c r="A655" s="30"/>
      <c r="B655" s="31"/>
    </row>
    <row r="656">
      <c r="A656" s="30"/>
      <c r="B656" s="31"/>
    </row>
    <row r="657">
      <c r="A657" s="30"/>
      <c r="B657" s="31"/>
    </row>
    <row r="658">
      <c r="A658" s="30"/>
      <c r="B658" s="31"/>
    </row>
    <row r="659">
      <c r="A659" s="30"/>
      <c r="B659" s="31"/>
    </row>
    <row r="660">
      <c r="A660" s="30"/>
      <c r="B660" s="31"/>
    </row>
    <row r="661">
      <c r="A661" s="30"/>
      <c r="B661" s="31"/>
    </row>
    <row r="662">
      <c r="A662" s="30"/>
      <c r="B662" s="31"/>
    </row>
    <row r="663">
      <c r="A663" s="30"/>
      <c r="B663" s="31"/>
    </row>
    <row r="664">
      <c r="A664" s="30"/>
      <c r="B664" s="31"/>
    </row>
    <row r="665">
      <c r="A665" s="30"/>
      <c r="B665" s="31"/>
    </row>
    <row r="666">
      <c r="A666" s="30"/>
      <c r="B666" s="31"/>
    </row>
    <row r="667">
      <c r="A667" s="30"/>
      <c r="B667" s="31"/>
    </row>
    <row r="668">
      <c r="A668" s="30"/>
      <c r="B668" s="31"/>
    </row>
    <row r="669">
      <c r="A669" s="30"/>
      <c r="B669" s="31"/>
    </row>
    <row r="670">
      <c r="A670" s="30"/>
      <c r="B670" s="31"/>
    </row>
    <row r="671">
      <c r="A671" s="30"/>
      <c r="B671" s="31"/>
    </row>
    <row r="672">
      <c r="A672" s="30"/>
      <c r="B672" s="31"/>
    </row>
    <row r="673">
      <c r="A673" s="30"/>
      <c r="B673" s="31"/>
    </row>
    <row r="674">
      <c r="A674" s="30"/>
      <c r="B674" s="31"/>
    </row>
    <row r="675">
      <c r="A675" s="30"/>
      <c r="B675" s="31"/>
    </row>
    <row r="676">
      <c r="A676" s="30"/>
      <c r="B676" s="31"/>
    </row>
    <row r="677">
      <c r="A677" s="30"/>
      <c r="B677" s="31"/>
    </row>
    <row r="678">
      <c r="A678" s="30"/>
      <c r="B678" s="31"/>
    </row>
    <row r="679">
      <c r="A679" s="30"/>
      <c r="B679" s="31"/>
    </row>
    <row r="680">
      <c r="A680" s="30"/>
      <c r="B680" s="31"/>
    </row>
    <row r="681">
      <c r="A681" s="30"/>
      <c r="B681" s="31"/>
    </row>
    <row r="682">
      <c r="A682" s="30"/>
      <c r="B682" s="31"/>
    </row>
    <row r="683">
      <c r="A683" s="30"/>
      <c r="B683" s="31"/>
    </row>
    <row r="684">
      <c r="A684" s="30"/>
      <c r="B684" s="31"/>
    </row>
    <row r="685">
      <c r="A685" s="30"/>
      <c r="B685" s="31"/>
    </row>
    <row r="686">
      <c r="A686" s="30"/>
      <c r="B686" s="31"/>
    </row>
    <row r="687">
      <c r="A687" s="30"/>
      <c r="B687" s="31"/>
    </row>
    <row r="688">
      <c r="A688" s="30"/>
      <c r="B688" s="31"/>
    </row>
    <row r="689">
      <c r="A689" s="30"/>
      <c r="B689" s="31"/>
    </row>
    <row r="690">
      <c r="A690" s="30"/>
      <c r="B690" s="31"/>
    </row>
    <row r="691">
      <c r="A691" s="30"/>
      <c r="B691" s="31"/>
    </row>
    <row r="692">
      <c r="A692" s="30"/>
      <c r="B692" s="31"/>
    </row>
    <row r="693">
      <c r="A693" s="30"/>
      <c r="B693" s="31"/>
    </row>
    <row r="694">
      <c r="A694" s="30"/>
      <c r="B694" s="31"/>
    </row>
    <row r="695">
      <c r="A695" s="30"/>
      <c r="B695" s="31"/>
    </row>
    <row r="696">
      <c r="A696" s="30"/>
      <c r="B696" s="31"/>
    </row>
    <row r="697">
      <c r="A697" s="30"/>
      <c r="B697" s="31"/>
    </row>
    <row r="698">
      <c r="A698" s="30"/>
      <c r="B698" s="31"/>
    </row>
    <row r="699">
      <c r="A699" s="30"/>
      <c r="B699" s="31"/>
    </row>
    <row r="700">
      <c r="A700" s="30"/>
      <c r="B700" s="31"/>
    </row>
    <row r="701">
      <c r="A701" s="30"/>
      <c r="B701" s="31"/>
    </row>
    <row r="702">
      <c r="A702" s="30"/>
      <c r="B702" s="31"/>
    </row>
    <row r="703">
      <c r="A703" s="30"/>
      <c r="B703" s="31"/>
    </row>
    <row r="704">
      <c r="A704" s="30"/>
      <c r="B704" s="31"/>
    </row>
    <row r="705">
      <c r="A705" s="30"/>
      <c r="B705" s="31"/>
    </row>
    <row r="706">
      <c r="A706" s="30"/>
      <c r="B706" s="31"/>
    </row>
    <row r="707">
      <c r="A707" s="30"/>
      <c r="B707" s="31"/>
    </row>
    <row r="708">
      <c r="A708" s="30"/>
      <c r="B708" s="31"/>
    </row>
    <row r="709">
      <c r="A709" s="30"/>
      <c r="B709" s="31"/>
    </row>
    <row r="710">
      <c r="A710" s="30"/>
      <c r="B710" s="31"/>
    </row>
    <row r="711">
      <c r="A711" s="30"/>
      <c r="B711" s="31"/>
    </row>
    <row r="712">
      <c r="A712" s="30"/>
      <c r="B712" s="31"/>
    </row>
    <row r="713">
      <c r="A713" s="30"/>
      <c r="B713" s="31"/>
    </row>
    <row r="714">
      <c r="A714" s="30"/>
      <c r="B714" s="31"/>
    </row>
    <row r="715">
      <c r="A715" s="30"/>
      <c r="B715" s="31"/>
    </row>
    <row r="716">
      <c r="A716" s="30"/>
      <c r="B716" s="31"/>
    </row>
    <row r="717">
      <c r="A717" s="30"/>
      <c r="B717" s="31"/>
    </row>
    <row r="718">
      <c r="A718" s="30"/>
      <c r="B718" s="31"/>
    </row>
    <row r="719">
      <c r="A719" s="30"/>
      <c r="B719" s="31"/>
    </row>
    <row r="720">
      <c r="A720" s="30"/>
      <c r="B720" s="31"/>
    </row>
    <row r="721">
      <c r="A721" s="30"/>
      <c r="B721" s="31"/>
    </row>
    <row r="722">
      <c r="A722" s="30"/>
      <c r="B722" s="31"/>
    </row>
    <row r="723">
      <c r="A723" s="30"/>
      <c r="B723" s="31"/>
    </row>
    <row r="724">
      <c r="A724" s="30"/>
      <c r="B724" s="31"/>
    </row>
    <row r="725">
      <c r="A725" s="30"/>
      <c r="B725" s="31"/>
    </row>
    <row r="726">
      <c r="A726" s="30"/>
      <c r="B726" s="31"/>
    </row>
    <row r="727">
      <c r="A727" s="30"/>
      <c r="B727" s="31"/>
    </row>
    <row r="728">
      <c r="A728" s="30"/>
      <c r="B728" s="31"/>
    </row>
    <row r="729">
      <c r="A729" s="30"/>
      <c r="B729" s="31"/>
    </row>
    <row r="730">
      <c r="A730" s="30"/>
      <c r="B730" s="31"/>
    </row>
    <row r="731">
      <c r="A731" s="30"/>
      <c r="B731" s="31"/>
    </row>
    <row r="732">
      <c r="A732" s="30"/>
      <c r="B732" s="31"/>
    </row>
    <row r="733">
      <c r="A733" s="30"/>
      <c r="B733" s="31"/>
    </row>
    <row r="734">
      <c r="A734" s="30"/>
      <c r="B734" s="31"/>
    </row>
    <row r="735">
      <c r="A735" s="30"/>
      <c r="B735" s="31"/>
    </row>
    <row r="736">
      <c r="A736" s="30"/>
      <c r="B736" s="31"/>
    </row>
    <row r="737">
      <c r="A737" s="30"/>
      <c r="B737" s="31"/>
    </row>
    <row r="738">
      <c r="A738" s="30"/>
      <c r="B738" s="31"/>
    </row>
    <row r="739">
      <c r="A739" s="30"/>
      <c r="B739" s="31"/>
    </row>
    <row r="740">
      <c r="A740" s="30"/>
      <c r="B740" s="31"/>
    </row>
    <row r="741">
      <c r="A741" s="30"/>
      <c r="B741" s="31"/>
    </row>
    <row r="742">
      <c r="A742" s="30"/>
      <c r="B742" s="31"/>
    </row>
    <row r="743">
      <c r="A743" s="30"/>
      <c r="B743" s="31"/>
    </row>
    <row r="744">
      <c r="A744" s="30"/>
      <c r="B744" s="31"/>
    </row>
    <row r="745">
      <c r="A745" s="30"/>
      <c r="B745" s="31"/>
    </row>
    <row r="746">
      <c r="A746" s="30"/>
      <c r="B746" s="31"/>
    </row>
    <row r="747">
      <c r="A747" s="30"/>
      <c r="B747" s="31"/>
    </row>
    <row r="748">
      <c r="A748" s="30"/>
      <c r="B748" s="31"/>
    </row>
    <row r="749">
      <c r="A749" s="30"/>
      <c r="B749" s="31"/>
    </row>
    <row r="750">
      <c r="A750" s="30"/>
      <c r="B750" s="31"/>
    </row>
    <row r="751">
      <c r="A751" s="30"/>
      <c r="B751" s="31"/>
    </row>
    <row r="752">
      <c r="A752" s="30"/>
      <c r="B752" s="31"/>
    </row>
    <row r="753">
      <c r="A753" s="30"/>
      <c r="B753" s="31"/>
    </row>
    <row r="754">
      <c r="A754" s="30"/>
      <c r="B754" s="31"/>
    </row>
    <row r="755">
      <c r="A755" s="30"/>
      <c r="B755" s="31"/>
    </row>
    <row r="756">
      <c r="A756" s="30"/>
      <c r="B756" s="31"/>
    </row>
    <row r="757">
      <c r="A757" s="30"/>
      <c r="B757" s="31"/>
    </row>
    <row r="758">
      <c r="A758" s="30"/>
      <c r="B758" s="31"/>
    </row>
    <row r="759">
      <c r="A759" s="30"/>
      <c r="B759" s="31"/>
    </row>
    <row r="760">
      <c r="A760" s="30"/>
      <c r="B760" s="31"/>
    </row>
    <row r="761">
      <c r="A761" s="30"/>
      <c r="B761" s="31"/>
    </row>
    <row r="762">
      <c r="A762" s="30"/>
      <c r="B762" s="31"/>
    </row>
    <row r="763">
      <c r="A763" s="30"/>
      <c r="B763" s="31"/>
    </row>
    <row r="764">
      <c r="A764" s="30"/>
      <c r="B764" s="31"/>
    </row>
    <row r="765">
      <c r="A765" s="30"/>
      <c r="B765" s="31"/>
    </row>
    <row r="766">
      <c r="A766" s="30"/>
      <c r="B766" s="31"/>
    </row>
    <row r="767">
      <c r="A767" s="30"/>
      <c r="B767" s="31"/>
    </row>
    <row r="768">
      <c r="A768" s="30"/>
      <c r="B768" s="31"/>
    </row>
    <row r="769">
      <c r="A769" s="30"/>
      <c r="B769" s="31"/>
    </row>
    <row r="770">
      <c r="A770" s="30"/>
      <c r="B770" s="31"/>
    </row>
    <row r="771">
      <c r="A771" s="30"/>
      <c r="B771" s="31"/>
    </row>
    <row r="772">
      <c r="A772" s="30"/>
      <c r="B772" s="31"/>
    </row>
    <row r="773">
      <c r="A773" s="30"/>
      <c r="B773" s="31"/>
    </row>
    <row r="774">
      <c r="A774" s="30"/>
      <c r="B774" s="31"/>
    </row>
    <row r="775">
      <c r="A775" s="30"/>
      <c r="B775" s="31"/>
    </row>
    <row r="776">
      <c r="A776" s="30"/>
      <c r="B776" s="31"/>
    </row>
    <row r="777">
      <c r="A777" s="30"/>
      <c r="B777" s="31"/>
    </row>
    <row r="778">
      <c r="A778" s="30"/>
      <c r="B778" s="31"/>
    </row>
    <row r="779">
      <c r="A779" s="30"/>
      <c r="B779" s="31"/>
    </row>
    <row r="780">
      <c r="A780" s="30"/>
      <c r="B780" s="31"/>
    </row>
    <row r="781">
      <c r="A781" s="30"/>
      <c r="B781" s="31"/>
    </row>
    <row r="782">
      <c r="A782" s="30"/>
      <c r="B782" s="31"/>
    </row>
    <row r="783">
      <c r="A783" s="30"/>
      <c r="B783" s="31"/>
    </row>
    <row r="784">
      <c r="A784" s="30"/>
      <c r="B784" s="31"/>
    </row>
    <row r="785">
      <c r="A785" s="30"/>
      <c r="B785" s="31"/>
    </row>
    <row r="786">
      <c r="A786" s="30"/>
      <c r="B786" s="31"/>
    </row>
    <row r="787">
      <c r="A787" s="30"/>
      <c r="B787" s="31"/>
    </row>
    <row r="788">
      <c r="A788" s="30"/>
      <c r="B788" s="31"/>
    </row>
    <row r="789">
      <c r="A789" s="30"/>
      <c r="B789" s="31"/>
    </row>
    <row r="790">
      <c r="A790" s="30"/>
      <c r="B790" s="31"/>
    </row>
    <row r="791">
      <c r="A791" s="30"/>
      <c r="B791" s="31"/>
    </row>
    <row r="792">
      <c r="A792" s="30"/>
      <c r="B792" s="31"/>
    </row>
    <row r="793">
      <c r="A793" s="30"/>
      <c r="B793" s="31"/>
    </row>
    <row r="794">
      <c r="A794" s="30"/>
      <c r="B794" s="31"/>
    </row>
    <row r="795">
      <c r="A795" s="30"/>
      <c r="B795" s="31"/>
    </row>
    <row r="796">
      <c r="A796" s="30"/>
      <c r="B796" s="31"/>
    </row>
    <row r="797">
      <c r="A797" s="30"/>
      <c r="B797" s="31"/>
    </row>
    <row r="798">
      <c r="A798" s="30"/>
      <c r="B798" s="31"/>
    </row>
    <row r="799">
      <c r="A799" s="30"/>
      <c r="B799" s="31"/>
    </row>
    <row r="800">
      <c r="A800" s="30"/>
      <c r="B800" s="31"/>
    </row>
    <row r="801">
      <c r="A801" s="30"/>
      <c r="B801" s="31"/>
    </row>
    <row r="802">
      <c r="A802" s="30"/>
      <c r="B802" s="31"/>
    </row>
    <row r="803">
      <c r="A803" s="30"/>
      <c r="B803" s="31"/>
    </row>
    <row r="804">
      <c r="A804" s="30"/>
      <c r="B804" s="31"/>
    </row>
    <row r="805">
      <c r="A805" s="30"/>
      <c r="B805" s="31"/>
    </row>
    <row r="806">
      <c r="A806" s="30"/>
      <c r="B806" s="31"/>
    </row>
    <row r="807">
      <c r="A807" s="30"/>
      <c r="B807" s="31"/>
    </row>
    <row r="808">
      <c r="A808" s="30"/>
      <c r="B808" s="31"/>
    </row>
    <row r="809">
      <c r="A809" s="30"/>
      <c r="B809" s="31"/>
    </row>
    <row r="810">
      <c r="A810" s="30"/>
      <c r="B810" s="31"/>
    </row>
    <row r="811">
      <c r="A811" s="30"/>
      <c r="B811" s="31"/>
    </row>
    <row r="812">
      <c r="A812" s="30"/>
      <c r="B812" s="31"/>
    </row>
    <row r="813">
      <c r="A813" s="30"/>
      <c r="B813" s="31"/>
    </row>
    <row r="814">
      <c r="A814" s="30"/>
      <c r="B814" s="31"/>
    </row>
    <row r="815">
      <c r="A815" s="30"/>
      <c r="B815" s="31"/>
    </row>
    <row r="816">
      <c r="A816" s="30"/>
      <c r="B816" s="31"/>
    </row>
    <row r="817">
      <c r="A817" s="30"/>
      <c r="B817" s="31"/>
    </row>
    <row r="818">
      <c r="A818" s="30"/>
      <c r="B818" s="31"/>
    </row>
    <row r="819">
      <c r="A819" s="30"/>
      <c r="B819" s="31"/>
    </row>
    <row r="820">
      <c r="A820" s="30"/>
      <c r="B820" s="31"/>
    </row>
    <row r="821">
      <c r="A821" s="30"/>
      <c r="B821" s="31"/>
    </row>
    <row r="822">
      <c r="A822" s="30"/>
      <c r="B822" s="31"/>
    </row>
    <row r="823">
      <c r="A823" s="30"/>
      <c r="B823" s="31"/>
    </row>
    <row r="824">
      <c r="A824" s="30"/>
      <c r="B824" s="31"/>
    </row>
    <row r="825">
      <c r="A825" s="30"/>
      <c r="B825" s="31"/>
    </row>
    <row r="826">
      <c r="A826" s="30"/>
      <c r="B826" s="31"/>
    </row>
    <row r="827">
      <c r="A827" s="30"/>
      <c r="B827" s="31"/>
    </row>
    <row r="828">
      <c r="A828" s="30"/>
      <c r="B828" s="31"/>
    </row>
    <row r="829">
      <c r="A829" s="30"/>
      <c r="B829" s="31"/>
    </row>
    <row r="830">
      <c r="A830" s="30"/>
      <c r="B830" s="31"/>
    </row>
    <row r="831">
      <c r="A831" s="30"/>
      <c r="B831" s="31"/>
    </row>
    <row r="832">
      <c r="A832" s="30"/>
      <c r="B832" s="31"/>
    </row>
    <row r="833">
      <c r="A833" s="30"/>
      <c r="B833" s="31"/>
    </row>
    <row r="834">
      <c r="A834" s="30"/>
      <c r="B834" s="31"/>
    </row>
    <row r="835">
      <c r="A835" s="30"/>
      <c r="B835" s="31"/>
    </row>
    <row r="836">
      <c r="A836" s="30"/>
      <c r="B836" s="31"/>
    </row>
    <row r="837">
      <c r="A837" s="30"/>
      <c r="B837" s="31"/>
    </row>
    <row r="838">
      <c r="A838" s="30"/>
      <c r="B838" s="31"/>
    </row>
    <row r="839">
      <c r="A839" s="30"/>
      <c r="B839" s="31"/>
    </row>
    <row r="840">
      <c r="A840" s="30"/>
      <c r="B840" s="31"/>
    </row>
    <row r="841">
      <c r="A841" s="30"/>
      <c r="B841" s="31"/>
    </row>
    <row r="842">
      <c r="A842" s="30"/>
      <c r="B842" s="31"/>
    </row>
    <row r="843">
      <c r="A843" s="30"/>
      <c r="B843" s="31"/>
    </row>
    <row r="844">
      <c r="A844" s="30"/>
      <c r="B844" s="31"/>
    </row>
    <row r="845">
      <c r="A845" s="30"/>
      <c r="B845" s="31"/>
    </row>
    <row r="846">
      <c r="A846" s="30"/>
      <c r="B846" s="31"/>
    </row>
    <row r="847">
      <c r="A847" s="30"/>
      <c r="B847" s="31"/>
    </row>
    <row r="848">
      <c r="A848" s="30"/>
      <c r="B848" s="31"/>
    </row>
    <row r="849">
      <c r="A849" s="30"/>
      <c r="B849" s="31"/>
    </row>
    <row r="850">
      <c r="A850" s="30"/>
      <c r="B850" s="31"/>
    </row>
    <row r="851">
      <c r="A851" s="30"/>
      <c r="B851" s="31"/>
    </row>
    <row r="852">
      <c r="A852" s="30"/>
      <c r="B852" s="31"/>
    </row>
    <row r="853">
      <c r="A853" s="30"/>
      <c r="B853" s="31"/>
    </row>
    <row r="854">
      <c r="A854" s="30"/>
      <c r="B854" s="31"/>
    </row>
    <row r="855">
      <c r="A855" s="30"/>
      <c r="B855" s="31"/>
    </row>
    <row r="856">
      <c r="A856" s="30"/>
      <c r="B856" s="31"/>
    </row>
    <row r="857">
      <c r="A857" s="30"/>
      <c r="B857" s="31"/>
    </row>
    <row r="858">
      <c r="A858" s="30"/>
      <c r="B858" s="31"/>
    </row>
    <row r="859">
      <c r="A859" s="30"/>
      <c r="B859" s="31"/>
    </row>
    <row r="860">
      <c r="A860" s="30"/>
      <c r="B860" s="31"/>
    </row>
    <row r="861">
      <c r="A861" s="30"/>
      <c r="B861" s="31"/>
    </row>
    <row r="862">
      <c r="A862" s="30"/>
      <c r="B862" s="31"/>
    </row>
    <row r="863">
      <c r="A863" s="30"/>
      <c r="B863" s="31"/>
    </row>
    <row r="864">
      <c r="A864" s="30"/>
      <c r="B864" s="31"/>
    </row>
    <row r="865">
      <c r="A865" s="30"/>
      <c r="B865" s="31"/>
    </row>
    <row r="866">
      <c r="A866" s="30"/>
      <c r="B866" s="31"/>
    </row>
    <row r="867">
      <c r="A867" s="30"/>
      <c r="B867" s="31"/>
    </row>
    <row r="868">
      <c r="A868" s="30"/>
      <c r="B868" s="31"/>
    </row>
    <row r="869">
      <c r="A869" s="30"/>
      <c r="B869" s="31"/>
    </row>
    <row r="870">
      <c r="A870" s="30"/>
      <c r="B870" s="31"/>
    </row>
    <row r="871">
      <c r="A871" s="30"/>
      <c r="B871" s="31"/>
    </row>
    <row r="872">
      <c r="A872" s="30"/>
      <c r="B872" s="31"/>
    </row>
    <row r="873">
      <c r="A873" s="30"/>
      <c r="B873" s="31"/>
    </row>
    <row r="874">
      <c r="A874" s="30"/>
      <c r="B874" s="31"/>
    </row>
    <row r="875">
      <c r="A875" s="30"/>
      <c r="B875" s="31"/>
    </row>
    <row r="876">
      <c r="A876" s="30"/>
      <c r="B876" s="31"/>
    </row>
    <row r="877">
      <c r="A877" s="30"/>
      <c r="B877" s="31"/>
    </row>
    <row r="878">
      <c r="A878" s="30"/>
      <c r="B878" s="31"/>
    </row>
    <row r="879">
      <c r="A879" s="30"/>
      <c r="B879" s="31"/>
    </row>
    <row r="880">
      <c r="A880" s="30"/>
      <c r="B880" s="31"/>
    </row>
    <row r="881">
      <c r="A881" s="30"/>
      <c r="B881" s="31"/>
    </row>
    <row r="882">
      <c r="A882" s="30"/>
      <c r="B882" s="31"/>
    </row>
    <row r="883">
      <c r="A883" s="30"/>
      <c r="B883" s="31"/>
    </row>
    <row r="884">
      <c r="A884" s="30"/>
      <c r="B884" s="31"/>
    </row>
    <row r="885">
      <c r="A885" s="30"/>
      <c r="B885" s="31"/>
    </row>
    <row r="886">
      <c r="A886" s="30"/>
      <c r="B886" s="31"/>
    </row>
    <row r="887">
      <c r="A887" s="30"/>
      <c r="B887" s="31"/>
    </row>
    <row r="888">
      <c r="A888" s="30"/>
      <c r="B888" s="31"/>
    </row>
    <row r="889">
      <c r="A889" s="30"/>
      <c r="B889" s="31"/>
    </row>
    <row r="890">
      <c r="A890" s="30"/>
      <c r="B890" s="31"/>
    </row>
    <row r="891">
      <c r="A891" s="30"/>
      <c r="B891" s="31"/>
    </row>
    <row r="892">
      <c r="A892" s="30"/>
      <c r="B892" s="31"/>
    </row>
    <row r="893">
      <c r="A893" s="30"/>
      <c r="B893" s="31"/>
    </row>
    <row r="894">
      <c r="A894" s="30"/>
      <c r="B894" s="31"/>
    </row>
    <row r="895">
      <c r="A895" s="30"/>
      <c r="B895" s="31"/>
    </row>
    <row r="896">
      <c r="A896" s="30"/>
      <c r="B896" s="31"/>
    </row>
    <row r="897">
      <c r="A897" s="30"/>
      <c r="B897" s="31"/>
    </row>
    <row r="898">
      <c r="A898" s="30"/>
      <c r="B898" s="31"/>
    </row>
    <row r="899">
      <c r="A899" s="30"/>
      <c r="B899" s="31"/>
    </row>
    <row r="900">
      <c r="A900" s="30"/>
      <c r="B900" s="31"/>
    </row>
    <row r="901">
      <c r="A901" s="30"/>
      <c r="B901" s="31"/>
    </row>
    <row r="902">
      <c r="A902" s="30"/>
      <c r="B902" s="31"/>
    </row>
    <row r="903">
      <c r="A903" s="30"/>
      <c r="B903" s="31"/>
    </row>
    <row r="904">
      <c r="A904" s="30"/>
      <c r="B904" s="31"/>
    </row>
    <row r="905">
      <c r="A905" s="30"/>
      <c r="B905" s="31"/>
    </row>
    <row r="906">
      <c r="A906" s="30"/>
      <c r="B906" s="31"/>
    </row>
    <row r="907">
      <c r="A907" s="30"/>
      <c r="B907" s="31"/>
    </row>
    <row r="908">
      <c r="A908" s="30"/>
      <c r="B908" s="31"/>
    </row>
    <row r="909">
      <c r="A909" s="30"/>
      <c r="B909" s="31"/>
    </row>
    <row r="910">
      <c r="A910" s="30"/>
      <c r="B910" s="31"/>
    </row>
    <row r="911">
      <c r="A911" s="30"/>
      <c r="B911" s="31"/>
    </row>
    <row r="912">
      <c r="A912" s="30"/>
      <c r="B912" s="31"/>
    </row>
    <row r="913">
      <c r="A913" s="30"/>
      <c r="B913" s="31"/>
    </row>
    <row r="914">
      <c r="A914" s="30"/>
      <c r="B914" s="31"/>
    </row>
    <row r="915">
      <c r="A915" s="30"/>
      <c r="B915" s="31"/>
    </row>
    <row r="916">
      <c r="A916" s="30"/>
      <c r="B916" s="31"/>
    </row>
    <row r="917">
      <c r="A917" s="30"/>
      <c r="B917" s="31"/>
    </row>
    <row r="918">
      <c r="A918" s="30"/>
      <c r="B918" s="31"/>
    </row>
    <row r="919">
      <c r="A919" s="30"/>
      <c r="B919" s="31"/>
    </row>
    <row r="920">
      <c r="A920" s="30"/>
      <c r="B920" s="31"/>
    </row>
    <row r="921">
      <c r="A921" s="30"/>
      <c r="B921" s="31"/>
    </row>
    <row r="922">
      <c r="A922" s="30"/>
      <c r="B922" s="31"/>
    </row>
    <row r="923">
      <c r="A923" s="30"/>
      <c r="B923" s="31"/>
    </row>
    <row r="924">
      <c r="A924" s="30"/>
      <c r="B924" s="31"/>
    </row>
    <row r="925">
      <c r="A925" s="30"/>
      <c r="B925" s="31"/>
    </row>
    <row r="926">
      <c r="A926" s="30"/>
      <c r="B926" s="31"/>
    </row>
    <row r="927">
      <c r="A927" s="30"/>
      <c r="B927" s="31"/>
    </row>
    <row r="928">
      <c r="A928" s="30"/>
      <c r="B928" s="31"/>
    </row>
    <row r="929">
      <c r="A929" s="30"/>
      <c r="B929" s="31"/>
    </row>
    <row r="930">
      <c r="A930" s="30"/>
      <c r="B930" s="31"/>
    </row>
    <row r="931">
      <c r="A931" s="30"/>
      <c r="B931" s="31"/>
    </row>
    <row r="932">
      <c r="A932" s="30"/>
      <c r="B932" s="31"/>
    </row>
    <row r="933">
      <c r="A933" s="30"/>
      <c r="B933" s="31"/>
    </row>
    <row r="934">
      <c r="A934" s="30"/>
      <c r="B934" s="31"/>
    </row>
    <row r="935">
      <c r="A935" s="30"/>
      <c r="B935" s="31"/>
    </row>
    <row r="936">
      <c r="A936" s="30"/>
      <c r="B936" s="31"/>
    </row>
    <row r="937">
      <c r="A937" s="30"/>
      <c r="B937" s="31"/>
    </row>
    <row r="938">
      <c r="A938" s="30"/>
      <c r="B938" s="31"/>
    </row>
    <row r="939">
      <c r="A939" s="30"/>
      <c r="B939" s="31"/>
    </row>
    <row r="940">
      <c r="A940" s="30"/>
      <c r="B940" s="31"/>
    </row>
    <row r="941">
      <c r="A941" s="30"/>
      <c r="B941" s="31"/>
    </row>
    <row r="942">
      <c r="A942" s="30"/>
      <c r="B942" s="31"/>
    </row>
    <row r="943">
      <c r="A943" s="30"/>
      <c r="B943" s="31"/>
    </row>
    <row r="944">
      <c r="A944" s="30"/>
      <c r="B944" s="31"/>
    </row>
    <row r="945">
      <c r="A945" s="30"/>
      <c r="B945" s="31"/>
    </row>
    <row r="946">
      <c r="A946" s="30"/>
      <c r="B946" s="31"/>
    </row>
    <row r="947">
      <c r="A947" s="30"/>
      <c r="B947" s="31"/>
    </row>
    <row r="948">
      <c r="A948" s="30"/>
      <c r="B948" s="31"/>
    </row>
    <row r="949">
      <c r="A949" s="30"/>
      <c r="B949" s="31"/>
    </row>
    <row r="950">
      <c r="A950" s="30"/>
      <c r="B950" s="31"/>
    </row>
    <row r="951">
      <c r="A951" s="30"/>
      <c r="B951" s="31"/>
    </row>
    <row r="952">
      <c r="A952" s="30"/>
      <c r="B952" s="31"/>
    </row>
    <row r="953">
      <c r="A953" s="30"/>
      <c r="B953" s="31"/>
    </row>
    <row r="954">
      <c r="A954" s="30"/>
      <c r="B954" s="31"/>
    </row>
    <row r="955">
      <c r="A955" s="30"/>
      <c r="B955" s="31"/>
    </row>
    <row r="956">
      <c r="A956" s="30"/>
      <c r="B956" s="31"/>
    </row>
    <row r="957">
      <c r="A957" s="30"/>
      <c r="B957" s="31"/>
    </row>
    <row r="958">
      <c r="A958" s="30"/>
      <c r="B958" s="31"/>
    </row>
    <row r="959">
      <c r="A959" s="30"/>
      <c r="B959" s="31"/>
    </row>
    <row r="960">
      <c r="A960" s="30"/>
      <c r="B960" s="31"/>
    </row>
    <row r="961">
      <c r="A961" s="30"/>
      <c r="B961" s="31"/>
    </row>
    <row r="962">
      <c r="A962" s="30"/>
      <c r="B962" s="31"/>
    </row>
    <row r="963">
      <c r="A963" s="30"/>
      <c r="B963" s="31"/>
    </row>
    <row r="964">
      <c r="A964" s="30"/>
      <c r="B964" s="31"/>
    </row>
    <row r="965">
      <c r="A965" s="30"/>
      <c r="B965" s="31"/>
    </row>
    <row r="966">
      <c r="A966" s="30"/>
      <c r="B966" s="31"/>
    </row>
    <row r="967">
      <c r="A967" s="30"/>
      <c r="B967" s="31"/>
    </row>
    <row r="968">
      <c r="A968" s="30"/>
      <c r="B968" s="31"/>
    </row>
    <row r="969">
      <c r="A969" s="30"/>
      <c r="B969" s="31"/>
    </row>
    <row r="970">
      <c r="A970" s="30"/>
      <c r="B970" s="31"/>
    </row>
    <row r="971">
      <c r="A971" s="30"/>
      <c r="B971" s="31"/>
    </row>
    <row r="972">
      <c r="A972" s="30"/>
      <c r="B972" s="31"/>
    </row>
    <row r="973">
      <c r="A973" s="30"/>
      <c r="B973" s="31"/>
    </row>
    <row r="974">
      <c r="A974" s="30"/>
      <c r="B974" s="31"/>
    </row>
    <row r="975">
      <c r="A975" s="30"/>
      <c r="B975" s="31"/>
    </row>
    <row r="976">
      <c r="A976" s="30"/>
      <c r="B976" s="31"/>
    </row>
    <row r="977">
      <c r="A977" s="30"/>
      <c r="B977" s="31"/>
    </row>
    <row r="978">
      <c r="A978" s="30"/>
      <c r="B978" s="31"/>
    </row>
    <row r="979">
      <c r="A979" s="30"/>
      <c r="B979" s="31"/>
    </row>
    <row r="980">
      <c r="A980" s="30"/>
      <c r="B980" s="31"/>
    </row>
    <row r="981">
      <c r="A981" s="30"/>
      <c r="B981" s="31"/>
    </row>
    <row r="982">
      <c r="A982" s="30"/>
      <c r="B982" s="31"/>
    </row>
    <row r="983">
      <c r="A983" s="30"/>
      <c r="B983" s="31"/>
    </row>
    <row r="984">
      <c r="A984" s="30"/>
      <c r="B984" s="31"/>
    </row>
    <row r="985">
      <c r="A985" s="30"/>
      <c r="B985" s="31"/>
    </row>
    <row r="986">
      <c r="A986" s="30"/>
      <c r="B986" s="31"/>
    </row>
    <row r="987">
      <c r="A987" s="30"/>
      <c r="B987" s="31"/>
    </row>
    <row r="988">
      <c r="A988" s="30"/>
      <c r="B988" s="31"/>
    </row>
    <row r="989">
      <c r="A989" s="30"/>
      <c r="B989" s="31"/>
    </row>
    <row r="990">
      <c r="A990" s="30"/>
      <c r="B990" s="31"/>
    </row>
    <row r="991">
      <c r="A991" s="30"/>
      <c r="B991" s="31"/>
    </row>
    <row r="992">
      <c r="A992" s="30"/>
      <c r="B992" s="31"/>
    </row>
    <row r="993">
      <c r="A993" s="30"/>
      <c r="B993" s="31"/>
    </row>
    <row r="994">
      <c r="A994" s="30"/>
      <c r="B994" s="31"/>
    </row>
    <row r="995">
      <c r="A995" s="30"/>
      <c r="B995" s="31"/>
    </row>
    <row r="996">
      <c r="A996" s="30"/>
      <c r="B996" s="31"/>
    </row>
    <row r="997">
      <c r="A997" s="30"/>
      <c r="B997" s="31"/>
    </row>
    <row r="998">
      <c r="A998" s="30"/>
      <c r="B998" s="31"/>
    </row>
    <row r="999">
      <c r="A999" s="30"/>
      <c r="B999" s="31"/>
    </row>
    <row r="1000">
      <c r="A1000" s="30"/>
      <c r="B1000" s="3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267</v>
      </c>
      <c r="B1" s="32" t="s">
        <v>268</v>
      </c>
      <c r="C1" s="32" t="s">
        <v>269</v>
      </c>
      <c r="D1" s="32" t="s">
        <v>270</v>
      </c>
      <c r="E1" s="32" t="s">
        <v>271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25"/>
    <col customWidth="1" min="2" max="2" width="59.38"/>
    <col customWidth="1" min="3" max="3" width="17.75"/>
    <col customWidth="1" min="4" max="4" width="22.0"/>
    <col customWidth="1" min="5" max="5" width="19.63"/>
    <col customWidth="1" min="6" max="6" width="20.25"/>
    <col customWidth="1" min="7" max="7" width="15.5"/>
    <col customWidth="1" min="8" max="8" width="29.5"/>
    <col customWidth="1" min="9" max="9" width="15.5"/>
    <col customWidth="1" min="10" max="10" width="17.38"/>
    <col customWidth="1" min="11" max="12" width="20.0"/>
  </cols>
  <sheetData>
    <row r="1" ht="22.5" customHeight="1">
      <c r="A1" s="33" t="s">
        <v>272</v>
      </c>
      <c r="B1" s="33" t="s">
        <v>273</v>
      </c>
      <c r="C1" s="33" t="s">
        <v>274</v>
      </c>
      <c r="D1" s="33" t="s">
        <v>275</v>
      </c>
      <c r="E1" s="33" t="s">
        <v>276</v>
      </c>
      <c r="F1" s="33" t="s">
        <v>277</v>
      </c>
      <c r="G1" s="33" t="s">
        <v>278</v>
      </c>
      <c r="H1" s="34" t="s">
        <v>279</v>
      </c>
      <c r="I1" s="33" t="s">
        <v>280</v>
      </c>
      <c r="J1" s="33" t="s">
        <v>281</v>
      </c>
      <c r="K1" s="35" t="s">
        <v>282</v>
      </c>
      <c r="L1" s="35" t="s">
        <v>283</v>
      </c>
    </row>
    <row r="2" ht="22.5" customHeight="1">
      <c r="A2" s="36" t="s">
        <v>284</v>
      </c>
      <c r="B2" s="36" t="s">
        <v>285</v>
      </c>
      <c r="C2" s="36" t="s">
        <v>286</v>
      </c>
      <c r="D2" s="36" t="s">
        <v>286</v>
      </c>
      <c r="E2" s="36" t="s">
        <v>287</v>
      </c>
      <c r="F2" s="36" t="s">
        <v>286</v>
      </c>
      <c r="G2" s="36" t="s">
        <v>288</v>
      </c>
      <c r="H2" s="37">
        <v>6.04</v>
      </c>
      <c r="I2" s="36" t="s">
        <v>289</v>
      </c>
      <c r="J2" s="36" t="s">
        <v>286</v>
      </c>
      <c r="K2" s="38"/>
      <c r="L2" s="38"/>
    </row>
    <row r="3" ht="22.5" customHeight="1">
      <c r="A3" s="36" t="s">
        <v>290</v>
      </c>
      <c r="B3" s="36" t="s">
        <v>291</v>
      </c>
      <c r="C3" s="36" t="s">
        <v>286</v>
      </c>
      <c r="D3" s="36" t="s">
        <v>286</v>
      </c>
      <c r="E3" s="36" t="s">
        <v>287</v>
      </c>
      <c r="F3" s="36" t="s">
        <v>286</v>
      </c>
      <c r="G3" s="36" t="s">
        <v>292</v>
      </c>
      <c r="H3" s="37">
        <v>6.6</v>
      </c>
      <c r="I3" s="36" t="s">
        <v>289</v>
      </c>
      <c r="J3" s="36" t="s">
        <v>286</v>
      </c>
      <c r="K3" s="38"/>
      <c r="L3" s="38"/>
    </row>
    <row r="4" ht="22.5" customHeight="1">
      <c r="A4" s="36" t="s">
        <v>293</v>
      </c>
      <c r="B4" s="36" t="s">
        <v>294</v>
      </c>
      <c r="C4" s="36" t="s">
        <v>286</v>
      </c>
      <c r="D4" s="36" t="s">
        <v>286</v>
      </c>
      <c r="E4" s="36" t="s">
        <v>287</v>
      </c>
      <c r="F4" s="36" t="s">
        <v>286</v>
      </c>
      <c r="G4" s="36" t="s">
        <v>292</v>
      </c>
      <c r="H4" s="37">
        <v>7.0</v>
      </c>
      <c r="I4" s="36" t="s">
        <v>289</v>
      </c>
      <c r="J4" s="36" t="s">
        <v>286</v>
      </c>
      <c r="K4" s="38"/>
      <c r="L4" s="38"/>
    </row>
    <row r="5" ht="22.5" customHeight="1">
      <c r="A5" s="36" t="s">
        <v>295</v>
      </c>
      <c r="B5" s="36" t="s">
        <v>296</v>
      </c>
      <c r="C5" s="36" t="s">
        <v>286</v>
      </c>
      <c r="D5" s="36" t="s">
        <v>286</v>
      </c>
      <c r="E5" s="36" t="s">
        <v>287</v>
      </c>
      <c r="F5" s="36" t="s">
        <v>286</v>
      </c>
      <c r="G5" s="36" t="s">
        <v>297</v>
      </c>
      <c r="H5" s="37">
        <v>7.78</v>
      </c>
      <c r="I5" s="36" t="s">
        <v>289</v>
      </c>
      <c r="J5" s="36" t="s">
        <v>286</v>
      </c>
      <c r="K5" s="38"/>
      <c r="L5" s="38"/>
    </row>
    <row r="6" ht="22.5" customHeight="1">
      <c r="A6" s="36" t="s">
        <v>298</v>
      </c>
      <c r="B6" s="36" t="s">
        <v>299</v>
      </c>
      <c r="C6" s="36" t="s">
        <v>286</v>
      </c>
      <c r="D6" s="36" t="s">
        <v>286</v>
      </c>
      <c r="E6" s="36" t="s">
        <v>287</v>
      </c>
      <c r="F6" s="36" t="s">
        <v>286</v>
      </c>
      <c r="G6" s="36" t="s">
        <v>300</v>
      </c>
      <c r="H6" s="37">
        <v>6.710172</v>
      </c>
      <c r="I6" s="36" t="s">
        <v>289</v>
      </c>
      <c r="J6" s="36" t="s">
        <v>286</v>
      </c>
      <c r="K6" s="38"/>
      <c r="L6" s="38"/>
    </row>
    <row r="7" ht="22.5" customHeight="1">
      <c r="A7" s="36" t="s">
        <v>301</v>
      </c>
      <c r="B7" s="36" t="s">
        <v>302</v>
      </c>
      <c r="C7" s="36" t="s">
        <v>286</v>
      </c>
      <c r="D7" s="36" t="s">
        <v>286</v>
      </c>
      <c r="E7" s="36" t="s">
        <v>287</v>
      </c>
      <c r="F7" s="36" t="s">
        <v>286</v>
      </c>
      <c r="G7" s="36" t="s">
        <v>288</v>
      </c>
      <c r="H7" s="37">
        <v>6.5</v>
      </c>
      <c r="I7" s="36" t="s">
        <v>289</v>
      </c>
      <c r="J7" s="36" t="s">
        <v>286</v>
      </c>
      <c r="K7" s="38"/>
      <c r="L7" s="38"/>
    </row>
    <row r="8" ht="22.5" customHeight="1">
      <c r="A8" s="36" t="s">
        <v>303</v>
      </c>
      <c r="B8" s="36" t="s">
        <v>304</v>
      </c>
      <c r="C8" s="36" t="s">
        <v>286</v>
      </c>
      <c r="D8" s="36" t="s">
        <v>286</v>
      </c>
      <c r="E8" s="36" t="s">
        <v>287</v>
      </c>
      <c r="F8" s="36" t="s">
        <v>286</v>
      </c>
      <c r="G8" s="36" t="s">
        <v>288</v>
      </c>
      <c r="H8" s="37">
        <v>6.34</v>
      </c>
      <c r="I8" s="36" t="s">
        <v>289</v>
      </c>
      <c r="J8" s="36" t="s">
        <v>286</v>
      </c>
      <c r="K8" s="38"/>
      <c r="L8" s="38"/>
    </row>
    <row r="9" ht="22.5" customHeight="1">
      <c r="A9" s="36" t="s">
        <v>305</v>
      </c>
      <c r="B9" s="36" t="s">
        <v>306</v>
      </c>
      <c r="C9" s="36" t="s">
        <v>286</v>
      </c>
      <c r="D9" s="36" t="s">
        <v>286</v>
      </c>
      <c r="E9" s="36" t="s">
        <v>287</v>
      </c>
      <c r="F9" s="36" t="s">
        <v>286</v>
      </c>
      <c r="G9" s="36" t="s">
        <v>307</v>
      </c>
      <c r="H9" s="37">
        <v>6.239985</v>
      </c>
      <c r="I9" s="36" t="s">
        <v>289</v>
      </c>
      <c r="J9" s="36" t="s">
        <v>286</v>
      </c>
      <c r="K9" s="38"/>
      <c r="L9" s="38"/>
    </row>
    <row r="10" ht="22.5" customHeight="1">
      <c r="A10" s="36" t="s">
        <v>308</v>
      </c>
      <c r="B10" s="36" t="s">
        <v>309</v>
      </c>
      <c r="C10" s="36" t="s">
        <v>286</v>
      </c>
      <c r="D10" s="36" t="s">
        <v>286</v>
      </c>
      <c r="E10" s="36" t="s">
        <v>287</v>
      </c>
      <c r="F10" s="36" t="s">
        <v>286</v>
      </c>
      <c r="G10" s="36" t="s">
        <v>307</v>
      </c>
      <c r="H10" s="37">
        <v>6.4</v>
      </c>
      <c r="I10" s="36" t="s">
        <v>289</v>
      </c>
      <c r="J10" s="36" t="s">
        <v>286</v>
      </c>
      <c r="K10" s="38"/>
      <c r="L10" s="38"/>
    </row>
    <row r="11" ht="22.5" customHeight="1">
      <c r="A11" s="36" t="s">
        <v>310</v>
      </c>
      <c r="B11" s="36" t="s">
        <v>311</v>
      </c>
      <c r="C11" s="36" t="s">
        <v>286</v>
      </c>
      <c r="D11" s="36" t="s">
        <v>286</v>
      </c>
      <c r="E11" s="36" t="s">
        <v>287</v>
      </c>
      <c r="F11" s="36" t="s">
        <v>286</v>
      </c>
      <c r="G11" s="36" t="s">
        <v>307</v>
      </c>
      <c r="H11" s="37">
        <v>6.54</v>
      </c>
      <c r="I11" s="36" t="s">
        <v>289</v>
      </c>
      <c r="J11" s="36" t="s">
        <v>286</v>
      </c>
      <c r="K11" s="38"/>
      <c r="L11" s="38"/>
    </row>
    <row r="12" ht="22.5" customHeight="1">
      <c r="A12" s="36" t="s">
        <v>312</v>
      </c>
      <c r="B12" s="36" t="s">
        <v>313</v>
      </c>
      <c r="C12" s="36" t="s">
        <v>286</v>
      </c>
      <c r="D12" s="36" t="s">
        <v>286</v>
      </c>
      <c r="E12" s="36" t="s">
        <v>287</v>
      </c>
      <c r="F12" s="36" t="s">
        <v>286</v>
      </c>
      <c r="G12" s="36" t="s">
        <v>292</v>
      </c>
      <c r="H12" s="37">
        <v>7.43</v>
      </c>
      <c r="I12" s="36" t="s">
        <v>289</v>
      </c>
      <c r="J12" s="36" t="s">
        <v>286</v>
      </c>
      <c r="K12" s="38"/>
      <c r="L12" s="38"/>
    </row>
    <row r="13" ht="22.5" customHeight="1">
      <c r="A13" s="36" t="s">
        <v>314</v>
      </c>
      <c r="B13" s="36" t="s">
        <v>315</v>
      </c>
      <c r="C13" s="36" t="s">
        <v>286</v>
      </c>
      <c r="D13" s="36" t="s">
        <v>286</v>
      </c>
      <c r="E13" s="36" t="s">
        <v>287</v>
      </c>
      <c r="F13" s="36" t="s">
        <v>286</v>
      </c>
      <c r="G13" s="36" t="s">
        <v>307</v>
      </c>
      <c r="H13" s="37">
        <v>6.41</v>
      </c>
      <c r="I13" s="36" t="s">
        <v>289</v>
      </c>
      <c r="J13" s="36" t="s">
        <v>286</v>
      </c>
      <c r="K13" s="38"/>
      <c r="L13" s="38"/>
    </row>
    <row r="14" ht="22.5" customHeight="1">
      <c r="A14" s="36" t="s">
        <v>316</v>
      </c>
      <c r="B14" s="36" t="s">
        <v>317</v>
      </c>
      <c r="C14" s="36" t="s">
        <v>286</v>
      </c>
      <c r="D14" s="36" t="s">
        <v>286</v>
      </c>
      <c r="E14" s="36" t="s">
        <v>287</v>
      </c>
      <c r="F14" s="36" t="s">
        <v>286</v>
      </c>
      <c r="G14" s="36" t="s">
        <v>318</v>
      </c>
      <c r="H14" s="37">
        <v>5.83</v>
      </c>
      <c r="I14" s="36" t="s">
        <v>289</v>
      </c>
      <c r="J14" s="36" t="s">
        <v>286</v>
      </c>
      <c r="K14" s="38"/>
      <c r="L14" s="38"/>
    </row>
    <row r="15" ht="22.5" customHeight="1">
      <c r="A15" s="36" t="s">
        <v>319</v>
      </c>
      <c r="B15" s="36" t="s">
        <v>320</v>
      </c>
      <c r="C15" s="36" t="s">
        <v>286</v>
      </c>
      <c r="D15" s="36" t="s">
        <v>286</v>
      </c>
      <c r="E15" s="36" t="s">
        <v>287</v>
      </c>
      <c r="F15" s="36" t="s">
        <v>286</v>
      </c>
      <c r="G15" s="36" t="s">
        <v>307</v>
      </c>
      <c r="H15" s="37">
        <v>5.83</v>
      </c>
      <c r="I15" s="36" t="s">
        <v>289</v>
      </c>
      <c r="J15" s="36" t="s">
        <v>286</v>
      </c>
      <c r="K15" s="38"/>
      <c r="L15" s="38"/>
    </row>
    <row r="16" ht="22.5" customHeight="1">
      <c r="A16" s="36" t="s">
        <v>321</v>
      </c>
      <c r="B16" s="36" t="s">
        <v>322</v>
      </c>
      <c r="C16" s="36" t="s">
        <v>286</v>
      </c>
      <c r="D16" s="36" t="s">
        <v>286</v>
      </c>
      <c r="E16" s="36" t="s">
        <v>287</v>
      </c>
      <c r="F16" s="36" t="s">
        <v>286</v>
      </c>
      <c r="G16" s="36" t="s">
        <v>307</v>
      </c>
      <c r="H16" s="37">
        <v>5.84</v>
      </c>
      <c r="I16" s="36" t="s">
        <v>289</v>
      </c>
      <c r="J16" s="36" t="s">
        <v>286</v>
      </c>
      <c r="K16" s="38"/>
      <c r="L16" s="38"/>
    </row>
    <row r="17" ht="22.5" customHeight="1">
      <c r="A17" s="36" t="s">
        <v>323</v>
      </c>
      <c r="B17" s="36" t="s">
        <v>324</v>
      </c>
      <c r="C17" s="36" t="s">
        <v>286</v>
      </c>
      <c r="D17" s="36" t="s">
        <v>286</v>
      </c>
      <c r="E17" s="36" t="s">
        <v>287</v>
      </c>
      <c r="F17" s="36" t="s">
        <v>286</v>
      </c>
      <c r="G17" s="36" t="s">
        <v>325</v>
      </c>
      <c r="H17" s="37">
        <v>8.38</v>
      </c>
      <c r="I17" s="36" t="s">
        <v>289</v>
      </c>
      <c r="J17" s="36" t="s">
        <v>286</v>
      </c>
      <c r="K17" s="38"/>
      <c r="L17" s="38"/>
    </row>
    <row r="18" ht="22.5" customHeight="1">
      <c r="A18" s="36" t="s">
        <v>326</v>
      </c>
      <c r="B18" s="36" t="s">
        <v>327</v>
      </c>
      <c r="C18" s="36" t="s">
        <v>286</v>
      </c>
      <c r="D18" s="36" t="s">
        <v>286</v>
      </c>
      <c r="E18" s="36" t="s">
        <v>287</v>
      </c>
      <c r="F18" s="36" t="s">
        <v>286</v>
      </c>
      <c r="G18" s="36" t="s">
        <v>328</v>
      </c>
      <c r="H18" s="37">
        <v>7.0</v>
      </c>
      <c r="I18" s="36" t="s">
        <v>289</v>
      </c>
      <c r="J18" s="36" t="s">
        <v>286</v>
      </c>
      <c r="K18" s="38"/>
      <c r="L18" s="38"/>
    </row>
    <row r="19" ht="22.5" customHeight="1">
      <c r="A19" s="36" t="s">
        <v>329</v>
      </c>
      <c r="B19" s="36" t="s">
        <v>330</v>
      </c>
      <c r="C19" s="36" t="s">
        <v>286</v>
      </c>
      <c r="D19" s="36" t="s">
        <v>286</v>
      </c>
      <c r="E19" s="36" t="s">
        <v>287</v>
      </c>
      <c r="F19" s="36" t="s">
        <v>331</v>
      </c>
      <c r="G19" s="36" t="s">
        <v>332</v>
      </c>
      <c r="H19" s="37">
        <v>17.99</v>
      </c>
      <c r="I19" s="36" t="s">
        <v>333</v>
      </c>
      <c r="J19" s="36" t="s">
        <v>286</v>
      </c>
      <c r="K19" s="38"/>
      <c r="L19" s="38"/>
    </row>
    <row r="20" ht="22.5" customHeight="1">
      <c r="A20" s="36" t="s">
        <v>334</v>
      </c>
      <c r="B20" s="36" t="s">
        <v>335</v>
      </c>
      <c r="C20" s="36" t="s">
        <v>286</v>
      </c>
      <c r="D20" s="36" t="s">
        <v>286</v>
      </c>
      <c r="E20" s="36" t="s">
        <v>287</v>
      </c>
      <c r="F20" s="36" t="s">
        <v>336</v>
      </c>
      <c r="G20" s="36" t="s">
        <v>337</v>
      </c>
      <c r="H20" s="37">
        <v>30.74</v>
      </c>
      <c r="I20" s="36" t="s">
        <v>333</v>
      </c>
      <c r="J20" s="36" t="s">
        <v>286</v>
      </c>
      <c r="K20" s="38"/>
      <c r="L20" s="38"/>
    </row>
    <row r="21" ht="22.5" customHeight="1">
      <c r="A21" s="36" t="s">
        <v>338</v>
      </c>
      <c r="B21" s="36" t="s">
        <v>339</v>
      </c>
      <c r="C21" s="36" t="s">
        <v>286</v>
      </c>
      <c r="D21" s="36" t="s">
        <v>286</v>
      </c>
      <c r="E21" s="36" t="s">
        <v>287</v>
      </c>
      <c r="F21" s="36" t="s">
        <v>286</v>
      </c>
      <c r="G21" s="36" t="s">
        <v>340</v>
      </c>
      <c r="H21" s="37">
        <v>429.9</v>
      </c>
      <c r="I21" s="36" t="s">
        <v>333</v>
      </c>
      <c r="J21" s="36" t="s">
        <v>286</v>
      </c>
      <c r="K21" s="38"/>
      <c r="L21" s="38"/>
    </row>
    <row r="22" ht="22.5" customHeight="1">
      <c r="A22" s="36" t="s">
        <v>341</v>
      </c>
      <c r="B22" s="36" t="s">
        <v>342</v>
      </c>
      <c r="C22" s="36" t="s">
        <v>286</v>
      </c>
      <c r="D22" s="36" t="s">
        <v>286</v>
      </c>
      <c r="E22" s="36" t="s">
        <v>287</v>
      </c>
      <c r="F22" s="36" t="s">
        <v>343</v>
      </c>
      <c r="G22" s="36" t="s">
        <v>344</v>
      </c>
      <c r="H22" s="37">
        <v>3.79</v>
      </c>
      <c r="I22" s="36" t="s">
        <v>333</v>
      </c>
      <c r="J22" s="39" t="s">
        <v>286</v>
      </c>
      <c r="K22" s="38"/>
      <c r="L22" s="38"/>
    </row>
    <row r="23" ht="22.5" customHeight="1">
      <c r="A23" s="36" t="s">
        <v>345</v>
      </c>
      <c r="B23" s="36" t="s">
        <v>346</v>
      </c>
      <c r="C23" s="36" t="s">
        <v>286</v>
      </c>
      <c r="D23" s="36" t="s">
        <v>286</v>
      </c>
      <c r="E23" s="36" t="s">
        <v>287</v>
      </c>
      <c r="F23" s="36" t="s">
        <v>347</v>
      </c>
      <c r="G23" s="36" t="s">
        <v>344</v>
      </c>
      <c r="H23" s="37">
        <v>3.09</v>
      </c>
      <c r="I23" s="36" t="s">
        <v>333</v>
      </c>
      <c r="J23" s="39" t="s">
        <v>286</v>
      </c>
      <c r="K23" s="38"/>
      <c r="L23" s="38"/>
    </row>
    <row r="24" ht="22.5" customHeight="1">
      <c r="A24" s="36" t="s">
        <v>348</v>
      </c>
      <c r="B24" s="36" t="s">
        <v>349</v>
      </c>
      <c r="C24" s="36" t="s">
        <v>286</v>
      </c>
      <c r="D24" s="36" t="s">
        <v>286</v>
      </c>
      <c r="E24" s="36" t="s">
        <v>287</v>
      </c>
      <c r="F24" s="36" t="s">
        <v>350</v>
      </c>
      <c r="G24" s="36" t="s">
        <v>351</v>
      </c>
      <c r="H24" s="37">
        <v>357.34</v>
      </c>
      <c r="I24" s="36" t="s">
        <v>333</v>
      </c>
      <c r="J24" s="39" t="s">
        <v>286</v>
      </c>
      <c r="K24" s="38"/>
      <c r="L24" s="38"/>
    </row>
    <row r="25" ht="22.5" customHeight="1">
      <c r="A25" s="36" t="s">
        <v>352</v>
      </c>
      <c r="B25" s="36" t="s">
        <v>353</v>
      </c>
      <c r="C25" s="36" t="s">
        <v>286</v>
      </c>
      <c r="D25" s="36" t="s">
        <v>286</v>
      </c>
      <c r="E25" s="36" t="s">
        <v>287</v>
      </c>
      <c r="F25" s="36" t="s">
        <v>354</v>
      </c>
      <c r="G25" s="36" t="s">
        <v>355</v>
      </c>
      <c r="H25" s="37">
        <v>429.54</v>
      </c>
      <c r="I25" s="36" t="s">
        <v>356</v>
      </c>
      <c r="J25" s="39" t="s">
        <v>286</v>
      </c>
      <c r="K25" s="38"/>
      <c r="L25" s="38"/>
    </row>
    <row r="26" ht="22.5" customHeight="1">
      <c r="A26" s="36" t="s">
        <v>357</v>
      </c>
      <c r="B26" s="36" t="s">
        <v>358</v>
      </c>
      <c r="C26" s="36" t="s">
        <v>286</v>
      </c>
      <c r="D26" s="36" t="s">
        <v>286</v>
      </c>
      <c r="E26" s="36" t="s">
        <v>287</v>
      </c>
      <c r="F26" s="36" t="s">
        <v>359</v>
      </c>
      <c r="G26" s="36" t="s">
        <v>360</v>
      </c>
      <c r="H26" s="37">
        <v>9.196333</v>
      </c>
      <c r="I26" s="36" t="s">
        <v>289</v>
      </c>
      <c r="J26" s="39" t="s">
        <v>286</v>
      </c>
      <c r="K26" s="38"/>
      <c r="L26" s="38"/>
    </row>
    <row r="27" ht="22.5" customHeight="1">
      <c r="A27" s="36" t="s">
        <v>361</v>
      </c>
      <c r="B27" s="36" t="s">
        <v>362</v>
      </c>
      <c r="C27" s="36" t="s">
        <v>286</v>
      </c>
      <c r="D27" s="36" t="s">
        <v>286</v>
      </c>
      <c r="E27" s="36" t="s">
        <v>287</v>
      </c>
      <c r="F27" s="36" t="s">
        <v>363</v>
      </c>
      <c r="G27" s="36" t="s">
        <v>360</v>
      </c>
      <c r="H27" s="37">
        <v>9.196346</v>
      </c>
      <c r="I27" s="36" t="s">
        <v>289</v>
      </c>
      <c r="J27" s="39" t="s">
        <v>286</v>
      </c>
      <c r="K27" s="38"/>
      <c r="L27" s="38"/>
    </row>
    <row r="28" ht="22.5" customHeight="1">
      <c r="A28" s="36" t="s">
        <v>364</v>
      </c>
      <c r="B28" s="36" t="s">
        <v>365</v>
      </c>
      <c r="C28" s="36" t="s">
        <v>286</v>
      </c>
      <c r="D28" s="36" t="s">
        <v>286</v>
      </c>
      <c r="E28" s="36" t="s">
        <v>287</v>
      </c>
      <c r="F28" s="36" t="s">
        <v>366</v>
      </c>
      <c r="G28" s="36" t="s">
        <v>367</v>
      </c>
      <c r="H28" s="37">
        <v>29.707647</v>
      </c>
      <c r="I28" s="36" t="s">
        <v>356</v>
      </c>
      <c r="J28" s="39" t="s">
        <v>286</v>
      </c>
      <c r="K28" s="38"/>
      <c r="L28" s="38"/>
    </row>
    <row r="29" ht="22.5" customHeight="1">
      <c r="A29" s="36" t="s">
        <v>368</v>
      </c>
      <c r="B29" s="36" t="s">
        <v>369</v>
      </c>
      <c r="C29" s="36" t="s">
        <v>286</v>
      </c>
      <c r="D29" s="36" t="s">
        <v>286</v>
      </c>
      <c r="E29" s="36" t="s">
        <v>287</v>
      </c>
      <c r="F29" s="36" t="s">
        <v>370</v>
      </c>
      <c r="G29" s="36" t="s">
        <v>371</v>
      </c>
      <c r="H29" s="37">
        <v>165.265882</v>
      </c>
      <c r="I29" s="36" t="s">
        <v>356</v>
      </c>
      <c r="J29" s="39" t="s">
        <v>286</v>
      </c>
      <c r="K29" s="38"/>
      <c r="L29" s="38"/>
    </row>
    <row r="30" ht="22.5" customHeight="1">
      <c r="A30" s="36" t="s">
        <v>372</v>
      </c>
      <c r="B30" s="36" t="s">
        <v>373</v>
      </c>
      <c r="C30" s="36" t="s">
        <v>286</v>
      </c>
      <c r="D30" s="36" t="s">
        <v>286</v>
      </c>
      <c r="E30" s="36" t="s">
        <v>287</v>
      </c>
      <c r="F30" s="36" t="s">
        <v>374</v>
      </c>
      <c r="G30" s="36" t="s">
        <v>375</v>
      </c>
      <c r="H30" s="37">
        <v>245.18</v>
      </c>
      <c r="I30" s="36" t="s">
        <v>333</v>
      </c>
      <c r="J30" s="39" t="s">
        <v>286</v>
      </c>
      <c r="K30" s="38"/>
      <c r="L30" s="38"/>
    </row>
    <row r="31" ht="22.5" customHeight="1">
      <c r="A31" s="36" t="s">
        <v>376</v>
      </c>
      <c r="B31" s="36" t="s">
        <v>377</v>
      </c>
      <c r="C31" s="36" t="s">
        <v>286</v>
      </c>
      <c r="D31" s="36" t="s">
        <v>286</v>
      </c>
      <c r="E31" s="36" t="s">
        <v>287</v>
      </c>
      <c r="F31" s="36" t="s">
        <v>286</v>
      </c>
      <c r="G31" s="36" t="s">
        <v>297</v>
      </c>
      <c r="H31" s="37">
        <v>8.4</v>
      </c>
      <c r="I31" s="36" t="s">
        <v>289</v>
      </c>
      <c r="J31" s="39" t="s">
        <v>286</v>
      </c>
      <c r="K31" s="38"/>
      <c r="L31" s="38"/>
    </row>
    <row r="32" ht="22.5" customHeight="1">
      <c r="A32" s="36" t="s">
        <v>378</v>
      </c>
      <c r="B32" s="36" t="s">
        <v>379</v>
      </c>
      <c r="C32" s="36" t="s">
        <v>286</v>
      </c>
      <c r="D32" s="36" t="s">
        <v>286</v>
      </c>
      <c r="E32" s="36" t="s">
        <v>287</v>
      </c>
      <c r="F32" s="36" t="s">
        <v>286</v>
      </c>
      <c r="G32" s="36" t="s">
        <v>297</v>
      </c>
      <c r="H32" s="37">
        <v>6.8</v>
      </c>
      <c r="I32" s="36" t="s">
        <v>289</v>
      </c>
      <c r="J32" s="39" t="s">
        <v>286</v>
      </c>
      <c r="K32" s="38"/>
      <c r="L32" s="38"/>
    </row>
    <row r="33" ht="22.5" customHeight="1">
      <c r="A33" s="36" t="s">
        <v>380</v>
      </c>
      <c r="B33" s="36" t="s">
        <v>381</v>
      </c>
      <c r="C33" s="36" t="s">
        <v>286</v>
      </c>
      <c r="D33" s="36" t="s">
        <v>286</v>
      </c>
      <c r="E33" s="36" t="s">
        <v>287</v>
      </c>
      <c r="F33" s="36" t="s">
        <v>286</v>
      </c>
      <c r="G33" s="36" t="s">
        <v>300</v>
      </c>
      <c r="H33" s="37">
        <v>6.5</v>
      </c>
      <c r="I33" s="36" t="s">
        <v>289</v>
      </c>
      <c r="J33" s="39" t="s">
        <v>286</v>
      </c>
      <c r="K33" s="38"/>
      <c r="L33" s="38"/>
    </row>
    <row r="34" ht="22.5" customHeight="1">
      <c r="A34" s="36" t="s">
        <v>382</v>
      </c>
      <c r="B34" s="36" t="s">
        <v>383</v>
      </c>
      <c r="C34" s="36" t="s">
        <v>286</v>
      </c>
      <c r="D34" s="36" t="s">
        <v>286</v>
      </c>
      <c r="E34" s="36" t="s">
        <v>287</v>
      </c>
      <c r="F34" s="36" t="s">
        <v>286</v>
      </c>
      <c r="G34" s="36" t="s">
        <v>288</v>
      </c>
      <c r="H34" s="37">
        <v>6.25</v>
      </c>
      <c r="I34" s="36" t="s">
        <v>289</v>
      </c>
      <c r="J34" s="39" t="s">
        <v>286</v>
      </c>
      <c r="K34" s="38"/>
      <c r="L34" s="38"/>
    </row>
    <row r="35" ht="22.5" customHeight="1">
      <c r="A35" s="36" t="s">
        <v>384</v>
      </c>
      <c r="B35" s="36" t="s">
        <v>385</v>
      </c>
      <c r="C35" s="36" t="s">
        <v>286</v>
      </c>
      <c r="D35" s="36" t="s">
        <v>286</v>
      </c>
      <c r="E35" s="36" t="s">
        <v>287</v>
      </c>
      <c r="F35" s="36" t="s">
        <v>286</v>
      </c>
      <c r="G35" s="36" t="s">
        <v>307</v>
      </c>
      <c r="H35" s="37">
        <v>6.24</v>
      </c>
      <c r="I35" s="36" t="s">
        <v>289</v>
      </c>
      <c r="J35" s="39" t="s">
        <v>286</v>
      </c>
      <c r="K35" s="38"/>
      <c r="L35" s="38"/>
    </row>
    <row r="36" ht="22.5" customHeight="1">
      <c r="A36" s="36" t="s">
        <v>386</v>
      </c>
      <c r="B36" s="36" t="s">
        <v>387</v>
      </c>
      <c r="C36" s="36" t="s">
        <v>286</v>
      </c>
      <c r="D36" s="36" t="s">
        <v>286</v>
      </c>
      <c r="E36" s="36" t="s">
        <v>287</v>
      </c>
      <c r="F36" s="36" t="s">
        <v>286</v>
      </c>
      <c r="G36" s="36" t="s">
        <v>325</v>
      </c>
      <c r="H36" s="37">
        <v>7.2</v>
      </c>
      <c r="I36" s="36" t="s">
        <v>289</v>
      </c>
      <c r="J36" s="39" t="s">
        <v>286</v>
      </c>
      <c r="K36" s="38"/>
      <c r="L36" s="38"/>
    </row>
    <row r="37" ht="22.5" customHeight="1">
      <c r="A37" s="36" t="s">
        <v>388</v>
      </c>
      <c r="B37" s="36" t="s">
        <v>389</v>
      </c>
      <c r="C37" s="36" t="s">
        <v>286</v>
      </c>
      <c r="D37" s="36" t="s">
        <v>286</v>
      </c>
      <c r="E37" s="36" t="s">
        <v>287</v>
      </c>
      <c r="F37" s="36" t="s">
        <v>286</v>
      </c>
      <c r="G37" s="36" t="s">
        <v>307</v>
      </c>
      <c r="H37" s="37">
        <v>6.25</v>
      </c>
      <c r="I37" s="36" t="s">
        <v>289</v>
      </c>
      <c r="J37" s="39" t="s">
        <v>286</v>
      </c>
      <c r="K37" s="38"/>
      <c r="L37" s="38"/>
    </row>
    <row r="38" ht="22.5" customHeight="1">
      <c r="A38" s="36" t="s">
        <v>390</v>
      </c>
      <c r="B38" s="36" t="s">
        <v>391</v>
      </c>
      <c r="C38" s="36" t="s">
        <v>286</v>
      </c>
      <c r="D38" s="36" t="s">
        <v>286</v>
      </c>
      <c r="E38" s="36" t="s">
        <v>287</v>
      </c>
      <c r="F38" s="36" t="s">
        <v>286</v>
      </c>
      <c r="G38" s="36" t="s">
        <v>392</v>
      </c>
      <c r="H38" s="37">
        <v>7.4</v>
      </c>
      <c r="I38" s="36" t="s">
        <v>289</v>
      </c>
      <c r="J38" s="36" t="s">
        <v>286</v>
      </c>
      <c r="K38" s="38"/>
      <c r="L38" s="38"/>
    </row>
    <row r="39" ht="22.5" customHeight="1">
      <c r="A39" s="36" t="s">
        <v>393</v>
      </c>
      <c r="B39" s="36" t="s">
        <v>394</v>
      </c>
      <c r="C39" s="36" t="s">
        <v>286</v>
      </c>
      <c r="D39" s="36" t="s">
        <v>286</v>
      </c>
      <c r="E39" s="36" t="s">
        <v>287</v>
      </c>
      <c r="F39" s="36" t="s">
        <v>286</v>
      </c>
      <c r="G39" s="36" t="s">
        <v>307</v>
      </c>
      <c r="H39" s="37">
        <v>6.24</v>
      </c>
      <c r="I39" s="36" t="s">
        <v>289</v>
      </c>
      <c r="J39" s="36" t="s">
        <v>286</v>
      </c>
      <c r="K39" s="38"/>
      <c r="L39" s="38"/>
    </row>
    <row r="40" ht="22.5" customHeight="1">
      <c r="A40" s="36" t="s">
        <v>395</v>
      </c>
      <c r="B40" s="36" t="s">
        <v>396</v>
      </c>
      <c r="C40" s="36" t="s">
        <v>286</v>
      </c>
      <c r="D40" s="36" t="s">
        <v>286</v>
      </c>
      <c r="E40" s="36" t="s">
        <v>287</v>
      </c>
      <c r="F40" s="36" t="s">
        <v>286</v>
      </c>
      <c r="G40" s="36" t="s">
        <v>307</v>
      </c>
      <c r="H40" s="37">
        <v>6.24</v>
      </c>
      <c r="I40" s="36" t="s">
        <v>289</v>
      </c>
      <c r="J40" s="36" t="s">
        <v>286</v>
      </c>
      <c r="K40" s="38"/>
      <c r="L40" s="38"/>
    </row>
    <row r="41" ht="22.5" customHeight="1">
      <c r="A41" s="36" t="s">
        <v>397</v>
      </c>
      <c r="B41" s="36" t="s">
        <v>398</v>
      </c>
      <c r="C41" s="36" t="s">
        <v>286</v>
      </c>
      <c r="D41" s="36" t="s">
        <v>286</v>
      </c>
      <c r="E41" s="36" t="s">
        <v>287</v>
      </c>
      <c r="F41" s="36" t="s">
        <v>286</v>
      </c>
      <c r="G41" s="36" t="s">
        <v>318</v>
      </c>
      <c r="H41" s="37">
        <v>6.24</v>
      </c>
      <c r="I41" s="36" t="s">
        <v>289</v>
      </c>
      <c r="J41" s="36" t="s">
        <v>286</v>
      </c>
      <c r="K41" s="38"/>
      <c r="L41" s="38"/>
    </row>
    <row r="42" ht="22.5" customHeight="1">
      <c r="A42" s="36" t="s">
        <v>399</v>
      </c>
      <c r="B42" s="36" t="s">
        <v>400</v>
      </c>
      <c r="C42" s="36" t="s">
        <v>286</v>
      </c>
      <c r="D42" s="36" t="s">
        <v>286</v>
      </c>
      <c r="E42" s="36" t="s">
        <v>287</v>
      </c>
      <c r="F42" s="36" t="s">
        <v>286</v>
      </c>
      <c r="G42" s="36" t="s">
        <v>401</v>
      </c>
      <c r="H42" s="37">
        <v>0.48</v>
      </c>
      <c r="I42" s="36" t="s">
        <v>402</v>
      </c>
      <c r="J42" s="36" t="s">
        <v>286</v>
      </c>
      <c r="K42" s="38"/>
      <c r="L42" s="38"/>
    </row>
    <row r="43" ht="22.5" customHeight="1">
      <c r="A43" s="36" t="s">
        <v>403</v>
      </c>
      <c r="B43" s="36" t="s">
        <v>404</v>
      </c>
      <c r="C43" s="36" t="s">
        <v>286</v>
      </c>
      <c r="D43" s="36" t="s">
        <v>286</v>
      </c>
      <c r="E43" s="36" t="s">
        <v>287</v>
      </c>
      <c r="F43" s="36" t="s">
        <v>286</v>
      </c>
      <c r="G43" s="36" t="s">
        <v>405</v>
      </c>
      <c r="H43" s="37">
        <v>6.73</v>
      </c>
      <c r="I43" s="36" t="s">
        <v>289</v>
      </c>
      <c r="J43" s="36" t="s">
        <v>286</v>
      </c>
      <c r="K43" s="38"/>
      <c r="L43" s="38"/>
    </row>
    <row r="44" ht="22.5" customHeight="1">
      <c r="A44" s="36" t="s">
        <v>406</v>
      </c>
      <c r="B44" s="36" t="s">
        <v>407</v>
      </c>
      <c r="C44" s="36" t="s">
        <v>286</v>
      </c>
      <c r="D44" s="36" t="s">
        <v>286</v>
      </c>
      <c r="E44" s="36" t="s">
        <v>287</v>
      </c>
      <c r="F44" s="36" t="s">
        <v>286</v>
      </c>
      <c r="G44" s="36" t="s">
        <v>408</v>
      </c>
      <c r="H44" s="37">
        <v>2.2</v>
      </c>
      <c r="I44" s="36" t="s">
        <v>402</v>
      </c>
      <c r="J44" s="36" t="s">
        <v>286</v>
      </c>
      <c r="K44" s="38"/>
      <c r="L44" s="38"/>
    </row>
    <row r="45" ht="22.5" customHeight="1">
      <c r="A45" s="36" t="s">
        <v>409</v>
      </c>
      <c r="B45" s="36" t="s">
        <v>410</v>
      </c>
      <c r="C45" s="36" t="s">
        <v>286</v>
      </c>
      <c r="D45" s="36" t="s">
        <v>286</v>
      </c>
      <c r="E45" s="36" t="s">
        <v>287</v>
      </c>
      <c r="F45" s="36" t="s">
        <v>286</v>
      </c>
      <c r="G45" s="36" t="s">
        <v>411</v>
      </c>
      <c r="H45" s="37">
        <v>2755.0</v>
      </c>
      <c r="I45" s="36" t="s">
        <v>402</v>
      </c>
      <c r="J45" s="36" t="s">
        <v>286</v>
      </c>
      <c r="K45" s="38"/>
      <c r="L45" s="38"/>
    </row>
    <row r="46" ht="22.5" customHeight="1">
      <c r="A46" s="36" t="s">
        <v>412</v>
      </c>
      <c r="B46" s="36" t="s">
        <v>413</v>
      </c>
      <c r="C46" s="36" t="s">
        <v>286</v>
      </c>
      <c r="D46" s="36" t="s">
        <v>286</v>
      </c>
      <c r="E46" s="36" t="s">
        <v>287</v>
      </c>
      <c r="F46" s="36" t="s">
        <v>286</v>
      </c>
      <c r="G46" s="36" t="s">
        <v>414</v>
      </c>
      <c r="H46" s="37">
        <v>684.25</v>
      </c>
      <c r="I46" s="36" t="s">
        <v>402</v>
      </c>
      <c r="J46" s="36" t="s">
        <v>286</v>
      </c>
      <c r="K46" s="38"/>
      <c r="L46" s="38"/>
    </row>
    <row r="47" ht="22.5" customHeight="1">
      <c r="A47" s="36" t="s">
        <v>415</v>
      </c>
      <c r="B47" s="36" t="s">
        <v>416</v>
      </c>
      <c r="C47" s="36" t="s">
        <v>286</v>
      </c>
      <c r="D47" s="36" t="s">
        <v>286</v>
      </c>
      <c r="E47" s="36" t="s">
        <v>287</v>
      </c>
      <c r="F47" s="36" t="s">
        <v>286</v>
      </c>
      <c r="G47" s="36" t="s">
        <v>417</v>
      </c>
      <c r="H47" s="37">
        <v>272.35</v>
      </c>
      <c r="I47" s="36" t="s">
        <v>402</v>
      </c>
      <c r="J47" s="36" t="s">
        <v>286</v>
      </c>
      <c r="K47" s="38"/>
      <c r="L47" s="38"/>
    </row>
    <row r="48" ht="22.5" customHeight="1">
      <c r="A48" s="36" t="s">
        <v>418</v>
      </c>
      <c r="B48" s="36" t="s">
        <v>419</v>
      </c>
      <c r="C48" s="36" t="s">
        <v>286</v>
      </c>
      <c r="D48" s="36" t="s">
        <v>286</v>
      </c>
      <c r="E48" s="36" t="s">
        <v>287</v>
      </c>
      <c r="F48" s="36" t="s">
        <v>286</v>
      </c>
      <c r="G48" s="36" t="s">
        <v>420</v>
      </c>
      <c r="H48" s="37">
        <v>720.0</v>
      </c>
      <c r="I48" s="36" t="s">
        <v>333</v>
      </c>
      <c r="J48" s="36" t="s">
        <v>286</v>
      </c>
      <c r="K48" s="38"/>
      <c r="L48" s="38"/>
    </row>
    <row r="49" ht="22.5" customHeight="1">
      <c r="A49" s="36" t="s">
        <v>421</v>
      </c>
      <c r="B49" s="36" t="s">
        <v>422</v>
      </c>
      <c r="C49" s="36" t="s">
        <v>286</v>
      </c>
      <c r="D49" s="36" t="s">
        <v>286</v>
      </c>
      <c r="E49" s="36" t="s">
        <v>287</v>
      </c>
      <c r="F49" s="36" t="s">
        <v>286</v>
      </c>
      <c r="G49" s="36" t="s">
        <v>414</v>
      </c>
      <c r="H49" s="37">
        <v>34.0</v>
      </c>
      <c r="I49" s="36" t="s">
        <v>289</v>
      </c>
      <c r="J49" s="36" t="s">
        <v>286</v>
      </c>
      <c r="K49" s="38"/>
      <c r="L49" s="38"/>
    </row>
    <row r="50" ht="22.5" customHeight="1">
      <c r="A50" s="36" t="s">
        <v>423</v>
      </c>
      <c r="B50" s="36" t="s">
        <v>424</v>
      </c>
      <c r="C50" s="36" t="s">
        <v>286</v>
      </c>
      <c r="D50" s="36" t="s">
        <v>286</v>
      </c>
      <c r="E50" s="36" t="s">
        <v>287</v>
      </c>
      <c r="F50" s="36" t="s">
        <v>286</v>
      </c>
      <c r="G50" s="36" t="s">
        <v>425</v>
      </c>
      <c r="H50" s="37">
        <v>31.5</v>
      </c>
      <c r="I50" s="36" t="s">
        <v>426</v>
      </c>
      <c r="J50" s="36" t="s">
        <v>286</v>
      </c>
      <c r="K50" s="38"/>
      <c r="L50" s="38"/>
    </row>
    <row r="51" ht="22.5" customHeight="1">
      <c r="A51" s="36" t="s">
        <v>427</v>
      </c>
      <c r="B51" s="36" t="s">
        <v>428</v>
      </c>
      <c r="C51" s="36" t="s">
        <v>286</v>
      </c>
      <c r="D51" s="36" t="s">
        <v>286</v>
      </c>
      <c r="E51" s="36" t="s">
        <v>287</v>
      </c>
      <c r="F51" s="36" t="s">
        <v>286</v>
      </c>
      <c r="G51" s="36" t="s">
        <v>414</v>
      </c>
      <c r="H51" s="37">
        <v>33.7</v>
      </c>
      <c r="I51" s="36" t="s">
        <v>289</v>
      </c>
      <c r="J51" s="36" t="s">
        <v>286</v>
      </c>
      <c r="K51" s="38"/>
      <c r="L51" s="38"/>
    </row>
    <row r="52" ht="22.5" customHeight="1">
      <c r="A52" s="36" t="s">
        <v>429</v>
      </c>
      <c r="B52" s="36" t="s">
        <v>430</v>
      </c>
      <c r="C52" s="36" t="s">
        <v>286</v>
      </c>
      <c r="D52" s="36" t="s">
        <v>286</v>
      </c>
      <c r="E52" s="36" t="s">
        <v>287</v>
      </c>
      <c r="F52" s="36" t="s">
        <v>286</v>
      </c>
      <c r="G52" s="36" t="s">
        <v>414</v>
      </c>
      <c r="H52" s="37">
        <v>760.0</v>
      </c>
      <c r="I52" s="36" t="s">
        <v>402</v>
      </c>
      <c r="J52" s="36" t="s">
        <v>286</v>
      </c>
      <c r="K52" s="38"/>
      <c r="L52" s="38"/>
    </row>
    <row r="53" ht="22.5" customHeight="1">
      <c r="A53" s="36" t="s">
        <v>431</v>
      </c>
      <c r="B53" s="36" t="s">
        <v>432</v>
      </c>
      <c r="C53" s="36" t="s">
        <v>286</v>
      </c>
      <c r="D53" s="36" t="s">
        <v>286</v>
      </c>
      <c r="E53" s="36" t="s">
        <v>287</v>
      </c>
      <c r="F53" s="36" t="s">
        <v>286</v>
      </c>
      <c r="G53" s="36" t="s">
        <v>414</v>
      </c>
      <c r="H53" s="37">
        <v>32.7</v>
      </c>
      <c r="I53" s="36" t="s">
        <v>289</v>
      </c>
      <c r="J53" s="36" t="s">
        <v>286</v>
      </c>
      <c r="K53" s="38"/>
      <c r="L53" s="38"/>
    </row>
    <row r="54" ht="22.5" customHeight="1">
      <c r="A54" s="36" t="s">
        <v>433</v>
      </c>
      <c r="B54" s="36" t="s">
        <v>434</v>
      </c>
      <c r="C54" s="36" t="s">
        <v>286</v>
      </c>
      <c r="D54" s="36" t="s">
        <v>286</v>
      </c>
      <c r="E54" s="36" t="s">
        <v>287</v>
      </c>
      <c r="F54" s="36" t="s">
        <v>286</v>
      </c>
      <c r="G54" s="36" t="s">
        <v>401</v>
      </c>
      <c r="H54" s="37">
        <v>0.46</v>
      </c>
      <c r="I54" s="36" t="s">
        <v>402</v>
      </c>
      <c r="J54" s="36" t="s">
        <v>286</v>
      </c>
      <c r="K54" s="38"/>
      <c r="L54" s="38"/>
    </row>
    <row r="55" ht="22.5" customHeight="1">
      <c r="A55" s="36" t="s">
        <v>435</v>
      </c>
      <c r="B55" s="36" t="s">
        <v>436</v>
      </c>
      <c r="C55" s="36" t="s">
        <v>286</v>
      </c>
      <c r="D55" s="36" t="s">
        <v>286</v>
      </c>
      <c r="E55" s="36" t="s">
        <v>287</v>
      </c>
      <c r="F55" s="36" t="s">
        <v>286</v>
      </c>
      <c r="G55" s="36" t="s">
        <v>401</v>
      </c>
      <c r="H55" s="37">
        <v>0.3</v>
      </c>
      <c r="I55" s="36" t="s">
        <v>402</v>
      </c>
      <c r="J55" s="36" t="s">
        <v>286</v>
      </c>
      <c r="K55" s="38"/>
      <c r="L55" s="38"/>
    </row>
    <row r="56" ht="22.5" customHeight="1">
      <c r="A56" s="36" t="s">
        <v>437</v>
      </c>
      <c r="B56" s="36" t="s">
        <v>438</v>
      </c>
      <c r="C56" s="36" t="s">
        <v>286</v>
      </c>
      <c r="D56" s="36" t="s">
        <v>286</v>
      </c>
      <c r="E56" s="36" t="s">
        <v>287</v>
      </c>
      <c r="F56" s="36" t="s">
        <v>286</v>
      </c>
      <c r="G56" s="36" t="s">
        <v>439</v>
      </c>
      <c r="H56" s="37">
        <v>1360.0</v>
      </c>
      <c r="I56" s="36" t="s">
        <v>333</v>
      </c>
      <c r="J56" s="36" t="s">
        <v>286</v>
      </c>
      <c r="K56" s="38"/>
      <c r="L56" s="38"/>
    </row>
    <row r="57" ht="22.5" customHeight="1">
      <c r="A57" s="36" t="s">
        <v>440</v>
      </c>
      <c r="B57" s="36" t="s">
        <v>441</v>
      </c>
      <c r="C57" s="36" t="s">
        <v>286</v>
      </c>
      <c r="D57" s="36" t="s">
        <v>286</v>
      </c>
      <c r="E57" s="36" t="s">
        <v>287</v>
      </c>
      <c r="F57" s="36" t="s">
        <v>286</v>
      </c>
      <c r="G57" s="36" t="s">
        <v>442</v>
      </c>
      <c r="H57" s="37">
        <v>83.57</v>
      </c>
      <c r="I57" s="36" t="s">
        <v>402</v>
      </c>
      <c r="J57" s="36" t="s">
        <v>286</v>
      </c>
      <c r="K57" s="38"/>
      <c r="L57" s="38"/>
    </row>
    <row r="58" ht="22.5" customHeight="1">
      <c r="A58" s="36" t="s">
        <v>443</v>
      </c>
      <c r="B58" s="36" t="s">
        <v>444</v>
      </c>
      <c r="C58" s="36" t="s">
        <v>286</v>
      </c>
      <c r="D58" s="36" t="s">
        <v>286</v>
      </c>
      <c r="E58" s="36" t="s">
        <v>287</v>
      </c>
      <c r="F58" s="36" t="s">
        <v>286</v>
      </c>
      <c r="G58" s="36" t="s">
        <v>442</v>
      </c>
      <c r="H58" s="37">
        <v>80.96</v>
      </c>
      <c r="I58" s="36" t="s">
        <v>402</v>
      </c>
      <c r="J58" s="36" t="s">
        <v>286</v>
      </c>
      <c r="K58" s="38"/>
      <c r="L58" s="38"/>
    </row>
    <row r="59" ht="22.5" customHeight="1">
      <c r="A59" s="36" t="s">
        <v>445</v>
      </c>
      <c r="B59" s="36" t="s">
        <v>446</v>
      </c>
      <c r="C59" s="36" t="s">
        <v>286</v>
      </c>
      <c r="D59" s="36" t="s">
        <v>286</v>
      </c>
      <c r="E59" s="36" t="s">
        <v>287</v>
      </c>
      <c r="F59" s="36" t="s">
        <v>286</v>
      </c>
      <c r="G59" s="36" t="s">
        <v>325</v>
      </c>
      <c r="H59" s="37">
        <v>95.0</v>
      </c>
      <c r="I59" s="36" t="s">
        <v>447</v>
      </c>
      <c r="J59" s="39" t="s">
        <v>286</v>
      </c>
      <c r="K59" s="38"/>
      <c r="L59" s="38"/>
    </row>
    <row r="60" ht="22.5" customHeight="1">
      <c r="A60" s="36" t="s">
        <v>448</v>
      </c>
      <c r="B60" s="36" t="s">
        <v>449</v>
      </c>
      <c r="C60" s="36" t="s">
        <v>286</v>
      </c>
      <c r="D60" s="36" t="s">
        <v>286</v>
      </c>
      <c r="E60" s="36" t="s">
        <v>287</v>
      </c>
      <c r="F60" s="36" t="s">
        <v>286</v>
      </c>
      <c r="G60" s="36" t="s">
        <v>450</v>
      </c>
      <c r="H60" s="37">
        <v>15.67</v>
      </c>
      <c r="I60" s="36" t="s">
        <v>402</v>
      </c>
      <c r="J60" s="39" t="s">
        <v>286</v>
      </c>
      <c r="K60" s="38"/>
      <c r="L60" s="38"/>
    </row>
    <row r="61" ht="22.5" customHeight="1">
      <c r="A61" s="36" t="s">
        <v>451</v>
      </c>
      <c r="B61" s="36" t="s">
        <v>452</v>
      </c>
      <c r="C61" s="36" t="s">
        <v>286</v>
      </c>
      <c r="D61" s="36" t="s">
        <v>286</v>
      </c>
      <c r="E61" s="36" t="s">
        <v>287</v>
      </c>
      <c r="F61" s="36" t="s">
        <v>286</v>
      </c>
      <c r="G61" s="36" t="s">
        <v>450</v>
      </c>
      <c r="H61" s="37">
        <v>71.0</v>
      </c>
      <c r="I61" s="36" t="s">
        <v>402</v>
      </c>
      <c r="J61" s="39" t="s">
        <v>286</v>
      </c>
      <c r="K61" s="38"/>
      <c r="L61" s="38"/>
    </row>
    <row r="62" ht="22.5" customHeight="1">
      <c r="A62" s="36" t="s">
        <v>453</v>
      </c>
      <c r="B62" s="36" t="s">
        <v>454</v>
      </c>
      <c r="C62" s="36" t="s">
        <v>286</v>
      </c>
      <c r="D62" s="36" t="s">
        <v>286</v>
      </c>
      <c r="E62" s="36" t="s">
        <v>287</v>
      </c>
      <c r="F62" s="36" t="s">
        <v>286</v>
      </c>
      <c r="G62" s="36" t="s">
        <v>292</v>
      </c>
      <c r="H62" s="37">
        <v>351.0</v>
      </c>
      <c r="I62" s="36" t="s">
        <v>402</v>
      </c>
      <c r="J62" s="39" t="s">
        <v>286</v>
      </c>
      <c r="K62" s="38"/>
      <c r="L62" s="38"/>
    </row>
    <row r="63" ht="22.5" customHeight="1">
      <c r="A63" s="36" t="s">
        <v>455</v>
      </c>
      <c r="B63" s="36" t="s">
        <v>456</v>
      </c>
      <c r="C63" s="36" t="s">
        <v>286</v>
      </c>
      <c r="D63" s="36" t="s">
        <v>286</v>
      </c>
      <c r="E63" s="36" t="s">
        <v>287</v>
      </c>
      <c r="F63" s="36" t="s">
        <v>286</v>
      </c>
      <c r="G63" s="36" t="s">
        <v>457</v>
      </c>
      <c r="H63" s="37">
        <v>3.4</v>
      </c>
      <c r="I63" s="36" t="s">
        <v>333</v>
      </c>
      <c r="J63" s="39" t="s">
        <v>286</v>
      </c>
      <c r="K63" s="38"/>
      <c r="L63" s="38"/>
    </row>
    <row r="64" ht="22.5" customHeight="1">
      <c r="A64" s="36" t="s">
        <v>458</v>
      </c>
      <c r="B64" s="36" t="s">
        <v>459</v>
      </c>
      <c r="C64" s="36" t="s">
        <v>286</v>
      </c>
      <c r="D64" s="36" t="s">
        <v>286</v>
      </c>
      <c r="E64" s="36" t="s">
        <v>287</v>
      </c>
      <c r="F64" s="36" t="s">
        <v>286</v>
      </c>
      <c r="G64" s="36" t="s">
        <v>414</v>
      </c>
      <c r="H64" s="37">
        <v>32.9</v>
      </c>
      <c r="I64" s="36" t="s">
        <v>289</v>
      </c>
      <c r="J64" s="36" t="s">
        <v>286</v>
      </c>
      <c r="K64" s="38"/>
      <c r="L64" s="38"/>
    </row>
    <row r="65" ht="22.5" customHeight="1">
      <c r="A65" s="36" t="s">
        <v>460</v>
      </c>
      <c r="B65" s="36" t="s">
        <v>461</v>
      </c>
      <c r="C65" s="36" t="s">
        <v>286</v>
      </c>
      <c r="D65" s="36" t="s">
        <v>286</v>
      </c>
      <c r="E65" s="36" t="s">
        <v>287</v>
      </c>
      <c r="F65" s="36" t="s">
        <v>286</v>
      </c>
      <c r="G65" s="36" t="s">
        <v>401</v>
      </c>
      <c r="H65" s="37">
        <v>0.54</v>
      </c>
      <c r="I65" s="36" t="s">
        <v>402</v>
      </c>
      <c r="J65" s="36" t="s">
        <v>286</v>
      </c>
      <c r="K65" s="38"/>
      <c r="L65" s="38"/>
    </row>
    <row r="66" ht="22.5" customHeight="1">
      <c r="A66" s="36" t="s">
        <v>462</v>
      </c>
      <c r="B66" s="36" t="s">
        <v>463</v>
      </c>
      <c r="C66" s="36" t="s">
        <v>286</v>
      </c>
      <c r="D66" s="36" t="s">
        <v>286</v>
      </c>
      <c r="E66" s="36" t="s">
        <v>287</v>
      </c>
      <c r="F66" s="36" t="s">
        <v>286</v>
      </c>
      <c r="G66" s="36" t="s">
        <v>401</v>
      </c>
      <c r="H66" s="37">
        <v>1.5</v>
      </c>
      <c r="I66" s="36" t="s">
        <v>402</v>
      </c>
      <c r="J66" s="39" t="s">
        <v>286</v>
      </c>
      <c r="K66" s="38"/>
      <c r="L66" s="38"/>
    </row>
    <row r="67" ht="22.5" customHeight="1">
      <c r="A67" s="36" t="s">
        <v>464</v>
      </c>
      <c r="B67" s="36" t="s">
        <v>465</v>
      </c>
      <c r="C67" s="36" t="s">
        <v>286</v>
      </c>
      <c r="D67" s="36" t="s">
        <v>286</v>
      </c>
      <c r="E67" s="36" t="s">
        <v>287</v>
      </c>
      <c r="F67" s="36" t="s">
        <v>286</v>
      </c>
      <c r="G67" s="36" t="s">
        <v>401</v>
      </c>
      <c r="H67" s="37">
        <v>0.49</v>
      </c>
      <c r="I67" s="36" t="s">
        <v>402</v>
      </c>
      <c r="J67" s="39" t="s">
        <v>286</v>
      </c>
      <c r="K67" s="38"/>
      <c r="L67" s="38"/>
    </row>
    <row r="68" ht="22.5" customHeight="1">
      <c r="A68" s="36" t="s">
        <v>466</v>
      </c>
      <c r="B68" s="36" t="s">
        <v>467</v>
      </c>
      <c r="C68" s="36" t="s">
        <v>286</v>
      </c>
      <c r="D68" s="36" t="s">
        <v>286</v>
      </c>
      <c r="E68" s="36" t="s">
        <v>287</v>
      </c>
      <c r="F68" s="36" t="s">
        <v>286</v>
      </c>
      <c r="G68" s="36" t="s">
        <v>401</v>
      </c>
      <c r="H68" s="37">
        <v>0.33</v>
      </c>
      <c r="I68" s="36" t="s">
        <v>402</v>
      </c>
      <c r="J68" s="36" t="s">
        <v>286</v>
      </c>
      <c r="K68" s="38"/>
      <c r="L68" s="38"/>
    </row>
    <row r="69" ht="22.5" customHeight="1">
      <c r="A69" s="36" t="s">
        <v>468</v>
      </c>
      <c r="B69" s="36" t="s">
        <v>469</v>
      </c>
      <c r="C69" s="36" t="s">
        <v>286</v>
      </c>
      <c r="D69" s="36" t="s">
        <v>286</v>
      </c>
      <c r="E69" s="36" t="s">
        <v>287</v>
      </c>
      <c r="F69" s="36" t="s">
        <v>286</v>
      </c>
      <c r="G69" s="36" t="s">
        <v>401</v>
      </c>
      <c r="H69" s="37">
        <v>0.38</v>
      </c>
      <c r="I69" s="36" t="s">
        <v>402</v>
      </c>
      <c r="J69" s="36" t="s">
        <v>286</v>
      </c>
      <c r="K69" s="38"/>
      <c r="L69" s="38"/>
    </row>
    <row r="70" ht="22.5" customHeight="1">
      <c r="A70" s="36" t="s">
        <v>470</v>
      </c>
      <c r="B70" s="36" t="s">
        <v>471</v>
      </c>
      <c r="C70" s="36" t="s">
        <v>286</v>
      </c>
      <c r="D70" s="36" t="s">
        <v>286</v>
      </c>
      <c r="E70" s="36" t="s">
        <v>287</v>
      </c>
      <c r="F70" s="36" t="s">
        <v>286</v>
      </c>
      <c r="G70" s="36" t="s">
        <v>472</v>
      </c>
      <c r="H70" s="37">
        <v>1266.5</v>
      </c>
      <c r="I70" s="36" t="s">
        <v>289</v>
      </c>
      <c r="J70" s="36" t="s">
        <v>286</v>
      </c>
      <c r="K70" s="38"/>
      <c r="L70" s="38"/>
    </row>
    <row r="71" ht="22.5" customHeight="1">
      <c r="A71" s="36" t="s">
        <v>473</v>
      </c>
      <c r="B71" s="36" t="s">
        <v>474</v>
      </c>
      <c r="C71" s="36" t="s">
        <v>286</v>
      </c>
      <c r="D71" s="36" t="s">
        <v>286</v>
      </c>
      <c r="E71" s="36" t="s">
        <v>287</v>
      </c>
      <c r="F71" s="36" t="s">
        <v>286</v>
      </c>
      <c r="G71" s="36" t="s">
        <v>355</v>
      </c>
      <c r="H71" s="37">
        <v>11.178077</v>
      </c>
      <c r="I71" s="36" t="s">
        <v>289</v>
      </c>
      <c r="J71" s="36" t="s">
        <v>286</v>
      </c>
      <c r="K71" s="38"/>
      <c r="L71" s="38"/>
    </row>
    <row r="72" ht="22.5" customHeight="1">
      <c r="A72" s="36" t="s">
        <v>475</v>
      </c>
      <c r="B72" s="36" t="s">
        <v>476</v>
      </c>
      <c r="C72" s="36" t="s">
        <v>286</v>
      </c>
      <c r="D72" s="36" t="s">
        <v>286</v>
      </c>
      <c r="E72" s="36" t="s">
        <v>287</v>
      </c>
      <c r="F72" s="36" t="s">
        <v>286</v>
      </c>
      <c r="G72" s="36" t="s">
        <v>477</v>
      </c>
      <c r="H72" s="37">
        <v>0.12</v>
      </c>
      <c r="I72" s="36" t="s">
        <v>402</v>
      </c>
      <c r="J72" s="36" t="s">
        <v>286</v>
      </c>
      <c r="K72" s="38"/>
      <c r="L72" s="38"/>
    </row>
    <row r="73" ht="22.5" customHeight="1">
      <c r="A73" s="36" t="s">
        <v>478</v>
      </c>
      <c r="B73" s="36" t="s">
        <v>479</v>
      </c>
      <c r="C73" s="36" t="s">
        <v>286</v>
      </c>
      <c r="D73" s="36" t="s">
        <v>286</v>
      </c>
      <c r="E73" s="36" t="s">
        <v>287</v>
      </c>
      <c r="F73" s="36" t="s">
        <v>286</v>
      </c>
      <c r="G73" s="36" t="s">
        <v>480</v>
      </c>
      <c r="H73" s="37">
        <v>24.43</v>
      </c>
      <c r="I73" s="36" t="s">
        <v>289</v>
      </c>
      <c r="J73" s="36" t="s">
        <v>286</v>
      </c>
      <c r="K73" s="38"/>
      <c r="L73" s="38"/>
    </row>
    <row r="74" ht="22.5" customHeight="1">
      <c r="A74" s="36" t="s">
        <v>481</v>
      </c>
      <c r="B74" s="36" t="s">
        <v>482</v>
      </c>
      <c r="C74" s="36" t="s">
        <v>286</v>
      </c>
      <c r="D74" s="36" t="s">
        <v>286</v>
      </c>
      <c r="E74" s="36" t="s">
        <v>287</v>
      </c>
      <c r="F74" s="36" t="s">
        <v>286</v>
      </c>
      <c r="G74" s="36" t="s">
        <v>401</v>
      </c>
      <c r="H74" s="37">
        <v>18.59</v>
      </c>
      <c r="I74" s="36" t="s">
        <v>402</v>
      </c>
      <c r="J74" s="36" t="s">
        <v>286</v>
      </c>
      <c r="K74" s="38"/>
      <c r="L74" s="38"/>
    </row>
    <row r="75" ht="22.5" customHeight="1">
      <c r="A75" s="36" t="s">
        <v>483</v>
      </c>
      <c r="B75" s="36" t="s">
        <v>484</v>
      </c>
      <c r="C75" s="36" t="s">
        <v>286</v>
      </c>
      <c r="D75" s="36" t="s">
        <v>286</v>
      </c>
      <c r="E75" s="36" t="s">
        <v>287</v>
      </c>
      <c r="F75" s="36" t="s">
        <v>286</v>
      </c>
      <c r="G75" s="36" t="s">
        <v>485</v>
      </c>
      <c r="H75" s="37">
        <v>18.46</v>
      </c>
      <c r="I75" s="36" t="s">
        <v>289</v>
      </c>
      <c r="J75" s="36" t="s">
        <v>286</v>
      </c>
      <c r="K75" s="38"/>
      <c r="L75" s="38"/>
    </row>
    <row r="76" ht="22.5" customHeight="1">
      <c r="A76" s="36" t="s">
        <v>486</v>
      </c>
      <c r="B76" s="36" t="s">
        <v>487</v>
      </c>
      <c r="C76" s="36" t="s">
        <v>286</v>
      </c>
      <c r="D76" s="36" t="s">
        <v>286</v>
      </c>
      <c r="E76" s="36" t="s">
        <v>287</v>
      </c>
      <c r="F76" s="36" t="s">
        <v>286</v>
      </c>
      <c r="G76" s="36" t="s">
        <v>488</v>
      </c>
      <c r="H76" s="37">
        <v>0.17</v>
      </c>
      <c r="I76" s="36" t="s">
        <v>402</v>
      </c>
      <c r="J76" s="36" t="s">
        <v>286</v>
      </c>
      <c r="K76" s="38"/>
      <c r="L76" s="38"/>
    </row>
    <row r="77" ht="22.5" customHeight="1">
      <c r="A77" s="36" t="s">
        <v>489</v>
      </c>
      <c r="B77" s="36" t="s">
        <v>490</v>
      </c>
      <c r="C77" s="36" t="s">
        <v>286</v>
      </c>
      <c r="D77" s="36" t="s">
        <v>286</v>
      </c>
      <c r="E77" s="36" t="s">
        <v>287</v>
      </c>
      <c r="F77" s="36" t="s">
        <v>286</v>
      </c>
      <c r="G77" s="36" t="s">
        <v>491</v>
      </c>
      <c r="H77" s="37">
        <v>30.8</v>
      </c>
      <c r="I77" s="36" t="s">
        <v>356</v>
      </c>
      <c r="J77" s="36" t="s">
        <v>286</v>
      </c>
      <c r="K77" s="38"/>
      <c r="L77" s="38"/>
    </row>
    <row r="78" ht="22.5" customHeight="1">
      <c r="A78" s="36" t="s">
        <v>492</v>
      </c>
      <c r="B78" s="36" t="s">
        <v>493</v>
      </c>
      <c r="C78" s="36" t="s">
        <v>286</v>
      </c>
      <c r="D78" s="36" t="s">
        <v>286</v>
      </c>
      <c r="E78" s="36" t="s">
        <v>287</v>
      </c>
      <c r="F78" s="36" t="s">
        <v>286</v>
      </c>
      <c r="G78" s="36" t="s">
        <v>494</v>
      </c>
      <c r="H78" s="37">
        <v>0.38</v>
      </c>
      <c r="I78" s="36" t="s">
        <v>402</v>
      </c>
      <c r="J78" s="39" t="s">
        <v>286</v>
      </c>
      <c r="K78" s="38"/>
      <c r="L78" s="38"/>
    </row>
    <row r="79" ht="22.5" customHeight="1">
      <c r="A79" s="36" t="s">
        <v>495</v>
      </c>
      <c r="B79" s="36" t="s">
        <v>496</v>
      </c>
      <c r="C79" s="36" t="s">
        <v>286</v>
      </c>
      <c r="D79" s="36" t="s">
        <v>286</v>
      </c>
      <c r="E79" s="36" t="s">
        <v>287</v>
      </c>
      <c r="F79" s="36" t="s">
        <v>286</v>
      </c>
      <c r="G79" s="36" t="s">
        <v>494</v>
      </c>
      <c r="H79" s="37">
        <v>0.64</v>
      </c>
      <c r="I79" s="36" t="s">
        <v>402</v>
      </c>
      <c r="J79" s="36" t="s">
        <v>286</v>
      </c>
      <c r="K79" s="38"/>
      <c r="L79" s="38"/>
    </row>
    <row r="80" ht="22.5" customHeight="1">
      <c r="A80" s="36" t="s">
        <v>497</v>
      </c>
      <c r="B80" s="36" t="s">
        <v>498</v>
      </c>
      <c r="C80" s="36" t="s">
        <v>286</v>
      </c>
      <c r="D80" s="36" t="s">
        <v>286</v>
      </c>
      <c r="E80" s="36" t="s">
        <v>287</v>
      </c>
      <c r="F80" s="36" t="s">
        <v>286</v>
      </c>
      <c r="G80" s="36" t="s">
        <v>494</v>
      </c>
      <c r="H80" s="37">
        <v>0.17</v>
      </c>
      <c r="I80" s="36" t="s">
        <v>402</v>
      </c>
      <c r="J80" s="36" t="s">
        <v>286</v>
      </c>
      <c r="K80" s="38"/>
      <c r="L80" s="38"/>
    </row>
    <row r="81" ht="22.5" customHeight="1">
      <c r="A81" s="36" t="s">
        <v>499</v>
      </c>
      <c r="B81" s="36" t="s">
        <v>500</v>
      </c>
      <c r="C81" s="36" t="s">
        <v>286</v>
      </c>
      <c r="D81" s="36" t="s">
        <v>286</v>
      </c>
      <c r="E81" s="36" t="s">
        <v>287</v>
      </c>
      <c r="F81" s="36" t="s">
        <v>286</v>
      </c>
      <c r="G81" s="36" t="s">
        <v>494</v>
      </c>
      <c r="H81" s="37">
        <v>0.56</v>
      </c>
      <c r="I81" s="36" t="s">
        <v>402</v>
      </c>
      <c r="J81" s="36" t="s">
        <v>286</v>
      </c>
      <c r="K81" s="38"/>
      <c r="L81" s="38"/>
    </row>
    <row r="82" ht="22.5" customHeight="1">
      <c r="A82" s="36" t="s">
        <v>501</v>
      </c>
      <c r="B82" s="36" t="s">
        <v>502</v>
      </c>
      <c r="C82" s="36" t="s">
        <v>286</v>
      </c>
      <c r="D82" s="36" t="s">
        <v>286</v>
      </c>
      <c r="E82" s="36" t="s">
        <v>287</v>
      </c>
      <c r="F82" s="36" t="s">
        <v>286</v>
      </c>
      <c r="G82" s="36" t="s">
        <v>494</v>
      </c>
      <c r="H82" s="37">
        <v>0.94</v>
      </c>
      <c r="I82" s="36" t="s">
        <v>402</v>
      </c>
      <c r="J82" s="36" t="s">
        <v>286</v>
      </c>
      <c r="K82" s="38"/>
      <c r="L82" s="38"/>
    </row>
    <row r="83" ht="22.5" customHeight="1">
      <c r="A83" s="36" t="s">
        <v>503</v>
      </c>
      <c r="B83" s="36" t="s">
        <v>504</v>
      </c>
      <c r="C83" s="36" t="s">
        <v>286</v>
      </c>
      <c r="D83" s="36" t="s">
        <v>286</v>
      </c>
      <c r="E83" s="36" t="s">
        <v>287</v>
      </c>
      <c r="F83" s="36" t="s">
        <v>286</v>
      </c>
      <c r="G83" s="36" t="s">
        <v>505</v>
      </c>
      <c r="H83" s="37">
        <v>29.14</v>
      </c>
      <c r="I83" s="36" t="s">
        <v>289</v>
      </c>
      <c r="J83" s="36" t="s">
        <v>286</v>
      </c>
      <c r="K83" s="38"/>
      <c r="L83" s="38"/>
    </row>
    <row r="84" ht="22.5" customHeight="1">
      <c r="A84" s="36" t="s">
        <v>506</v>
      </c>
      <c r="B84" s="36" t="s">
        <v>507</v>
      </c>
      <c r="C84" s="36" t="s">
        <v>286</v>
      </c>
      <c r="D84" s="36" t="s">
        <v>286</v>
      </c>
      <c r="E84" s="36" t="s">
        <v>287</v>
      </c>
      <c r="F84" s="36" t="s">
        <v>286</v>
      </c>
      <c r="G84" s="36" t="s">
        <v>401</v>
      </c>
      <c r="H84" s="37">
        <v>1.25</v>
      </c>
      <c r="I84" s="36" t="s">
        <v>402</v>
      </c>
      <c r="J84" s="36" t="s">
        <v>286</v>
      </c>
      <c r="K84" s="38"/>
      <c r="L84" s="38"/>
    </row>
    <row r="85" ht="22.5" customHeight="1">
      <c r="A85" s="36" t="s">
        <v>508</v>
      </c>
      <c r="B85" s="36" t="s">
        <v>509</v>
      </c>
      <c r="C85" s="36" t="s">
        <v>286</v>
      </c>
      <c r="D85" s="36" t="s">
        <v>286</v>
      </c>
      <c r="E85" s="36" t="s">
        <v>287</v>
      </c>
      <c r="F85" s="36" t="s">
        <v>286</v>
      </c>
      <c r="G85" s="36" t="s">
        <v>307</v>
      </c>
      <c r="H85" s="37">
        <v>6.678033</v>
      </c>
      <c r="I85" s="36" t="s">
        <v>289</v>
      </c>
      <c r="J85" s="36" t="s">
        <v>286</v>
      </c>
      <c r="K85" s="38"/>
      <c r="L85" s="38"/>
    </row>
    <row r="86" ht="22.5" customHeight="1">
      <c r="A86" s="36" t="s">
        <v>510</v>
      </c>
      <c r="B86" s="36" t="s">
        <v>511</v>
      </c>
      <c r="C86" s="36" t="s">
        <v>286</v>
      </c>
      <c r="D86" s="36" t="s">
        <v>286</v>
      </c>
      <c r="E86" s="36" t="s">
        <v>287</v>
      </c>
      <c r="F86" s="36" t="s">
        <v>286</v>
      </c>
      <c r="G86" s="36" t="s">
        <v>488</v>
      </c>
      <c r="H86" s="37">
        <v>0.11</v>
      </c>
      <c r="I86" s="36" t="s">
        <v>402</v>
      </c>
      <c r="J86" s="36" t="s">
        <v>286</v>
      </c>
      <c r="K86" s="38"/>
      <c r="L86" s="38"/>
    </row>
    <row r="87" ht="22.5" customHeight="1">
      <c r="A87" s="36" t="s">
        <v>512</v>
      </c>
      <c r="B87" s="36" t="s">
        <v>513</v>
      </c>
      <c r="C87" s="36" t="s">
        <v>286</v>
      </c>
      <c r="D87" s="36" t="s">
        <v>286</v>
      </c>
      <c r="E87" s="36" t="s">
        <v>287</v>
      </c>
      <c r="F87" s="36" t="s">
        <v>286</v>
      </c>
      <c r="G87" s="36" t="s">
        <v>494</v>
      </c>
      <c r="H87" s="37">
        <v>0.1</v>
      </c>
      <c r="I87" s="36" t="s">
        <v>402</v>
      </c>
      <c r="J87" s="36" t="s">
        <v>286</v>
      </c>
      <c r="K87" s="38"/>
      <c r="L87" s="38"/>
    </row>
    <row r="88" ht="22.5" customHeight="1">
      <c r="A88" s="36" t="s">
        <v>514</v>
      </c>
      <c r="B88" s="36" t="s">
        <v>515</v>
      </c>
      <c r="C88" s="36" t="s">
        <v>286</v>
      </c>
      <c r="D88" s="36" t="s">
        <v>286</v>
      </c>
      <c r="E88" s="36" t="s">
        <v>287</v>
      </c>
      <c r="F88" s="36" t="s">
        <v>286</v>
      </c>
      <c r="G88" s="36" t="s">
        <v>516</v>
      </c>
      <c r="H88" s="37">
        <v>0.39</v>
      </c>
      <c r="I88" s="36" t="s">
        <v>333</v>
      </c>
      <c r="J88" s="36" t="s">
        <v>286</v>
      </c>
      <c r="K88" s="38"/>
      <c r="L88" s="38"/>
    </row>
    <row r="89" ht="22.5" customHeight="1">
      <c r="A89" s="36" t="s">
        <v>517</v>
      </c>
      <c r="B89" s="36" t="s">
        <v>518</v>
      </c>
      <c r="C89" s="36" t="s">
        <v>286</v>
      </c>
      <c r="D89" s="36" t="s">
        <v>286</v>
      </c>
      <c r="E89" s="36" t="s">
        <v>287</v>
      </c>
      <c r="F89" s="36" t="s">
        <v>286</v>
      </c>
      <c r="G89" s="36" t="s">
        <v>516</v>
      </c>
      <c r="H89" s="37">
        <v>0.46</v>
      </c>
      <c r="I89" s="36" t="s">
        <v>333</v>
      </c>
      <c r="J89" s="36" t="s">
        <v>286</v>
      </c>
      <c r="K89" s="38"/>
      <c r="L89" s="38"/>
    </row>
    <row r="90" ht="22.5" customHeight="1">
      <c r="A90" s="36" t="s">
        <v>519</v>
      </c>
      <c r="B90" s="36" t="s">
        <v>520</v>
      </c>
      <c r="C90" s="36" t="s">
        <v>286</v>
      </c>
      <c r="D90" s="36" t="s">
        <v>286</v>
      </c>
      <c r="E90" s="36" t="s">
        <v>287</v>
      </c>
      <c r="F90" s="36" t="s">
        <v>286</v>
      </c>
      <c r="G90" s="36" t="s">
        <v>417</v>
      </c>
      <c r="H90" s="37">
        <v>1275.0</v>
      </c>
      <c r="I90" s="36" t="s">
        <v>402</v>
      </c>
      <c r="J90" s="36" t="s">
        <v>286</v>
      </c>
      <c r="K90" s="38"/>
      <c r="L90" s="38"/>
    </row>
    <row r="91" ht="22.5" customHeight="1">
      <c r="A91" s="36" t="s">
        <v>521</v>
      </c>
      <c r="B91" s="36" t="s">
        <v>522</v>
      </c>
      <c r="C91" s="36" t="s">
        <v>286</v>
      </c>
      <c r="D91" s="36" t="s">
        <v>286</v>
      </c>
      <c r="E91" s="36" t="s">
        <v>287</v>
      </c>
      <c r="F91" s="36" t="s">
        <v>286</v>
      </c>
      <c r="G91" s="36" t="s">
        <v>457</v>
      </c>
      <c r="H91" s="37">
        <v>8.16</v>
      </c>
      <c r="I91" s="36" t="s">
        <v>333</v>
      </c>
      <c r="J91" s="36" t="s">
        <v>286</v>
      </c>
      <c r="K91" s="38"/>
      <c r="L91" s="38"/>
    </row>
    <row r="92" ht="22.5" customHeight="1">
      <c r="A92" s="36" t="s">
        <v>523</v>
      </c>
      <c r="B92" s="36" t="s">
        <v>524</v>
      </c>
      <c r="C92" s="36" t="s">
        <v>286</v>
      </c>
      <c r="D92" s="36" t="s">
        <v>286</v>
      </c>
      <c r="E92" s="36" t="s">
        <v>287</v>
      </c>
      <c r="F92" s="36" t="s">
        <v>525</v>
      </c>
      <c r="G92" s="36" t="s">
        <v>526</v>
      </c>
      <c r="H92" s="37">
        <v>4.166</v>
      </c>
      <c r="I92" s="36" t="s">
        <v>402</v>
      </c>
      <c r="J92" s="36" t="s">
        <v>286</v>
      </c>
      <c r="K92" s="38"/>
      <c r="L92" s="38"/>
    </row>
    <row r="93" ht="22.5" customHeight="1">
      <c r="A93" s="36" t="s">
        <v>527</v>
      </c>
      <c r="B93" s="36" t="s">
        <v>528</v>
      </c>
      <c r="C93" s="36" t="s">
        <v>286</v>
      </c>
      <c r="D93" s="36" t="s">
        <v>286</v>
      </c>
      <c r="E93" s="36" t="s">
        <v>287</v>
      </c>
      <c r="F93" s="36" t="s">
        <v>529</v>
      </c>
      <c r="G93" s="36" t="s">
        <v>526</v>
      </c>
      <c r="H93" s="37">
        <v>6.703</v>
      </c>
      <c r="I93" s="36" t="s">
        <v>402</v>
      </c>
      <c r="J93" s="36" t="s">
        <v>286</v>
      </c>
      <c r="K93" s="38"/>
      <c r="L93" s="38"/>
    </row>
    <row r="94" ht="22.5" customHeight="1">
      <c r="A94" s="36" t="s">
        <v>530</v>
      </c>
      <c r="B94" s="36" t="s">
        <v>531</v>
      </c>
      <c r="C94" s="36" t="s">
        <v>286</v>
      </c>
      <c r="D94" s="36" t="s">
        <v>286</v>
      </c>
      <c r="E94" s="36" t="s">
        <v>287</v>
      </c>
      <c r="F94" s="36" t="s">
        <v>532</v>
      </c>
      <c r="G94" s="36" t="s">
        <v>533</v>
      </c>
      <c r="H94" s="37">
        <v>2.923</v>
      </c>
      <c r="I94" s="36" t="s">
        <v>402</v>
      </c>
      <c r="J94" s="36" t="s">
        <v>286</v>
      </c>
      <c r="K94" s="38"/>
      <c r="L94" s="38"/>
    </row>
    <row r="95" ht="22.5" customHeight="1">
      <c r="A95" s="36" t="s">
        <v>534</v>
      </c>
      <c r="B95" s="36" t="s">
        <v>535</v>
      </c>
      <c r="C95" s="36" t="s">
        <v>286</v>
      </c>
      <c r="D95" s="36" t="s">
        <v>286</v>
      </c>
      <c r="E95" s="36" t="s">
        <v>287</v>
      </c>
      <c r="F95" s="36" t="s">
        <v>536</v>
      </c>
      <c r="G95" s="36" t="s">
        <v>533</v>
      </c>
      <c r="H95" s="37">
        <v>3.494</v>
      </c>
      <c r="I95" s="36" t="s">
        <v>402</v>
      </c>
      <c r="J95" s="36" t="s">
        <v>286</v>
      </c>
      <c r="K95" s="38"/>
      <c r="L95" s="38"/>
    </row>
    <row r="96" ht="22.5" customHeight="1">
      <c r="A96" s="36" t="s">
        <v>537</v>
      </c>
      <c r="B96" s="36" t="s">
        <v>538</v>
      </c>
      <c r="C96" s="36" t="s">
        <v>286</v>
      </c>
      <c r="D96" s="36" t="s">
        <v>286</v>
      </c>
      <c r="E96" s="36" t="s">
        <v>287</v>
      </c>
      <c r="F96" s="36" t="s">
        <v>539</v>
      </c>
      <c r="G96" s="36" t="s">
        <v>533</v>
      </c>
      <c r="H96" s="37">
        <v>8.534</v>
      </c>
      <c r="I96" s="36" t="s">
        <v>402</v>
      </c>
      <c r="J96" s="36" t="s">
        <v>286</v>
      </c>
      <c r="K96" s="38"/>
      <c r="L96" s="38"/>
    </row>
    <row r="97" ht="22.5" customHeight="1">
      <c r="A97" s="36" t="s">
        <v>540</v>
      </c>
      <c r="B97" s="36" t="s">
        <v>541</v>
      </c>
      <c r="C97" s="36" t="s">
        <v>286</v>
      </c>
      <c r="D97" s="36" t="s">
        <v>286</v>
      </c>
      <c r="E97" s="36" t="s">
        <v>287</v>
      </c>
      <c r="F97" s="36" t="s">
        <v>542</v>
      </c>
      <c r="G97" s="36" t="s">
        <v>533</v>
      </c>
      <c r="H97" s="37">
        <v>11.323</v>
      </c>
      <c r="I97" s="36" t="s">
        <v>402</v>
      </c>
      <c r="J97" s="36" t="s">
        <v>286</v>
      </c>
      <c r="K97" s="38"/>
      <c r="L97" s="38"/>
    </row>
    <row r="98" ht="22.5" customHeight="1">
      <c r="A98" s="36" t="s">
        <v>543</v>
      </c>
      <c r="B98" s="36" t="s">
        <v>544</v>
      </c>
      <c r="C98" s="36" t="s">
        <v>286</v>
      </c>
      <c r="D98" s="36" t="s">
        <v>286</v>
      </c>
      <c r="E98" s="36" t="s">
        <v>287</v>
      </c>
      <c r="F98" s="36" t="s">
        <v>545</v>
      </c>
      <c r="G98" s="36" t="s">
        <v>533</v>
      </c>
      <c r="H98" s="37">
        <v>15.338</v>
      </c>
      <c r="I98" s="36" t="s">
        <v>402</v>
      </c>
      <c r="J98" s="36" t="s">
        <v>286</v>
      </c>
      <c r="K98" s="38"/>
      <c r="L98" s="38"/>
    </row>
    <row r="99" ht="22.5" customHeight="1">
      <c r="A99" s="36" t="s">
        <v>546</v>
      </c>
      <c r="B99" s="36" t="s">
        <v>547</v>
      </c>
      <c r="C99" s="36" t="s">
        <v>286</v>
      </c>
      <c r="D99" s="36" t="s">
        <v>286</v>
      </c>
      <c r="E99" s="36" t="s">
        <v>287</v>
      </c>
      <c r="F99" s="36" t="s">
        <v>286</v>
      </c>
      <c r="G99" s="36" t="s">
        <v>548</v>
      </c>
      <c r="H99" s="37">
        <v>27.0</v>
      </c>
      <c r="I99" s="36" t="s">
        <v>289</v>
      </c>
      <c r="J99" s="36" t="s">
        <v>286</v>
      </c>
      <c r="K99" s="38"/>
      <c r="L99" s="38"/>
    </row>
    <row r="100" ht="22.5" customHeight="1">
      <c r="A100" s="36" t="s">
        <v>549</v>
      </c>
      <c r="B100" s="36" t="s">
        <v>550</v>
      </c>
      <c r="C100" s="36" t="s">
        <v>286</v>
      </c>
      <c r="D100" s="36" t="s">
        <v>286</v>
      </c>
      <c r="E100" s="36" t="s">
        <v>287</v>
      </c>
      <c r="F100" s="36" t="s">
        <v>286</v>
      </c>
      <c r="G100" s="36" t="s">
        <v>551</v>
      </c>
      <c r="H100" s="37">
        <v>39.79</v>
      </c>
      <c r="I100" s="36" t="s">
        <v>402</v>
      </c>
      <c r="J100" s="36" t="s">
        <v>286</v>
      </c>
      <c r="K100" s="38"/>
      <c r="L100" s="38"/>
    </row>
    <row r="101" ht="22.5" customHeight="1">
      <c r="A101" s="36" t="s">
        <v>552</v>
      </c>
      <c r="B101" s="36" t="s">
        <v>553</v>
      </c>
      <c r="C101" s="36" t="s">
        <v>286</v>
      </c>
      <c r="D101" s="36" t="s">
        <v>286</v>
      </c>
      <c r="E101" s="36" t="s">
        <v>287</v>
      </c>
      <c r="F101" s="36" t="s">
        <v>554</v>
      </c>
      <c r="G101" s="36" t="s">
        <v>526</v>
      </c>
      <c r="H101" s="37">
        <v>3.427</v>
      </c>
      <c r="I101" s="36" t="s">
        <v>402</v>
      </c>
      <c r="J101" s="36" t="s">
        <v>286</v>
      </c>
      <c r="K101" s="38"/>
      <c r="L101" s="38"/>
    </row>
    <row r="102" ht="22.5" customHeight="1">
      <c r="A102" s="36" t="s">
        <v>555</v>
      </c>
      <c r="B102" s="36" t="s">
        <v>556</v>
      </c>
      <c r="C102" s="36" t="s">
        <v>286</v>
      </c>
      <c r="D102" s="36" t="s">
        <v>286</v>
      </c>
      <c r="E102" s="36" t="s">
        <v>287</v>
      </c>
      <c r="F102" s="36" t="s">
        <v>557</v>
      </c>
      <c r="G102" s="36" t="s">
        <v>526</v>
      </c>
      <c r="H102" s="37">
        <v>13.507</v>
      </c>
      <c r="I102" s="36" t="s">
        <v>402</v>
      </c>
      <c r="J102" s="36" t="s">
        <v>286</v>
      </c>
      <c r="K102" s="38"/>
      <c r="L102" s="38"/>
    </row>
    <row r="103" ht="22.5" customHeight="1">
      <c r="A103" s="36" t="s">
        <v>558</v>
      </c>
      <c r="B103" s="36" t="s">
        <v>559</v>
      </c>
      <c r="C103" s="36" t="s">
        <v>286</v>
      </c>
      <c r="D103" s="36" t="s">
        <v>286</v>
      </c>
      <c r="E103" s="36" t="s">
        <v>287</v>
      </c>
      <c r="F103" s="36" t="s">
        <v>286</v>
      </c>
      <c r="G103" s="36" t="s">
        <v>477</v>
      </c>
      <c r="H103" s="37">
        <v>0.17</v>
      </c>
      <c r="I103" s="36" t="s">
        <v>402</v>
      </c>
      <c r="J103" s="36" t="s">
        <v>286</v>
      </c>
      <c r="K103" s="38"/>
      <c r="L103" s="38"/>
    </row>
    <row r="104" ht="22.5" customHeight="1">
      <c r="A104" s="36" t="s">
        <v>560</v>
      </c>
      <c r="B104" s="36" t="s">
        <v>561</v>
      </c>
      <c r="C104" s="36" t="s">
        <v>286</v>
      </c>
      <c r="D104" s="36" t="s">
        <v>286</v>
      </c>
      <c r="E104" s="36" t="s">
        <v>287</v>
      </c>
      <c r="F104" s="36" t="s">
        <v>562</v>
      </c>
      <c r="G104" s="36" t="s">
        <v>526</v>
      </c>
      <c r="H104" s="37">
        <v>8.602</v>
      </c>
      <c r="I104" s="36" t="s">
        <v>402</v>
      </c>
      <c r="J104" s="36" t="s">
        <v>286</v>
      </c>
      <c r="K104" s="38"/>
      <c r="L104" s="38"/>
    </row>
    <row r="105" ht="22.5" customHeight="1">
      <c r="A105" s="36" t="s">
        <v>563</v>
      </c>
      <c r="B105" s="36" t="s">
        <v>564</v>
      </c>
      <c r="C105" s="36" t="s">
        <v>286</v>
      </c>
      <c r="D105" s="36" t="s">
        <v>286</v>
      </c>
      <c r="E105" s="36" t="s">
        <v>287</v>
      </c>
      <c r="F105" s="36" t="s">
        <v>286</v>
      </c>
      <c r="G105" s="36" t="s">
        <v>401</v>
      </c>
      <c r="H105" s="37">
        <v>2.21</v>
      </c>
      <c r="I105" s="36" t="s">
        <v>402</v>
      </c>
      <c r="J105" s="36" t="s">
        <v>286</v>
      </c>
      <c r="K105" s="38"/>
      <c r="L105" s="38"/>
    </row>
    <row r="106" ht="22.5" customHeight="1">
      <c r="A106" s="36" t="s">
        <v>565</v>
      </c>
      <c r="B106" s="36" t="s">
        <v>566</v>
      </c>
      <c r="C106" s="36" t="s">
        <v>286</v>
      </c>
      <c r="D106" s="36" t="s">
        <v>286</v>
      </c>
      <c r="E106" s="36" t="s">
        <v>287</v>
      </c>
      <c r="F106" s="36" t="s">
        <v>286</v>
      </c>
      <c r="G106" s="36" t="s">
        <v>567</v>
      </c>
      <c r="H106" s="37">
        <v>5.89</v>
      </c>
      <c r="I106" s="36" t="s">
        <v>402</v>
      </c>
      <c r="J106" s="36" t="s">
        <v>286</v>
      </c>
      <c r="K106" s="38"/>
      <c r="L106" s="38"/>
    </row>
    <row r="107" ht="22.5" customHeight="1">
      <c r="A107" s="36" t="s">
        <v>568</v>
      </c>
      <c r="B107" s="36" t="s">
        <v>569</v>
      </c>
      <c r="C107" s="36" t="s">
        <v>286</v>
      </c>
      <c r="D107" s="36" t="s">
        <v>286</v>
      </c>
      <c r="E107" s="36" t="s">
        <v>287</v>
      </c>
      <c r="F107" s="36" t="s">
        <v>286</v>
      </c>
      <c r="G107" s="36" t="s">
        <v>488</v>
      </c>
      <c r="H107" s="37">
        <v>2.99</v>
      </c>
      <c r="I107" s="36" t="s">
        <v>333</v>
      </c>
      <c r="J107" s="36" t="s">
        <v>286</v>
      </c>
      <c r="K107" s="38"/>
      <c r="L107" s="38"/>
    </row>
    <row r="108" ht="22.5" customHeight="1">
      <c r="A108" s="36" t="s">
        <v>570</v>
      </c>
      <c r="B108" s="36" t="s">
        <v>571</v>
      </c>
      <c r="C108" s="36" t="s">
        <v>286</v>
      </c>
      <c r="D108" s="36" t="s">
        <v>286</v>
      </c>
      <c r="E108" s="36" t="s">
        <v>287</v>
      </c>
      <c r="F108" s="36" t="s">
        <v>286</v>
      </c>
      <c r="G108" s="36" t="s">
        <v>572</v>
      </c>
      <c r="H108" s="37">
        <v>10.37</v>
      </c>
      <c r="I108" s="36" t="s">
        <v>333</v>
      </c>
      <c r="J108" s="36" t="s">
        <v>286</v>
      </c>
      <c r="K108" s="38"/>
      <c r="L108" s="38"/>
    </row>
    <row r="109" ht="22.5" customHeight="1">
      <c r="A109" s="36" t="s">
        <v>573</v>
      </c>
      <c r="B109" s="36" t="s">
        <v>574</v>
      </c>
      <c r="C109" s="36" t="s">
        <v>286</v>
      </c>
      <c r="D109" s="36" t="s">
        <v>286</v>
      </c>
      <c r="E109" s="36" t="s">
        <v>287</v>
      </c>
      <c r="F109" s="36" t="s">
        <v>286</v>
      </c>
      <c r="G109" s="36" t="s">
        <v>551</v>
      </c>
      <c r="H109" s="37">
        <v>200.0</v>
      </c>
      <c r="I109" s="36" t="s">
        <v>402</v>
      </c>
      <c r="J109" s="36" t="s">
        <v>286</v>
      </c>
      <c r="K109" s="38"/>
      <c r="L109" s="38"/>
    </row>
    <row r="110" ht="22.5" customHeight="1">
      <c r="A110" s="36" t="s">
        <v>575</v>
      </c>
      <c r="B110" s="36" t="s">
        <v>576</v>
      </c>
      <c r="C110" s="36" t="s">
        <v>286</v>
      </c>
      <c r="D110" s="36" t="s">
        <v>286</v>
      </c>
      <c r="E110" s="36" t="s">
        <v>287</v>
      </c>
      <c r="F110" s="36" t="s">
        <v>286</v>
      </c>
      <c r="G110" s="36" t="s">
        <v>577</v>
      </c>
      <c r="H110" s="37">
        <v>15.97</v>
      </c>
      <c r="I110" s="36" t="s">
        <v>402</v>
      </c>
      <c r="J110" s="36" t="s">
        <v>286</v>
      </c>
      <c r="K110" s="38"/>
      <c r="L110" s="38"/>
    </row>
    <row r="111" ht="22.5" customHeight="1">
      <c r="A111" s="36" t="s">
        <v>578</v>
      </c>
      <c r="B111" s="36" t="s">
        <v>579</v>
      </c>
      <c r="C111" s="36" t="s">
        <v>286</v>
      </c>
      <c r="D111" s="36" t="s">
        <v>286</v>
      </c>
      <c r="E111" s="36" t="s">
        <v>287</v>
      </c>
      <c r="F111" s="36" t="s">
        <v>286</v>
      </c>
      <c r="G111" s="36" t="s">
        <v>580</v>
      </c>
      <c r="H111" s="37">
        <v>65.67</v>
      </c>
      <c r="I111" s="36" t="s">
        <v>402</v>
      </c>
      <c r="J111" s="36" t="s">
        <v>286</v>
      </c>
      <c r="K111" s="38"/>
      <c r="L111" s="38"/>
    </row>
    <row r="112" ht="22.5" customHeight="1">
      <c r="A112" s="36" t="s">
        <v>581</v>
      </c>
      <c r="B112" s="36" t="s">
        <v>582</v>
      </c>
      <c r="C112" s="36" t="s">
        <v>286</v>
      </c>
      <c r="D112" s="36" t="s">
        <v>286</v>
      </c>
      <c r="E112" s="36" t="s">
        <v>287</v>
      </c>
      <c r="F112" s="36" t="s">
        <v>286</v>
      </c>
      <c r="G112" s="36" t="s">
        <v>580</v>
      </c>
      <c r="H112" s="37">
        <v>52.8</v>
      </c>
      <c r="I112" s="36" t="s">
        <v>402</v>
      </c>
      <c r="J112" s="36" t="s">
        <v>286</v>
      </c>
      <c r="K112" s="38"/>
      <c r="L112" s="38"/>
    </row>
    <row r="113" ht="22.5" customHeight="1">
      <c r="A113" s="36" t="s">
        <v>583</v>
      </c>
      <c r="B113" s="36" t="s">
        <v>584</v>
      </c>
      <c r="C113" s="36" t="s">
        <v>286</v>
      </c>
      <c r="D113" s="36" t="s">
        <v>286</v>
      </c>
      <c r="E113" s="36" t="s">
        <v>287</v>
      </c>
      <c r="F113" s="36" t="s">
        <v>286</v>
      </c>
      <c r="G113" s="36" t="s">
        <v>477</v>
      </c>
      <c r="H113" s="37">
        <v>0.2</v>
      </c>
      <c r="I113" s="36" t="s">
        <v>402</v>
      </c>
      <c r="J113" s="36" t="s">
        <v>286</v>
      </c>
      <c r="K113" s="38"/>
      <c r="L113" s="38"/>
    </row>
    <row r="114" ht="22.5" customHeight="1">
      <c r="A114" s="36" t="s">
        <v>585</v>
      </c>
      <c r="B114" s="36" t="s">
        <v>586</v>
      </c>
      <c r="C114" s="36" t="s">
        <v>286</v>
      </c>
      <c r="D114" s="36" t="s">
        <v>286</v>
      </c>
      <c r="E114" s="36" t="s">
        <v>287</v>
      </c>
      <c r="F114" s="36" t="s">
        <v>286</v>
      </c>
      <c r="G114" s="36" t="s">
        <v>477</v>
      </c>
      <c r="H114" s="37">
        <v>1.02</v>
      </c>
      <c r="I114" s="36" t="s">
        <v>402</v>
      </c>
      <c r="J114" s="36" t="s">
        <v>286</v>
      </c>
      <c r="K114" s="38"/>
      <c r="L114" s="38"/>
    </row>
    <row r="115" ht="22.5" customHeight="1">
      <c r="A115" s="36" t="s">
        <v>587</v>
      </c>
      <c r="B115" s="36" t="s">
        <v>588</v>
      </c>
      <c r="C115" s="36" t="s">
        <v>286</v>
      </c>
      <c r="D115" s="36" t="s">
        <v>286</v>
      </c>
      <c r="E115" s="36" t="s">
        <v>287</v>
      </c>
      <c r="F115" s="36" t="s">
        <v>286</v>
      </c>
      <c r="G115" s="36" t="s">
        <v>477</v>
      </c>
      <c r="H115" s="37">
        <v>1.74</v>
      </c>
      <c r="I115" s="36" t="s">
        <v>402</v>
      </c>
      <c r="J115" s="36" t="s">
        <v>286</v>
      </c>
      <c r="K115" s="38"/>
      <c r="L115" s="38"/>
    </row>
    <row r="116" ht="22.5" customHeight="1">
      <c r="A116" s="36" t="s">
        <v>589</v>
      </c>
      <c r="B116" s="36" t="s">
        <v>590</v>
      </c>
      <c r="C116" s="36" t="s">
        <v>286</v>
      </c>
      <c r="D116" s="36" t="s">
        <v>286</v>
      </c>
      <c r="E116" s="36" t="s">
        <v>287</v>
      </c>
      <c r="F116" s="36" t="s">
        <v>286</v>
      </c>
      <c r="G116" s="36" t="s">
        <v>591</v>
      </c>
      <c r="H116" s="37">
        <v>45.0</v>
      </c>
      <c r="I116" s="36" t="s">
        <v>333</v>
      </c>
      <c r="J116" s="36" t="s">
        <v>286</v>
      </c>
      <c r="K116" s="38"/>
      <c r="L116" s="38"/>
    </row>
    <row r="117" ht="22.5" customHeight="1">
      <c r="A117" s="36" t="s">
        <v>592</v>
      </c>
      <c r="B117" s="36" t="s">
        <v>593</v>
      </c>
      <c r="C117" s="36" t="s">
        <v>286</v>
      </c>
      <c r="D117" s="36" t="s">
        <v>286</v>
      </c>
      <c r="E117" s="36" t="s">
        <v>287</v>
      </c>
      <c r="F117" s="36" t="s">
        <v>286</v>
      </c>
      <c r="G117" s="36" t="s">
        <v>594</v>
      </c>
      <c r="H117" s="37">
        <v>36.5</v>
      </c>
      <c r="I117" s="36" t="s">
        <v>402</v>
      </c>
      <c r="J117" s="36" t="s">
        <v>286</v>
      </c>
      <c r="K117" s="38"/>
      <c r="L117" s="38"/>
    </row>
    <row r="118" ht="22.5" customHeight="1">
      <c r="A118" s="36" t="s">
        <v>595</v>
      </c>
      <c r="B118" s="36" t="s">
        <v>596</v>
      </c>
      <c r="C118" s="36" t="s">
        <v>286</v>
      </c>
      <c r="D118" s="36" t="s">
        <v>286</v>
      </c>
      <c r="E118" s="36" t="s">
        <v>287</v>
      </c>
      <c r="F118" s="36" t="s">
        <v>286</v>
      </c>
      <c r="G118" s="36" t="s">
        <v>401</v>
      </c>
      <c r="H118" s="37">
        <v>25.6</v>
      </c>
      <c r="I118" s="36" t="s">
        <v>597</v>
      </c>
      <c r="J118" s="36" t="s">
        <v>286</v>
      </c>
      <c r="K118" s="38"/>
      <c r="L118" s="38"/>
    </row>
    <row r="119" ht="22.5" customHeight="1">
      <c r="A119" s="36" t="s">
        <v>598</v>
      </c>
      <c r="B119" s="36" t="s">
        <v>599</v>
      </c>
      <c r="C119" s="36" t="s">
        <v>286</v>
      </c>
      <c r="D119" s="36" t="s">
        <v>286</v>
      </c>
      <c r="E119" s="36" t="s">
        <v>287</v>
      </c>
      <c r="F119" s="36" t="s">
        <v>286</v>
      </c>
      <c r="G119" s="36" t="s">
        <v>600</v>
      </c>
      <c r="H119" s="37">
        <v>36.9</v>
      </c>
      <c r="I119" s="36" t="s">
        <v>289</v>
      </c>
      <c r="J119" s="36" t="s">
        <v>286</v>
      </c>
      <c r="K119" s="38"/>
      <c r="L119" s="38"/>
    </row>
    <row r="120" ht="22.5" customHeight="1">
      <c r="A120" s="36" t="s">
        <v>601</v>
      </c>
      <c r="B120" s="36" t="s">
        <v>602</v>
      </c>
      <c r="C120" s="36" t="s">
        <v>286</v>
      </c>
      <c r="D120" s="36" t="s">
        <v>286</v>
      </c>
      <c r="E120" s="36" t="s">
        <v>287</v>
      </c>
      <c r="F120" s="36" t="s">
        <v>286</v>
      </c>
      <c r="G120" s="36" t="s">
        <v>414</v>
      </c>
      <c r="H120" s="37">
        <v>37.0</v>
      </c>
      <c r="I120" s="36" t="s">
        <v>289</v>
      </c>
      <c r="J120" s="36" t="s">
        <v>286</v>
      </c>
      <c r="K120" s="38"/>
      <c r="L120" s="38"/>
    </row>
    <row r="121" ht="22.5" customHeight="1">
      <c r="A121" s="36" t="s">
        <v>603</v>
      </c>
      <c r="B121" s="36" t="s">
        <v>604</v>
      </c>
      <c r="C121" s="36" t="s">
        <v>286</v>
      </c>
      <c r="D121" s="36" t="s">
        <v>286</v>
      </c>
      <c r="E121" s="36" t="s">
        <v>287</v>
      </c>
      <c r="F121" s="36" t="s">
        <v>286</v>
      </c>
      <c r="G121" s="36" t="s">
        <v>414</v>
      </c>
      <c r="H121" s="37">
        <v>46.6</v>
      </c>
      <c r="I121" s="36" t="s">
        <v>289</v>
      </c>
      <c r="J121" s="36" t="s">
        <v>286</v>
      </c>
      <c r="K121" s="38"/>
      <c r="L121" s="38"/>
    </row>
    <row r="122" ht="22.5" customHeight="1">
      <c r="A122" s="36" t="s">
        <v>605</v>
      </c>
      <c r="B122" s="36" t="s">
        <v>606</v>
      </c>
      <c r="C122" s="36" t="s">
        <v>286</v>
      </c>
      <c r="D122" s="36" t="s">
        <v>286</v>
      </c>
      <c r="E122" s="36" t="s">
        <v>287</v>
      </c>
      <c r="F122" s="36" t="s">
        <v>286</v>
      </c>
      <c r="G122" s="36" t="s">
        <v>607</v>
      </c>
      <c r="H122" s="37">
        <v>18.73</v>
      </c>
      <c r="I122" s="36" t="s">
        <v>402</v>
      </c>
      <c r="J122" s="36" t="s">
        <v>286</v>
      </c>
      <c r="K122" s="38"/>
      <c r="L122" s="38"/>
    </row>
    <row r="123" ht="22.5" customHeight="1">
      <c r="A123" s="36" t="s">
        <v>608</v>
      </c>
      <c r="B123" s="36" t="s">
        <v>609</v>
      </c>
      <c r="C123" s="36" t="s">
        <v>286</v>
      </c>
      <c r="D123" s="36" t="s">
        <v>286</v>
      </c>
      <c r="E123" s="36" t="s">
        <v>287</v>
      </c>
      <c r="F123" s="36" t="s">
        <v>286</v>
      </c>
      <c r="G123" s="36" t="s">
        <v>477</v>
      </c>
      <c r="H123" s="37">
        <v>0.1</v>
      </c>
      <c r="I123" s="36" t="s">
        <v>402</v>
      </c>
      <c r="J123" s="36" t="s">
        <v>286</v>
      </c>
      <c r="K123" s="38"/>
      <c r="L123" s="38"/>
    </row>
    <row r="124" ht="22.5" customHeight="1">
      <c r="A124" s="36" t="s">
        <v>610</v>
      </c>
      <c r="B124" s="36" t="s">
        <v>611</v>
      </c>
      <c r="C124" s="36" t="s">
        <v>286</v>
      </c>
      <c r="D124" s="36" t="s">
        <v>286</v>
      </c>
      <c r="E124" s="36" t="s">
        <v>287</v>
      </c>
      <c r="F124" s="36" t="s">
        <v>286</v>
      </c>
      <c r="G124" s="36" t="s">
        <v>477</v>
      </c>
      <c r="H124" s="37">
        <v>0.11</v>
      </c>
      <c r="I124" s="36" t="s">
        <v>402</v>
      </c>
      <c r="J124" s="36" t="s">
        <v>286</v>
      </c>
      <c r="K124" s="38"/>
      <c r="L124" s="38"/>
    </row>
    <row r="125" ht="22.5" customHeight="1">
      <c r="A125" s="36" t="s">
        <v>612</v>
      </c>
      <c r="B125" s="36" t="s">
        <v>613</v>
      </c>
      <c r="C125" s="36" t="s">
        <v>286</v>
      </c>
      <c r="D125" s="36" t="s">
        <v>286</v>
      </c>
      <c r="E125" s="36" t="s">
        <v>287</v>
      </c>
      <c r="F125" s="36" t="s">
        <v>286</v>
      </c>
      <c r="G125" s="36" t="s">
        <v>477</v>
      </c>
      <c r="H125" s="37">
        <v>0.12</v>
      </c>
      <c r="I125" s="36" t="s">
        <v>402</v>
      </c>
      <c r="J125" s="36" t="s">
        <v>286</v>
      </c>
      <c r="K125" s="38"/>
      <c r="L125" s="38"/>
    </row>
    <row r="126" ht="22.5" customHeight="1">
      <c r="A126" s="36" t="s">
        <v>614</v>
      </c>
      <c r="B126" s="36" t="s">
        <v>615</v>
      </c>
      <c r="C126" s="36" t="s">
        <v>286</v>
      </c>
      <c r="D126" s="36" t="s">
        <v>286</v>
      </c>
      <c r="E126" s="36" t="s">
        <v>287</v>
      </c>
      <c r="F126" s="36" t="s">
        <v>286</v>
      </c>
      <c r="G126" s="36" t="s">
        <v>567</v>
      </c>
      <c r="H126" s="37">
        <v>9.98</v>
      </c>
      <c r="I126" s="36" t="s">
        <v>402</v>
      </c>
      <c r="J126" s="36" t="s">
        <v>286</v>
      </c>
      <c r="K126" s="38"/>
      <c r="L126" s="38"/>
    </row>
    <row r="127" ht="22.5" customHeight="1">
      <c r="A127" s="36" t="s">
        <v>616</v>
      </c>
      <c r="B127" s="36" t="s">
        <v>617</v>
      </c>
      <c r="C127" s="36" t="s">
        <v>286</v>
      </c>
      <c r="D127" s="36" t="s">
        <v>286</v>
      </c>
      <c r="E127" s="36" t="s">
        <v>287</v>
      </c>
      <c r="F127" s="36" t="s">
        <v>286</v>
      </c>
      <c r="G127" s="36" t="s">
        <v>477</v>
      </c>
      <c r="H127" s="37">
        <v>0.17</v>
      </c>
      <c r="I127" s="36" t="s">
        <v>402</v>
      </c>
      <c r="J127" s="36" t="s">
        <v>286</v>
      </c>
      <c r="K127" s="38"/>
      <c r="L127" s="38"/>
    </row>
    <row r="128" ht="22.5" customHeight="1">
      <c r="A128" s="36" t="s">
        <v>618</v>
      </c>
      <c r="B128" s="36" t="s">
        <v>619</v>
      </c>
      <c r="C128" s="36" t="s">
        <v>286</v>
      </c>
      <c r="D128" s="36" t="s">
        <v>286</v>
      </c>
      <c r="E128" s="36" t="s">
        <v>287</v>
      </c>
      <c r="F128" s="36" t="s">
        <v>620</v>
      </c>
      <c r="G128" s="36" t="s">
        <v>621</v>
      </c>
      <c r="H128" s="37">
        <v>112.32</v>
      </c>
      <c r="I128" s="36" t="s">
        <v>402</v>
      </c>
      <c r="J128" s="36" t="s">
        <v>286</v>
      </c>
      <c r="K128" s="38"/>
      <c r="L128" s="38"/>
    </row>
    <row r="129" ht="22.5" customHeight="1">
      <c r="A129" s="36" t="s">
        <v>622</v>
      </c>
      <c r="B129" s="36" t="s">
        <v>623</v>
      </c>
      <c r="C129" s="36" t="s">
        <v>286</v>
      </c>
      <c r="D129" s="36" t="s">
        <v>286</v>
      </c>
      <c r="E129" s="36" t="s">
        <v>287</v>
      </c>
      <c r="F129" s="36" t="s">
        <v>624</v>
      </c>
      <c r="G129" s="36" t="s">
        <v>625</v>
      </c>
      <c r="H129" s="37">
        <v>9.966</v>
      </c>
      <c r="I129" s="36" t="s">
        <v>402</v>
      </c>
      <c r="J129" s="36" t="s">
        <v>286</v>
      </c>
      <c r="K129" s="38"/>
      <c r="L129" s="38"/>
    </row>
    <row r="130" ht="22.5" customHeight="1">
      <c r="A130" s="36" t="s">
        <v>626</v>
      </c>
      <c r="B130" s="36" t="s">
        <v>627</v>
      </c>
      <c r="C130" s="36" t="s">
        <v>286</v>
      </c>
      <c r="D130" s="36" t="s">
        <v>286</v>
      </c>
      <c r="E130" s="36" t="s">
        <v>287</v>
      </c>
      <c r="F130" s="36" t="s">
        <v>286</v>
      </c>
      <c r="G130" s="36" t="s">
        <v>401</v>
      </c>
      <c r="H130" s="37">
        <v>0.95</v>
      </c>
      <c r="I130" s="36" t="s">
        <v>402</v>
      </c>
      <c r="J130" s="36" t="s">
        <v>286</v>
      </c>
      <c r="K130" s="38"/>
      <c r="L130" s="38"/>
    </row>
    <row r="131" ht="22.5" customHeight="1">
      <c r="A131" s="36" t="s">
        <v>628</v>
      </c>
      <c r="B131" s="36" t="s">
        <v>629</v>
      </c>
      <c r="C131" s="36" t="s">
        <v>286</v>
      </c>
      <c r="D131" s="36" t="s">
        <v>286</v>
      </c>
      <c r="E131" s="36" t="s">
        <v>287</v>
      </c>
      <c r="F131" s="36" t="s">
        <v>286</v>
      </c>
      <c r="G131" s="36" t="s">
        <v>488</v>
      </c>
      <c r="H131" s="37">
        <v>0.15</v>
      </c>
      <c r="I131" s="36" t="s">
        <v>402</v>
      </c>
      <c r="J131" s="36" t="s">
        <v>286</v>
      </c>
      <c r="K131" s="38"/>
      <c r="L131" s="38"/>
    </row>
    <row r="132" ht="22.5" customHeight="1">
      <c r="A132" s="36" t="s">
        <v>630</v>
      </c>
      <c r="B132" s="36" t="s">
        <v>631</v>
      </c>
      <c r="C132" s="36" t="s">
        <v>286</v>
      </c>
      <c r="D132" s="36" t="s">
        <v>286</v>
      </c>
      <c r="E132" s="36" t="s">
        <v>287</v>
      </c>
      <c r="F132" s="36" t="s">
        <v>286</v>
      </c>
      <c r="G132" s="36" t="s">
        <v>494</v>
      </c>
      <c r="H132" s="37">
        <v>0.04</v>
      </c>
      <c r="I132" s="36" t="s">
        <v>402</v>
      </c>
      <c r="J132" s="36" t="s">
        <v>286</v>
      </c>
      <c r="K132" s="38"/>
      <c r="L132" s="38"/>
    </row>
    <row r="133" ht="22.5" customHeight="1">
      <c r="A133" s="36" t="s">
        <v>632</v>
      </c>
      <c r="B133" s="36" t="s">
        <v>633</v>
      </c>
      <c r="C133" s="36" t="s">
        <v>286</v>
      </c>
      <c r="D133" s="36" t="s">
        <v>286</v>
      </c>
      <c r="E133" s="36" t="s">
        <v>287</v>
      </c>
      <c r="F133" s="36" t="s">
        <v>286</v>
      </c>
      <c r="G133" s="36" t="s">
        <v>494</v>
      </c>
      <c r="H133" s="37">
        <v>0.08</v>
      </c>
      <c r="I133" s="36" t="s">
        <v>402</v>
      </c>
      <c r="J133" s="36" t="s">
        <v>286</v>
      </c>
      <c r="K133" s="38"/>
      <c r="L133" s="38"/>
    </row>
    <row r="134" ht="22.5" customHeight="1">
      <c r="A134" s="36" t="s">
        <v>634</v>
      </c>
      <c r="B134" s="36" t="s">
        <v>635</v>
      </c>
      <c r="C134" s="36" t="s">
        <v>286</v>
      </c>
      <c r="D134" s="36" t="s">
        <v>286</v>
      </c>
      <c r="E134" s="36" t="s">
        <v>287</v>
      </c>
      <c r="F134" s="36" t="s">
        <v>286</v>
      </c>
      <c r="G134" s="36" t="s">
        <v>494</v>
      </c>
      <c r="H134" s="37">
        <v>0.13</v>
      </c>
      <c r="I134" s="36" t="s">
        <v>402</v>
      </c>
      <c r="J134" s="36" t="s">
        <v>286</v>
      </c>
      <c r="K134" s="38"/>
      <c r="L134" s="38"/>
    </row>
    <row r="135" ht="22.5" customHeight="1">
      <c r="A135" s="36" t="s">
        <v>636</v>
      </c>
      <c r="B135" s="36" t="s">
        <v>637</v>
      </c>
      <c r="C135" s="36" t="s">
        <v>286</v>
      </c>
      <c r="D135" s="36" t="s">
        <v>286</v>
      </c>
      <c r="E135" s="36" t="s">
        <v>287</v>
      </c>
      <c r="F135" s="36" t="s">
        <v>286</v>
      </c>
      <c r="G135" s="36" t="s">
        <v>488</v>
      </c>
      <c r="H135" s="37">
        <v>0.15</v>
      </c>
      <c r="I135" s="36" t="s">
        <v>402</v>
      </c>
      <c r="J135" s="36" t="s">
        <v>286</v>
      </c>
      <c r="K135" s="38"/>
      <c r="L135" s="38"/>
    </row>
    <row r="136" ht="22.5" customHeight="1">
      <c r="A136" s="36" t="s">
        <v>638</v>
      </c>
      <c r="B136" s="36" t="s">
        <v>639</v>
      </c>
      <c r="C136" s="36" t="s">
        <v>286</v>
      </c>
      <c r="D136" s="36" t="s">
        <v>286</v>
      </c>
      <c r="E136" s="36" t="s">
        <v>287</v>
      </c>
      <c r="F136" s="36" t="s">
        <v>286</v>
      </c>
      <c r="G136" s="36" t="s">
        <v>488</v>
      </c>
      <c r="H136" s="37">
        <v>0.13</v>
      </c>
      <c r="I136" s="36" t="s">
        <v>402</v>
      </c>
      <c r="J136" s="36" t="s">
        <v>286</v>
      </c>
      <c r="K136" s="38"/>
      <c r="L136" s="38"/>
    </row>
    <row r="137" ht="22.5" customHeight="1">
      <c r="A137" s="36" t="s">
        <v>640</v>
      </c>
      <c r="B137" s="36" t="s">
        <v>641</v>
      </c>
      <c r="C137" s="36" t="s">
        <v>286</v>
      </c>
      <c r="D137" s="36" t="s">
        <v>286</v>
      </c>
      <c r="E137" s="36" t="s">
        <v>287</v>
      </c>
      <c r="F137" s="36" t="s">
        <v>642</v>
      </c>
      <c r="G137" s="36" t="s">
        <v>643</v>
      </c>
      <c r="H137" s="37">
        <v>5.58</v>
      </c>
      <c r="I137" s="36" t="s">
        <v>644</v>
      </c>
      <c r="J137" s="36" t="s">
        <v>286</v>
      </c>
      <c r="K137" s="38"/>
      <c r="L137" s="38"/>
    </row>
    <row r="138" ht="22.5" customHeight="1">
      <c r="A138" s="36" t="s">
        <v>645</v>
      </c>
      <c r="B138" s="36" t="s">
        <v>646</v>
      </c>
      <c r="C138" s="36" t="s">
        <v>286</v>
      </c>
      <c r="D138" s="36" t="s">
        <v>286</v>
      </c>
      <c r="E138" s="36" t="s">
        <v>287</v>
      </c>
      <c r="F138" s="36" t="s">
        <v>286</v>
      </c>
      <c r="G138" s="36" t="s">
        <v>488</v>
      </c>
      <c r="H138" s="37">
        <v>0.81</v>
      </c>
      <c r="I138" s="36" t="s">
        <v>402</v>
      </c>
      <c r="J138" s="36" t="s">
        <v>286</v>
      </c>
      <c r="K138" s="38"/>
      <c r="L138" s="38"/>
    </row>
    <row r="139" ht="22.5" customHeight="1">
      <c r="A139" s="36" t="s">
        <v>647</v>
      </c>
      <c r="B139" s="36" t="s">
        <v>648</v>
      </c>
      <c r="C139" s="36" t="s">
        <v>286</v>
      </c>
      <c r="D139" s="36" t="s">
        <v>286</v>
      </c>
      <c r="E139" s="36" t="s">
        <v>287</v>
      </c>
      <c r="F139" s="36" t="s">
        <v>286</v>
      </c>
      <c r="G139" s="36" t="s">
        <v>488</v>
      </c>
      <c r="H139" s="37">
        <v>1.33</v>
      </c>
      <c r="I139" s="36" t="s">
        <v>402</v>
      </c>
      <c r="J139" s="36" t="s">
        <v>286</v>
      </c>
      <c r="K139" s="38"/>
      <c r="L139" s="38"/>
    </row>
    <row r="140" ht="22.5" customHeight="1">
      <c r="A140" s="36" t="s">
        <v>649</v>
      </c>
      <c r="B140" s="36" t="s">
        <v>650</v>
      </c>
      <c r="C140" s="36" t="s">
        <v>286</v>
      </c>
      <c r="D140" s="36" t="s">
        <v>286</v>
      </c>
      <c r="E140" s="36" t="s">
        <v>287</v>
      </c>
      <c r="F140" s="36" t="s">
        <v>286</v>
      </c>
      <c r="G140" s="36" t="s">
        <v>477</v>
      </c>
      <c r="H140" s="37">
        <v>0.26</v>
      </c>
      <c r="I140" s="36" t="s">
        <v>402</v>
      </c>
      <c r="J140" s="36" t="s">
        <v>286</v>
      </c>
      <c r="K140" s="38"/>
      <c r="L140" s="38"/>
    </row>
    <row r="141" ht="22.5" customHeight="1">
      <c r="A141" s="36" t="s">
        <v>651</v>
      </c>
      <c r="B141" s="36" t="s">
        <v>652</v>
      </c>
      <c r="C141" s="36" t="s">
        <v>286</v>
      </c>
      <c r="D141" s="36" t="s">
        <v>286</v>
      </c>
      <c r="E141" s="36" t="s">
        <v>287</v>
      </c>
      <c r="F141" s="36" t="s">
        <v>286</v>
      </c>
      <c r="G141" s="36" t="s">
        <v>488</v>
      </c>
      <c r="H141" s="37">
        <v>0.24</v>
      </c>
      <c r="I141" s="36" t="s">
        <v>402</v>
      </c>
      <c r="J141" s="36" t="s">
        <v>286</v>
      </c>
      <c r="K141" s="38"/>
      <c r="L141" s="38"/>
    </row>
    <row r="142" ht="22.5" customHeight="1">
      <c r="A142" s="36" t="s">
        <v>653</v>
      </c>
      <c r="B142" s="36" t="s">
        <v>654</v>
      </c>
      <c r="C142" s="36" t="s">
        <v>286</v>
      </c>
      <c r="D142" s="36" t="s">
        <v>286</v>
      </c>
      <c r="E142" s="36" t="s">
        <v>287</v>
      </c>
      <c r="F142" s="36" t="s">
        <v>286</v>
      </c>
      <c r="G142" s="36" t="s">
        <v>477</v>
      </c>
      <c r="H142" s="37">
        <v>0.2</v>
      </c>
      <c r="I142" s="36" t="s">
        <v>402</v>
      </c>
      <c r="J142" s="36" t="s">
        <v>286</v>
      </c>
      <c r="K142" s="38"/>
      <c r="L142" s="38"/>
    </row>
    <row r="143" ht="22.5" customHeight="1">
      <c r="A143" s="36" t="s">
        <v>655</v>
      </c>
      <c r="B143" s="36" t="s">
        <v>656</v>
      </c>
      <c r="C143" s="36" t="s">
        <v>286</v>
      </c>
      <c r="D143" s="36" t="s">
        <v>286</v>
      </c>
      <c r="E143" s="36" t="s">
        <v>287</v>
      </c>
      <c r="F143" s="36" t="s">
        <v>286</v>
      </c>
      <c r="G143" s="36" t="s">
        <v>494</v>
      </c>
      <c r="H143" s="37">
        <v>0.21</v>
      </c>
      <c r="I143" s="36" t="s">
        <v>402</v>
      </c>
      <c r="J143" s="36" t="s">
        <v>286</v>
      </c>
      <c r="K143" s="38"/>
      <c r="L143" s="38"/>
    </row>
    <row r="144" ht="22.5" customHeight="1">
      <c r="A144" s="36" t="s">
        <v>657</v>
      </c>
      <c r="B144" s="36" t="s">
        <v>658</v>
      </c>
      <c r="C144" s="36" t="s">
        <v>286</v>
      </c>
      <c r="D144" s="36" t="s">
        <v>286</v>
      </c>
      <c r="E144" s="36" t="s">
        <v>287</v>
      </c>
      <c r="F144" s="36" t="s">
        <v>286</v>
      </c>
      <c r="G144" s="36" t="s">
        <v>659</v>
      </c>
      <c r="H144" s="37">
        <v>135.8</v>
      </c>
      <c r="I144" s="36" t="s">
        <v>402</v>
      </c>
      <c r="J144" s="36" t="s">
        <v>286</v>
      </c>
      <c r="K144" s="38"/>
      <c r="L144" s="38"/>
    </row>
    <row r="145" ht="22.5" customHeight="1">
      <c r="A145" s="36" t="s">
        <v>660</v>
      </c>
      <c r="B145" s="36" t="s">
        <v>661</v>
      </c>
      <c r="C145" s="36" t="s">
        <v>286</v>
      </c>
      <c r="D145" s="36" t="s">
        <v>286</v>
      </c>
      <c r="E145" s="36" t="s">
        <v>287</v>
      </c>
      <c r="F145" s="36" t="s">
        <v>286</v>
      </c>
      <c r="G145" s="36" t="s">
        <v>477</v>
      </c>
      <c r="H145" s="37">
        <v>0.26</v>
      </c>
      <c r="I145" s="36" t="s">
        <v>402</v>
      </c>
      <c r="J145" s="36" t="s">
        <v>286</v>
      </c>
      <c r="K145" s="38"/>
      <c r="L145" s="38"/>
    </row>
    <row r="146" ht="22.5" customHeight="1">
      <c r="A146" s="36" t="s">
        <v>662</v>
      </c>
      <c r="B146" s="36" t="s">
        <v>663</v>
      </c>
      <c r="C146" s="36" t="s">
        <v>286</v>
      </c>
      <c r="D146" s="36" t="s">
        <v>286</v>
      </c>
      <c r="E146" s="36" t="s">
        <v>287</v>
      </c>
      <c r="F146" s="36" t="s">
        <v>286</v>
      </c>
      <c r="G146" s="36" t="s">
        <v>494</v>
      </c>
      <c r="H146" s="37">
        <v>0.1</v>
      </c>
      <c r="I146" s="36" t="s">
        <v>402</v>
      </c>
      <c r="J146" s="36" t="s">
        <v>286</v>
      </c>
      <c r="K146" s="38"/>
      <c r="L146" s="38"/>
    </row>
    <row r="147" ht="22.5" customHeight="1">
      <c r="A147" s="36" t="s">
        <v>664</v>
      </c>
      <c r="B147" s="36" t="s">
        <v>665</v>
      </c>
      <c r="C147" s="36" t="s">
        <v>286</v>
      </c>
      <c r="D147" s="36" t="s">
        <v>286</v>
      </c>
      <c r="E147" s="36" t="s">
        <v>287</v>
      </c>
      <c r="F147" s="36" t="s">
        <v>286</v>
      </c>
      <c r="G147" s="36" t="s">
        <v>666</v>
      </c>
      <c r="H147" s="37">
        <v>31.9</v>
      </c>
      <c r="I147" s="36" t="s">
        <v>333</v>
      </c>
      <c r="J147" s="36" t="s">
        <v>286</v>
      </c>
      <c r="K147" s="38"/>
      <c r="L147" s="38"/>
    </row>
    <row r="148" ht="22.5" customHeight="1">
      <c r="A148" s="36" t="s">
        <v>667</v>
      </c>
      <c r="B148" s="36" t="s">
        <v>668</v>
      </c>
      <c r="C148" s="36" t="s">
        <v>286</v>
      </c>
      <c r="D148" s="36" t="s">
        <v>286</v>
      </c>
      <c r="E148" s="36" t="s">
        <v>287</v>
      </c>
      <c r="F148" s="36" t="s">
        <v>669</v>
      </c>
      <c r="G148" s="36" t="s">
        <v>670</v>
      </c>
      <c r="H148" s="37">
        <v>11.49</v>
      </c>
      <c r="I148" s="36" t="s">
        <v>333</v>
      </c>
      <c r="J148" s="36" t="s">
        <v>286</v>
      </c>
      <c r="K148" s="38"/>
      <c r="L148" s="38"/>
    </row>
    <row r="149" ht="22.5" customHeight="1">
      <c r="A149" s="36" t="s">
        <v>671</v>
      </c>
      <c r="B149" s="36" t="s">
        <v>672</v>
      </c>
      <c r="C149" s="36" t="s">
        <v>286</v>
      </c>
      <c r="D149" s="36" t="s">
        <v>286</v>
      </c>
      <c r="E149" s="36" t="s">
        <v>287</v>
      </c>
      <c r="F149" s="36" t="s">
        <v>286</v>
      </c>
      <c r="G149" s="36" t="s">
        <v>673</v>
      </c>
      <c r="H149" s="37">
        <v>13.0</v>
      </c>
      <c r="I149" s="36" t="s">
        <v>333</v>
      </c>
      <c r="J149" s="36" t="s">
        <v>286</v>
      </c>
      <c r="K149" s="38"/>
      <c r="L149" s="38"/>
    </row>
    <row r="150" ht="22.5" customHeight="1">
      <c r="A150" s="36" t="s">
        <v>674</v>
      </c>
      <c r="B150" s="36" t="s">
        <v>675</v>
      </c>
      <c r="C150" s="36" t="s">
        <v>286</v>
      </c>
      <c r="D150" s="36" t="s">
        <v>286</v>
      </c>
      <c r="E150" s="36" t="s">
        <v>287</v>
      </c>
      <c r="F150" s="36" t="s">
        <v>676</v>
      </c>
      <c r="G150" s="36" t="s">
        <v>677</v>
      </c>
      <c r="H150" s="37">
        <v>2.79</v>
      </c>
      <c r="I150" s="36" t="s">
        <v>333</v>
      </c>
      <c r="J150" s="36" t="s">
        <v>286</v>
      </c>
      <c r="K150" s="38"/>
      <c r="L150" s="38"/>
    </row>
    <row r="151" ht="22.5" customHeight="1">
      <c r="A151" s="36" t="s">
        <v>678</v>
      </c>
      <c r="B151" s="36" t="s">
        <v>679</v>
      </c>
      <c r="C151" s="36" t="s">
        <v>286</v>
      </c>
      <c r="D151" s="36" t="s">
        <v>286</v>
      </c>
      <c r="E151" s="36" t="s">
        <v>287</v>
      </c>
      <c r="F151" s="36" t="s">
        <v>680</v>
      </c>
      <c r="G151" s="36" t="s">
        <v>551</v>
      </c>
      <c r="H151" s="37">
        <v>249.0</v>
      </c>
      <c r="I151" s="36" t="s">
        <v>333</v>
      </c>
      <c r="J151" s="36" t="s">
        <v>286</v>
      </c>
      <c r="K151" s="38"/>
      <c r="L151" s="38"/>
    </row>
    <row r="152" ht="22.5" customHeight="1">
      <c r="A152" s="36" t="s">
        <v>681</v>
      </c>
      <c r="B152" s="36" t="s">
        <v>682</v>
      </c>
      <c r="C152" s="36" t="s">
        <v>286</v>
      </c>
      <c r="D152" s="36" t="s">
        <v>286</v>
      </c>
      <c r="E152" s="36" t="s">
        <v>287</v>
      </c>
      <c r="F152" s="36" t="s">
        <v>683</v>
      </c>
      <c r="G152" s="36" t="s">
        <v>684</v>
      </c>
      <c r="H152" s="37">
        <v>27.9</v>
      </c>
      <c r="I152" s="36" t="s">
        <v>333</v>
      </c>
      <c r="J152" s="36" t="s">
        <v>286</v>
      </c>
      <c r="K152" s="38"/>
      <c r="L152" s="38"/>
    </row>
    <row r="153" ht="22.5" customHeight="1">
      <c r="A153" s="36" t="s">
        <v>685</v>
      </c>
      <c r="B153" s="36" t="s">
        <v>686</v>
      </c>
      <c r="C153" s="36" t="s">
        <v>286</v>
      </c>
      <c r="D153" s="36" t="s">
        <v>286</v>
      </c>
      <c r="E153" s="36" t="s">
        <v>287</v>
      </c>
      <c r="F153" s="36" t="s">
        <v>687</v>
      </c>
      <c r="G153" s="36" t="s">
        <v>688</v>
      </c>
      <c r="H153" s="37">
        <v>152.442</v>
      </c>
      <c r="I153" s="36" t="s">
        <v>689</v>
      </c>
      <c r="J153" s="36" t="s">
        <v>286</v>
      </c>
      <c r="K153" s="38"/>
      <c r="L153" s="38"/>
    </row>
    <row r="154" ht="22.5" customHeight="1">
      <c r="A154" s="36" t="s">
        <v>690</v>
      </c>
      <c r="B154" s="36" t="s">
        <v>691</v>
      </c>
      <c r="C154" s="36" t="s">
        <v>286</v>
      </c>
      <c r="D154" s="36" t="s">
        <v>286</v>
      </c>
      <c r="E154" s="36" t="s">
        <v>287</v>
      </c>
      <c r="F154" s="36" t="s">
        <v>692</v>
      </c>
      <c r="G154" s="36" t="s">
        <v>693</v>
      </c>
      <c r="H154" s="37">
        <v>226.8</v>
      </c>
      <c r="I154" s="36" t="s">
        <v>333</v>
      </c>
      <c r="J154" s="36" t="s">
        <v>286</v>
      </c>
      <c r="K154" s="38"/>
      <c r="L154" s="38"/>
    </row>
    <row r="155" ht="22.5" customHeight="1">
      <c r="A155" s="36" t="s">
        <v>694</v>
      </c>
      <c r="B155" s="36" t="s">
        <v>695</v>
      </c>
      <c r="C155" s="36" t="s">
        <v>286</v>
      </c>
      <c r="D155" s="36" t="s">
        <v>286</v>
      </c>
      <c r="E155" s="36" t="s">
        <v>287</v>
      </c>
      <c r="F155" s="36" t="s">
        <v>696</v>
      </c>
      <c r="G155" s="36" t="s">
        <v>697</v>
      </c>
      <c r="H155" s="37">
        <v>239.64</v>
      </c>
      <c r="I155" s="36" t="s">
        <v>333</v>
      </c>
      <c r="J155" s="36" t="s">
        <v>286</v>
      </c>
      <c r="K155" s="38"/>
      <c r="L155" s="38"/>
    </row>
    <row r="156" ht="22.5" customHeight="1">
      <c r="A156" s="36" t="s">
        <v>698</v>
      </c>
      <c r="B156" s="36" t="s">
        <v>699</v>
      </c>
      <c r="C156" s="36" t="s">
        <v>286</v>
      </c>
      <c r="D156" s="36" t="s">
        <v>286</v>
      </c>
      <c r="E156" s="36" t="s">
        <v>287</v>
      </c>
      <c r="F156" s="36" t="s">
        <v>700</v>
      </c>
      <c r="G156" s="36" t="s">
        <v>701</v>
      </c>
      <c r="H156" s="37">
        <v>259.9</v>
      </c>
      <c r="I156" s="36" t="s">
        <v>333</v>
      </c>
      <c r="J156" s="36" t="s">
        <v>286</v>
      </c>
      <c r="K156" s="38"/>
      <c r="L156" s="38"/>
    </row>
    <row r="157" ht="22.5" customHeight="1">
      <c r="A157" s="36" t="s">
        <v>702</v>
      </c>
      <c r="B157" s="36" t="s">
        <v>703</v>
      </c>
      <c r="C157" s="36" t="s">
        <v>286</v>
      </c>
      <c r="D157" s="36" t="s">
        <v>286</v>
      </c>
      <c r="E157" s="36" t="s">
        <v>287</v>
      </c>
      <c r="F157" s="36" t="s">
        <v>704</v>
      </c>
      <c r="G157" s="36" t="s">
        <v>705</v>
      </c>
      <c r="H157" s="37">
        <v>23.09</v>
      </c>
      <c r="I157" s="36" t="s">
        <v>333</v>
      </c>
      <c r="J157" s="36" t="s">
        <v>286</v>
      </c>
      <c r="K157" s="38"/>
      <c r="L157" s="38"/>
    </row>
    <row r="158" ht="22.5" customHeight="1">
      <c r="A158" s="36" t="s">
        <v>706</v>
      </c>
      <c r="B158" s="36" t="s">
        <v>707</v>
      </c>
      <c r="C158" s="36" t="s">
        <v>286</v>
      </c>
      <c r="D158" s="36" t="s">
        <v>286</v>
      </c>
      <c r="E158" s="36" t="s">
        <v>287</v>
      </c>
      <c r="F158" s="36" t="s">
        <v>708</v>
      </c>
      <c r="G158" s="36" t="s">
        <v>709</v>
      </c>
      <c r="H158" s="37">
        <v>59.9</v>
      </c>
      <c r="I158" s="36" t="s">
        <v>333</v>
      </c>
      <c r="J158" s="39" t="s">
        <v>286</v>
      </c>
      <c r="K158" s="38"/>
      <c r="L158" s="38"/>
    </row>
    <row r="159" ht="22.5" customHeight="1">
      <c r="A159" s="36" t="s">
        <v>710</v>
      </c>
      <c r="B159" s="36" t="s">
        <v>711</v>
      </c>
      <c r="C159" s="36" t="s">
        <v>286</v>
      </c>
      <c r="D159" s="36" t="s">
        <v>286</v>
      </c>
      <c r="E159" s="36" t="s">
        <v>287</v>
      </c>
      <c r="F159" s="36" t="s">
        <v>712</v>
      </c>
      <c r="G159" s="36" t="s">
        <v>713</v>
      </c>
      <c r="H159" s="37">
        <v>2.6115</v>
      </c>
      <c r="I159" s="36" t="s">
        <v>333</v>
      </c>
      <c r="J159" s="39" t="s">
        <v>286</v>
      </c>
      <c r="K159" s="38"/>
      <c r="L159" s="38"/>
    </row>
    <row r="160" ht="22.5" customHeight="1">
      <c r="A160" s="36" t="s">
        <v>714</v>
      </c>
      <c r="B160" s="36" t="s">
        <v>715</v>
      </c>
      <c r="C160" s="36" t="s">
        <v>286</v>
      </c>
      <c r="D160" s="36" t="s">
        <v>286</v>
      </c>
      <c r="E160" s="36" t="s">
        <v>287</v>
      </c>
      <c r="F160" s="36" t="s">
        <v>716</v>
      </c>
      <c r="G160" s="36" t="s">
        <v>717</v>
      </c>
      <c r="H160" s="37">
        <v>6.29</v>
      </c>
      <c r="I160" s="36" t="s">
        <v>333</v>
      </c>
      <c r="J160" s="39" t="s">
        <v>286</v>
      </c>
      <c r="K160" s="38"/>
      <c r="L160" s="38"/>
    </row>
    <row r="161" ht="22.5" customHeight="1">
      <c r="A161" s="36" t="s">
        <v>718</v>
      </c>
      <c r="B161" s="36" t="s">
        <v>719</v>
      </c>
      <c r="C161" s="36" t="s">
        <v>286</v>
      </c>
      <c r="D161" s="36" t="s">
        <v>286</v>
      </c>
      <c r="E161" s="36" t="s">
        <v>287</v>
      </c>
      <c r="F161" s="36" t="s">
        <v>720</v>
      </c>
      <c r="G161" s="36" t="s">
        <v>717</v>
      </c>
      <c r="H161" s="37">
        <v>7.49</v>
      </c>
      <c r="I161" s="36" t="s">
        <v>333</v>
      </c>
      <c r="J161" s="39" t="s">
        <v>286</v>
      </c>
      <c r="K161" s="38"/>
      <c r="L161" s="38"/>
    </row>
    <row r="162" ht="22.5" customHeight="1">
      <c r="A162" s="36" t="s">
        <v>721</v>
      </c>
      <c r="B162" s="36" t="s">
        <v>722</v>
      </c>
      <c r="C162" s="36" t="s">
        <v>286</v>
      </c>
      <c r="D162" s="36" t="s">
        <v>286</v>
      </c>
      <c r="E162" s="36" t="s">
        <v>287</v>
      </c>
      <c r="F162" s="36" t="s">
        <v>723</v>
      </c>
      <c r="G162" s="36" t="s">
        <v>724</v>
      </c>
      <c r="H162" s="37">
        <v>10.3595</v>
      </c>
      <c r="I162" s="36" t="s">
        <v>333</v>
      </c>
      <c r="J162" s="39" t="s">
        <v>286</v>
      </c>
      <c r="K162" s="38"/>
      <c r="L162" s="38"/>
    </row>
    <row r="163" ht="22.5" customHeight="1">
      <c r="A163" s="36" t="s">
        <v>725</v>
      </c>
      <c r="B163" s="36" t="s">
        <v>726</v>
      </c>
      <c r="C163" s="36" t="s">
        <v>286</v>
      </c>
      <c r="D163" s="36" t="s">
        <v>286</v>
      </c>
      <c r="E163" s="36" t="s">
        <v>287</v>
      </c>
      <c r="F163" s="36" t="s">
        <v>286</v>
      </c>
      <c r="G163" s="36" t="s">
        <v>727</v>
      </c>
      <c r="H163" s="37">
        <v>14.5</v>
      </c>
      <c r="I163" s="36" t="s">
        <v>728</v>
      </c>
      <c r="J163" s="39" t="s">
        <v>286</v>
      </c>
      <c r="K163" s="38"/>
      <c r="L163" s="38"/>
    </row>
    <row r="164" ht="22.5" customHeight="1">
      <c r="A164" s="36" t="s">
        <v>729</v>
      </c>
      <c r="B164" s="36" t="s">
        <v>730</v>
      </c>
      <c r="C164" s="36" t="s">
        <v>286</v>
      </c>
      <c r="D164" s="36" t="s">
        <v>286</v>
      </c>
      <c r="E164" s="36" t="s">
        <v>287</v>
      </c>
      <c r="F164" s="36" t="s">
        <v>286</v>
      </c>
      <c r="G164" s="36" t="s">
        <v>731</v>
      </c>
      <c r="H164" s="37">
        <v>5.94</v>
      </c>
      <c r="I164" s="36" t="s">
        <v>402</v>
      </c>
      <c r="J164" s="36" t="s">
        <v>286</v>
      </c>
      <c r="K164" s="38"/>
      <c r="L164" s="38"/>
    </row>
    <row r="165" ht="22.5" customHeight="1">
      <c r="A165" s="36" t="s">
        <v>732</v>
      </c>
      <c r="B165" s="36" t="s">
        <v>733</v>
      </c>
      <c r="C165" s="36" t="s">
        <v>286</v>
      </c>
      <c r="D165" s="36" t="s">
        <v>286</v>
      </c>
      <c r="E165" s="36" t="s">
        <v>287</v>
      </c>
      <c r="F165" s="36" t="s">
        <v>734</v>
      </c>
      <c r="G165" s="36" t="s">
        <v>425</v>
      </c>
      <c r="H165" s="37">
        <v>33.9</v>
      </c>
      <c r="I165" s="36" t="s">
        <v>333</v>
      </c>
      <c r="J165" s="36" t="s">
        <v>286</v>
      </c>
      <c r="K165" s="38"/>
      <c r="L165" s="38"/>
    </row>
    <row r="166" ht="22.5" customHeight="1">
      <c r="A166" s="36" t="s">
        <v>735</v>
      </c>
      <c r="B166" s="36" t="s">
        <v>736</v>
      </c>
      <c r="C166" s="36" t="s">
        <v>286</v>
      </c>
      <c r="D166" s="36" t="s">
        <v>286</v>
      </c>
      <c r="E166" s="36" t="s">
        <v>287</v>
      </c>
      <c r="F166" s="36" t="s">
        <v>286</v>
      </c>
      <c r="G166" s="36" t="s">
        <v>442</v>
      </c>
      <c r="H166" s="37">
        <v>154.9</v>
      </c>
      <c r="I166" s="36" t="s">
        <v>333</v>
      </c>
      <c r="J166" s="36" t="s">
        <v>286</v>
      </c>
      <c r="K166" s="38"/>
      <c r="L166" s="38"/>
    </row>
    <row r="167" ht="22.5" customHeight="1">
      <c r="A167" s="36" t="s">
        <v>737</v>
      </c>
      <c r="B167" s="36" t="s">
        <v>738</v>
      </c>
      <c r="C167" s="36" t="s">
        <v>286</v>
      </c>
      <c r="D167" s="36" t="s">
        <v>286</v>
      </c>
      <c r="E167" s="36" t="s">
        <v>287</v>
      </c>
      <c r="F167" s="36" t="s">
        <v>286</v>
      </c>
      <c r="G167" s="36" t="s">
        <v>739</v>
      </c>
      <c r="H167" s="37">
        <v>1.0</v>
      </c>
      <c r="I167" s="36" t="s">
        <v>333</v>
      </c>
      <c r="J167" s="36" t="s">
        <v>286</v>
      </c>
      <c r="K167" s="38"/>
      <c r="L167" s="38"/>
    </row>
    <row r="168" ht="22.5" customHeight="1">
      <c r="A168" s="36" t="s">
        <v>740</v>
      </c>
      <c r="B168" s="36" t="s">
        <v>741</v>
      </c>
      <c r="C168" s="36" t="s">
        <v>286</v>
      </c>
      <c r="D168" s="36" t="s">
        <v>286</v>
      </c>
      <c r="E168" s="36" t="s">
        <v>287</v>
      </c>
      <c r="F168" s="36" t="s">
        <v>742</v>
      </c>
      <c r="G168" s="36" t="s">
        <v>670</v>
      </c>
      <c r="H168" s="37">
        <v>3.399333</v>
      </c>
      <c r="I168" s="36" t="s">
        <v>402</v>
      </c>
      <c r="J168" s="36" t="s">
        <v>286</v>
      </c>
      <c r="K168" s="38"/>
      <c r="L168" s="38"/>
    </row>
    <row r="169" ht="22.5" customHeight="1">
      <c r="A169" s="36" t="s">
        <v>743</v>
      </c>
      <c r="B169" s="36" t="s">
        <v>744</v>
      </c>
      <c r="C169" s="36" t="s">
        <v>286</v>
      </c>
      <c r="D169" s="36" t="s">
        <v>286</v>
      </c>
      <c r="E169" s="36" t="s">
        <v>287</v>
      </c>
      <c r="F169" s="36" t="s">
        <v>745</v>
      </c>
      <c r="G169" s="36" t="s">
        <v>746</v>
      </c>
      <c r="H169" s="37">
        <v>6.99</v>
      </c>
      <c r="I169" s="36" t="s">
        <v>333</v>
      </c>
      <c r="J169" s="36" t="s">
        <v>286</v>
      </c>
      <c r="K169" s="38"/>
      <c r="L169" s="38"/>
    </row>
    <row r="170" ht="22.5" customHeight="1">
      <c r="A170" s="36" t="s">
        <v>747</v>
      </c>
      <c r="B170" s="36" t="s">
        <v>748</v>
      </c>
      <c r="C170" s="36" t="s">
        <v>286</v>
      </c>
      <c r="D170" s="36" t="s">
        <v>286</v>
      </c>
      <c r="E170" s="36" t="s">
        <v>287</v>
      </c>
      <c r="F170" s="36" t="s">
        <v>286</v>
      </c>
      <c r="G170" s="36" t="s">
        <v>477</v>
      </c>
      <c r="H170" s="37">
        <v>19.5</v>
      </c>
      <c r="I170" s="36" t="s">
        <v>749</v>
      </c>
      <c r="J170" s="36" t="s">
        <v>286</v>
      </c>
      <c r="K170" s="38"/>
      <c r="L170" s="38"/>
    </row>
    <row r="171" ht="22.5" customHeight="1">
      <c r="A171" s="36" t="s">
        <v>750</v>
      </c>
      <c r="B171" s="36" t="s">
        <v>751</v>
      </c>
      <c r="C171" s="36" t="s">
        <v>286</v>
      </c>
      <c r="D171" s="36" t="s">
        <v>286</v>
      </c>
      <c r="E171" s="36" t="s">
        <v>287</v>
      </c>
      <c r="F171" s="36" t="s">
        <v>752</v>
      </c>
      <c r="G171" s="36" t="s">
        <v>753</v>
      </c>
      <c r="H171" s="37">
        <v>2599.0</v>
      </c>
      <c r="I171" s="36" t="s">
        <v>333</v>
      </c>
      <c r="J171" s="36" t="s">
        <v>286</v>
      </c>
      <c r="K171" s="38"/>
      <c r="L171" s="38"/>
    </row>
    <row r="172" ht="22.5" customHeight="1">
      <c r="A172" s="36" t="s">
        <v>754</v>
      </c>
      <c r="B172" s="36" t="s">
        <v>755</v>
      </c>
      <c r="C172" s="36" t="s">
        <v>286</v>
      </c>
      <c r="D172" s="36" t="s">
        <v>286</v>
      </c>
      <c r="E172" s="36" t="s">
        <v>287</v>
      </c>
      <c r="F172" s="36" t="s">
        <v>286</v>
      </c>
      <c r="G172" s="36" t="s">
        <v>307</v>
      </c>
      <c r="H172" s="37">
        <v>6.39</v>
      </c>
      <c r="I172" s="36" t="s">
        <v>289</v>
      </c>
      <c r="J172" s="36" t="s">
        <v>286</v>
      </c>
      <c r="K172" s="38"/>
      <c r="L172" s="38"/>
    </row>
    <row r="173" ht="22.5" customHeight="1">
      <c r="A173" s="36" t="s">
        <v>756</v>
      </c>
      <c r="B173" s="36" t="s">
        <v>757</v>
      </c>
      <c r="C173" s="36" t="s">
        <v>286</v>
      </c>
      <c r="D173" s="36" t="s">
        <v>286</v>
      </c>
      <c r="E173" s="36" t="s">
        <v>287</v>
      </c>
      <c r="F173" s="36" t="s">
        <v>286</v>
      </c>
      <c r="G173" s="36" t="s">
        <v>494</v>
      </c>
      <c r="H173" s="37">
        <v>5.81</v>
      </c>
      <c r="I173" s="36" t="s">
        <v>597</v>
      </c>
      <c r="J173" s="36" t="s">
        <v>286</v>
      </c>
      <c r="K173" s="38"/>
      <c r="L173" s="38"/>
    </row>
    <row r="174" ht="22.5" customHeight="1">
      <c r="A174" s="36" t="s">
        <v>758</v>
      </c>
      <c r="B174" s="36" t="s">
        <v>759</v>
      </c>
      <c r="C174" s="36" t="s">
        <v>286</v>
      </c>
      <c r="D174" s="36" t="s">
        <v>286</v>
      </c>
      <c r="E174" s="36" t="s">
        <v>287</v>
      </c>
      <c r="F174" s="36" t="s">
        <v>760</v>
      </c>
      <c r="G174" s="36" t="s">
        <v>761</v>
      </c>
      <c r="H174" s="37">
        <v>170.755</v>
      </c>
      <c r="I174" s="36" t="s">
        <v>689</v>
      </c>
      <c r="J174" s="36" t="s">
        <v>286</v>
      </c>
      <c r="K174" s="38"/>
      <c r="L174" s="38"/>
    </row>
    <row r="175" ht="22.5" customHeight="1">
      <c r="A175" s="36" t="s">
        <v>762</v>
      </c>
      <c r="B175" s="36" t="s">
        <v>763</v>
      </c>
      <c r="C175" s="36" t="s">
        <v>286</v>
      </c>
      <c r="D175" s="36" t="s">
        <v>286</v>
      </c>
      <c r="E175" s="36" t="s">
        <v>287</v>
      </c>
      <c r="F175" s="36" t="s">
        <v>764</v>
      </c>
      <c r="G175" s="36" t="s">
        <v>765</v>
      </c>
      <c r="H175" s="37">
        <v>119.198</v>
      </c>
      <c r="I175" s="36" t="s">
        <v>728</v>
      </c>
      <c r="J175" s="36" t="s">
        <v>286</v>
      </c>
      <c r="K175" s="38"/>
      <c r="L175" s="38"/>
    </row>
    <row r="176" ht="22.5" customHeight="1">
      <c r="A176" s="36" t="s">
        <v>766</v>
      </c>
      <c r="B176" s="36" t="s">
        <v>767</v>
      </c>
      <c r="C176" s="36" t="s">
        <v>286</v>
      </c>
      <c r="D176" s="36" t="s">
        <v>286</v>
      </c>
      <c r="E176" s="36" t="s">
        <v>287</v>
      </c>
      <c r="F176" s="36" t="s">
        <v>768</v>
      </c>
      <c r="G176" s="36" t="s">
        <v>769</v>
      </c>
      <c r="H176" s="37">
        <v>210.0</v>
      </c>
      <c r="I176" s="36" t="s">
        <v>770</v>
      </c>
      <c r="J176" s="36" t="s">
        <v>286</v>
      </c>
      <c r="K176" s="38"/>
      <c r="L176" s="38"/>
    </row>
    <row r="177" ht="22.5" customHeight="1">
      <c r="A177" s="36" t="s">
        <v>771</v>
      </c>
      <c r="B177" s="36" t="s">
        <v>772</v>
      </c>
      <c r="C177" s="36" t="s">
        <v>286</v>
      </c>
      <c r="D177" s="36" t="s">
        <v>286</v>
      </c>
      <c r="E177" s="36" t="s">
        <v>287</v>
      </c>
      <c r="F177" s="36" t="s">
        <v>286</v>
      </c>
      <c r="G177" s="36" t="s">
        <v>773</v>
      </c>
      <c r="H177" s="37">
        <v>6.2</v>
      </c>
      <c r="I177" s="36" t="s">
        <v>289</v>
      </c>
      <c r="J177" s="36" t="s">
        <v>286</v>
      </c>
      <c r="K177" s="38"/>
      <c r="L177" s="38"/>
    </row>
    <row r="178" ht="22.5" customHeight="1">
      <c r="A178" s="36" t="s">
        <v>774</v>
      </c>
      <c r="B178" s="36" t="s">
        <v>775</v>
      </c>
      <c r="C178" s="36" t="s">
        <v>286</v>
      </c>
      <c r="D178" s="36" t="s">
        <v>286</v>
      </c>
      <c r="E178" s="36" t="s">
        <v>287</v>
      </c>
      <c r="F178" s="36" t="s">
        <v>286</v>
      </c>
      <c r="G178" s="36" t="s">
        <v>325</v>
      </c>
      <c r="H178" s="37">
        <v>7.1</v>
      </c>
      <c r="I178" s="36" t="s">
        <v>289</v>
      </c>
      <c r="J178" s="36" t="s">
        <v>286</v>
      </c>
      <c r="K178" s="38"/>
      <c r="L178" s="38"/>
    </row>
    <row r="179" ht="22.5" customHeight="1">
      <c r="A179" s="36" t="s">
        <v>776</v>
      </c>
      <c r="B179" s="36" t="s">
        <v>777</v>
      </c>
      <c r="C179" s="36" t="s">
        <v>286</v>
      </c>
      <c r="D179" s="36" t="s">
        <v>286</v>
      </c>
      <c r="E179" s="36" t="s">
        <v>287</v>
      </c>
      <c r="F179" s="36" t="s">
        <v>286</v>
      </c>
      <c r="G179" s="36" t="s">
        <v>773</v>
      </c>
      <c r="H179" s="37">
        <v>7.1</v>
      </c>
      <c r="I179" s="36" t="s">
        <v>289</v>
      </c>
      <c r="J179" s="36" t="s">
        <v>286</v>
      </c>
      <c r="K179" s="38"/>
      <c r="L179" s="38"/>
    </row>
    <row r="180" ht="22.5" customHeight="1">
      <c r="A180" s="36" t="s">
        <v>778</v>
      </c>
      <c r="B180" s="36" t="s">
        <v>779</v>
      </c>
      <c r="C180" s="36" t="s">
        <v>286</v>
      </c>
      <c r="D180" s="36" t="s">
        <v>286</v>
      </c>
      <c r="E180" s="36" t="s">
        <v>287</v>
      </c>
      <c r="F180" s="36" t="s">
        <v>286</v>
      </c>
      <c r="G180" s="36" t="s">
        <v>288</v>
      </c>
      <c r="H180" s="37">
        <v>5.02999</v>
      </c>
      <c r="I180" s="36" t="s">
        <v>289</v>
      </c>
      <c r="J180" s="36" t="s">
        <v>286</v>
      </c>
      <c r="K180" s="38"/>
      <c r="L180" s="38"/>
    </row>
    <row r="181" ht="22.5" customHeight="1">
      <c r="A181" s="36" t="s">
        <v>780</v>
      </c>
      <c r="B181" s="36" t="s">
        <v>781</v>
      </c>
      <c r="C181" s="36" t="s">
        <v>286</v>
      </c>
      <c r="D181" s="36" t="s">
        <v>286</v>
      </c>
      <c r="E181" s="36" t="s">
        <v>287</v>
      </c>
      <c r="F181" s="36" t="s">
        <v>782</v>
      </c>
      <c r="G181" s="36" t="s">
        <v>783</v>
      </c>
      <c r="H181" s="37">
        <v>31.99</v>
      </c>
      <c r="I181" s="36" t="s">
        <v>333</v>
      </c>
      <c r="J181" s="36" t="s">
        <v>286</v>
      </c>
      <c r="K181" s="38"/>
      <c r="L181" s="38"/>
    </row>
    <row r="182" ht="22.5" customHeight="1">
      <c r="A182" s="36" t="s">
        <v>784</v>
      </c>
      <c r="B182" s="36" t="s">
        <v>785</v>
      </c>
      <c r="C182" s="36" t="s">
        <v>286</v>
      </c>
      <c r="D182" s="36" t="s">
        <v>286</v>
      </c>
      <c r="E182" s="36" t="s">
        <v>287</v>
      </c>
      <c r="F182" s="36" t="s">
        <v>786</v>
      </c>
      <c r="G182" s="36" t="s">
        <v>457</v>
      </c>
      <c r="H182" s="37">
        <v>8.567</v>
      </c>
      <c r="I182" s="36" t="s">
        <v>402</v>
      </c>
      <c r="J182" s="36" t="s">
        <v>286</v>
      </c>
      <c r="K182" s="38"/>
      <c r="L182" s="38"/>
    </row>
    <row r="183" ht="22.5" customHeight="1">
      <c r="A183" s="36" t="s">
        <v>787</v>
      </c>
      <c r="B183" s="36" t="s">
        <v>788</v>
      </c>
      <c r="C183" s="36" t="s">
        <v>286</v>
      </c>
      <c r="D183" s="36" t="s">
        <v>286</v>
      </c>
      <c r="E183" s="36" t="s">
        <v>287</v>
      </c>
      <c r="F183" s="36" t="s">
        <v>286</v>
      </c>
      <c r="G183" s="36" t="s">
        <v>442</v>
      </c>
      <c r="H183" s="37">
        <v>79.9</v>
      </c>
      <c r="I183" s="36" t="s">
        <v>333</v>
      </c>
      <c r="J183" s="36" t="s">
        <v>286</v>
      </c>
      <c r="K183" s="38"/>
      <c r="L183" s="38"/>
    </row>
    <row r="184" ht="22.5" customHeight="1">
      <c r="A184" s="36" t="s">
        <v>789</v>
      </c>
      <c r="B184" s="36" t="s">
        <v>790</v>
      </c>
      <c r="C184" s="36" t="s">
        <v>286</v>
      </c>
      <c r="D184" s="36" t="s">
        <v>286</v>
      </c>
      <c r="E184" s="36" t="s">
        <v>287</v>
      </c>
      <c r="F184" s="36" t="s">
        <v>286</v>
      </c>
      <c r="G184" s="36" t="s">
        <v>307</v>
      </c>
      <c r="H184" s="37">
        <v>4.91</v>
      </c>
      <c r="I184" s="36" t="s">
        <v>289</v>
      </c>
      <c r="J184" s="36" t="s">
        <v>286</v>
      </c>
      <c r="K184" s="38"/>
      <c r="L184" s="38"/>
    </row>
    <row r="185" ht="22.5" customHeight="1">
      <c r="A185" s="36" t="s">
        <v>791</v>
      </c>
      <c r="B185" s="36" t="s">
        <v>792</v>
      </c>
      <c r="C185" s="36" t="s">
        <v>286</v>
      </c>
      <c r="D185" s="36" t="s">
        <v>286</v>
      </c>
      <c r="E185" s="36" t="s">
        <v>287</v>
      </c>
      <c r="F185" s="36" t="s">
        <v>286</v>
      </c>
      <c r="G185" s="36" t="s">
        <v>793</v>
      </c>
      <c r="H185" s="37">
        <v>6.65</v>
      </c>
      <c r="I185" s="36" t="s">
        <v>644</v>
      </c>
      <c r="J185" s="36" t="s">
        <v>286</v>
      </c>
      <c r="K185" s="38"/>
      <c r="L185" s="38"/>
    </row>
    <row r="186" ht="22.5" customHeight="1">
      <c r="A186" s="36" t="s">
        <v>794</v>
      </c>
      <c r="B186" s="36" t="s">
        <v>795</v>
      </c>
      <c r="C186" s="36" t="s">
        <v>286</v>
      </c>
      <c r="D186" s="36" t="s">
        <v>286</v>
      </c>
      <c r="E186" s="36" t="s">
        <v>287</v>
      </c>
      <c r="F186" s="36" t="s">
        <v>286</v>
      </c>
      <c r="G186" s="36" t="s">
        <v>288</v>
      </c>
      <c r="H186" s="37">
        <v>6.69</v>
      </c>
      <c r="I186" s="36" t="s">
        <v>289</v>
      </c>
      <c r="J186" s="36" t="s">
        <v>286</v>
      </c>
      <c r="K186" s="38"/>
      <c r="L186" s="38"/>
    </row>
    <row r="187" ht="22.5" customHeight="1">
      <c r="A187" s="36" t="s">
        <v>796</v>
      </c>
      <c r="B187" s="36" t="s">
        <v>797</v>
      </c>
      <c r="C187" s="36" t="s">
        <v>286</v>
      </c>
      <c r="D187" s="36" t="s">
        <v>286</v>
      </c>
      <c r="E187" s="36" t="s">
        <v>287</v>
      </c>
      <c r="F187" s="36" t="s">
        <v>286</v>
      </c>
      <c r="G187" s="36" t="s">
        <v>328</v>
      </c>
      <c r="H187" s="37">
        <v>6.4</v>
      </c>
      <c r="I187" s="36" t="s">
        <v>289</v>
      </c>
      <c r="J187" s="36" t="s">
        <v>286</v>
      </c>
      <c r="K187" s="38"/>
      <c r="L187" s="38"/>
    </row>
    <row r="188" ht="22.5" customHeight="1">
      <c r="A188" s="36" t="s">
        <v>798</v>
      </c>
      <c r="B188" s="36" t="s">
        <v>799</v>
      </c>
      <c r="C188" s="36" t="s">
        <v>286</v>
      </c>
      <c r="D188" s="36" t="s">
        <v>286</v>
      </c>
      <c r="E188" s="36" t="s">
        <v>287</v>
      </c>
      <c r="F188" s="36" t="s">
        <v>286</v>
      </c>
      <c r="G188" s="36" t="s">
        <v>442</v>
      </c>
      <c r="H188" s="37">
        <v>124.9</v>
      </c>
      <c r="I188" s="36" t="s">
        <v>333</v>
      </c>
      <c r="J188" s="36" t="s">
        <v>286</v>
      </c>
      <c r="K188" s="38"/>
      <c r="L188" s="38"/>
    </row>
    <row r="189" ht="22.5" customHeight="1">
      <c r="A189" s="36" t="s">
        <v>800</v>
      </c>
      <c r="B189" s="36" t="s">
        <v>801</v>
      </c>
      <c r="C189" s="36" t="s">
        <v>286</v>
      </c>
      <c r="D189" s="36" t="s">
        <v>286</v>
      </c>
      <c r="E189" s="36" t="s">
        <v>287</v>
      </c>
      <c r="F189" s="36" t="s">
        <v>286</v>
      </c>
      <c r="G189" s="36" t="s">
        <v>307</v>
      </c>
      <c r="H189" s="37">
        <v>4.91</v>
      </c>
      <c r="I189" s="36" t="s">
        <v>289</v>
      </c>
      <c r="J189" s="36" t="s">
        <v>286</v>
      </c>
      <c r="K189" s="38"/>
      <c r="L189" s="38"/>
    </row>
    <row r="190" ht="22.5" customHeight="1">
      <c r="A190" s="36" t="s">
        <v>802</v>
      </c>
      <c r="B190" s="36" t="s">
        <v>803</v>
      </c>
      <c r="C190" s="36" t="s">
        <v>286</v>
      </c>
      <c r="D190" s="36" t="s">
        <v>286</v>
      </c>
      <c r="E190" s="36" t="s">
        <v>287</v>
      </c>
      <c r="F190" s="36" t="s">
        <v>286</v>
      </c>
      <c r="G190" s="36" t="s">
        <v>793</v>
      </c>
      <c r="H190" s="37">
        <v>13.96</v>
      </c>
      <c r="I190" s="36" t="s">
        <v>644</v>
      </c>
      <c r="J190" s="36" t="s">
        <v>286</v>
      </c>
      <c r="K190" s="38"/>
      <c r="L190" s="38"/>
    </row>
    <row r="191" ht="22.5" customHeight="1">
      <c r="A191" s="36" t="s">
        <v>804</v>
      </c>
      <c r="B191" s="36" t="s">
        <v>805</v>
      </c>
      <c r="C191" s="36" t="s">
        <v>286</v>
      </c>
      <c r="D191" s="36" t="s">
        <v>286</v>
      </c>
      <c r="E191" s="36" t="s">
        <v>287</v>
      </c>
      <c r="F191" s="36" t="s">
        <v>286</v>
      </c>
      <c r="G191" s="36" t="s">
        <v>806</v>
      </c>
      <c r="H191" s="37">
        <v>35.22</v>
      </c>
      <c r="I191" s="36" t="s">
        <v>402</v>
      </c>
      <c r="J191" s="36" t="s">
        <v>286</v>
      </c>
      <c r="K191" s="38"/>
      <c r="L191" s="38"/>
    </row>
    <row r="192" ht="22.5" customHeight="1">
      <c r="A192" s="36" t="s">
        <v>807</v>
      </c>
      <c r="B192" s="36" t="s">
        <v>808</v>
      </c>
      <c r="C192" s="36" t="s">
        <v>286</v>
      </c>
      <c r="D192" s="36" t="s">
        <v>286</v>
      </c>
      <c r="E192" s="36" t="s">
        <v>287</v>
      </c>
      <c r="F192" s="36" t="s">
        <v>286</v>
      </c>
      <c r="G192" s="36" t="s">
        <v>607</v>
      </c>
      <c r="H192" s="37">
        <v>106.15</v>
      </c>
      <c r="I192" s="36" t="s">
        <v>402</v>
      </c>
      <c r="J192" s="36" t="s">
        <v>286</v>
      </c>
      <c r="K192" s="38"/>
      <c r="L192" s="38"/>
    </row>
    <row r="193" ht="22.5" customHeight="1">
      <c r="A193" s="36" t="s">
        <v>809</v>
      </c>
      <c r="B193" s="36" t="s">
        <v>810</v>
      </c>
      <c r="C193" s="36" t="s">
        <v>286</v>
      </c>
      <c r="D193" s="36" t="s">
        <v>286</v>
      </c>
      <c r="E193" s="36" t="s">
        <v>287</v>
      </c>
      <c r="F193" s="36" t="s">
        <v>286</v>
      </c>
      <c r="G193" s="36" t="s">
        <v>811</v>
      </c>
      <c r="H193" s="37">
        <v>20.4</v>
      </c>
      <c r="I193" s="36" t="s">
        <v>402</v>
      </c>
      <c r="J193" s="36" t="s">
        <v>286</v>
      </c>
      <c r="K193" s="38"/>
      <c r="L193" s="38"/>
    </row>
    <row r="194" ht="22.5" customHeight="1">
      <c r="A194" s="36" t="s">
        <v>812</v>
      </c>
      <c r="B194" s="36" t="s">
        <v>813</v>
      </c>
      <c r="C194" s="36" t="s">
        <v>286</v>
      </c>
      <c r="D194" s="36" t="s">
        <v>286</v>
      </c>
      <c r="E194" s="36" t="s">
        <v>287</v>
      </c>
      <c r="F194" s="36" t="s">
        <v>286</v>
      </c>
      <c r="G194" s="36" t="s">
        <v>442</v>
      </c>
      <c r="H194" s="37">
        <v>179.9</v>
      </c>
      <c r="I194" s="36" t="s">
        <v>333</v>
      </c>
      <c r="J194" s="36" t="s">
        <v>286</v>
      </c>
      <c r="K194" s="38"/>
      <c r="L194" s="38"/>
    </row>
    <row r="195" ht="22.5" customHeight="1">
      <c r="A195" s="36" t="s">
        <v>814</v>
      </c>
      <c r="B195" s="36" t="s">
        <v>815</v>
      </c>
      <c r="C195" s="36" t="s">
        <v>286</v>
      </c>
      <c r="D195" s="36" t="s">
        <v>286</v>
      </c>
      <c r="E195" s="36" t="s">
        <v>287</v>
      </c>
      <c r="F195" s="36" t="s">
        <v>286</v>
      </c>
      <c r="G195" s="36" t="s">
        <v>811</v>
      </c>
      <c r="H195" s="37">
        <v>20.4</v>
      </c>
      <c r="I195" s="36" t="s">
        <v>402</v>
      </c>
      <c r="J195" s="36" t="s">
        <v>286</v>
      </c>
      <c r="K195" s="38"/>
      <c r="L195" s="38"/>
    </row>
    <row r="196" ht="22.5" customHeight="1">
      <c r="A196" s="36" t="s">
        <v>816</v>
      </c>
      <c r="B196" s="36" t="s">
        <v>817</v>
      </c>
      <c r="C196" s="36" t="s">
        <v>286</v>
      </c>
      <c r="D196" s="36" t="s">
        <v>286</v>
      </c>
      <c r="E196" s="36" t="s">
        <v>287</v>
      </c>
      <c r="F196" s="36" t="s">
        <v>286</v>
      </c>
      <c r="G196" s="36" t="s">
        <v>818</v>
      </c>
      <c r="H196" s="37">
        <v>5.95</v>
      </c>
      <c r="I196" s="36" t="s">
        <v>402</v>
      </c>
      <c r="J196" s="36" t="s">
        <v>286</v>
      </c>
      <c r="K196" s="38"/>
      <c r="L196" s="38"/>
    </row>
    <row r="197" ht="22.5" customHeight="1">
      <c r="A197" s="36" t="s">
        <v>819</v>
      </c>
      <c r="B197" s="36" t="s">
        <v>820</v>
      </c>
      <c r="C197" s="36" t="s">
        <v>286</v>
      </c>
      <c r="D197" s="36" t="s">
        <v>286</v>
      </c>
      <c r="E197" s="36" t="s">
        <v>287</v>
      </c>
      <c r="F197" s="36" t="s">
        <v>286</v>
      </c>
      <c r="G197" s="36" t="s">
        <v>783</v>
      </c>
      <c r="H197" s="37">
        <v>7.8</v>
      </c>
      <c r="I197" s="36" t="s">
        <v>821</v>
      </c>
      <c r="J197" s="36" t="s">
        <v>286</v>
      </c>
      <c r="K197" s="38"/>
      <c r="L197" s="38"/>
    </row>
    <row r="198" ht="22.5" customHeight="1">
      <c r="A198" s="36" t="s">
        <v>822</v>
      </c>
      <c r="B198" s="36" t="s">
        <v>823</v>
      </c>
      <c r="C198" s="36" t="s">
        <v>286</v>
      </c>
      <c r="D198" s="36" t="s">
        <v>286</v>
      </c>
      <c r="E198" s="36" t="s">
        <v>287</v>
      </c>
      <c r="F198" s="36" t="s">
        <v>286</v>
      </c>
      <c r="G198" s="36" t="s">
        <v>477</v>
      </c>
      <c r="H198" s="37">
        <v>4.9</v>
      </c>
      <c r="I198" s="36" t="s">
        <v>597</v>
      </c>
      <c r="J198" s="36" t="s">
        <v>286</v>
      </c>
      <c r="K198" s="38"/>
      <c r="L198" s="38"/>
    </row>
    <row r="199" ht="22.5" customHeight="1">
      <c r="A199" s="36" t="s">
        <v>824</v>
      </c>
      <c r="B199" s="36" t="s">
        <v>825</v>
      </c>
      <c r="C199" s="36" t="s">
        <v>286</v>
      </c>
      <c r="D199" s="36" t="s">
        <v>286</v>
      </c>
      <c r="E199" s="36" t="s">
        <v>287</v>
      </c>
      <c r="F199" s="36" t="s">
        <v>286</v>
      </c>
      <c r="G199" s="36" t="s">
        <v>477</v>
      </c>
      <c r="H199" s="37">
        <v>15.0</v>
      </c>
      <c r="I199" s="36" t="s">
        <v>597</v>
      </c>
      <c r="J199" s="36" t="s">
        <v>286</v>
      </c>
      <c r="K199" s="38"/>
      <c r="L199" s="38"/>
    </row>
    <row r="200" ht="22.5" customHeight="1">
      <c r="A200" s="36" t="s">
        <v>826</v>
      </c>
      <c r="B200" s="36" t="s">
        <v>827</v>
      </c>
      <c r="C200" s="36" t="s">
        <v>286</v>
      </c>
      <c r="D200" s="36" t="s">
        <v>286</v>
      </c>
      <c r="E200" s="36" t="s">
        <v>287</v>
      </c>
      <c r="F200" s="36" t="s">
        <v>286</v>
      </c>
      <c r="G200" s="36" t="s">
        <v>828</v>
      </c>
      <c r="H200" s="37">
        <v>74.0</v>
      </c>
      <c r="I200" s="36" t="s">
        <v>402</v>
      </c>
      <c r="J200" s="36" t="s">
        <v>286</v>
      </c>
      <c r="K200" s="38"/>
      <c r="L200" s="38"/>
    </row>
    <row r="201" ht="22.5" customHeight="1">
      <c r="A201" s="36" t="s">
        <v>829</v>
      </c>
      <c r="B201" s="36" t="s">
        <v>830</v>
      </c>
      <c r="C201" s="36" t="s">
        <v>286</v>
      </c>
      <c r="D201" s="36" t="s">
        <v>286</v>
      </c>
      <c r="E201" s="36" t="s">
        <v>287</v>
      </c>
      <c r="F201" s="36" t="s">
        <v>286</v>
      </c>
      <c r="G201" s="36" t="s">
        <v>625</v>
      </c>
      <c r="H201" s="37">
        <v>40.9</v>
      </c>
      <c r="I201" s="36" t="s">
        <v>333</v>
      </c>
      <c r="J201" s="36" t="s">
        <v>286</v>
      </c>
      <c r="K201" s="38"/>
      <c r="L201" s="38"/>
    </row>
    <row r="202" ht="22.5" customHeight="1">
      <c r="A202" s="36" t="s">
        <v>831</v>
      </c>
      <c r="B202" s="36" t="s">
        <v>832</v>
      </c>
      <c r="C202" s="36" t="s">
        <v>286</v>
      </c>
      <c r="D202" s="36" t="s">
        <v>286</v>
      </c>
      <c r="E202" s="36" t="s">
        <v>287</v>
      </c>
      <c r="F202" s="36" t="s">
        <v>286</v>
      </c>
      <c r="G202" s="36" t="s">
        <v>625</v>
      </c>
      <c r="H202" s="37">
        <v>85.0</v>
      </c>
      <c r="I202" s="36" t="s">
        <v>833</v>
      </c>
      <c r="J202" s="36" t="s">
        <v>286</v>
      </c>
      <c r="K202" s="38"/>
      <c r="L202" s="38"/>
    </row>
    <row r="203" ht="22.5" customHeight="1">
      <c r="A203" s="36" t="s">
        <v>834</v>
      </c>
      <c r="B203" s="36" t="s">
        <v>835</v>
      </c>
      <c r="C203" s="36" t="s">
        <v>286</v>
      </c>
      <c r="D203" s="36" t="s">
        <v>286</v>
      </c>
      <c r="E203" s="36" t="s">
        <v>287</v>
      </c>
      <c r="F203" s="36" t="s">
        <v>286</v>
      </c>
      <c r="G203" s="36" t="s">
        <v>457</v>
      </c>
      <c r="H203" s="37">
        <v>97.3</v>
      </c>
      <c r="I203" s="36" t="s">
        <v>836</v>
      </c>
      <c r="J203" s="36" t="s">
        <v>286</v>
      </c>
      <c r="K203" s="38"/>
      <c r="L203" s="38"/>
    </row>
    <row r="204" ht="22.5" customHeight="1">
      <c r="A204" s="36" t="s">
        <v>837</v>
      </c>
      <c r="B204" s="36" t="s">
        <v>838</v>
      </c>
      <c r="C204" s="36" t="s">
        <v>286</v>
      </c>
      <c r="D204" s="36" t="s">
        <v>286</v>
      </c>
      <c r="E204" s="36" t="s">
        <v>287</v>
      </c>
      <c r="F204" s="36" t="s">
        <v>286</v>
      </c>
      <c r="G204" s="36" t="s">
        <v>818</v>
      </c>
      <c r="H204" s="37">
        <v>19.9</v>
      </c>
      <c r="I204" s="36" t="s">
        <v>402</v>
      </c>
      <c r="J204" s="36" t="s">
        <v>286</v>
      </c>
      <c r="K204" s="38"/>
      <c r="L204" s="38"/>
    </row>
    <row r="205" ht="22.5" customHeight="1">
      <c r="A205" s="36" t="s">
        <v>839</v>
      </c>
      <c r="B205" s="36" t="s">
        <v>840</v>
      </c>
      <c r="C205" s="36" t="s">
        <v>286</v>
      </c>
      <c r="D205" s="36" t="s">
        <v>286</v>
      </c>
      <c r="E205" s="36" t="s">
        <v>287</v>
      </c>
      <c r="F205" s="36" t="s">
        <v>286</v>
      </c>
      <c r="G205" s="36" t="s">
        <v>659</v>
      </c>
      <c r="H205" s="37">
        <v>34.92</v>
      </c>
      <c r="I205" s="36" t="s">
        <v>402</v>
      </c>
      <c r="J205" s="36" t="s">
        <v>286</v>
      </c>
      <c r="K205" s="38"/>
      <c r="L205" s="38"/>
    </row>
    <row r="206" ht="22.5" customHeight="1">
      <c r="A206" s="36" t="s">
        <v>841</v>
      </c>
      <c r="B206" s="36" t="s">
        <v>842</v>
      </c>
      <c r="C206" s="36" t="s">
        <v>286</v>
      </c>
      <c r="D206" s="36" t="s">
        <v>286</v>
      </c>
      <c r="E206" s="36" t="s">
        <v>287</v>
      </c>
      <c r="F206" s="36" t="s">
        <v>286</v>
      </c>
      <c r="G206" s="36" t="s">
        <v>325</v>
      </c>
      <c r="H206" s="37">
        <v>207.5</v>
      </c>
      <c r="I206" s="36" t="s">
        <v>333</v>
      </c>
      <c r="J206" s="36" t="s">
        <v>286</v>
      </c>
      <c r="K206" s="38"/>
      <c r="L206" s="38"/>
    </row>
    <row r="207" ht="22.5" customHeight="1">
      <c r="A207" s="36" t="s">
        <v>843</v>
      </c>
      <c r="B207" s="36" t="s">
        <v>844</v>
      </c>
      <c r="C207" s="36" t="s">
        <v>286</v>
      </c>
      <c r="D207" s="36" t="s">
        <v>286</v>
      </c>
      <c r="E207" s="36" t="s">
        <v>287</v>
      </c>
      <c r="F207" s="36" t="s">
        <v>286</v>
      </c>
      <c r="G207" s="36" t="s">
        <v>773</v>
      </c>
      <c r="H207" s="37">
        <v>6.9</v>
      </c>
      <c r="I207" s="36" t="s">
        <v>289</v>
      </c>
      <c r="J207" s="36" t="s">
        <v>286</v>
      </c>
      <c r="K207" s="38"/>
      <c r="L207" s="38"/>
    </row>
    <row r="208" ht="22.5" customHeight="1">
      <c r="A208" s="36" t="s">
        <v>845</v>
      </c>
      <c r="B208" s="36" t="s">
        <v>846</v>
      </c>
      <c r="C208" s="36" t="s">
        <v>286</v>
      </c>
      <c r="D208" s="36" t="s">
        <v>286</v>
      </c>
      <c r="E208" s="36" t="s">
        <v>287</v>
      </c>
      <c r="F208" s="36" t="s">
        <v>286</v>
      </c>
      <c r="G208" s="36" t="s">
        <v>773</v>
      </c>
      <c r="H208" s="37">
        <v>6.9</v>
      </c>
      <c r="I208" s="36" t="s">
        <v>289</v>
      </c>
      <c r="J208" s="36" t="s">
        <v>286</v>
      </c>
      <c r="K208" s="38"/>
      <c r="L208" s="38"/>
    </row>
    <row r="209" ht="22.5" customHeight="1">
      <c r="A209" s="36" t="s">
        <v>847</v>
      </c>
      <c r="B209" s="36" t="s">
        <v>848</v>
      </c>
      <c r="C209" s="36" t="s">
        <v>286</v>
      </c>
      <c r="D209" s="36" t="s">
        <v>286</v>
      </c>
      <c r="E209" s="36" t="s">
        <v>287</v>
      </c>
      <c r="F209" s="36" t="s">
        <v>286</v>
      </c>
      <c r="G209" s="36" t="s">
        <v>300</v>
      </c>
      <c r="H209" s="37">
        <v>7100.0</v>
      </c>
      <c r="I209" s="36" t="s">
        <v>849</v>
      </c>
      <c r="J209" s="36" t="s">
        <v>286</v>
      </c>
      <c r="K209" s="38"/>
      <c r="L209" s="38"/>
    </row>
    <row r="210" ht="22.5" customHeight="1">
      <c r="A210" s="36" t="s">
        <v>850</v>
      </c>
      <c r="B210" s="36" t="s">
        <v>851</v>
      </c>
      <c r="C210" s="36" t="s">
        <v>286</v>
      </c>
      <c r="D210" s="36" t="s">
        <v>286</v>
      </c>
      <c r="E210" s="36" t="s">
        <v>287</v>
      </c>
      <c r="F210" s="36" t="s">
        <v>286</v>
      </c>
      <c r="G210" s="36" t="s">
        <v>300</v>
      </c>
      <c r="H210" s="37">
        <v>7000.0</v>
      </c>
      <c r="I210" s="36" t="s">
        <v>849</v>
      </c>
      <c r="J210" s="36" t="s">
        <v>286</v>
      </c>
      <c r="K210" s="38"/>
      <c r="L210" s="38"/>
    </row>
    <row r="211" ht="22.5" customHeight="1">
      <c r="A211" s="36" t="s">
        <v>852</v>
      </c>
      <c r="B211" s="36" t="s">
        <v>853</v>
      </c>
      <c r="C211" s="36" t="s">
        <v>286</v>
      </c>
      <c r="D211" s="36" t="s">
        <v>286</v>
      </c>
      <c r="E211" s="36" t="s">
        <v>287</v>
      </c>
      <c r="F211" s="36" t="s">
        <v>286</v>
      </c>
      <c r="G211" s="36" t="s">
        <v>307</v>
      </c>
      <c r="H211" s="37">
        <v>6950.0</v>
      </c>
      <c r="I211" s="36" t="s">
        <v>849</v>
      </c>
      <c r="J211" s="36" t="s">
        <v>286</v>
      </c>
      <c r="K211" s="38"/>
      <c r="L211" s="38"/>
    </row>
    <row r="212" ht="22.5" customHeight="1">
      <c r="A212" s="36" t="s">
        <v>854</v>
      </c>
      <c r="B212" s="36" t="s">
        <v>855</v>
      </c>
      <c r="C212" s="36" t="s">
        <v>286</v>
      </c>
      <c r="D212" s="36" t="s">
        <v>286</v>
      </c>
      <c r="E212" s="36" t="s">
        <v>287</v>
      </c>
      <c r="F212" s="36" t="s">
        <v>286</v>
      </c>
      <c r="G212" s="36" t="s">
        <v>288</v>
      </c>
      <c r="H212" s="37">
        <v>6850.0</v>
      </c>
      <c r="I212" s="36" t="s">
        <v>849</v>
      </c>
      <c r="J212" s="36" t="s">
        <v>286</v>
      </c>
      <c r="K212" s="38"/>
      <c r="L212" s="38"/>
    </row>
    <row r="213" ht="22.5" customHeight="1">
      <c r="A213" s="36" t="s">
        <v>856</v>
      </c>
      <c r="B213" s="36" t="s">
        <v>857</v>
      </c>
      <c r="C213" s="36" t="s">
        <v>286</v>
      </c>
      <c r="D213" s="36" t="s">
        <v>286</v>
      </c>
      <c r="E213" s="36" t="s">
        <v>287</v>
      </c>
      <c r="F213" s="36" t="s">
        <v>286</v>
      </c>
      <c r="G213" s="36" t="s">
        <v>300</v>
      </c>
      <c r="H213" s="37">
        <v>7420.0</v>
      </c>
      <c r="I213" s="36" t="s">
        <v>849</v>
      </c>
      <c r="J213" s="36" t="s">
        <v>286</v>
      </c>
      <c r="K213" s="38"/>
      <c r="L213" s="38"/>
    </row>
    <row r="214" ht="22.5" customHeight="1">
      <c r="A214" s="36" t="s">
        <v>858</v>
      </c>
      <c r="B214" s="36" t="s">
        <v>859</v>
      </c>
      <c r="C214" s="36" t="s">
        <v>286</v>
      </c>
      <c r="D214" s="36" t="s">
        <v>286</v>
      </c>
      <c r="E214" s="36" t="s">
        <v>287</v>
      </c>
      <c r="F214" s="36" t="s">
        <v>286</v>
      </c>
      <c r="G214" s="36" t="s">
        <v>307</v>
      </c>
      <c r="H214" s="37">
        <v>6690.0</v>
      </c>
      <c r="I214" s="36" t="s">
        <v>849</v>
      </c>
      <c r="J214" s="36" t="s">
        <v>286</v>
      </c>
      <c r="K214" s="38"/>
      <c r="L214" s="38"/>
    </row>
    <row r="215" ht="22.5" customHeight="1">
      <c r="A215" s="36" t="s">
        <v>860</v>
      </c>
      <c r="B215" s="36" t="s">
        <v>861</v>
      </c>
      <c r="C215" s="36" t="s">
        <v>286</v>
      </c>
      <c r="D215" s="36" t="s">
        <v>286</v>
      </c>
      <c r="E215" s="36" t="s">
        <v>287</v>
      </c>
      <c r="F215" s="36" t="s">
        <v>286</v>
      </c>
      <c r="G215" s="36" t="s">
        <v>300</v>
      </c>
      <c r="H215" s="37">
        <v>7000.0</v>
      </c>
      <c r="I215" s="36" t="s">
        <v>849</v>
      </c>
      <c r="J215" s="39" t="s">
        <v>286</v>
      </c>
      <c r="K215" s="38"/>
      <c r="L215" s="38"/>
    </row>
    <row r="216" ht="22.5" customHeight="1">
      <c r="A216" s="36" t="s">
        <v>862</v>
      </c>
      <c r="B216" s="36" t="s">
        <v>863</v>
      </c>
      <c r="C216" s="36" t="s">
        <v>286</v>
      </c>
      <c r="D216" s="36" t="s">
        <v>286</v>
      </c>
      <c r="E216" s="36" t="s">
        <v>287</v>
      </c>
      <c r="F216" s="36" t="s">
        <v>286</v>
      </c>
      <c r="G216" s="36" t="s">
        <v>288</v>
      </c>
      <c r="H216" s="37">
        <v>7370.0</v>
      </c>
      <c r="I216" s="36" t="s">
        <v>849</v>
      </c>
      <c r="J216" s="39" t="s">
        <v>286</v>
      </c>
      <c r="K216" s="38"/>
      <c r="L216" s="38"/>
    </row>
    <row r="217" ht="22.5" customHeight="1">
      <c r="A217" s="36" t="s">
        <v>864</v>
      </c>
      <c r="B217" s="36" t="s">
        <v>865</v>
      </c>
      <c r="C217" s="36" t="s">
        <v>286</v>
      </c>
      <c r="D217" s="36" t="s">
        <v>286</v>
      </c>
      <c r="E217" s="36" t="s">
        <v>287</v>
      </c>
      <c r="F217" s="36" t="s">
        <v>286</v>
      </c>
      <c r="G217" s="36" t="s">
        <v>307</v>
      </c>
      <c r="H217" s="37">
        <v>7250.0</v>
      </c>
      <c r="I217" s="36" t="s">
        <v>849</v>
      </c>
      <c r="J217" s="39" t="s">
        <v>286</v>
      </c>
      <c r="K217" s="38"/>
      <c r="L217" s="38"/>
    </row>
    <row r="218" ht="22.5" customHeight="1">
      <c r="A218" s="36" t="s">
        <v>866</v>
      </c>
      <c r="B218" s="36" t="s">
        <v>867</v>
      </c>
      <c r="C218" s="36" t="s">
        <v>286</v>
      </c>
      <c r="D218" s="36" t="s">
        <v>286</v>
      </c>
      <c r="E218" s="36" t="s">
        <v>287</v>
      </c>
      <c r="F218" s="36" t="s">
        <v>286</v>
      </c>
      <c r="G218" s="36" t="s">
        <v>307</v>
      </c>
      <c r="H218" s="37">
        <v>7260.0</v>
      </c>
      <c r="I218" s="36" t="s">
        <v>849</v>
      </c>
      <c r="J218" s="39" t="s">
        <v>286</v>
      </c>
      <c r="K218" s="38"/>
      <c r="L218" s="38"/>
    </row>
    <row r="219" ht="22.5" customHeight="1">
      <c r="A219" s="36" t="s">
        <v>868</v>
      </c>
      <c r="B219" s="36" t="s">
        <v>869</v>
      </c>
      <c r="C219" s="36" t="s">
        <v>286</v>
      </c>
      <c r="D219" s="36" t="s">
        <v>286</v>
      </c>
      <c r="E219" s="36" t="s">
        <v>287</v>
      </c>
      <c r="F219" s="36" t="s">
        <v>286</v>
      </c>
      <c r="G219" s="36" t="s">
        <v>288</v>
      </c>
      <c r="H219" s="37">
        <v>7560.0</v>
      </c>
      <c r="I219" s="36" t="s">
        <v>849</v>
      </c>
      <c r="J219" s="39" t="s">
        <v>286</v>
      </c>
      <c r="K219" s="38"/>
      <c r="L219" s="38"/>
    </row>
    <row r="220" ht="22.5" customHeight="1">
      <c r="A220" s="36" t="s">
        <v>870</v>
      </c>
      <c r="B220" s="36" t="s">
        <v>871</v>
      </c>
      <c r="C220" s="36" t="s">
        <v>286</v>
      </c>
      <c r="D220" s="36" t="s">
        <v>286</v>
      </c>
      <c r="E220" s="36" t="s">
        <v>287</v>
      </c>
      <c r="F220" s="36" t="s">
        <v>286</v>
      </c>
      <c r="G220" s="36" t="s">
        <v>300</v>
      </c>
      <c r="H220" s="37">
        <v>7980.0</v>
      </c>
      <c r="I220" s="36" t="s">
        <v>849</v>
      </c>
      <c r="J220" s="39" t="s">
        <v>286</v>
      </c>
      <c r="K220" s="38"/>
      <c r="L220" s="38"/>
    </row>
    <row r="221" ht="22.5" customHeight="1">
      <c r="A221" s="36" t="s">
        <v>872</v>
      </c>
      <c r="B221" s="36" t="s">
        <v>873</v>
      </c>
      <c r="C221" s="36" t="s">
        <v>286</v>
      </c>
      <c r="D221" s="36" t="s">
        <v>286</v>
      </c>
      <c r="E221" s="36" t="s">
        <v>287</v>
      </c>
      <c r="F221" s="36" t="s">
        <v>286</v>
      </c>
      <c r="G221" s="36" t="s">
        <v>288</v>
      </c>
      <c r="H221" s="37">
        <v>6850.0</v>
      </c>
      <c r="I221" s="36" t="s">
        <v>849</v>
      </c>
      <c r="J221" s="39" t="s">
        <v>286</v>
      </c>
      <c r="K221" s="38"/>
      <c r="L221" s="38"/>
    </row>
    <row r="222" ht="22.5" customHeight="1">
      <c r="A222" s="36" t="s">
        <v>874</v>
      </c>
      <c r="B222" s="36" t="s">
        <v>875</v>
      </c>
      <c r="C222" s="36" t="s">
        <v>286</v>
      </c>
      <c r="D222" s="36" t="s">
        <v>286</v>
      </c>
      <c r="E222" s="36" t="s">
        <v>287</v>
      </c>
      <c r="F222" s="36" t="s">
        <v>286</v>
      </c>
      <c r="G222" s="36" t="s">
        <v>292</v>
      </c>
      <c r="H222" s="37">
        <v>7590.0</v>
      </c>
      <c r="I222" s="36" t="s">
        <v>849</v>
      </c>
      <c r="J222" s="39" t="s">
        <v>286</v>
      </c>
      <c r="K222" s="38"/>
      <c r="L222" s="38"/>
    </row>
    <row r="223" ht="22.5" customHeight="1">
      <c r="A223" s="36" t="s">
        <v>876</v>
      </c>
      <c r="B223" s="36" t="s">
        <v>877</v>
      </c>
      <c r="C223" s="36" t="s">
        <v>286</v>
      </c>
      <c r="D223" s="36" t="s">
        <v>286</v>
      </c>
      <c r="E223" s="36" t="s">
        <v>287</v>
      </c>
      <c r="F223" s="36" t="s">
        <v>286</v>
      </c>
      <c r="G223" s="36" t="s">
        <v>292</v>
      </c>
      <c r="H223" s="37">
        <v>7590.0</v>
      </c>
      <c r="I223" s="36" t="s">
        <v>849</v>
      </c>
      <c r="J223" s="39" t="s">
        <v>286</v>
      </c>
      <c r="K223" s="38"/>
      <c r="L223" s="38"/>
    </row>
    <row r="224" ht="22.5" customHeight="1">
      <c r="A224" s="36" t="s">
        <v>878</v>
      </c>
      <c r="B224" s="36" t="s">
        <v>879</v>
      </c>
      <c r="C224" s="36" t="s">
        <v>286</v>
      </c>
      <c r="D224" s="36" t="s">
        <v>286</v>
      </c>
      <c r="E224" s="36" t="s">
        <v>287</v>
      </c>
      <c r="F224" s="36" t="s">
        <v>286</v>
      </c>
      <c r="G224" s="36" t="s">
        <v>288</v>
      </c>
      <c r="H224" s="37">
        <v>6670.0</v>
      </c>
      <c r="I224" s="36" t="s">
        <v>849</v>
      </c>
      <c r="J224" s="39" t="s">
        <v>286</v>
      </c>
      <c r="K224" s="38"/>
      <c r="L224" s="38"/>
    </row>
    <row r="225" ht="22.5" customHeight="1">
      <c r="A225" s="36" t="s">
        <v>880</v>
      </c>
      <c r="B225" s="36" t="s">
        <v>881</v>
      </c>
      <c r="C225" s="36" t="s">
        <v>286</v>
      </c>
      <c r="D225" s="36" t="s">
        <v>286</v>
      </c>
      <c r="E225" s="36" t="s">
        <v>287</v>
      </c>
      <c r="F225" s="36" t="s">
        <v>286</v>
      </c>
      <c r="G225" s="36" t="s">
        <v>307</v>
      </c>
      <c r="H225" s="37">
        <v>6670.0</v>
      </c>
      <c r="I225" s="36" t="s">
        <v>849</v>
      </c>
      <c r="J225" s="36" t="s">
        <v>286</v>
      </c>
      <c r="K225" s="38"/>
      <c r="L225" s="38"/>
    </row>
    <row r="226" ht="22.5" customHeight="1">
      <c r="A226" s="36" t="s">
        <v>882</v>
      </c>
      <c r="B226" s="36" t="s">
        <v>883</v>
      </c>
      <c r="C226" s="36" t="s">
        <v>286</v>
      </c>
      <c r="D226" s="36" t="s">
        <v>286</v>
      </c>
      <c r="E226" s="36" t="s">
        <v>287</v>
      </c>
      <c r="F226" s="36" t="s">
        <v>286</v>
      </c>
      <c r="G226" s="36" t="s">
        <v>307</v>
      </c>
      <c r="H226" s="37">
        <v>7260.0</v>
      </c>
      <c r="I226" s="36" t="s">
        <v>849</v>
      </c>
      <c r="J226" s="36" t="s">
        <v>286</v>
      </c>
      <c r="K226" s="38"/>
      <c r="L226" s="38"/>
    </row>
    <row r="227" ht="22.5" customHeight="1">
      <c r="A227" s="36" t="s">
        <v>884</v>
      </c>
      <c r="B227" s="36" t="s">
        <v>885</v>
      </c>
      <c r="C227" s="36" t="s">
        <v>286</v>
      </c>
      <c r="D227" s="36" t="s">
        <v>286</v>
      </c>
      <c r="E227" s="36" t="s">
        <v>287</v>
      </c>
      <c r="F227" s="36" t="s">
        <v>286</v>
      </c>
      <c r="G227" s="36" t="s">
        <v>307</v>
      </c>
      <c r="H227" s="37">
        <v>7260.0</v>
      </c>
      <c r="I227" s="36" t="s">
        <v>849</v>
      </c>
      <c r="J227" s="36" t="s">
        <v>286</v>
      </c>
      <c r="K227" s="38"/>
      <c r="L227" s="38"/>
    </row>
    <row r="228" ht="22.5" customHeight="1">
      <c r="A228" s="36" t="s">
        <v>886</v>
      </c>
      <c r="B228" s="36" t="s">
        <v>887</v>
      </c>
      <c r="C228" s="36" t="s">
        <v>286</v>
      </c>
      <c r="D228" s="36" t="s">
        <v>286</v>
      </c>
      <c r="E228" s="36" t="s">
        <v>287</v>
      </c>
      <c r="F228" s="36" t="s">
        <v>888</v>
      </c>
      <c r="G228" s="36" t="s">
        <v>889</v>
      </c>
      <c r="H228" s="37">
        <v>10.9</v>
      </c>
      <c r="I228" s="36" t="s">
        <v>333</v>
      </c>
      <c r="J228" s="36" t="s">
        <v>286</v>
      </c>
      <c r="K228" s="38"/>
      <c r="L228" s="38"/>
    </row>
    <row r="229" ht="22.5" customHeight="1">
      <c r="A229" s="36" t="s">
        <v>890</v>
      </c>
      <c r="B229" s="36" t="s">
        <v>891</v>
      </c>
      <c r="C229" s="36" t="s">
        <v>286</v>
      </c>
      <c r="D229" s="36" t="s">
        <v>286</v>
      </c>
      <c r="E229" s="36" t="s">
        <v>287</v>
      </c>
      <c r="F229" s="36" t="s">
        <v>892</v>
      </c>
      <c r="G229" s="36" t="s">
        <v>893</v>
      </c>
      <c r="H229" s="37">
        <v>6542.1</v>
      </c>
      <c r="I229" s="36" t="s">
        <v>333</v>
      </c>
      <c r="J229" s="36" t="s">
        <v>286</v>
      </c>
      <c r="K229" s="38"/>
      <c r="L229" s="38"/>
    </row>
    <row r="230" ht="22.5" customHeight="1">
      <c r="A230" s="36" t="s">
        <v>894</v>
      </c>
      <c r="B230" s="36" t="s">
        <v>895</v>
      </c>
      <c r="C230" s="36" t="s">
        <v>286</v>
      </c>
      <c r="D230" s="36" t="s">
        <v>286</v>
      </c>
      <c r="E230" s="36" t="s">
        <v>287</v>
      </c>
      <c r="F230" s="36" t="s">
        <v>286</v>
      </c>
      <c r="G230" s="36" t="s">
        <v>896</v>
      </c>
      <c r="H230" s="37">
        <v>1.97</v>
      </c>
      <c r="I230" s="36" t="s">
        <v>402</v>
      </c>
      <c r="J230" s="36" t="s">
        <v>286</v>
      </c>
      <c r="K230" s="38"/>
      <c r="L230" s="38"/>
    </row>
    <row r="231" ht="22.5" customHeight="1">
      <c r="A231" s="36" t="s">
        <v>897</v>
      </c>
      <c r="B231" s="36" t="s">
        <v>898</v>
      </c>
      <c r="C231" s="36" t="s">
        <v>286</v>
      </c>
      <c r="D231" s="36" t="s">
        <v>286</v>
      </c>
      <c r="E231" s="36" t="s">
        <v>287</v>
      </c>
      <c r="F231" s="36" t="s">
        <v>286</v>
      </c>
      <c r="G231" s="36" t="s">
        <v>488</v>
      </c>
      <c r="H231" s="37">
        <v>0.3</v>
      </c>
      <c r="I231" s="36" t="s">
        <v>402</v>
      </c>
      <c r="J231" s="36" t="s">
        <v>286</v>
      </c>
      <c r="K231" s="38"/>
      <c r="L231" s="38"/>
    </row>
    <row r="232" ht="22.5" customHeight="1">
      <c r="A232" s="36" t="s">
        <v>899</v>
      </c>
      <c r="B232" s="36" t="s">
        <v>900</v>
      </c>
      <c r="C232" s="36" t="s">
        <v>286</v>
      </c>
      <c r="D232" s="36" t="s">
        <v>286</v>
      </c>
      <c r="E232" s="36" t="s">
        <v>287</v>
      </c>
      <c r="F232" s="36" t="s">
        <v>286</v>
      </c>
      <c r="G232" s="36" t="s">
        <v>901</v>
      </c>
      <c r="H232" s="37">
        <v>227.6</v>
      </c>
      <c r="I232" s="36" t="s">
        <v>402</v>
      </c>
      <c r="J232" s="36" t="s">
        <v>286</v>
      </c>
      <c r="K232" s="38"/>
      <c r="L232" s="38"/>
    </row>
    <row r="233" ht="22.5" customHeight="1">
      <c r="A233" s="36" t="s">
        <v>902</v>
      </c>
      <c r="B233" s="36" t="s">
        <v>903</v>
      </c>
      <c r="C233" s="36" t="s">
        <v>286</v>
      </c>
      <c r="D233" s="36" t="s">
        <v>286</v>
      </c>
      <c r="E233" s="36" t="s">
        <v>287</v>
      </c>
      <c r="F233" s="36" t="s">
        <v>286</v>
      </c>
      <c r="G233" s="36" t="s">
        <v>494</v>
      </c>
      <c r="H233" s="37">
        <v>0.25</v>
      </c>
      <c r="I233" s="36" t="s">
        <v>402</v>
      </c>
      <c r="J233" s="36" t="s">
        <v>286</v>
      </c>
      <c r="K233" s="38"/>
      <c r="L233" s="38"/>
    </row>
    <row r="234" ht="22.5" customHeight="1">
      <c r="A234" s="36" t="s">
        <v>904</v>
      </c>
      <c r="B234" s="36" t="s">
        <v>905</v>
      </c>
      <c r="C234" s="36" t="s">
        <v>286</v>
      </c>
      <c r="D234" s="36" t="s">
        <v>286</v>
      </c>
      <c r="E234" s="36" t="s">
        <v>287</v>
      </c>
      <c r="F234" s="36" t="s">
        <v>286</v>
      </c>
      <c r="G234" s="36" t="s">
        <v>594</v>
      </c>
      <c r="H234" s="37">
        <v>20.2</v>
      </c>
      <c r="I234" s="36" t="s">
        <v>402</v>
      </c>
      <c r="J234" s="36" t="s">
        <v>286</v>
      </c>
      <c r="K234" s="38"/>
      <c r="L234" s="38"/>
    </row>
    <row r="235" ht="22.5" customHeight="1">
      <c r="A235" s="36" t="s">
        <v>906</v>
      </c>
      <c r="B235" s="36" t="s">
        <v>907</v>
      </c>
      <c r="C235" s="36" t="s">
        <v>286</v>
      </c>
      <c r="D235" s="36" t="s">
        <v>286</v>
      </c>
      <c r="E235" s="36" t="s">
        <v>287</v>
      </c>
      <c r="F235" s="36" t="s">
        <v>286</v>
      </c>
      <c r="G235" s="36" t="s">
        <v>908</v>
      </c>
      <c r="H235" s="37">
        <v>5853.25</v>
      </c>
      <c r="I235" s="36" t="s">
        <v>333</v>
      </c>
      <c r="J235" s="36" t="s">
        <v>286</v>
      </c>
      <c r="K235" s="38"/>
      <c r="L235" s="38"/>
    </row>
    <row r="236" ht="22.5" customHeight="1">
      <c r="A236" s="36" t="s">
        <v>909</v>
      </c>
      <c r="B236" s="36" t="s">
        <v>910</v>
      </c>
      <c r="C236" s="36" t="s">
        <v>286</v>
      </c>
      <c r="D236" s="36" t="s">
        <v>286</v>
      </c>
      <c r="E236" s="36" t="s">
        <v>287</v>
      </c>
      <c r="F236" s="36" t="s">
        <v>286</v>
      </c>
      <c r="G236" s="36" t="s">
        <v>828</v>
      </c>
      <c r="H236" s="37">
        <v>5.8</v>
      </c>
      <c r="I236" s="36" t="s">
        <v>402</v>
      </c>
      <c r="J236" s="36" t="s">
        <v>286</v>
      </c>
      <c r="K236" s="38"/>
      <c r="L236" s="38"/>
    </row>
    <row r="237" ht="22.5" customHeight="1">
      <c r="A237" s="36" t="s">
        <v>911</v>
      </c>
      <c r="B237" s="36" t="s">
        <v>912</v>
      </c>
      <c r="C237" s="36" t="s">
        <v>286</v>
      </c>
      <c r="D237" s="36" t="s">
        <v>286</v>
      </c>
      <c r="E237" s="36" t="s">
        <v>287</v>
      </c>
      <c r="F237" s="36" t="s">
        <v>913</v>
      </c>
      <c r="G237" s="36" t="s">
        <v>914</v>
      </c>
      <c r="H237" s="37">
        <v>944.33</v>
      </c>
      <c r="I237" s="36" t="s">
        <v>333</v>
      </c>
      <c r="J237" s="36" t="s">
        <v>286</v>
      </c>
      <c r="K237" s="38"/>
      <c r="L237" s="38"/>
    </row>
    <row r="238" ht="22.5" customHeight="1">
      <c r="A238" s="36" t="s">
        <v>915</v>
      </c>
      <c r="B238" s="36" t="s">
        <v>916</v>
      </c>
      <c r="C238" s="36" t="s">
        <v>286</v>
      </c>
      <c r="D238" s="36" t="s">
        <v>286</v>
      </c>
      <c r="E238" s="36" t="s">
        <v>287</v>
      </c>
      <c r="F238" s="36" t="s">
        <v>286</v>
      </c>
      <c r="G238" s="36" t="s">
        <v>442</v>
      </c>
      <c r="H238" s="37">
        <v>129.9</v>
      </c>
      <c r="I238" s="36" t="s">
        <v>333</v>
      </c>
      <c r="J238" s="36" t="s">
        <v>286</v>
      </c>
      <c r="K238" s="38"/>
      <c r="L238" s="38"/>
    </row>
    <row r="239" ht="22.5" customHeight="1">
      <c r="A239" s="36" t="s">
        <v>917</v>
      </c>
      <c r="B239" s="36" t="s">
        <v>918</v>
      </c>
      <c r="C239" s="36" t="s">
        <v>286</v>
      </c>
      <c r="D239" s="36" t="s">
        <v>286</v>
      </c>
      <c r="E239" s="36" t="s">
        <v>287</v>
      </c>
      <c r="F239" s="36" t="s">
        <v>286</v>
      </c>
      <c r="G239" s="36" t="s">
        <v>684</v>
      </c>
      <c r="H239" s="37">
        <v>87.0</v>
      </c>
      <c r="I239" s="36" t="s">
        <v>402</v>
      </c>
      <c r="J239" s="36" t="s">
        <v>286</v>
      </c>
      <c r="K239" s="38"/>
      <c r="L239" s="38"/>
    </row>
    <row r="240" ht="22.5" customHeight="1">
      <c r="A240" s="36" t="s">
        <v>919</v>
      </c>
      <c r="B240" s="36" t="s">
        <v>920</v>
      </c>
      <c r="C240" s="36" t="s">
        <v>286</v>
      </c>
      <c r="D240" s="36" t="s">
        <v>286</v>
      </c>
      <c r="E240" s="36" t="s">
        <v>287</v>
      </c>
      <c r="F240" s="36" t="s">
        <v>286</v>
      </c>
      <c r="G240" s="36" t="s">
        <v>292</v>
      </c>
      <c r="H240" s="37">
        <v>7.18</v>
      </c>
      <c r="I240" s="36" t="s">
        <v>289</v>
      </c>
      <c r="J240" s="36" t="s">
        <v>286</v>
      </c>
      <c r="K240" s="38"/>
      <c r="L240" s="38"/>
    </row>
    <row r="241" ht="22.5" customHeight="1">
      <c r="A241" s="36" t="s">
        <v>921</v>
      </c>
      <c r="B241" s="36" t="s">
        <v>922</v>
      </c>
      <c r="C241" s="36" t="s">
        <v>286</v>
      </c>
      <c r="D241" s="36" t="s">
        <v>286</v>
      </c>
      <c r="E241" s="36" t="s">
        <v>287</v>
      </c>
      <c r="F241" s="36" t="s">
        <v>286</v>
      </c>
      <c r="G241" s="36" t="s">
        <v>367</v>
      </c>
      <c r="H241" s="37">
        <v>46.0</v>
      </c>
      <c r="I241" s="36" t="s">
        <v>356</v>
      </c>
      <c r="J241" s="36" t="s">
        <v>286</v>
      </c>
      <c r="K241" s="38"/>
      <c r="L241" s="38"/>
    </row>
    <row r="242" ht="22.5" customHeight="1">
      <c r="A242" s="36" t="s">
        <v>923</v>
      </c>
      <c r="B242" s="36" t="s">
        <v>924</v>
      </c>
      <c r="C242" s="36" t="s">
        <v>286</v>
      </c>
      <c r="D242" s="36" t="s">
        <v>286</v>
      </c>
      <c r="E242" s="36" t="s">
        <v>287</v>
      </c>
      <c r="F242" s="36" t="s">
        <v>286</v>
      </c>
      <c r="G242" s="36" t="s">
        <v>442</v>
      </c>
      <c r="H242" s="37">
        <v>89.9</v>
      </c>
      <c r="I242" s="36" t="s">
        <v>333</v>
      </c>
      <c r="J242" s="36" t="s">
        <v>286</v>
      </c>
      <c r="K242" s="38"/>
      <c r="L242" s="38"/>
    </row>
    <row r="243" ht="22.5" customHeight="1">
      <c r="A243" s="36" t="s">
        <v>925</v>
      </c>
      <c r="B243" s="36" t="s">
        <v>926</v>
      </c>
      <c r="C243" s="36" t="s">
        <v>286</v>
      </c>
      <c r="D243" s="36" t="s">
        <v>286</v>
      </c>
      <c r="E243" s="36" t="s">
        <v>287</v>
      </c>
      <c r="F243" s="36" t="s">
        <v>286</v>
      </c>
      <c r="G243" s="36" t="s">
        <v>828</v>
      </c>
      <c r="H243" s="37">
        <v>83.6</v>
      </c>
      <c r="I243" s="36" t="s">
        <v>402</v>
      </c>
      <c r="J243" s="36" t="s">
        <v>286</v>
      </c>
      <c r="K243" s="38"/>
      <c r="L243" s="38"/>
    </row>
    <row r="244" ht="22.5" customHeight="1">
      <c r="A244" s="36" t="s">
        <v>927</v>
      </c>
      <c r="B244" s="36" t="s">
        <v>928</v>
      </c>
      <c r="C244" s="36" t="s">
        <v>286</v>
      </c>
      <c r="D244" s="36" t="s">
        <v>286</v>
      </c>
      <c r="E244" s="36" t="s">
        <v>287</v>
      </c>
      <c r="F244" s="36" t="s">
        <v>929</v>
      </c>
      <c r="G244" s="36" t="s">
        <v>457</v>
      </c>
      <c r="H244" s="37">
        <v>51.9</v>
      </c>
      <c r="I244" s="36" t="s">
        <v>402</v>
      </c>
      <c r="J244" s="36" t="s">
        <v>286</v>
      </c>
      <c r="K244" s="38"/>
      <c r="L244" s="38"/>
    </row>
    <row r="245" ht="22.5" customHeight="1">
      <c r="A245" s="36" t="s">
        <v>930</v>
      </c>
      <c r="B245" s="36" t="s">
        <v>931</v>
      </c>
      <c r="C245" s="36" t="s">
        <v>286</v>
      </c>
      <c r="D245" s="36" t="s">
        <v>286</v>
      </c>
      <c r="E245" s="36" t="s">
        <v>287</v>
      </c>
      <c r="F245" s="36" t="s">
        <v>286</v>
      </c>
      <c r="G245" s="36" t="s">
        <v>297</v>
      </c>
      <c r="H245" s="37">
        <v>7.42</v>
      </c>
      <c r="I245" s="36" t="s">
        <v>289</v>
      </c>
      <c r="J245" s="36" t="s">
        <v>286</v>
      </c>
      <c r="K245" s="38"/>
      <c r="L245" s="38"/>
    </row>
    <row r="246" ht="22.5" customHeight="1">
      <c r="A246" s="36" t="s">
        <v>932</v>
      </c>
      <c r="B246" s="36" t="s">
        <v>933</v>
      </c>
      <c r="C246" s="36" t="s">
        <v>286</v>
      </c>
      <c r="D246" s="36" t="s">
        <v>286</v>
      </c>
      <c r="E246" s="36" t="s">
        <v>287</v>
      </c>
      <c r="F246" s="36" t="s">
        <v>286</v>
      </c>
      <c r="G246" s="36" t="s">
        <v>360</v>
      </c>
      <c r="H246" s="37">
        <v>7.71</v>
      </c>
      <c r="I246" s="36" t="s">
        <v>289</v>
      </c>
      <c r="J246" s="36" t="s">
        <v>286</v>
      </c>
      <c r="K246" s="38"/>
      <c r="L246" s="38"/>
    </row>
    <row r="247" ht="22.5" customHeight="1">
      <c r="A247" s="36" t="s">
        <v>934</v>
      </c>
      <c r="B247" s="36" t="s">
        <v>935</v>
      </c>
      <c r="C247" s="36" t="s">
        <v>286</v>
      </c>
      <c r="D247" s="36" t="s">
        <v>286</v>
      </c>
      <c r="E247" s="36" t="s">
        <v>287</v>
      </c>
      <c r="F247" s="36" t="s">
        <v>286</v>
      </c>
      <c r="G247" s="36" t="s">
        <v>936</v>
      </c>
      <c r="H247" s="37">
        <v>81.267</v>
      </c>
      <c r="I247" s="36" t="s">
        <v>402</v>
      </c>
      <c r="J247" s="36" t="s">
        <v>286</v>
      </c>
      <c r="K247" s="38"/>
      <c r="L247" s="38"/>
    </row>
    <row r="248" ht="22.5" customHeight="1">
      <c r="A248" s="36" t="s">
        <v>937</v>
      </c>
      <c r="B248" s="36" t="s">
        <v>938</v>
      </c>
      <c r="C248" s="36" t="s">
        <v>286</v>
      </c>
      <c r="D248" s="36" t="s">
        <v>286</v>
      </c>
      <c r="E248" s="36" t="s">
        <v>287</v>
      </c>
      <c r="F248" s="36" t="s">
        <v>939</v>
      </c>
      <c r="G248" s="36" t="s">
        <v>477</v>
      </c>
      <c r="H248" s="37">
        <v>0.6394</v>
      </c>
      <c r="I248" s="36" t="s">
        <v>402</v>
      </c>
      <c r="J248" s="36" t="s">
        <v>286</v>
      </c>
      <c r="K248" s="38"/>
      <c r="L248" s="38"/>
    </row>
    <row r="249" ht="22.5" customHeight="1">
      <c r="A249" s="36" t="s">
        <v>940</v>
      </c>
      <c r="B249" s="36" t="s">
        <v>941</v>
      </c>
      <c r="C249" s="36" t="s">
        <v>286</v>
      </c>
      <c r="D249" s="36" t="s">
        <v>286</v>
      </c>
      <c r="E249" s="36" t="s">
        <v>287</v>
      </c>
      <c r="F249" s="36" t="s">
        <v>942</v>
      </c>
      <c r="G249" s="36" t="s">
        <v>477</v>
      </c>
      <c r="H249" s="37">
        <v>1.2592</v>
      </c>
      <c r="I249" s="36" t="s">
        <v>402</v>
      </c>
      <c r="J249" s="36" t="s">
        <v>286</v>
      </c>
      <c r="K249" s="38"/>
      <c r="L249" s="38"/>
    </row>
    <row r="250" ht="22.5" customHeight="1">
      <c r="A250" s="36" t="s">
        <v>943</v>
      </c>
      <c r="B250" s="36" t="s">
        <v>944</v>
      </c>
      <c r="C250" s="36" t="s">
        <v>286</v>
      </c>
      <c r="D250" s="36" t="s">
        <v>286</v>
      </c>
      <c r="E250" s="36" t="s">
        <v>287</v>
      </c>
      <c r="F250" s="36" t="s">
        <v>945</v>
      </c>
      <c r="G250" s="36" t="s">
        <v>401</v>
      </c>
      <c r="H250" s="37">
        <v>1.3353</v>
      </c>
      <c r="I250" s="36" t="s">
        <v>402</v>
      </c>
      <c r="J250" s="36" t="s">
        <v>286</v>
      </c>
      <c r="K250" s="38"/>
      <c r="L250" s="38"/>
    </row>
    <row r="251" ht="22.5" customHeight="1">
      <c r="A251" s="36" t="s">
        <v>946</v>
      </c>
      <c r="B251" s="36" t="s">
        <v>947</v>
      </c>
      <c r="C251" s="36" t="s">
        <v>286</v>
      </c>
      <c r="D251" s="36" t="s">
        <v>286</v>
      </c>
      <c r="E251" s="36" t="s">
        <v>287</v>
      </c>
      <c r="F251" s="36" t="s">
        <v>948</v>
      </c>
      <c r="G251" s="36" t="s">
        <v>949</v>
      </c>
      <c r="H251" s="37">
        <v>269.99</v>
      </c>
      <c r="I251" s="36" t="s">
        <v>333</v>
      </c>
      <c r="J251" s="36" t="s">
        <v>286</v>
      </c>
      <c r="K251" s="38"/>
      <c r="L251" s="38"/>
    </row>
    <row r="252" ht="22.5" customHeight="1">
      <c r="A252" s="36" t="s">
        <v>950</v>
      </c>
      <c r="B252" s="36" t="s">
        <v>951</v>
      </c>
      <c r="C252" s="36" t="s">
        <v>286</v>
      </c>
      <c r="D252" s="36" t="s">
        <v>286</v>
      </c>
      <c r="E252" s="36" t="s">
        <v>287</v>
      </c>
      <c r="F252" s="36" t="s">
        <v>952</v>
      </c>
      <c r="G252" s="36" t="s">
        <v>401</v>
      </c>
      <c r="H252" s="37">
        <v>27.744</v>
      </c>
      <c r="I252" s="36" t="s">
        <v>402</v>
      </c>
      <c r="J252" s="36" t="s">
        <v>286</v>
      </c>
      <c r="K252" s="38"/>
      <c r="L252" s="38"/>
    </row>
    <row r="253" ht="22.5" customHeight="1">
      <c r="A253" s="36" t="s">
        <v>953</v>
      </c>
      <c r="B253" s="36" t="s">
        <v>954</v>
      </c>
      <c r="C253" s="36" t="s">
        <v>286</v>
      </c>
      <c r="D253" s="36" t="s">
        <v>286</v>
      </c>
      <c r="E253" s="36" t="s">
        <v>287</v>
      </c>
      <c r="F253" s="36" t="s">
        <v>955</v>
      </c>
      <c r="G253" s="36" t="s">
        <v>488</v>
      </c>
      <c r="H253" s="37">
        <v>0.4009</v>
      </c>
      <c r="I253" s="36" t="s">
        <v>402</v>
      </c>
      <c r="J253" s="36" t="s">
        <v>286</v>
      </c>
      <c r="K253" s="38"/>
      <c r="L253" s="38"/>
    </row>
    <row r="254" ht="22.5" customHeight="1">
      <c r="A254" s="36" t="s">
        <v>956</v>
      </c>
      <c r="B254" s="36" t="s">
        <v>957</v>
      </c>
      <c r="C254" s="36" t="s">
        <v>286</v>
      </c>
      <c r="D254" s="36" t="s">
        <v>286</v>
      </c>
      <c r="E254" s="36" t="s">
        <v>287</v>
      </c>
      <c r="F254" s="36" t="s">
        <v>286</v>
      </c>
      <c r="G254" s="36" t="s">
        <v>958</v>
      </c>
      <c r="H254" s="37">
        <v>5.77</v>
      </c>
      <c r="I254" s="36" t="s">
        <v>821</v>
      </c>
      <c r="J254" s="36" t="s">
        <v>286</v>
      </c>
      <c r="K254" s="38"/>
      <c r="L254" s="38"/>
    </row>
    <row r="255" ht="22.5" customHeight="1">
      <c r="A255" s="36" t="s">
        <v>959</v>
      </c>
      <c r="B255" s="36" t="s">
        <v>960</v>
      </c>
      <c r="C255" s="36" t="s">
        <v>286</v>
      </c>
      <c r="D255" s="36" t="s">
        <v>286</v>
      </c>
      <c r="E255" s="36" t="s">
        <v>287</v>
      </c>
      <c r="F255" s="36" t="s">
        <v>286</v>
      </c>
      <c r="G255" s="36" t="s">
        <v>442</v>
      </c>
      <c r="H255" s="37">
        <v>878.9</v>
      </c>
      <c r="I255" s="36" t="s">
        <v>333</v>
      </c>
      <c r="J255" s="36" t="s">
        <v>286</v>
      </c>
      <c r="K255" s="38"/>
      <c r="L255" s="38"/>
    </row>
    <row r="256" ht="22.5" customHeight="1">
      <c r="A256" s="36" t="s">
        <v>961</v>
      </c>
      <c r="B256" s="36" t="s">
        <v>962</v>
      </c>
      <c r="C256" s="36" t="s">
        <v>286</v>
      </c>
      <c r="D256" s="36" t="s">
        <v>286</v>
      </c>
      <c r="E256" s="36" t="s">
        <v>287</v>
      </c>
      <c r="F256" s="36" t="s">
        <v>286</v>
      </c>
      <c r="G256" s="36" t="s">
        <v>963</v>
      </c>
      <c r="H256" s="37">
        <v>4.0</v>
      </c>
      <c r="I256" s="36" t="s">
        <v>402</v>
      </c>
      <c r="J256" s="36" t="s">
        <v>286</v>
      </c>
      <c r="K256" s="38"/>
      <c r="L256" s="38"/>
    </row>
    <row r="257" ht="22.5" customHeight="1">
      <c r="A257" s="36" t="s">
        <v>964</v>
      </c>
      <c r="B257" s="36" t="s">
        <v>965</v>
      </c>
      <c r="C257" s="36" t="s">
        <v>286</v>
      </c>
      <c r="D257" s="36" t="s">
        <v>286</v>
      </c>
      <c r="E257" s="36" t="s">
        <v>287</v>
      </c>
      <c r="F257" s="36" t="s">
        <v>286</v>
      </c>
      <c r="G257" s="36" t="s">
        <v>966</v>
      </c>
      <c r="H257" s="37">
        <v>8.0</v>
      </c>
      <c r="I257" s="36" t="s">
        <v>289</v>
      </c>
      <c r="J257" s="36" t="s">
        <v>286</v>
      </c>
      <c r="K257" s="38"/>
      <c r="L257" s="38"/>
    </row>
    <row r="258" ht="22.5" customHeight="1">
      <c r="A258" s="36" t="s">
        <v>967</v>
      </c>
      <c r="B258" s="36" t="s">
        <v>968</v>
      </c>
      <c r="C258" s="36" t="s">
        <v>286</v>
      </c>
      <c r="D258" s="36" t="s">
        <v>286</v>
      </c>
      <c r="E258" s="36" t="s">
        <v>287</v>
      </c>
      <c r="F258" s="36" t="s">
        <v>286</v>
      </c>
      <c r="G258" s="36" t="s">
        <v>966</v>
      </c>
      <c r="H258" s="37">
        <v>8.0</v>
      </c>
      <c r="I258" s="36" t="s">
        <v>289</v>
      </c>
      <c r="J258" s="36" t="s">
        <v>286</v>
      </c>
      <c r="K258" s="38"/>
      <c r="L258" s="38"/>
    </row>
    <row r="259" ht="22.5" customHeight="1">
      <c r="A259" s="36" t="s">
        <v>969</v>
      </c>
      <c r="B259" s="36" t="s">
        <v>970</v>
      </c>
      <c r="C259" s="36" t="s">
        <v>286</v>
      </c>
      <c r="D259" s="36" t="s">
        <v>286</v>
      </c>
      <c r="E259" s="36" t="s">
        <v>287</v>
      </c>
      <c r="F259" s="36" t="s">
        <v>286</v>
      </c>
      <c r="G259" s="36" t="s">
        <v>966</v>
      </c>
      <c r="H259" s="37">
        <v>9.0</v>
      </c>
      <c r="I259" s="36" t="s">
        <v>289</v>
      </c>
      <c r="J259" s="36" t="s">
        <v>286</v>
      </c>
      <c r="K259" s="38"/>
      <c r="L259" s="38"/>
    </row>
    <row r="260" ht="22.5" customHeight="1">
      <c r="A260" s="36" t="s">
        <v>971</v>
      </c>
      <c r="B260" s="36" t="s">
        <v>972</v>
      </c>
      <c r="C260" s="36" t="s">
        <v>973</v>
      </c>
      <c r="D260" s="36" t="s">
        <v>974</v>
      </c>
      <c r="E260" s="36" t="s">
        <v>975</v>
      </c>
      <c r="F260" s="36" t="s">
        <v>286</v>
      </c>
      <c r="G260" s="36" t="s">
        <v>966</v>
      </c>
      <c r="H260" s="37">
        <v>8.0</v>
      </c>
      <c r="I260" s="36" t="s">
        <v>289</v>
      </c>
      <c r="J260" s="36" t="s">
        <v>286</v>
      </c>
      <c r="K260" s="38"/>
      <c r="L260" s="38"/>
    </row>
    <row r="261" ht="22.5" customHeight="1">
      <c r="A261" s="36" t="s">
        <v>976</v>
      </c>
      <c r="B261" s="36" t="s">
        <v>977</v>
      </c>
      <c r="C261" s="36" t="s">
        <v>286</v>
      </c>
      <c r="D261" s="36" t="s">
        <v>286</v>
      </c>
      <c r="E261" s="36" t="s">
        <v>287</v>
      </c>
      <c r="F261" s="36" t="s">
        <v>286</v>
      </c>
      <c r="G261" s="36" t="s">
        <v>442</v>
      </c>
      <c r="H261" s="37">
        <v>11.0</v>
      </c>
      <c r="I261" s="36" t="s">
        <v>289</v>
      </c>
      <c r="J261" s="36" t="s">
        <v>286</v>
      </c>
      <c r="K261" s="38"/>
      <c r="L261" s="38"/>
    </row>
    <row r="262" ht="22.5" customHeight="1">
      <c r="A262" s="36" t="s">
        <v>978</v>
      </c>
      <c r="B262" s="36" t="s">
        <v>979</v>
      </c>
      <c r="C262" s="36" t="s">
        <v>286</v>
      </c>
      <c r="D262" s="36" t="s">
        <v>286</v>
      </c>
      <c r="E262" s="36" t="s">
        <v>287</v>
      </c>
      <c r="F262" s="36" t="s">
        <v>286</v>
      </c>
      <c r="G262" s="36" t="s">
        <v>442</v>
      </c>
      <c r="H262" s="37">
        <v>10.0</v>
      </c>
      <c r="I262" s="36" t="s">
        <v>289</v>
      </c>
      <c r="J262" s="36" t="s">
        <v>286</v>
      </c>
      <c r="K262" s="38"/>
      <c r="L262" s="38"/>
    </row>
    <row r="263" ht="22.5" customHeight="1">
      <c r="A263" s="36" t="s">
        <v>980</v>
      </c>
      <c r="B263" s="36" t="s">
        <v>981</v>
      </c>
      <c r="C263" s="36" t="s">
        <v>286</v>
      </c>
      <c r="D263" s="36" t="s">
        <v>286</v>
      </c>
      <c r="E263" s="36" t="s">
        <v>287</v>
      </c>
      <c r="F263" s="36" t="s">
        <v>286</v>
      </c>
      <c r="G263" s="36" t="s">
        <v>966</v>
      </c>
      <c r="H263" s="37">
        <v>11.0</v>
      </c>
      <c r="I263" s="36" t="s">
        <v>289</v>
      </c>
      <c r="J263" s="36" t="s">
        <v>286</v>
      </c>
      <c r="K263" s="38"/>
      <c r="L263" s="38"/>
    </row>
    <row r="264" ht="22.5" customHeight="1">
      <c r="A264" s="36" t="s">
        <v>982</v>
      </c>
      <c r="B264" s="36" t="s">
        <v>983</v>
      </c>
      <c r="C264" s="36" t="s">
        <v>286</v>
      </c>
      <c r="D264" s="36" t="s">
        <v>286</v>
      </c>
      <c r="E264" s="36" t="s">
        <v>287</v>
      </c>
      <c r="F264" s="36" t="s">
        <v>286</v>
      </c>
      <c r="G264" s="36" t="s">
        <v>966</v>
      </c>
      <c r="H264" s="37">
        <v>12.0</v>
      </c>
      <c r="I264" s="36" t="s">
        <v>289</v>
      </c>
      <c r="J264" s="36" t="s">
        <v>286</v>
      </c>
      <c r="K264" s="38"/>
      <c r="L264" s="38"/>
    </row>
    <row r="265" ht="22.5" customHeight="1">
      <c r="A265" s="36" t="s">
        <v>984</v>
      </c>
      <c r="B265" s="36" t="s">
        <v>985</v>
      </c>
      <c r="C265" s="36" t="s">
        <v>286</v>
      </c>
      <c r="D265" s="36" t="s">
        <v>286</v>
      </c>
      <c r="E265" s="36" t="s">
        <v>287</v>
      </c>
      <c r="F265" s="36" t="s">
        <v>286</v>
      </c>
      <c r="G265" s="36" t="s">
        <v>966</v>
      </c>
      <c r="H265" s="37">
        <v>11.0</v>
      </c>
      <c r="I265" s="36" t="s">
        <v>289</v>
      </c>
      <c r="J265" s="36" t="s">
        <v>286</v>
      </c>
      <c r="K265" s="38"/>
      <c r="L265" s="38"/>
    </row>
    <row r="266" ht="22.5" customHeight="1">
      <c r="A266" s="36" t="s">
        <v>986</v>
      </c>
      <c r="B266" s="36" t="s">
        <v>987</v>
      </c>
      <c r="C266" s="36" t="s">
        <v>286</v>
      </c>
      <c r="D266" s="36" t="s">
        <v>286</v>
      </c>
      <c r="E266" s="36" t="s">
        <v>287</v>
      </c>
      <c r="F266" s="36" t="s">
        <v>286</v>
      </c>
      <c r="G266" s="36" t="s">
        <v>371</v>
      </c>
      <c r="H266" s="37">
        <v>11.7</v>
      </c>
      <c r="I266" s="36" t="s">
        <v>289</v>
      </c>
      <c r="J266" s="36" t="s">
        <v>286</v>
      </c>
      <c r="K266" s="38"/>
      <c r="L266" s="38"/>
    </row>
    <row r="267" ht="22.5" customHeight="1">
      <c r="A267" s="36" t="s">
        <v>988</v>
      </c>
      <c r="B267" s="36" t="s">
        <v>989</v>
      </c>
      <c r="C267" s="36" t="s">
        <v>286</v>
      </c>
      <c r="D267" s="36" t="s">
        <v>286</v>
      </c>
      <c r="E267" s="36" t="s">
        <v>287</v>
      </c>
      <c r="F267" s="36" t="s">
        <v>286</v>
      </c>
      <c r="G267" s="36" t="s">
        <v>966</v>
      </c>
      <c r="H267" s="37">
        <v>9.9</v>
      </c>
      <c r="I267" s="36" t="s">
        <v>289</v>
      </c>
      <c r="J267" s="36" t="s">
        <v>286</v>
      </c>
      <c r="K267" s="38"/>
      <c r="L267" s="38"/>
    </row>
    <row r="268" ht="22.5" customHeight="1">
      <c r="A268" s="36" t="s">
        <v>990</v>
      </c>
      <c r="B268" s="36" t="s">
        <v>991</v>
      </c>
      <c r="C268" s="36" t="s">
        <v>286</v>
      </c>
      <c r="D268" s="36" t="s">
        <v>286</v>
      </c>
      <c r="E268" s="36" t="s">
        <v>287</v>
      </c>
      <c r="F268" s="36" t="s">
        <v>286</v>
      </c>
      <c r="G268" s="36" t="s">
        <v>966</v>
      </c>
      <c r="H268" s="37">
        <v>10.0</v>
      </c>
      <c r="I268" s="36" t="s">
        <v>289</v>
      </c>
      <c r="J268" s="36" t="s">
        <v>286</v>
      </c>
      <c r="K268" s="38"/>
      <c r="L268" s="38"/>
    </row>
    <row r="269" ht="22.5" customHeight="1">
      <c r="A269" s="36" t="s">
        <v>992</v>
      </c>
      <c r="B269" s="36" t="s">
        <v>993</v>
      </c>
      <c r="C269" s="36" t="s">
        <v>286</v>
      </c>
      <c r="D269" s="36" t="s">
        <v>286</v>
      </c>
      <c r="E269" s="36" t="s">
        <v>287</v>
      </c>
      <c r="F269" s="36" t="s">
        <v>286</v>
      </c>
      <c r="G269" s="36" t="s">
        <v>966</v>
      </c>
      <c r="H269" s="37">
        <v>9.0</v>
      </c>
      <c r="I269" s="36" t="s">
        <v>289</v>
      </c>
      <c r="J269" s="36" t="s">
        <v>286</v>
      </c>
      <c r="K269" s="38"/>
      <c r="L269" s="38"/>
    </row>
    <row r="270" ht="22.5" customHeight="1">
      <c r="A270" s="36" t="s">
        <v>994</v>
      </c>
      <c r="B270" s="36" t="s">
        <v>995</v>
      </c>
      <c r="C270" s="36" t="s">
        <v>286</v>
      </c>
      <c r="D270" s="36" t="s">
        <v>286</v>
      </c>
      <c r="E270" s="36" t="s">
        <v>287</v>
      </c>
      <c r="F270" s="36" t="s">
        <v>286</v>
      </c>
      <c r="G270" s="36" t="s">
        <v>966</v>
      </c>
      <c r="H270" s="37">
        <v>10.0</v>
      </c>
      <c r="I270" s="36" t="s">
        <v>289</v>
      </c>
      <c r="J270" s="36" t="s">
        <v>286</v>
      </c>
      <c r="K270" s="38"/>
      <c r="L270" s="38"/>
    </row>
    <row r="271" ht="22.5" customHeight="1">
      <c r="A271" s="36" t="s">
        <v>996</v>
      </c>
      <c r="B271" s="36" t="s">
        <v>997</v>
      </c>
      <c r="C271" s="36" t="s">
        <v>286</v>
      </c>
      <c r="D271" s="36" t="s">
        <v>286</v>
      </c>
      <c r="E271" s="36" t="s">
        <v>287</v>
      </c>
      <c r="F271" s="36" t="s">
        <v>286</v>
      </c>
      <c r="G271" s="36" t="s">
        <v>998</v>
      </c>
      <c r="H271" s="37">
        <v>6.9</v>
      </c>
      <c r="I271" s="36" t="s">
        <v>402</v>
      </c>
      <c r="J271" s="36" t="s">
        <v>286</v>
      </c>
      <c r="K271" s="38"/>
      <c r="L271" s="38"/>
    </row>
    <row r="272" ht="22.5" customHeight="1">
      <c r="A272" s="36" t="s">
        <v>999</v>
      </c>
      <c r="B272" s="36" t="s">
        <v>1000</v>
      </c>
      <c r="C272" s="36" t="s">
        <v>286</v>
      </c>
      <c r="D272" s="36" t="s">
        <v>286</v>
      </c>
      <c r="E272" s="36" t="s">
        <v>287</v>
      </c>
      <c r="F272" s="36" t="s">
        <v>286</v>
      </c>
      <c r="G272" s="36" t="s">
        <v>966</v>
      </c>
      <c r="H272" s="37">
        <v>8.0</v>
      </c>
      <c r="I272" s="36" t="s">
        <v>289</v>
      </c>
      <c r="J272" s="36" t="s">
        <v>286</v>
      </c>
      <c r="K272" s="38"/>
      <c r="L272" s="38"/>
    </row>
    <row r="273" ht="22.5" customHeight="1">
      <c r="A273" s="36" t="s">
        <v>1001</v>
      </c>
      <c r="B273" s="36" t="s">
        <v>1002</v>
      </c>
      <c r="C273" s="36" t="s">
        <v>286</v>
      </c>
      <c r="D273" s="36" t="s">
        <v>286</v>
      </c>
      <c r="E273" s="36" t="s">
        <v>287</v>
      </c>
      <c r="F273" s="36" t="s">
        <v>286</v>
      </c>
      <c r="G273" s="36" t="s">
        <v>1003</v>
      </c>
      <c r="H273" s="37">
        <v>8.0</v>
      </c>
      <c r="I273" s="36" t="s">
        <v>289</v>
      </c>
      <c r="J273" s="36" t="s">
        <v>286</v>
      </c>
      <c r="K273" s="38"/>
      <c r="L273" s="38"/>
    </row>
    <row r="274" ht="22.5" customHeight="1">
      <c r="A274" s="36" t="s">
        <v>1004</v>
      </c>
      <c r="B274" s="36" t="s">
        <v>1005</v>
      </c>
      <c r="C274" s="36" t="s">
        <v>286</v>
      </c>
      <c r="D274" s="36" t="s">
        <v>286</v>
      </c>
      <c r="E274" s="36" t="s">
        <v>287</v>
      </c>
      <c r="F274" s="36" t="s">
        <v>286</v>
      </c>
      <c r="G274" s="36" t="s">
        <v>292</v>
      </c>
      <c r="H274" s="37">
        <v>8.0</v>
      </c>
      <c r="I274" s="36" t="s">
        <v>289</v>
      </c>
      <c r="J274" s="36" t="s">
        <v>286</v>
      </c>
      <c r="K274" s="38"/>
      <c r="L274" s="38"/>
    </row>
    <row r="275" ht="22.5" customHeight="1">
      <c r="A275" s="36" t="s">
        <v>1006</v>
      </c>
      <c r="B275" s="36" t="s">
        <v>1007</v>
      </c>
      <c r="C275" s="36" t="s">
        <v>286</v>
      </c>
      <c r="D275" s="36" t="s">
        <v>286</v>
      </c>
      <c r="E275" s="36" t="s">
        <v>287</v>
      </c>
      <c r="F275" s="36" t="s">
        <v>286</v>
      </c>
      <c r="G275" s="36" t="s">
        <v>328</v>
      </c>
      <c r="H275" s="37">
        <v>7.0</v>
      </c>
      <c r="I275" s="36" t="s">
        <v>289</v>
      </c>
      <c r="J275" s="36" t="s">
        <v>286</v>
      </c>
      <c r="K275" s="38"/>
      <c r="L275" s="38"/>
    </row>
    <row r="276" ht="22.5" customHeight="1">
      <c r="A276" s="36" t="s">
        <v>1008</v>
      </c>
      <c r="B276" s="36" t="s">
        <v>1009</v>
      </c>
      <c r="C276" s="36" t="s">
        <v>286</v>
      </c>
      <c r="D276" s="36" t="s">
        <v>286</v>
      </c>
      <c r="E276" s="36" t="s">
        <v>287</v>
      </c>
      <c r="F276" s="36" t="s">
        <v>286</v>
      </c>
      <c r="G276" s="36" t="s">
        <v>328</v>
      </c>
      <c r="H276" s="37">
        <v>7.0</v>
      </c>
      <c r="I276" s="36" t="s">
        <v>289</v>
      </c>
      <c r="J276" s="36" t="s">
        <v>286</v>
      </c>
      <c r="K276" s="38"/>
      <c r="L276" s="38"/>
    </row>
    <row r="277" ht="22.5" customHeight="1">
      <c r="A277" s="36" t="s">
        <v>1010</v>
      </c>
      <c r="B277" s="36" t="s">
        <v>1011</v>
      </c>
      <c r="C277" s="36" t="s">
        <v>286</v>
      </c>
      <c r="D277" s="36" t="s">
        <v>286</v>
      </c>
      <c r="E277" s="36" t="s">
        <v>287</v>
      </c>
      <c r="F277" s="36" t="s">
        <v>286</v>
      </c>
      <c r="G277" s="36" t="s">
        <v>292</v>
      </c>
      <c r="H277" s="37">
        <v>9.0</v>
      </c>
      <c r="I277" s="36" t="s">
        <v>289</v>
      </c>
      <c r="J277" s="36" t="s">
        <v>286</v>
      </c>
      <c r="K277" s="38"/>
      <c r="L277" s="38"/>
    </row>
    <row r="278" ht="22.5" customHeight="1">
      <c r="A278" s="36" t="s">
        <v>1012</v>
      </c>
      <c r="B278" s="36" t="s">
        <v>1013</v>
      </c>
      <c r="C278" s="36" t="s">
        <v>286</v>
      </c>
      <c r="D278" s="36" t="s">
        <v>286</v>
      </c>
      <c r="E278" s="36" t="s">
        <v>287</v>
      </c>
      <c r="F278" s="36" t="s">
        <v>286</v>
      </c>
      <c r="G278" s="36" t="s">
        <v>325</v>
      </c>
      <c r="H278" s="37">
        <v>8.0</v>
      </c>
      <c r="I278" s="36" t="s">
        <v>289</v>
      </c>
      <c r="J278" s="36" t="s">
        <v>286</v>
      </c>
      <c r="K278" s="38"/>
      <c r="L278" s="38"/>
    </row>
    <row r="279" ht="22.5" customHeight="1">
      <c r="A279" s="36" t="s">
        <v>1014</v>
      </c>
      <c r="B279" s="36" t="s">
        <v>1015</v>
      </c>
      <c r="C279" s="36" t="s">
        <v>286</v>
      </c>
      <c r="D279" s="36" t="s">
        <v>286</v>
      </c>
      <c r="E279" s="36" t="s">
        <v>287</v>
      </c>
      <c r="F279" s="36" t="s">
        <v>286</v>
      </c>
      <c r="G279" s="36" t="s">
        <v>292</v>
      </c>
      <c r="H279" s="37">
        <v>8.0</v>
      </c>
      <c r="I279" s="36" t="s">
        <v>289</v>
      </c>
      <c r="J279" s="36" t="s">
        <v>286</v>
      </c>
      <c r="K279" s="38"/>
      <c r="L279" s="38"/>
    </row>
    <row r="280" ht="22.5" customHeight="1">
      <c r="A280" s="36" t="s">
        <v>1016</v>
      </c>
      <c r="B280" s="36" t="s">
        <v>1017</v>
      </c>
      <c r="C280" s="36" t="s">
        <v>286</v>
      </c>
      <c r="D280" s="36" t="s">
        <v>286</v>
      </c>
      <c r="E280" s="36" t="s">
        <v>287</v>
      </c>
      <c r="F280" s="36" t="s">
        <v>286</v>
      </c>
      <c r="G280" s="36" t="s">
        <v>292</v>
      </c>
      <c r="H280" s="37">
        <v>9.0</v>
      </c>
      <c r="I280" s="36" t="s">
        <v>289</v>
      </c>
      <c r="J280" s="36" t="s">
        <v>286</v>
      </c>
      <c r="K280" s="38"/>
      <c r="L280" s="38"/>
    </row>
    <row r="281" ht="22.5" customHeight="1">
      <c r="A281" s="36" t="s">
        <v>1018</v>
      </c>
      <c r="B281" s="36" t="s">
        <v>1019</v>
      </c>
      <c r="C281" s="36" t="s">
        <v>286</v>
      </c>
      <c r="D281" s="36" t="s">
        <v>286</v>
      </c>
      <c r="E281" s="36" t="s">
        <v>287</v>
      </c>
      <c r="F281" s="36" t="s">
        <v>286</v>
      </c>
      <c r="G281" s="36" t="s">
        <v>288</v>
      </c>
      <c r="H281" s="37">
        <v>9.0</v>
      </c>
      <c r="I281" s="36" t="s">
        <v>289</v>
      </c>
      <c r="J281" s="36" t="s">
        <v>286</v>
      </c>
      <c r="K281" s="38"/>
      <c r="L281" s="38"/>
    </row>
    <row r="282" ht="22.5" customHeight="1">
      <c r="A282" s="36" t="s">
        <v>1020</v>
      </c>
      <c r="B282" s="36" t="s">
        <v>1021</v>
      </c>
      <c r="C282" s="36" t="s">
        <v>286</v>
      </c>
      <c r="D282" s="36" t="s">
        <v>286</v>
      </c>
      <c r="E282" s="36" t="s">
        <v>287</v>
      </c>
      <c r="F282" s="36" t="s">
        <v>286</v>
      </c>
      <c r="G282" s="36" t="s">
        <v>966</v>
      </c>
      <c r="H282" s="37">
        <v>7.0</v>
      </c>
      <c r="I282" s="36" t="s">
        <v>289</v>
      </c>
      <c r="J282" s="36" t="s">
        <v>286</v>
      </c>
      <c r="K282" s="38"/>
      <c r="L282" s="38"/>
    </row>
    <row r="283" ht="22.5" customHeight="1">
      <c r="A283" s="36" t="s">
        <v>1022</v>
      </c>
      <c r="B283" s="36" t="s">
        <v>1023</v>
      </c>
      <c r="C283" s="36" t="s">
        <v>286</v>
      </c>
      <c r="D283" s="36" t="s">
        <v>286</v>
      </c>
      <c r="E283" s="36" t="s">
        <v>287</v>
      </c>
      <c r="F283" s="36" t="s">
        <v>286</v>
      </c>
      <c r="G283" s="36" t="s">
        <v>300</v>
      </c>
      <c r="H283" s="37">
        <v>8.0</v>
      </c>
      <c r="I283" s="36" t="s">
        <v>289</v>
      </c>
      <c r="J283" s="36" t="s">
        <v>286</v>
      </c>
      <c r="K283" s="38"/>
      <c r="L283" s="38"/>
    </row>
    <row r="284" ht="22.5" customHeight="1">
      <c r="A284" s="36" t="s">
        <v>1024</v>
      </c>
      <c r="B284" s="36" t="s">
        <v>1025</v>
      </c>
      <c r="C284" s="36" t="s">
        <v>286</v>
      </c>
      <c r="D284" s="36" t="s">
        <v>286</v>
      </c>
      <c r="E284" s="36" t="s">
        <v>287</v>
      </c>
      <c r="F284" s="36" t="s">
        <v>286</v>
      </c>
      <c r="G284" s="36" t="s">
        <v>1026</v>
      </c>
      <c r="H284" s="37">
        <v>28.03</v>
      </c>
      <c r="I284" s="36" t="s">
        <v>289</v>
      </c>
      <c r="J284" s="36" t="s">
        <v>286</v>
      </c>
      <c r="K284" s="38"/>
      <c r="L284" s="38"/>
    </row>
    <row r="285" ht="22.5" customHeight="1">
      <c r="A285" s="36" t="s">
        <v>1027</v>
      </c>
      <c r="B285" s="36" t="s">
        <v>1028</v>
      </c>
      <c r="C285" s="36" t="s">
        <v>286</v>
      </c>
      <c r="D285" s="36" t="s">
        <v>286</v>
      </c>
      <c r="E285" s="36" t="s">
        <v>287</v>
      </c>
      <c r="F285" s="36" t="s">
        <v>286</v>
      </c>
      <c r="G285" s="36" t="s">
        <v>1026</v>
      </c>
      <c r="H285" s="37">
        <v>26.76</v>
      </c>
      <c r="I285" s="36" t="s">
        <v>289</v>
      </c>
      <c r="J285" s="36" t="s">
        <v>286</v>
      </c>
      <c r="K285" s="38"/>
      <c r="L285" s="38"/>
    </row>
    <row r="286" ht="22.5" customHeight="1">
      <c r="A286" s="36" t="s">
        <v>1029</v>
      </c>
      <c r="B286" s="36" t="s">
        <v>1030</v>
      </c>
      <c r="C286" s="36" t="s">
        <v>286</v>
      </c>
      <c r="D286" s="36" t="s">
        <v>286</v>
      </c>
      <c r="E286" s="36" t="s">
        <v>287</v>
      </c>
      <c r="F286" s="36" t="s">
        <v>286</v>
      </c>
      <c r="G286" s="36" t="s">
        <v>1031</v>
      </c>
      <c r="H286" s="37">
        <v>95.0</v>
      </c>
      <c r="I286" s="36" t="s">
        <v>1032</v>
      </c>
      <c r="J286" s="36" t="s">
        <v>286</v>
      </c>
      <c r="K286" s="38"/>
      <c r="L286" s="38"/>
    </row>
    <row r="287" ht="22.5" customHeight="1">
      <c r="A287" s="36" t="s">
        <v>1033</v>
      </c>
      <c r="B287" s="36" t="s">
        <v>1034</v>
      </c>
      <c r="C287" s="36" t="s">
        <v>286</v>
      </c>
      <c r="D287" s="36" t="s">
        <v>286</v>
      </c>
      <c r="E287" s="36" t="s">
        <v>287</v>
      </c>
      <c r="F287" s="36" t="s">
        <v>286</v>
      </c>
      <c r="G287" s="36" t="s">
        <v>297</v>
      </c>
      <c r="H287" s="37">
        <v>10.0</v>
      </c>
      <c r="I287" s="36" t="s">
        <v>1032</v>
      </c>
      <c r="J287" s="36" t="s">
        <v>286</v>
      </c>
      <c r="K287" s="38"/>
      <c r="L287" s="38"/>
    </row>
    <row r="288" ht="22.5" customHeight="1">
      <c r="A288" s="36" t="s">
        <v>1035</v>
      </c>
      <c r="B288" s="36" t="s">
        <v>1036</v>
      </c>
      <c r="C288" s="36" t="s">
        <v>286</v>
      </c>
      <c r="D288" s="36" t="s">
        <v>286</v>
      </c>
      <c r="E288" s="36" t="s">
        <v>287</v>
      </c>
      <c r="F288" s="36" t="s">
        <v>286</v>
      </c>
      <c r="G288" s="36" t="s">
        <v>936</v>
      </c>
      <c r="H288" s="37">
        <v>105.185</v>
      </c>
      <c r="I288" s="36" t="s">
        <v>402</v>
      </c>
      <c r="J288" s="36" t="s">
        <v>286</v>
      </c>
      <c r="K288" s="38"/>
      <c r="L288" s="38"/>
    </row>
    <row r="289" ht="22.5" customHeight="1">
      <c r="A289" s="36" t="s">
        <v>1037</v>
      </c>
      <c r="B289" s="36" t="s">
        <v>1038</v>
      </c>
      <c r="C289" s="36" t="s">
        <v>286</v>
      </c>
      <c r="D289" s="36" t="s">
        <v>286</v>
      </c>
      <c r="E289" s="36" t="s">
        <v>287</v>
      </c>
      <c r="F289" s="36" t="s">
        <v>1039</v>
      </c>
      <c r="G289" s="36" t="s">
        <v>1040</v>
      </c>
      <c r="H289" s="37">
        <v>425.21</v>
      </c>
      <c r="I289" s="36" t="s">
        <v>333</v>
      </c>
      <c r="J289" s="36" t="s">
        <v>286</v>
      </c>
      <c r="K289" s="38"/>
      <c r="L289" s="38"/>
    </row>
    <row r="290" ht="22.5" customHeight="1">
      <c r="A290" s="36" t="s">
        <v>1041</v>
      </c>
      <c r="B290" s="36" t="s">
        <v>1042</v>
      </c>
      <c r="C290" s="36" t="s">
        <v>286</v>
      </c>
      <c r="D290" s="36" t="s">
        <v>286</v>
      </c>
      <c r="E290" s="36" t="s">
        <v>287</v>
      </c>
      <c r="F290" s="36" t="s">
        <v>286</v>
      </c>
      <c r="G290" s="36" t="s">
        <v>666</v>
      </c>
      <c r="H290" s="37">
        <v>22.6</v>
      </c>
      <c r="I290" s="36" t="s">
        <v>402</v>
      </c>
      <c r="J290" s="36" t="s">
        <v>286</v>
      </c>
      <c r="K290" s="38"/>
      <c r="L290" s="38"/>
    </row>
    <row r="291" ht="22.5" customHeight="1">
      <c r="A291" s="36" t="s">
        <v>1043</v>
      </c>
      <c r="B291" s="36" t="s">
        <v>1044</v>
      </c>
      <c r="C291" s="36" t="s">
        <v>286</v>
      </c>
      <c r="D291" s="36" t="s">
        <v>286</v>
      </c>
      <c r="E291" s="36" t="s">
        <v>287</v>
      </c>
      <c r="F291" s="36" t="s">
        <v>286</v>
      </c>
      <c r="G291" s="36" t="s">
        <v>300</v>
      </c>
      <c r="H291" s="37">
        <v>700.0</v>
      </c>
      <c r="I291" s="36" t="s">
        <v>402</v>
      </c>
      <c r="J291" s="36" t="s">
        <v>286</v>
      </c>
      <c r="K291" s="38"/>
      <c r="L291" s="38"/>
    </row>
    <row r="292" ht="22.5" customHeight="1">
      <c r="A292" s="36" t="s">
        <v>1045</v>
      </c>
      <c r="B292" s="36" t="s">
        <v>1046</v>
      </c>
      <c r="C292" s="36" t="s">
        <v>286</v>
      </c>
      <c r="D292" s="36" t="s">
        <v>286</v>
      </c>
      <c r="E292" s="36" t="s">
        <v>287</v>
      </c>
      <c r="F292" s="36" t="s">
        <v>1047</v>
      </c>
      <c r="G292" s="36" t="s">
        <v>1048</v>
      </c>
      <c r="H292" s="37">
        <v>231.39</v>
      </c>
      <c r="I292" s="36" t="s">
        <v>333</v>
      </c>
      <c r="J292" s="36" t="s">
        <v>286</v>
      </c>
      <c r="K292" s="38"/>
      <c r="L292" s="38"/>
    </row>
    <row r="293" ht="22.5" customHeight="1">
      <c r="A293" s="36" t="s">
        <v>1049</v>
      </c>
      <c r="B293" s="36" t="s">
        <v>1050</v>
      </c>
      <c r="C293" s="36" t="s">
        <v>286</v>
      </c>
      <c r="D293" s="36" t="s">
        <v>286</v>
      </c>
      <c r="E293" s="36" t="s">
        <v>287</v>
      </c>
      <c r="F293" s="36" t="s">
        <v>286</v>
      </c>
      <c r="G293" s="36" t="s">
        <v>325</v>
      </c>
      <c r="H293" s="37">
        <v>530.0</v>
      </c>
      <c r="I293" s="36" t="s">
        <v>402</v>
      </c>
      <c r="J293" s="36" t="s">
        <v>286</v>
      </c>
      <c r="K293" s="38"/>
      <c r="L293" s="38"/>
    </row>
    <row r="294" ht="22.5" customHeight="1">
      <c r="A294" s="36" t="s">
        <v>1051</v>
      </c>
      <c r="B294" s="36" t="s">
        <v>1052</v>
      </c>
      <c r="C294" s="36" t="s">
        <v>286</v>
      </c>
      <c r="D294" s="36" t="s">
        <v>286</v>
      </c>
      <c r="E294" s="36" t="s">
        <v>287</v>
      </c>
      <c r="F294" s="36" t="s">
        <v>286</v>
      </c>
      <c r="G294" s="36" t="s">
        <v>325</v>
      </c>
      <c r="H294" s="37">
        <v>342.0</v>
      </c>
      <c r="I294" s="36" t="s">
        <v>1053</v>
      </c>
      <c r="J294" s="36" t="s">
        <v>286</v>
      </c>
      <c r="K294" s="38"/>
      <c r="L294" s="38"/>
    </row>
    <row r="295" ht="22.5" customHeight="1">
      <c r="A295" s="36" t="s">
        <v>1054</v>
      </c>
      <c r="B295" s="36" t="s">
        <v>1055</v>
      </c>
      <c r="C295" s="36" t="s">
        <v>286</v>
      </c>
      <c r="D295" s="36" t="s">
        <v>286</v>
      </c>
      <c r="E295" s="36" t="s">
        <v>287</v>
      </c>
      <c r="F295" s="36" t="s">
        <v>286</v>
      </c>
      <c r="G295" s="36" t="s">
        <v>1056</v>
      </c>
      <c r="H295" s="37">
        <v>6299.0</v>
      </c>
      <c r="I295" s="36" t="s">
        <v>1057</v>
      </c>
      <c r="J295" s="36" t="s">
        <v>286</v>
      </c>
      <c r="K295" s="38"/>
      <c r="L295" s="38"/>
    </row>
    <row r="296" ht="22.5" customHeight="1">
      <c r="A296" s="36" t="s">
        <v>1058</v>
      </c>
      <c r="B296" s="36" t="s">
        <v>1059</v>
      </c>
      <c r="C296" s="36" t="s">
        <v>286</v>
      </c>
      <c r="D296" s="36" t="s">
        <v>286</v>
      </c>
      <c r="E296" s="36" t="s">
        <v>287</v>
      </c>
      <c r="F296" s="36" t="s">
        <v>286</v>
      </c>
      <c r="G296" s="36" t="s">
        <v>1060</v>
      </c>
      <c r="H296" s="37">
        <v>21.32</v>
      </c>
      <c r="I296" s="36" t="s">
        <v>289</v>
      </c>
      <c r="J296" s="36" t="s">
        <v>286</v>
      </c>
      <c r="K296" s="38"/>
      <c r="L296" s="38"/>
    </row>
    <row r="297" ht="22.5" customHeight="1">
      <c r="A297" s="36" t="s">
        <v>1061</v>
      </c>
      <c r="B297" s="36" t="s">
        <v>1062</v>
      </c>
      <c r="C297" s="36" t="s">
        <v>286</v>
      </c>
      <c r="D297" s="36" t="s">
        <v>286</v>
      </c>
      <c r="E297" s="36" t="s">
        <v>287</v>
      </c>
      <c r="F297" s="36" t="s">
        <v>286</v>
      </c>
      <c r="G297" s="36" t="s">
        <v>1063</v>
      </c>
      <c r="H297" s="37">
        <v>230.0</v>
      </c>
      <c r="I297" s="36" t="s">
        <v>1064</v>
      </c>
      <c r="J297" s="36" t="s">
        <v>286</v>
      </c>
      <c r="K297" s="38"/>
      <c r="L297" s="38"/>
    </row>
    <row r="298" ht="22.5" customHeight="1">
      <c r="A298" s="36" t="s">
        <v>1065</v>
      </c>
      <c r="B298" s="36" t="s">
        <v>1066</v>
      </c>
      <c r="C298" s="36" t="s">
        <v>286</v>
      </c>
      <c r="D298" s="36" t="s">
        <v>286</v>
      </c>
      <c r="E298" s="36" t="s">
        <v>287</v>
      </c>
      <c r="F298" s="36" t="s">
        <v>286</v>
      </c>
      <c r="G298" s="36" t="s">
        <v>1067</v>
      </c>
      <c r="H298" s="37">
        <v>5.0</v>
      </c>
      <c r="I298" s="36" t="s">
        <v>289</v>
      </c>
      <c r="J298" s="36" t="s">
        <v>286</v>
      </c>
      <c r="K298" s="38"/>
      <c r="L298" s="38"/>
    </row>
    <row r="299" ht="22.5" customHeight="1">
      <c r="A299" s="36" t="s">
        <v>1068</v>
      </c>
      <c r="B299" s="36" t="s">
        <v>1069</v>
      </c>
      <c r="C299" s="36" t="s">
        <v>286</v>
      </c>
      <c r="D299" s="36" t="s">
        <v>286</v>
      </c>
      <c r="E299" s="36" t="s">
        <v>287</v>
      </c>
      <c r="F299" s="36" t="s">
        <v>286</v>
      </c>
      <c r="G299" s="36" t="s">
        <v>505</v>
      </c>
      <c r="H299" s="37">
        <v>1900.0</v>
      </c>
      <c r="I299" s="36" t="s">
        <v>333</v>
      </c>
      <c r="J299" s="36" t="s">
        <v>286</v>
      </c>
      <c r="K299" s="38"/>
      <c r="L299" s="38"/>
    </row>
    <row r="300" ht="22.5" customHeight="1">
      <c r="A300" s="36" t="s">
        <v>1070</v>
      </c>
      <c r="B300" s="36" t="s">
        <v>1071</v>
      </c>
      <c r="C300" s="36" t="s">
        <v>286</v>
      </c>
      <c r="D300" s="36" t="s">
        <v>286</v>
      </c>
      <c r="E300" s="36" t="s">
        <v>287</v>
      </c>
      <c r="F300" s="36" t="s">
        <v>286</v>
      </c>
      <c r="G300" s="36" t="s">
        <v>1072</v>
      </c>
      <c r="H300" s="37">
        <v>343.35</v>
      </c>
      <c r="I300" s="36" t="s">
        <v>333</v>
      </c>
      <c r="J300" s="36" t="s">
        <v>286</v>
      </c>
      <c r="K300" s="38"/>
      <c r="L300" s="38"/>
    </row>
    <row r="301" ht="22.5" customHeight="1">
      <c r="A301" s="36" t="s">
        <v>1073</v>
      </c>
      <c r="B301" s="36" t="s">
        <v>1074</v>
      </c>
      <c r="C301" s="36" t="s">
        <v>286</v>
      </c>
      <c r="D301" s="36" t="s">
        <v>286</v>
      </c>
      <c r="E301" s="36" t="s">
        <v>287</v>
      </c>
      <c r="F301" s="36" t="s">
        <v>286</v>
      </c>
      <c r="G301" s="36" t="s">
        <v>1075</v>
      </c>
      <c r="H301" s="37">
        <v>4700.0</v>
      </c>
      <c r="I301" s="36" t="s">
        <v>333</v>
      </c>
      <c r="J301" s="36" t="s">
        <v>286</v>
      </c>
      <c r="K301" s="38"/>
      <c r="L301" s="38"/>
    </row>
    <row r="302" ht="22.5" customHeight="1">
      <c r="A302" s="36" t="s">
        <v>1076</v>
      </c>
      <c r="B302" s="36" t="s">
        <v>1077</v>
      </c>
      <c r="C302" s="36" t="s">
        <v>286</v>
      </c>
      <c r="D302" s="36" t="s">
        <v>286</v>
      </c>
      <c r="E302" s="36" t="s">
        <v>287</v>
      </c>
      <c r="F302" s="36" t="s">
        <v>286</v>
      </c>
      <c r="G302" s="36" t="s">
        <v>1078</v>
      </c>
      <c r="H302" s="37">
        <v>15225.0</v>
      </c>
      <c r="I302" s="36" t="s">
        <v>333</v>
      </c>
      <c r="J302" s="36" t="s">
        <v>286</v>
      </c>
      <c r="K302" s="38"/>
      <c r="L302" s="38"/>
    </row>
    <row r="303" ht="22.5" customHeight="1">
      <c r="A303" s="36" t="s">
        <v>1079</v>
      </c>
      <c r="B303" s="36" t="s">
        <v>1080</v>
      </c>
      <c r="C303" s="36" t="s">
        <v>286</v>
      </c>
      <c r="D303" s="36" t="s">
        <v>286</v>
      </c>
      <c r="E303" s="36" t="s">
        <v>287</v>
      </c>
      <c r="F303" s="36" t="s">
        <v>1081</v>
      </c>
      <c r="G303" s="36" t="s">
        <v>1082</v>
      </c>
      <c r="H303" s="37">
        <v>65.9</v>
      </c>
      <c r="I303" s="36" t="s">
        <v>333</v>
      </c>
      <c r="J303" s="36" t="s">
        <v>286</v>
      </c>
      <c r="K303" s="38"/>
      <c r="L303" s="38"/>
    </row>
    <row r="304" ht="22.5" customHeight="1">
      <c r="A304" s="36" t="s">
        <v>1083</v>
      </c>
      <c r="B304" s="36" t="s">
        <v>1084</v>
      </c>
      <c r="C304" s="36" t="s">
        <v>286</v>
      </c>
      <c r="D304" s="36" t="s">
        <v>286</v>
      </c>
      <c r="E304" s="36" t="s">
        <v>287</v>
      </c>
      <c r="F304" s="36" t="s">
        <v>1085</v>
      </c>
      <c r="G304" s="36" t="s">
        <v>607</v>
      </c>
      <c r="H304" s="37">
        <v>80.5</v>
      </c>
      <c r="I304" s="36" t="s">
        <v>402</v>
      </c>
      <c r="J304" s="36" t="s">
        <v>286</v>
      </c>
      <c r="K304" s="38"/>
      <c r="L304" s="38"/>
    </row>
    <row r="305" ht="22.5" customHeight="1">
      <c r="A305" s="36" t="s">
        <v>1086</v>
      </c>
      <c r="B305" s="36" t="s">
        <v>1087</v>
      </c>
      <c r="C305" s="36" t="s">
        <v>286</v>
      </c>
      <c r="D305" s="36" t="s">
        <v>286</v>
      </c>
      <c r="E305" s="36" t="s">
        <v>287</v>
      </c>
      <c r="F305" s="36" t="s">
        <v>1088</v>
      </c>
      <c r="G305" s="36" t="s">
        <v>1089</v>
      </c>
      <c r="H305" s="37">
        <v>53.28</v>
      </c>
      <c r="I305" s="36" t="s">
        <v>402</v>
      </c>
      <c r="J305" s="36" t="s">
        <v>286</v>
      </c>
      <c r="K305" s="38"/>
      <c r="L305" s="38"/>
    </row>
    <row r="306" ht="22.5" customHeight="1">
      <c r="A306" s="36" t="s">
        <v>1090</v>
      </c>
      <c r="B306" s="36" t="s">
        <v>1091</v>
      </c>
      <c r="C306" s="36" t="s">
        <v>286</v>
      </c>
      <c r="D306" s="36" t="s">
        <v>286</v>
      </c>
      <c r="E306" s="36" t="s">
        <v>287</v>
      </c>
      <c r="F306" s="36" t="s">
        <v>286</v>
      </c>
      <c r="G306" s="36" t="s">
        <v>1092</v>
      </c>
      <c r="H306" s="37">
        <v>161004.9</v>
      </c>
      <c r="I306" s="36" t="s">
        <v>333</v>
      </c>
      <c r="J306" s="36" t="s">
        <v>286</v>
      </c>
      <c r="K306" s="38"/>
      <c r="L306" s="38"/>
    </row>
    <row r="307" ht="22.5" customHeight="1">
      <c r="A307" s="36" t="s">
        <v>1093</v>
      </c>
      <c r="B307" s="36" t="s">
        <v>1094</v>
      </c>
      <c r="C307" s="36" t="s">
        <v>286</v>
      </c>
      <c r="D307" s="36" t="s">
        <v>286</v>
      </c>
      <c r="E307" s="36" t="s">
        <v>287</v>
      </c>
      <c r="F307" s="36" t="s">
        <v>286</v>
      </c>
      <c r="G307" s="36" t="s">
        <v>1092</v>
      </c>
      <c r="H307" s="37">
        <v>1835.17</v>
      </c>
      <c r="I307" s="36" t="s">
        <v>333</v>
      </c>
      <c r="J307" s="36" t="s">
        <v>286</v>
      </c>
      <c r="K307" s="38"/>
      <c r="L307" s="38"/>
    </row>
    <row r="308" ht="22.5" customHeight="1">
      <c r="A308" s="36" t="s">
        <v>1095</v>
      </c>
      <c r="B308" s="36" t="s">
        <v>1096</v>
      </c>
      <c r="C308" s="36" t="s">
        <v>286</v>
      </c>
      <c r="D308" s="36" t="s">
        <v>286</v>
      </c>
      <c r="E308" s="36" t="s">
        <v>287</v>
      </c>
      <c r="F308" s="36" t="s">
        <v>286</v>
      </c>
      <c r="G308" s="36" t="s">
        <v>1092</v>
      </c>
      <c r="H308" s="37">
        <v>583.92</v>
      </c>
      <c r="I308" s="36" t="s">
        <v>333</v>
      </c>
      <c r="J308" s="36" t="s">
        <v>286</v>
      </c>
      <c r="K308" s="38"/>
      <c r="L308" s="38"/>
    </row>
    <row r="309" ht="22.5" customHeight="1">
      <c r="A309" s="36" t="s">
        <v>1097</v>
      </c>
      <c r="B309" s="36" t="s">
        <v>1098</v>
      </c>
      <c r="C309" s="36" t="s">
        <v>286</v>
      </c>
      <c r="D309" s="36" t="s">
        <v>286</v>
      </c>
      <c r="E309" s="36" t="s">
        <v>287</v>
      </c>
      <c r="F309" s="36" t="s">
        <v>1099</v>
      </c>
      <c r="G309" s="36" t="s">
        <v>551</v>
      </c>
      <c r="H309" s="37">
        <v>32.54</v>
      </c>
      <c r="I309" s="36" t="s">
        <v>402</v>
      </c>
      <c r="J309" s="36" t="s">
        <v>286</v>
      </c>
      <c r="K309" s="38"/>
      <c r="L309" s="38"/>
    </row>
    <row r="310" ht="22.5" customHeight="1">
      <c r="A310" s="36" t="s">
        <v>1100</v>
      </c>
      <c r="B310" s="36" t="s">
        <v>1101</v>
      </c>
      <c r="C310" s="36" t="s">
        <v>286</v>
      </c>
      <c r="D310" s="36" t="s">
        <v>286</v>
      </c>
      <c r="E310" s="36" t="s">
        <v>287</v>
      </c>
      <c r="F310" s="36" t="s">
        <v>286</v>
      </c>
      <c r="G310" s="36" t="s">
        <v>1102</v>
      </c>
      <c r="H310" s="37">
        <v>5.79</v>
      </c>
      <c r="I310" s="36" t="s">
        <v>1103</v>
      </c>
      <c r="J310" s="36" t="s">
        <v>286</v>
      </c>
      <c r="K310" s="38"/>
      <c r="L310" s="38"/>
    </row>
    <row r="311" ht="22.5" customHeight="1">
      <c r="A311" s="36" t="s">
        <v>1104</v>
      </c>
      <c r="B311" s="36" t="s">
        <v>1105</v>
      </c>
      <c r="C311" s="36" t="s">
        <v>286</v>
      </c>
      <c r="D311" s="36" t="s">
        <v>286</v>
      </c>
      <c r="E311" s="36" t="s">
        <v>287</v>
      </c>
      <c r="F311" s="36" t="s">
        <v>286</v>
      </c>
      <c r="G311" s="36" t="s">
        <v>1106</v>
      </c>
      <c r="H311" s="37">
        <v>3.89</v>
      </c>
      <c r="I311" s="36" t="s">
        <v>1103</v>
      </c>
      <c r="J311" s="36" t="s">
        <v>286</v>
      </c>
      <c r="K311" s="38"/>
      <c r="L311" s="38"/>
    </row>
    <row r="312" ht="22.5" customHeight="1">
      <c r="A312" s="36" t="s">
        <v>1107</v>
      </c>
      <c r="B312" s="36" t="s">
        <v>1108</v>
      </c>
      <c r="C312" s="36" t="s">
        <v>286</v>
      </c>
      <c r="D312" s="36" t="s">
        <v>286</v>
      </c>
      <c r="E312" s="36" t="s">
        <v>287</v>
      </c>
      <c r="F312" s="36" t="s">
        <v>286</v>
      </c>
      <c r="G312" s="36" t="s">
        <v>401</v>
      </c>
      <c r="H312" s="37">
        <v>22.03</v>
      </c>
      <c r="I312" s="36" t="s">
        <v>597</v>
      </c>
      <c r="J312" s="36" t="s">
        <v>286</v>
      </c>
      <c r="K312" s="38"/>
      <c r="L312" s="38"/>
    </row>
    <row r="313" ht="22.5" customHeight="1">
      <c r="A313" s="36" t="s">
        <v>1109</v>
      </c>
      <c r="B313" s="36" t="s">
        <v>1110</v>
      </c>
      <c r="C313" s="36" t="s">
        <v>286</v>
      </c>
      <c r="D313" s="36" t="s">
        <v>286</v>
      </c>
      <c r="E313" s="36" t="s">
        <v>287</v>
      </c>
      <c r="F313" s="36" t="s">
        <v>1111</v>
      </c>
      <c r="G313" s="36" t="s">
        <v>1112</v>
      </c>
      <c r="H313" s="37">
        <v>499.0</v>
      </c>
      <c r="I313" s="36" t="s">
        <v>333</v>
      </c>
      <c r="J313" s="36" t="s">
        <v>286</v>
      </c>
      <c r="K313" s="38"/>
      <c r="L313" s="38"/>
    </row>
    <row r="314" ht="22.5" customHeight="1">
      <c r="A314" s="36" t="s">
        <v>1113</v>
      </c>
      <c r="B314" s="36" t="s">
        <v>1114</v>
      </c>
      <c r="C314" s="36" t="s">
        <v>286</v>
      </c>
      <c r="D314" s="36" t="s">
        <v>286</v>
      </c>
      <c r="E314" s="36" t="s">
        <v>287</v>
      </c>
      <c r="F314" s="36" t="s">
        <v>286</v>
      </c>
      <c r="G314" s="36" t="s">
        <v>1115</v>
      </c>
      <c r="H314" s="37">
        <v>50.46</v>
      </c>
      <c r="I314" s="36" t="s">
        <v>402</v>
      </c>
      <c r="J314" s="36" t="s">
        <v>286</v>
      </c>
      <c r="K314" s="38"/>
      <c r="L314" s="38"/>
    </row>
    <row r="315" ht="22.5" customHeight="1">
      <c r="A315" s="36" t="s">
        <v>1116</v>
      </c>
      <c r="B315" s="36" t="s">
        <v>1117</v>
      </c>
      <c r="C315" s="36" t="s">
        <v>286</v>
      </c>
      <c r="D315" s="36" t="s">
        <v>286</v>
      </c>
      <c r="E315" s="36" t="s">
        <v>287</v>
      </c>
      <c r="F315" s="36" t="s">
        <v>286</v>
      </c>
      <c r="G315" s="36" t="s">
        <v>727</v>
      </c>
      <c r="H315" s="37">
        <v>22.95</v>
      </c>
      <c r="I315" s="36" t="s">
        <v>402</v>
      </c>
      <c r="J315" s="36" t="s">
        <v>286</v>
      </c>
      <c r="K315" s="38"/>
      <c r="L315" s="38"/>
    </row>
    <row r="316" ht="22.5" customHeight="1">
      <c r="A316" s="36" t="s">
        <v>1118</v>
      </c>
      <c r="B316" s="36" t="s">
        <v>1119</v>
      </c>
      <c r="C316" s="36" t="s">
        <v>286</v>
      </c>
      <c r="D316" s="36" t="s">
        <v>286</v>
      </c>
      <c r="E316" s="36" t="s">
        <v>287</v>
      </c>
      <c r="F316" s="36" t="s">
        <v>286</v>
      </c>
      <c r="G316" s="36" t="s">
        <v>1120</v>
      </c>
      <c r="H316" s="37">
        <v>22.88</v>
      </c>
      <c r="I316" s="36" t="s">
        <v>402</v>
      </c>
      <c r="J316" s="36" t="s">
        <v>286</v>
      </c>
      <c r="K316" s="38"/>
      <c r="L316" s="38"/>
    </row>
    <row r="317" ht="22.5" customHeight="1">
      <c r="A317" s="36" t="s">
        <v>1121</v>
      </c>
      <c r="B317" s="36" t="s">
        <v>1122</v>
      </c>
      <c r="C317" s="36" t="s">
        <v>286</v>
      </c>
      <c r="D317" s="36" t="s">
        <v>286</v>
      </c>
      <c r="E317" s="36" t="s">
        <v>287</v>
      </c>
      <c r="F317" s="36" t="s">
        <v>286</v>
      </c>
      <c r="G317" s="36" t="s">
        <v>1123</v>
      </c>
      <c r="H317" s="37">
        <v>23.95</v>
      </c>
      <c r="I317" s="36" t="s">
        <v>402</v>
      </c>
      <c r="J317" s="36" t="s">
        <v>286</v>
      </c>
      <c r="K317" s="38"/>
      <c r="L317" s="38"/>
    </row>
    <row r="318" ht="22.5" customHeight="1">
      <c r="A318" s="36" t="s">
        <v>1124</v>
      </c>
      <c r="B318" s="36" t="s">
        <v>1125</v>
      </c>
      <c r="C318" s="36" t="s">
        <v>286</v>
      </c>
      <c r="D318" s="36" t="s">
        <v>286</v>
      </c>
      <c r="E318" s="36" t="s">
        <v>287</v>
      </c>
      <c r="F318" s="36" t="s">
        <v>286</v>
      </c>
      <c r="G318" s="36" t="s">
        <v>1115</v>
      </c>
      <c r="H318" s="37">
        <v>45.25</v>
      </c>
      <c r="I318" s="36" t="s">
        <v>402</v>
      </c>
      <c r="J318" s="36" t="s">
        <v>286</v>
      </c>
      <c r="K318" s="38"/>
      <c r="L318" s="38"/>
    </row>
    <row r="319" ht="22.5" customHeight="1">
      <c r="A319" s="36" t="s">
        <v>1126</v>
      </c>
      <c r="B319" s="36" t="s">
        <v>1127</v>
      </c>
      <c r="C319" s="36" t="s">
        <v>286</v>
      </c>
      <c r="D319" s="36" t="s">
        <v>286</v>
      </c>
      <c r="E319" s="36" t="s">
        <v>287</v>
      </c>
      <c r="F319" s="36" t="s">
        <v>286</v>
      </c>
      <c r="G319" s="36" t="s">
        <v>1128</v>
      </c>
      <c r="H319" s="37">
        <v>41.15</v>
      </c>
      <c r="I319" s="36" t="s">
        <v>402</v>
      </c>
      <c r="J319" s="36" t="s">
        <v>286</v>
      </c>
      <c r="K319" s="38"/>
      <c r="L319" s="38"/>
    </row>
    <row r="320" ht="22.5" customHeight="1">
      <c r="A320" s="36" t="s">
        <v>1129</v>
      </c>
      <c r="B320" s="36" t="s">
        <v>1130</v>
      </c>
      <c r="C320" s="36" t="s">
        <v>286</v>
      </c>
      <c r="D320" s="36" t="s">
        <v>286</v>
      </c>
      <c r="E320" s="36" t="s">
        <v>287</v>
      </c>
      <c r="F320" s="36" t="s">
        <v>286</v>
      </c>
      <c r="G320" s="36" t="s">
        <v>1131</v>
      </c>
      <c r="H320" s="37">
        <v>80.0</v>
      </c>
      <c r="I320" s="36" t="s">
        <v>402</v>
      </c>
      <c r="J320" s="36" t="s">
        <v>286</v>
      </c>
      <c r="K320" s="38"/>
      <c r="L320" s="38"/>
    </row>
    <row r="321" ht="22.5" customHeight="1">
      <c r="A321" s="36" t="s">
        <v>1132</v>
      </c>
      <c r="B321" s="36" t="s">
        <v>1133</v>
      </c>
      <c r="C321" s="36" t="s">
        <v>286</v>
      </c>
      <c r="D321" s="36" t="s">
        <v>286</v>
      </c>
      <c r="E321" s="36" t="s">
        <v>287</v>
      </c>
      <c r="F321" s="36" t="s">
        <v>1134</v>
      </c>
      <c r="G321" s="36" t="s">
        <v>1135</v>
      </c>
      <c r="H321" s="37">
        <v>179.9</v>
      </c>
      <c r="I321" s="36" t="s">
        <v>402</v>
      </c>
      <c r="J321" s="36" t="s">
        <v>286</v>
      </c>
      <c r="K321" s="38"/>
      <c r="L321" s="38"/>
    </row>
    <row r="322" ht="22.5" customHeight="1">
      <c r="A322" s="36" t="s">
        <v>1136</v>
      </c>
      <c r="B322" s="36" t="s">
        <v>1137</v>
      </c>
      <c r="C322" s="36" t="s">
        <v>286</v>
      </c>
      <c r="D322" s="36" t="s">
        <v>286</v>
      </c>
      <c r="E322" s="36" t="s">
        <v>287</v>
      </c>
      <c r="F322" s="36" t="s">
        <v>1138</v>
      </c>
      <c r="G322" s="36" t="s">
        <v>1139</v>
      </c>
      <c r="H322" s="37">
        <v>129.89</v>
      </c>
      <c r="I322" s="36" t="s">
        <v>402</v>
      </c>
      <c r="J322" s="36" t="s">
        <v>286</v>
      </c>
      <c r="K322" s="38"/>
      <c r="L322" s="38"/>
    </row>
    <row r="323" ht="22.5" customHeight="1">
      <c r="A323" s="36" t="s">
        <v>1140</v>
      </c>
      <c r="B323" s="36" t="s">
        <v>1141</v>
      </c>
      <c r="C323" s="36" t="s">
        <v>286</v>
      </c>
      <c r="D323" s="36" t="s">
        <v>286</v>
      </c>
      <c r="E323" s="36" t="s">
        <v>287</v>
      </c>
      <c r="F323" s="36" t="s">
        <v>286</v>
      </c>
      <c r="G323" s="36" t="s">
        <v>551</v>
      </c>
      <c r="H323" s="37">
        <v>28.0</v>
      </c>
      <c r="I323" s="36" t="s">
        <v>402</v>
      </c>
      <c r="J323" s="36" t="s">
        <v>286</v>
      </c>
      <c r="K323" s="38"/>
      <c r="L323" s="38"/>
    </row>
    <row r="324" ht="22.5" customHeight="1">
      <c r="A324" s="36" t="s">
        <v>1142</v>
      </c>
      <c r="B324" s="36" t="s">
        <v>1143</v>
      </c>
      <c r="C324" s="36" t="s">
        <v>286</v>
      </c>
      <c r="D324" s="36" t="s">
        <v>286</v>
      </c>
      <c r="E324" s="36" t="s">
        <v>287</v>
      </c>
      <c r="F324" s="36" t="s">
        <v>286</v>
      </c>
      <c r="G324" s="36" t="s">
        <v>1144</v>
      </c>
      <c r="H324" s="37">
        <v>379.0</v>
      </c>
      <c r="I324" s="36" t="s">
        <v>333</v>
      </c>
      <c r="J324" s="36" t="s">
        <v>286</v>
      </c>
      <c r="K324" s="38"/>
      <c r="L324" s="38"/>
    </row>
    <row r="325" ht="22.5" customHeight="1">
      <c r="A325" s="36" t="s">
        <v>1145</v>
      </c>
      <c r="B325" s="36" t="s">
        <v>1146</v>
      </c>
      <c r="C325" s="36" t="s">
        <v>286</v>
      </c>
      <c r="D325" s="36" t="s">
        <v>286</v>
      </c>
      <c r="E325" s="36" t="s">
        <v>287</v>
      </c>
      <c r="F325" s="36" t="s">
        <v>1147</v>
      </c>
      <c r="G325" s="36" t="s">
        <v>1139</v>
      </c>
      <c r="H325" s="37">
        <v>78.89</v>
      </c>
      <c r="I325" s="36" t="s">
        <v>402</v>
      </c>
      <c r="J325" s="36" t="s">
        <v>286</v>
      </c>
      <c r="K325" s="38"/>
      <c r="L325" s="38"/>
    </row>
    <row r="326" ht="22.5" customHeight="1">
      <c r="A326" s="36" t="s">
        <v>1148</v>
      </c>
      <c r="B326" s="36" t="s">
        <v>1149</v>
      </c>
      <c r="C326" s="36" t="s">
        <v>286</v>
      </c>
      <c r="D326" s="36" t="s">
        <v>286</v>
      </c>
      <c r="E326" s="36" t="s">
        <v>287</v>
      </c>
      <c r="F326" s="36" t="s">
        <v>1150</v>
      </c>
      <c r="G326" s="36" t="s">
        <v>1139</v>
      </c>
      <c r="H326" s="37">
        <v>65.44</v>
      </c>
      <c r="I326" s="36" t="s">
        <v>402</v>
      </c>
      <c r="J326" s="36" t="s">
        <v>286</v>
      </c>
      <c r="K326" s="38"/>
      <c r="L326" s="38"/>
    </row>
    <row r="327" ht="22.5" customHeight="1">
      <c r="A327" s="36" t="s">
        <v>1151</v>
      </c>
      <c r="B327" s="36" t="s">
        <v>1152</v>
      </c>
      <c r="C327" s="36" t="s">
        <v>286</v>
      </c>
      <c r="D327" s="36" t="s">
        <v>286</v>
      </c>
      <c r="E327" s="36" t="s">
        <v>287</v>
      </c>
      <c r="F327" s="36" t="s">
        <v>286</v>
      </c>
      <c r="G327" s="36" t="s">
        <v>769</v>
      </c>
      <c r="H327" s="37">
        <v>29.0</v>
      </c>
      <c r="I327" s="36" t="s">
        <v>1153</v>
      </c>
      <c r="J327" s="36" t="s">
        <v>286</v>
      </c>
      <c r="K327" s="38"/>
      <c r="L327" s="38"/>
    </row>
    <row r="328" ht="22.5" customHeight="1">
      <c r="A328" s="36" t="s">
        <v>1154</v>
      </c>
      <c r="B328" s="36" t="s">
        <v>1155</v>
      </c>
      <c r="C328" s="36" t="s">
        <v>286</v>
      </c>
      <c r="D328" s="36" t="s">
        <v>286</v>
      </c>
      <c r="E328" s="36" t="s">
        <v>287</v>
      </c>
      <c r="F328" s="36" t="s">
        <v>286</v>
      </c>
      <c r="G328" s="36" t="s">
        <v>442</v>
      </c>
      <c r="H328" s="37">
        <v>198.0</v>
      </c>
      <c r="I328" s="36" t="s">
        <v>333</v>
      </c>
      <c r="J328" s="36" t="s">
        <v>286</v>
      </c>
      <c r="K328" s="38"/>
      <c r="L328" s="38"/>
    </row>
    <row r="329" ht="22.5" customHeight="1">
      <c r="A329" s="36" t="s">
        <v>1156</v>
      </c>
      <c r="B329" s="36" t="s">
        <v>1157</v>
      </c>
      <c r="C329" s="36" t="s">
        <v>286</v>
      </c>
      <c r="D329" s="36" t="s">
        <v>286</v>
      </c>
      <c r="E329" s="36" t="s">
        <v>287</v>
      </c>
      <c r="F329" s="36" t="s">
        <v>286</v>
      </c>
      <c r="G329" s="36" t="s">
        <v>577</v>
      </c>
      <c r="H329" s="37">
        <v>25.15</v>
      </c>
      <c r="I329" s="36" t="s">
        <v>597</v>
      </c>
      <c r="J329" s="36" t="s">
        <v>286</v>
      </c>
      <c r="K329" s="38"/>
      <c r="L329" s="38"/>
    </row>
    <row r="330" ht="22.5" customHeight="1">
      <c r="A330" s="36" t="s">
        <v>1158</v>
      </c>
      <c r="B330" s="36" t="s">
        <v>1159</v>
      </c>
      <c r="C330" s="36" t="s">
        <v>286</v>
      </c>
      <c r="D330" s="36" t="s">
        <v>286</v>
      </c>
      <c r="E330" s="36" t="s">
        <v>287</v>
      </c>
      <c r="F330" s="36" t="s">
        <v>1160</v>
      </c>
      <c r="G330" s="36" t="s">
        <v>1161</v>
      </c>
      <c r="H330" s="37">
        <v>228.0</v>
      </c>
      <c r="I330" s="36" t="s">
        <v>333</v>
      </c>
      <c r="J330" s="36" t="s">
        <v>286</v>
      </c>
      <c r="K330" s="38"/>
      <c r="L330" s="38"/>
    </row>
    <row r="331" ht="22.5" customHeight="1">
      <c r="A331" s="36" t="s">
        <v>1162</v>
      </c>
      <c r="B331" s="36" t="s">
        <v>1163</v>
      </c>
      <c r="C331" s="36" t="s">
        <v>286</v>
      </c>
      <c r="D331" s="36" t="s">
        <v>286</v>
      </c>
      <c r="E331" s="36" t="s">
        <v>287</v>
      </c>
      <c r="F331" s="36" t="s">
        <v>1164</v>
      </c>
      <c r="G331" s="36" t="s">
        <v>1165</v>
      </c>
      <c r="H331" s="37">
        <v>1721.109985</v>
      </c>
      <c r="I331" s="36" t="s">
        <v>333</v>
      </c>
      <c r="J331" s="36" t="s">
        <v>286</v>
      </c>
      <c r="K331" s="38"/>
      <c r="L331" s="38"/>
    </row>
    <row r="332" ht="22.5" customHeight="1">
      <c r="A332" s="36" t="s">
        <v>1166</v>
      </c>
      <c r="B332" s="36" t="s">
        <v>1167</v>
      </c>
      <c r="C332" s="36" t="s">
        <v>286</v>
      </c>
      <c r="D332" s="36" t="s">
        <v>286</v>
      </c>
      <c r="E332" s="36" t="s">
        <v>287</v>
      </c>
      <c r="F332" s="36" t="s">
        <v>286</v>
      </c>
      <c r="G332" s="36" t="s">
        <v>577</v>
      </c>
      <c r="H332" s="37">
        <v>27.83</v>
      </c>
      <c r="I332" s="36" t="s">
        <v>597</v>
      </c>
      <c r="J332" s="36" t="s">
        <v>286</v>
      </c>
      <c r="K332" s="38"/>
      <c r="L332" s="38"/>
    </row>
    <row r="333" ht="22.5" customHeight="1">
      <c r="A333" s="36" t="s">
        <v>1168</v>
      </c>
      <c r="B333" s="36" t="s">
        <v>1169</v>
      </c>
      <c r="C333" s="36" t="s">
        <v>286</v>
      </c>
      <c r="D333" s="36" t="s">
        <v>286</v>
      </c>
      <c r="E333" s="36" t="s">
        <v>287</v>
      </c>
      <c r="F333" s="36" t="s">
        <v>1170</v>
      </c>
      <c r="G333" s="36" t="s">
        <v>1171</v>
      </c>
      <c r="H333" s="37">
        <v>199.99</v>
      </c>
      <c r="I333" s="36" t="s">
        <v>333</v>
      </c>
      <c r="J333" s="36" t="s">
        <v>286</v>
      </c>
      <c r="K333" s="38"/>
      <c r="L333" s="38"/>
    </row>
    <row r="334" ht="22.5" customHeight="1">
      <c r="A334" s="36" t="s">
        <v>1172</v>
      </c>
      <c r="B334" s="36" t="s">
        <v>1173</v>
      </c>
      <c r="C334" s="36" t="s">
        <v>286</v>
      </c>
      <c r="D334" s="36" t="s">
        <v>286</v>
      </c>
      <c r="E334" s="36" t="s">
        <v>287</v>
      </c>
      <c r="F334" s="36" t="s">
        <v>286</v>
      </c>
      <c r="G334" s="36" t="s">
        <v>408</v>
      </c>
      <c r="H334" s="37">
        <v>8.267978</v>
      </c>
      <c r="I334" s="36" t="s">
        <v>289</v>
      </c>
      <c r="J334" s="36" t="s">
        <v>286</v>
      </c>
      <c r="K334" s="38"/>
      <c r="L334" s="38"/>
    </row>
    <row r="335" ht="22.5" customHeight="1">
      <c r="A335" s="36" t="s">
        <v>1174</v>
      </c>
      <c r="B335" s="36" t="s">
        <v>1175</v>
      </c>
      <c r="C335" s="36" t="s">
        <v>286</v>
      </c>
      <c r="D335" s="36" t="s">
        <v>286</v>
      </c>
      <c r="E335" s="36" t="s">
        <v>287</v>
      </c>
      <c r="F335" s="36" t="s">
        <v>286</v>
      </c>
      <c r="G335" s="36" t="s">
        <v>1176</v>
      </c>
      <c r="H335" s="37">
        <v>5.0</v>
      </c>
      <c r="I335" s="36" t="s">
        <v>289</v>
      </c>
      <c r="J335" s="36" t="s">
        <v>286</v>
      </c>
      <c r="K335" s="38"/>
      <c r="L335" s="38"/>
    </row>
    <row r="336" ht="22.5" customHeight="1">
      <c r="A336" s="36" t="s">
        <v>1177</v>
      </c>
      <c r="B336" s="36" t="s">
        <v>1178</v>
      </c>
      <c r="C336" s="36" t="s">
        <v>286</v>
      </c>
      <c r="D336" s="36" t="s">
        <v>286</v>
      </c>
      <c r="E336" s="36" t="s">
        <v>287</v>
      </c>
      <c r="F336" s="36" t="s">
        <v>286</v>
      </c>
      <c r="G336" s="36" t="s">
        <v>1179</v>
      </c>
      <c r="H336" s="37">
        <v>67.0</v>
      </c>
      <c r="I336" s="36" t="s">
        <v>1180</v>
      </c>
      <c r="J336" s="36" t="s">
        <v>286</v>
      </c>
      <c r="K336" s="38"/>
      <c r="L336" s="38"/>
    </row>
    <row r="337" ht="22.5" customHeight="1">
      <c r="A337" s="36" t="s">
        <v>1181</v>
      </c>
      <c r="B337" s="36" t="s">
        <v>1182</v>
      </c>
      <c r="C337" s="36" t="s">
        <v>286</v>
      </c>
      <c r="D337" s="36" t="s">
        <v>286</v>
      </c>
      <c r="E337" s="36" t="s">
        <v>287</v>
      </c>
      <c r="F337" s="36" t="s">
        <v>286</v>
      </c>
      <c r="G337" s="36" t="s">
        <v>1179</v>
      </c>
      <c r="H337" s="37">
        <v>175.0</v>
      </c>
      <c r="I337" s="36" t="s">
        <v>1180</v>
      </c>
      <c r="J337" s="36" t="s">
        <v>286</v>
      </c>
      <c r="K337" s="38"/>
      <c r="L337" s="38"/>
    </row>
    <row r="338" ht="22.5" customHeight="1">
      <c r="A338" s="36" t="s">
        <v>1183</v>
      </c>
      <c r="B338" s="36" t="s">
        <v>1184</v>
      </c>
      <c r="C338" s="36" t="s">
        <v>286</v>
      </c>
      <c r="D338" s="36" t="s">
        <v>286</v>
      </c>
      <c r="E338" s="36" t="s">
        <v>287</v>
      </c>
      <c r="F338" s="36" t="s">
        <v>286</v>
      </c>
      <c r="G338" s="36" t="s">
        <v>318</v>
      </c>
      <c r="H338" s="37">
        <v>50.0</v>
      </c>
      <c r="I338" s="36" t="s">
        <v>402</v>
      </c>
      <c r="J338" s="36" t="s">
        <v>286</v>
      </c>
      <c r="K338" s="38"/>
      <c r="L338" s="38"/>
    </row>
    <row r="339" ht="22.5" customHeight="1">
      <c r="A339" s="36" t="s">
        <v>1185</v>
      </c>
      <c r="B339" s="36" t="s">
        <v>1186</v>
      </c>
      <c r="C339" s="36" t="s">
        <v>286</v>
      </c>
      <c r="D339" s="36" t="s">
        <v>286</v>
      </c>
      <c r="E339" s="36" t="s">
        <v>287</v>
      </c>
      <c r="F339" s="36" t="s">
        <v>286</v>
      </c>
      <c r="G339" s="36" t="s">
        <v>1067</v>
      </c>
      <c r="H339" s="37">
        <v>10.7149</v>
      </c>
      <c r="I339" s="36" t="s">
        <v>333</v>
      </c>
      <c r="J339" s="36" t="s">
        <v>286</v>
      </c>
      <c r="K339" s="38"/>
      <c r="L339" s="38"/>
    </row>
    <row r="340" ht="22.5" customHeight="1">
      <c r="A340" s="36" t="s">
        <v>1187</v>
      </c>
      <c r="B340" s="36" t="s">
        <v>1188</v>
      </c>
      <c r="C340" s="36" t="s">
        <v>286</v>
      </c>
      <c r="D340" s="36" t="s">
        <v>286</v>
      </c>
      <c r="E340" s="36" t="s">
        <v>287</v>
      </c>
      <c r="F340" s="36" t="s">
        <v>286</v>
      </c>
      <c r="G340" s="36" t="s">
        <v>411</v>
      </c>
      <c r="H340" s="37">
        <v>10.0</v>
      </c>
      <c r="I340" s="36" t="s">
        <v>402</v>
      </c>
      <c r="J340" s="36" t="s">
        <v>286</v>
      </c>
      <c r="K340" s="38"/>
      <c r="L340" s="38"/>
    </row>
    <row r="341" ht="22.5" customHeight="1">
      <c r="A341" s="36" t="s">
        <v>1189</v>
      </c>
      <c r="B341" s="36" t="s">
        <v>1190</v>
      </c>
      <c r="C341" s="36" t="s">
        <v>286</v>
      </c>
      <c r="D341" s="36" t="s">
        <v>286</v>
      </c>
      <c r="E341" s="36" t="s">
        <v>287</v>
      </c>
      <c r="F341" s="36" t="s">
        <v>1191</v>
      </c>
      <c r="G341" s="36" t="s">
        <v>1192</v>
      </c>
      <c r="H341" s="37">
        <v>52.69</v>
      </c>
      <c r="I341" s="36" t="s">
        <v>333</v>
      </c>
      <c r="J341" s="36" t="s">
        <v>286</v>
      </c>
      <c r="K341" s="38"/>
      <c r="L341" s="38"/>
    </row>
    <row r="342" ht="22.5" customHeight="1">
      <c r="A342" s="36" t="s">
        <v>1193</v>
      </c>
      <c r="B342" s="36" t="s">
        <v>1194</v>
      </c>
      <c r="C342" s="36" t="s">
        <v>286</v>
      </c>
      <c r="D342" s="36" t="s">
        <v>286</v>
      </c>
      <c r="E342" s="36" t="s">
        <v>287</v>
      </c>
      <c r="F342" s="36" t="s">
        <v>286</v>
      </c>
      <c r="G342" s="36" t="s">
        <v>425</v>
      </c>
      <c r="H342" s="37">
        <v>14.9</v>
      </c>
      <c r="I342" s="36" t="s">
        <v>426</v>
      </c>
      <c r="J342" s="36" t="s">
        <v>286</v>
      </c>
      <c r="K342" s="38"/>
      <c r="L342" s="38"/>
    </row>
    <row r="343" ht="22.5" customHeight="1">
      <c r="A343" s="36" t="s">
        <v>1195</v>
      </c>
      <c r="B343" s="36" t="s">
        <v>1196</v>
      </c>
      <c r="C343" s="36" t="s">
        <v>286</v>
      </c>
      <c r="D343" s="36" t="s">
        <v>286</v>
      </c>
      <c r="E343" s="36" t="s">
        <v>287</v>
      </c>
      <c r="F343" s="36" t="s">
        <v>286</v>
      </c>
      <c r="G343" s="36" t="s">
        <v>1197</v>
      </c>
      <c r="H343" s="37">
        <v>4.5</v>
      </c>
      <c r="I343" s="36" t="s">
        <v>289</v>
      </c>
      <c r="J343" s="36" t="s">
        <v>286</v>
      </c>
      <c r="K343" s="38"/>
      <c r="L343" s="38"/>
    </row>
    <row r="344" ht="22.5" customHeight="1">
      <c r="A344" s="36" t="s">
        <v>1198</v>
      </c>
      <c r="B344" s="36" t="s">
        <v>1199</v>
      </c>
      <c r="C344" s="36" t="s">
        <v>286</v>
      </c>
      <c r="D344" s="36" t="s">
        <v>286</v>
      </c>
      <c r="E344" s="36" t="s">
        <v>287</v>
      </c>
      <c r="F344" s="36" t="s">
        <v>286</v>
      </c>
      <c r="G344" s="36" t="s">
        <v>1197</v>
      </c>
      <c r="H344" s="37">
        <v>4.5</v>
      </c>
      <c r="I344" s="36" t="s">
        <v>289</v>
      </c>
      <c r="J344" s="36" t="s">
        <v>286</v>
      </c>
      <c r="K344" s="38"/>
      <c r="L344" s="38"/>
    </row>
    <row r="345" ht="22.5" customHeight="1">
      <c r="A345" s="36" t="s">
        <v>1200</v>
      </c>
      <c r="B345" s="36" t="s">
        <v>1201</v>
      </c>
      <c r="C345" s="36" t="s">
        <v>286</v>
      </c>
      <c r="D345" s="36" t="s">
        <v>286</v>
      </c>
      <c r="E345" s="36" t="s">
        <v>287</v>
      </c>
      <c r="F345" s="36" t="s">
        <v>286</v>
      </c>
      <c r="G345" s="36" t="s">
        <v>1197</v>
      </c>
      <c r="H345" s="37">
        <v>4.5</v>
      </c>
      <c r="I345" s="36" t="s">
        <v>289</v>
      </c>
      <c r="J345" s="36" t="s">
        <v>286</v>
      </c>
      <c r="K345" s="38"/>
      <c r="L345" s="38"/>
    </row>
    <row r="346" ht="22.5" customHeight="1">
      <c r="A346" s="36" t="s">
        <v>1202</v>
      </c>
      <c r="B346" s="36" t="s">
        <v>1203</v>
      </c>
      <c r="C346" s="36" t="s">
        <v>286</v>
      </c>
      <c r="D346" s="36" t="s">
        <v>286</v>
      </c>
      <c r="E346" s="36" t="s">
        <v>287</v>
      </c>
      <c r="F346" s="36" t="s">
        <v>286</v>
      </c>
      <c r="G346" s="36" t="s">
        <v>1204</v>
      </c>
      <c r="H346" s="37">
        <v>295.65</v>
      </c>
      <c r="I346" s="36" t="s">
        <v>333</v>
      </c>
      <c r="J346" s="36" t="s">
        <v>286</v>
      </c>
      <c r="K346" s="38"/>
      <c r="L346" s="38"/>
    </row>
    <row r="347" ht="22.5" customHeight="1">
      <c r="A347" s="36" t="s">
        <v>1205</v>
      </c>
      <c r="B347" s="36" t="s">
        <v>1206</v>
      </c>
      <c r="C347" s="36" t="s">
        <v>286</v>
      </c>
      <c r="D347" s="36" t="s">
        <v>286</v>
      </c>
      <c r="E347" s="36" t="s">
        <v>287</v>
      </c>
      <c r="F347" s="36" t="s">
        <v>1207</v>
      </c>
      <c r="G347" s="36" t="s">
        <v>625</v>
      </c>
      <c r="H347" s="37">
        <v>2.69</v>
      </c>
      <c r="I347" s="36" t="s">
        <v>402</v>
      </c>
      <c r="J347" s="36" t="s">
        <v>286</v>
      </c>
      <c r="K347" s="38"/>
      <c r="L347" s="38"/>
    </row>
    <row r="348" ht="22.5" customHeight="1">
      <c r="A348" s="36" t="s">
        <v>1208</v>
      </c>
      <c r="B348" s="36" t="s">
        <v>1209</v>
      </c>
      <c r="C348" s="36" t="s">
        <v>286</v>
      </c>
      <c r="D348" s="36" t="s">
        <v>286</v>
      </c>
      <c r="E348" s="36" t="s">
        <v>287</v>
      </c>
      <c r="F348" s="36" t="s">
        <v>286</v>
      </c>
      <c r="G348" s="36" t="s">
        <v>1210</v>
      </c>
      <c r="H348" s="37">
        <v>21.6</v>
      </c>
      <c r="I348" s="36" t="s">
        <v>821</v>
      </c>
      <c r="J348" s="36" t="s">
        <v>286</v>
      </c>
      <c r="K348" s="38"/>
      <c r="L348" s="38"/>
    </row>
    <row r="349" ht="22.5" customHeight="1">
      <c r="A349" s="36" t="s">
        <v>1211</v>
      </c>
      <c r="B349" s="36" t="s">
        <v>1212</v>
      </c>
      <c r="C349" s="36" t="s">
        <v>286</v>
      </c>
      <c r="D349" s="36" t="s">
        <v>286</v>
      </c>
      <c r="E349" s="36" t="s">
        <v>287</v>
      </c>
      <c r="F349" s="36" t="s">
        <v>286</v>
      </c>
      <c r="G349" s="36" t="s">
        <v>1213</v>
      </c>
      <c r="H349" s="37">
        <v>698.99</v>
      </c>
      <c r="I349" s="36" t="s">
        <v>333</v>
      </c>
      <c r="J349" s="36" t="s">
        <v>286</v>
      </c>
      <c r="K349" s="38"/>
      <c r="L349" s="38"/>
    </row>
    <row r="350" ht="22.5" customHeight="1">
      <c r="A350" s="36" t="s">
        <v>1214</v>
      </c>
      <c r="B350" s="36" t="s">
        <v>1215</v>
      </c>
      <c r="C350" s="36" t="s">
        <v>286</v>
      </c>
      <c r="D350" s="36" t="s">
        <v>286</v>
      </c>
      <c r="E350" s="36" t="s">
        <v>287</v>
      </c>
      <c r="F350" s="36" t="s">
        <v>286</v>
      </c>
      <c r="G350" s="36" t="s">
        <v>292</v>
      </c>
      <c r="H350" s="37">
        <v>5.0</v>
      </c>
      <c r="I350" s="36" t="s">
        <v>289</v>
      </c>
      <c r="J350" s="39" t="s">
        <v>286</v>
      </c>
      <c r="K350" s="38"/>
      <c r="L350" s="38"/>
    </row>
    <row r="351" ht="22.5" customHeight="1">
      <c r="A351" s="36" t="s">
        <v>1216</v>
      </c>
      <c r="B351" s="36" t="s">
        <v>1217</v>
      </c>
      <c r="C351" s="36" t="s">
        <v>286</v>
      </c>
      <c r="D351" s="36" t="s">
        <v>286</v>
      </c>
      <c r="E351" s="36" t="s">
        <v>287</v>
      </c>
      <c r="F351" s="36" t="s">
        <v>286</v>
      </c>
      <c r="G351" s="36" t="s">
        <v>1067</v>
      </c>
      <c r="H351" s="37">
        <v>5.0</v>
      </c>
      <c r="I351" s="36" t="s">
        <v>333</v>
      </c>
      <c r="J351" s="39" t="s">
        <v>286</v>
      </c>
      <c r="K351" s="38"/>
      <c r="L351" s="38"/>
    </row>
    <row r="352" ht="22.5" customHeight="1">
      <c r="A352" s="36" t="s">
        <v>1218</v>
      </c>
      <c r="B352" s="36" t="s">
        <v>1219</v>
      </c>
      <c r="C352" s="36" t="s">
        <v>286</v>
      </c>
      <c r="D352" s="36" t="s">
        <v>286</v>
      </c>
      <c r="E352" s="36" t="s">
        <v>287</v>
      </c>
      <c r="F352" s="36" t="s">
        <v>286</v>
      </c>
      <c r="G352" s="36" t="s">
        <v>292</v>
      </c>
      <c r="H352" s="37">
        <v>6.8462</v>
      </c>
      <c r="I352" s="36" t="s">
        <v>289</v>
      </c>
      <c r="J352" s="39" t="s">
        <v>286</v>
      </c>
      <c r="K352" s="38"/>
      <c r="L352" s="38"/>
    </row>
    <row r="353" ht="22.5" customHeight="1">
      <c r="A353" s="36" t="s">
        <v>1220</v>
      </c>
      <c r="B353" s="36" t="s">
        <v>1221</v>
      </c>
      <c r="C353" s="36" t="s">
        <v>286</v>
      </c>
      <c r="D353" s="36" t="s">
        <v>286</v>
      </c>
      <c r="E353" s="36" t="s">
        <v>287</v>
      </c>
      <c r="F353" s="36" t="s">
        <v>286</v>
      </c>
      <c r="G353" s="36" t="s">
        <v>1067</v>
      </c>
      <c r="H353" s="37">
        <v>5.0</v>
      </c>
      <c r="I353" s="36" t="s">
        <v>333</v>
      </c>
      <c r="J353" s="39" t="s">
        <v>286</v>
      </c>
      <c r="K353" s="38"/>
      <c r="L353" s="38"/>
    </row>
    <row r="354" ht="22.5" customHeight="1">
      <c r="A354" s="36" t="s">
        <v>1222</v>
      </c>
      <c r="B354" s="36" t="s">
        <v>1223</v>
      </c>
      <c r="C354" s="36" t="s">
        <v>286</v>
      </c>
      <c r="D354" s="36" t="s">
        <v>286</v>
      </c>
      <c r="E354" s="36" t="s">
        <v>287</v>
      </c>
      <c r="F354" s="36" t="s">
        <v>286</v>
      </c>
      <c r="G354" s="36" t="s">
        <v>1067</v>
      </c>
      <c r="H354" s="37">
        <v>5.0</v>
      </c>
      <c r="I354" s="36" t="s">
        <v>333</v>
      </c>
      <c r="J354" s="36" t="s">
        <v>286</v>
      </c>
      <c r="K354" s="38"/>
      <c r="L354" s="38"/>
    </row>
    <row r="355" ht="22.5" customHeight="1">
      <c r="A355" s="36" t="s">
        <v>1224</v>
      </c>
      <c r="B355" s="36" t="s">
        <v>1225</v>
      </c>
      <c r="C355" s="36" t="s">
        <v>286</v>
      </c>
      <c r="D355" s="36" t="s">
        <v>286</v>
      </c>
      <c r="E355" s="36" t="s">
        <v>287</v>
      </c>
      <c r="F355" s="36" t="s">
        <v>286</v>
      </c>
      <c r="G355" s="36" t="s">
        <v>1226</v>
      </c>
      <c r="H355" s="37">
        <v>491.0</v>
      </c>
      <c r="I355" s="36" t="s">
        <v>402</v>
      </c>
      <c r="J355" s="36" t="s">
        <v>286</v>
      </c>
      <c r="K355" s="38"/>
      <c r="L355" s="38"/>
    </row>
    <row r="356" ht="22.5" customHeight="1">
      <c r="A356" s="36" t="s">
        <v>1227</v>
      </c>
      <c r="B356" s="36" t="s">
        <v>1228</v>
      </c>
      <c r="C356" s="36" t="s">
        <v>286</v>
      </c>
      <c r="D356" s="36" t="s">
        <v>286</v>
      </c>
      <c r="E356" s="36" t="s">
        <v>287</v>
      </c>
      <c r="F356" s="36" t="s">
        <v>286</v>
      </c>
      <c r="G356" s="36" t="s">
        <v>1229</v>
      </c>
      <c r="H356" s="37">
        <v>0.96</v>
      </c>
      <c r="I356" s="36" t="s">
        <v>644</v>
      </c>
      <c r="J356" s="36" t="s">
        <v>286</v>
      </c>
      <c r="K356" s="38"/>
      <c r="L356" s="38"/>
    </row>
    <row r="357" ht="22.5" customHeight="1">
      <c r="A357" s="36" t="s">
        <v>1230</v>
      </c>
      <c r="B357" s="36" t="s">
        <v>1231</v>
      </c>
      <c r="C357" s="36" t="s">
        <v>286</v>
      </c>
      <c r="D357" s="36" t="s">
        <v>286</v>
      </c>
      <c r="E357" s="36" t="s">
        <v>287</v>
      </c>
      <c r="F357" s="36" t="s">
        <v>286</v>
      </c>
      <c r="G357" s="36" t="s">
        <v>727</v>
      </c>
      <c r="H357" s="37">
        <v>55.5</v>
      </c>
      <c r="I357" s="36" t="s">
        <v>728</v>
      </c>
      <c r="J357" s="36" t="s">
        <v>286</v>
      </c>
      <c r="K357" s="38"/>
      <c r="L357" s="38"/>
    </row>
    <row r="358" ht="22.5" customHeight="1">
      <c r="A358" s="36" t="s">
        <v>1232</v>
      </c>
      <c r="B358" s="36" t="s">
        <v>1233</v>
      </c>
      <c r="C358" s="36" t="s">
        <v>286</v>
      </c>
      <c r="D358" s="36" t="s">
        <v>286</v>
      </c>
      <c r="E358" s="36" t="s">
        <v>287</v>
      </c>
      <c r="F358" s="36" t="s">
        <v>286</v>
      </c>
      <c r="G358" s="36" t="s">
        <v>1234</v>
      </c>
      <c r="H358" s="37">
        <v>147.0</v>
      </c>
      <c r="I358" s="36" t="s">
        <v>402</v>
      </c>
      <c r="J358" s="36" t="s">
        <v>286</v>
      </c>
      <c r="K358" s="38"/>
      <c r="L358" s="38"/>
    </row>
    <row r="359" ht="22.5" customHeight="1">
      <c r="A359" s="36" t="s">
        <v>1235</v>
      </c>
      <c r="B359" s="36" t="s">
        <v>1236</v>
      </c>
      <c r="C359" s="36" t="s">
        <v>286</v>
      </c>
      <c r="D359" s="36" t="s">
        <v>286</v>
      </c>
      <c r="E359" s="36" t="s">
        <v>287</v>
      </c>
      <c r="F359" s="36" t="s">
        <v>286</v>
      </c>
      <c r="G359" s="36" t="s">
        <v>889</v>
      </c>
      <c r="H359" s="37">
        <v>17.53</v>
      </c>
      <c r="I359" s="36" t="s">
        <v>289</v>
      </c>
      <c r="J359" s="39" t="s">
        <v>286</v>
      </c>
      <c r="K359" s="38"/>
      <c r="L359" s="38"/>
    </row>
    <row r="360" ht="22.5" customHeight="1">
      <c r="A360" s="36" t="s">
        <v>1237</v>
      </c>
      <c r="B360" s="36" t="s">
        <v>1238</v>
      </c>
      <c r="C360" s="36" t="s">
        <v>286</v>
      </c>
      <c r="D360" s="36" t="s">
        <v>286</v>
      </c>
      <c r="E360" s="36" t="s">
        <v>287</v>
      </c>
      <c r="F360" s="36" t="s">
        <v>286</v>
      </c>
      <c r="G360" s="36" t="s">
        <v>889</v>
      </c>
      <c r="H360" s="37">
        <v>30.0</v>
      </c>
      <c r="I360" s="36" t="s">
        <v>289</v>
      </c>
      <c r="J360" s="39" t="s">
        <v>286</v>
      </c>
      <c r="K360" s="38"/>
      <c r="L360" s="38"/>
    </row>
    <row r="361" ht="22.5" customHeight="1">
      <c r="A361" s="36" t="s">
        <v>1239</v>
      </c>
      <c r="B361" s="36" t="s">
        <v>1240</v>
      </c>
      <c r="C361" s="36" t="s">
        <v>286</v>
      </c>
      <c r="D361" s="36" t="s">
        <v>286</v>
      </c>
      <c r="E361" s="36" t="s">
        <v>287</v>
      </c>
      <c r="F361" s="36" t="s">
        <v>1241</v>
      </c>
      <c r="G361" s="36" t="s">
        <v>727</v>
      </c>
      <c r="H361" s="37">
        <v>19.9</v>
      </c>
      <c r="I361" s="36" t="s">
        <v>402</v>
      </c>
      <c r="J361" s="39" t="s">
        <v>286</v>
      </c>
      <c r="K361" s="38"/>
      <c r="L361" s="38"/>
    </row>
    <row r="362" ht="22.5" customHeight="1">
      <c r="A362" s="36" t="s">
        <v>1242</v>
      </c>
      <c r="B362" s="36" t="s">
        <v>1243</v>
      </c>
      <c r="C362" s="36" t="s">
        <v>286</v>
      </c>
      <c r="D362" s="36" t="s">
        <v>286</v>
      </c>
      <c r="E362" s="36" t="s">
        <v>287</v>
      </c>
      <c r="F362" s="36" t="s">
        <v>286</v>
      </c>
      <c r="G362" s="36" t="s">
        <v>1229</v>
      </c>
      <c r="H362" s="37">
        <v>105.0</v>
      </c>
      <c r="I362" s="36" t="s">
        <v>644</v>
      </c>
      <c r="J362" s="36" t="s">
        <v>286</v>
      </c>
      <c r="K362" s="38"/>
      <c r="L362" s="38"/>
    </row>
    <row r="363" ht="22.5" customHeight="1">
      <c r="A363" s="36" t="s">
        <v>1244</v>
      </c>
      <c r="B363" s="36" t="s">
        <v>1245</v>
      </c>
      <c r="C363" s="36" t="s">
        <v>286</v>
      </c>
      <c r="D363" s="36" t="s">
        <v>286</v>
      </c>
      <c r="E363" s="36" t="s">
        <v>287</v>
      </c>
      <c r="F363" s="36" t="s">
        <v>286</v>
      </c>
      <c r="G363" s="36" t="s">
        <v>1246</v>
      </c>
      <c r="H363" s="37">
        <v>5.6579</v>
      </c>
      <c r="I363" s="36" t="s">
        <v>289</v>
      </c>
      <c r="J363" s="36" t="s">
        <v>286</v>
      </c>
      <c r="K363" s="38"/>
      <c r="L363" s="38"/>
    </row>
    <row r="364" ht="22.5" customHeight="1">
      <c r="A364" s="36" t="s">
        <v>1247</v>
      </c>
      <c r="B364" s="36" t="s">
        <v>1248</v>
      </c>
      <c r="C364" s="36" t="s">
        <v>286</v>
      </c>
      <c r="D364" s="36" t="s">
        <v>286</v>
      </c>
      <c r="E364" s="36" t="s">
        <v>287</v>
      </c>
      <c r="F364" s="36" t="s">
        <v>286</v>
      </c>
      <c r="G364" s="36" t="s">
        <v>1176</v>
      </c>
      <c r="H364" s="37">
        <v>5.9532</v>
      </c>
      <c r="I364" s="36" t="s">
        <v>289</v>
      </c>
      <c r="J364" s="36" t="s">
        <v>286</v>
      </c>
      <c r="K364" s="38"/>
      <c r="L364" s="38"/>
    </row>
    <row r="365" ht="22.5" customHeight="1">
      <c r="A365" s="36" t="s">
        <v>1249</v>
      </c>
      <c r="B365" s="36" t="s">
        <v>1250</v>
      </c>
      <c r="C365" s="36" t="s">
        <v>286</v>
      </c>
      <c r="D365" s="36" t="s">
        <v>286</v>
      </c>
      <c r="E365" s="36" t="s">
        <v>287</v>
      </c>
      <c r="F365" s="36" t="s">
        <v>286</v>
      </c>
      <c r="G365" s="36" t="s">
        <v>292</v>
      </c>
      <c r="H365" s="37">
        <v>6.303</v>
      </c>
      <c r="I365" s="36" t="s">
        <v>289</v>
      </c>
      <c r="J365" s="36" t="s">
        <v>286</v>
      </c>
      <c r="K365" s="38"/>
      <c r="L365" s="38"/>
    </row>
    <row r="366" ht="22.5" customHeight="1">
      <c r="A366" s="36" t="s">
        <v>1251</v>
      </c>
      <c r="B366" s="36" t="s">
        <v>1252</v>
      </c>
      <c r="C366" s="36" t="s">
        <v>286</v>
      </c>
      <c r="D366" s="36" t="s">
        <v>286</v>
      </c>
      <c r="E366" s="36" t="s">
        <v>287</v>
      </c>
      <c r="F366" s="36" t="s">
        <v>286</v>
      </c>
      <c r="G366" s="36" t="s">
        <v>1176</v>
      </c>
      <c r="H366" s="37">
        <v>5.9296</v>
      </c>
      <c r="I366" s="36" t="s">
        <v>289</v>
      </c>
      <c r="J366" s="36" t="s">
        <v>286</v>
      </c>
      <c r="K366" s="38"/>
      <c r="L366" s="38"/>
    </row>
    <row r="367" ht="22.5" customHeight="1">
      <c r="A367" s="36" t="s">
        <v>1253</v>
      </c>
      <c r="B367" s="36" t="s">
        <v>1254</v>
      </c>
      <c r="C367" s="36" t="s">
        <v>286</v>
      </c>
      <c r="D367" s="36" t="s">
        <v>286</v>
      </c>
      <c r="E367" s="36" t="s">
        <v>287</v>
      </c>
      <c r="F367" s="36" t="s">
        <v>286</v>
      </c>
      <c r="G367" s="36" t="s">
        <v>1255</v>
      </c>
      <c r="H367" s="37">
        <v>17.6</v>
      </c>
      <c r="I367" s="36" t="s">
        <v>402</v>
      </c>
      <c r="J367" s="36" t="s">
        <v>286</v>
      </c>
      <c r="K367" s="38"/>
      <c r="L367" s="38"/>
    </row>
    <row r="368" ht="22.5" customHeight="1">
      <c r="A368" s="36" t="s">
        <v>1256</v>
      </c>
      <c r="B368" s="36" t="s">
        <v>1257</v>
      </c>
      <c r="C368" s="36" t="s">
        <v>286</v>
      </c>
      <c r="D368" s="36" t="s">
        <v>286</v>
      </c>
      <c r="E368" s="36" t="s">
        <v>287</v>
      </c>
      <c r="F368" s="36" t="s">
        <v>286</v>
      </c>
      <c r="G368" s="36" t="s">
        <v>731</v>
      </c>
      <c r="H368" s="37">
        <v>9.71</v>
      </c>
      <c r="I368" s="36" t="s">
        <v>402</v>
      </c>
      <c r="J368" s="36" t="s">
        <v>286</v>
      </c>
      <c r="K368" s="38"/>
      <c r="L368" s="38"/>
    </row>
    <row r="369" ht="22.5" customHeight="1">
      <c r="A369" s="36" t="s">
        <v>1258</v>
      </c>
      <c r="B369" s="36" t="s">
        <v>1259</v>
      </c>
      <c r="C369" s="36" t="s">
        <v>286</v>
      </c>
      <c r="D369" s="36" t="s">
        <v>286</v>
      </c>
      <c r="E369" s="36" t="s">
        <v>287</v>
      </c>
      <c r="F369" s="36" t="s">
        <v>286</v>
      </c>
      <c r="G369" s="36" t="s">
        <v>591</v>
      </c>
      <c r="H369" s="37">
        <v>45.0</v>
      </c>
      <c r="I369" s="36" t="s">
        <v>402</v>
      </c>
      <c r="J369" s="36" t="s">
        <v>286</v>
      </c>
      <c r="K369" s="38"/>
      <c r="L369" s="38"/>
    </row>
    <row r="370" ht="22.5" customHeight="1">
      <c r="A370" s="36" t="s">
        <v>1260</v>
      </c>
      <c r="B370" s="36" t="s">
        <v>1261</v>
      </c>
      <c r="C370" s="36" t="s">
        <v>286</v>
      </c>
      <c r="D370" s="36" t="s">
        <v>286</v>
      </c>
      <c r="E370" s="36" t="s">
        <v>287</v>
      </c>
      <c r="F370" s="36" t="s">
        <v>286</v>
      </c>
      <c r="G370" s="36" t="s">
        <v>1262</v>
      </c>
      <c r="H370" s="37">
        <v>40.0</v>
      </c>
      <c r="I370" s="36" t="s">
        <v>333</v>
      </c>
      <c r="J370" s="36" t="s">
        <v>286</v>
      </c>
      <c r="K370" s="38"/>
      <c r="L370" s="38"/>
    </row>
    <row r="371" ht="22.5" customHeight="1">
      <c r="A371" s="36" t="s">
        <v>1263</v>
      </c>
      <c r="B371" s="36" t="s">
        <v>1264</v>
      </c>
      <c r="C371" s="36" t="s">
        <v>286</v>
      </c>
      <c r="D371" s="36" t="s">
        <v>286</v>
      </c>
      <c r="E371" s="36" t="s">
        <v>287</v>
      </c>
      <c r="F371" s="36" t="s">
        <v>286</v>
      </c>
      <c r="G371" s="36" t="s">
        <v>1265</v>
      </c>
      <c r="H371" s="37">
        <v>210.0</v>
      </c>
      <c r="I371" s="36" t="s">
        <v>333</v>
      </c>
      <c r="J371" s="36" t="s">
        <v>286</v>
      </c>
      <c r="K371" s="38"/>
      <c r="L371" s="38"/>
    </row>
    <row r="372" ht="22.5" customHeight="1">
      <c r="A372" s="36" t="s">
        <v>1266</v>
      </c>
      <c r="B372" s="36" t="s">
        <v>1267</v>
      </c>
      <c r="C372" s="36" t="s">
        <v>286</v>
      </c>
      <c r="D372" s="36" t="s">
        <v>286</v>
      </c>
      <c r="E372" s="36" t="s">
        <v>287</v>
      </c>
      <c r="F372" s="36" t="s">
        <v>286</v>
      </c>
      <c r="G372" s="36" t="s">
        <v>1268</v>
      </c>
      <c r="H372" s="37">
        <v>50.0</v>
      </c>
      <c r="I372" s="36" t="s">
        <v>333</v>
      </c>
      <c r="J372" s="36" t="s">
        <v>286</v>
      </c>
      <c r="K372" s="38"/>
      <c r="L372" s="38"/>
    </row>
    <row r="373" ht="22.5" customHeight="1">
      <c r="A373" s="36" t="s">
        <v>1269</v>
      </c>
      <c r="B373" s="36" t="s">
        <v>1270</v>
      </c>
      <c r="C373" s="36" t="s">
        <v>286</v>
      </c>
      <c r="D373" s="36" t="s">
        <v>286</v>
      </c>
      <c r="E373" s="36" t="s">
        <v>287</v>
      </c>
      <c r="F373" s="36" t="s">
        <v>286</v>
      </c>
      <c r="G373" s="36" t="s">
        <v>1026</v>
      </c>
      <c r="H373" s="37">
        <v>22.8</v>
      </c>
      <c r="I373" s="36" t="s">
        <v>289</v>
      </c>
      <c r="J373" s="36" t="s">
        <v>286</v>
      </c>
      <c r="K373" s="38"/>
      <c r="L373" s="38"/>
    </row>
    <row r="374" ht="22.5" customHeight="1">
      <c r="A374" s="36" t="s">
        <v>1271</v>
      </c>
      <c r="B374" s="36" t="s">
        <v>1272</v>
      </c>
      <c r="C374" s="36" t="s">
        <v>286</v>
      </c>
      <c r="D374" s="36" t="s">
        <v>286</v>
      </c>
      <c r="E374" s="36" t="s">
        <v>287</v>
      </c>
      <c r="F374" s="36" t="s">
        <v>286</v>
      </c>
      <c r="G374" s="36" t="s">
        <v>1026</v>
      </c>
      <c r="H374" s="37">
        <v>30.8</v>
      </c>
      <c r="I374" s="36" t="s">
        <v>289</v>
      </c>
      <c r="J374" s="36" t="s">
        <v>286</v>
      </c>
      <c r="K374" s="38"/>
      <c r="L374" s="38"/>
    </row>
    <row r="375" ht="22.5" customHeight="1">
      <c r="A375" s="36" t="s">
        <v>1273</v>
      </c>
      <c r="B375" s="36" t="s">
        <v>1274</v>
      </c>
      <c r="C375" s="36" t="s">
        <v>286</v>
      </c>
      <c r="D375" s="36" t="s">
        <v>286</v>
      </c>
      <c r="E375" s="36" t="s">
        <v>287</v>
      </c>
      <c r="F375" s="36" t="s">
        <v>286</v>
      </c>
      <c r="G375" s="36" t="s">
        <v>1026</v>
      </c>
      <c r="H375" s="37">
        <v>31.8</v>
      </c>
      <c r="I375" s="36" t="s">
        <v>289</v>
      </c>
      <c r="J375" s="36" t="s">
        <v>286</v>
      </c>
      <c r="K375" s="38"/>
      <c r="L375" s="38"/>
    </row>
    <row r="376" ht="22.5" customHeight="1">
      <c r="A376" s="36" t="s">
        <v>1275</v>
      </c>
      <c r="B376" s="36" t="s">
        <v>1276</v>
      </c>
      <c r="C376" s="36" t="s">
        <v>286</v>
      </c>
      <c r="D376" s="36" t="s">
        <v>286</v>
      </c>
      <c r="E376" s="36" t="s">
        <v>287</v>
      </c>
      <c r="F376" s="36" t="s">
        <v>286</v>
      </c>
      <c r="G376" s="36" t="s">
        <v>292</v>
      </c>
      <c r="H376" s="37">
        <v>418.4019</v>
      </c>
      <c r="I376" s="36" t="s">
        <v>402</v>
      </c>
      <c r="J376" s="36" t="s">
        <v>286</v>
      </c>
      <c r="K376" s="38"/>
      <c r="L376" s="38"/>
    </row>
    <row r="377" ht="22.5" customHeight="1">
      <c r="A377" s="36" t="s">
        <v>1277</v>
      </c>
      <c r="B377" s="36" t="s">
        <v>1278</v>
      </c>
      <c r="C377" s="36" t="s">
        <v>1279</v>
      </c>
      <c r="D377" s="36" t="s">
        <v>1280</v>
      </c>
      <c r="E377" s="36" t="s">
        <v>975</v>
      </c>
      <c r="F377" s="36" t="s">
        <v>286</v>
      </c>
      <c r="G377" s="36" t="s">
        <v>1281</v>
      </c>
      <c r="H377" s="37">
        <v>250.0</v>
      </c>
      <c r="I377" s="36" t="s">
        <v>1282</v>
      </c>
      <c r="J377" s="36" t="s">
        <v>286</v>
      </c>
      <c r="K377" s="38"/>
      <c r="L377" s="38"/>
    </row>
    <row r="378" ht="22.5" customHeight="1">
      <c r="A378" s="36" t="s">
        <v>1283</v>
      </c>
      <c r="B378" s="36" t="s">
        <v>1284</v>
      </c>
      <c r="C378" s="36" t="s">
        <v>286</v>
      </c>
      <c r="D378" s="36" t="s">
        <v>286</v>
      </c>
      <c r="E378" s="36" t="s">
        <v>1285</v>
      </c>
      <c r="F378" s="36" t="s">
        <v>286</v>
      </c>
      <c r="G378" s="36" t="s">
        <v>1026</v>
      </c>
      <c r="H378" s="37">
        <v>0.0</v>
      </c>
      <c r="I378" s="36" t="s">
        <v>289</v>
      </c>
      <c r="J378" s="36" t="s">
        <v>286</v>
      </c>
      <c r="K378" s="38"/>
      <c r="L378" s="38"/>
    </row>
    <row r="379" ht="22.5" customHeight="1">
      <c r="A379" s="36" t="s">
        <v>1286</v>
      </c>
      <c r="B379" s="36" t="s">
        <v>1287</v>
      </c>
      <c r="C379" s="36" t="s">
        <v>973</v>
      </c>
      <c r="D379" s="36" t="s">
        <v>974</v>
      </c>
      <c r="E379" s="36" t="s">
        <v>1288</v>
      </c>
      <c r="F379" s="36" t="s">
        <v>286</v>
      </c>
      <c r="G379" s="36" t="s">
        <v>411</v>
      </c>
      <c r="H379" s="37">
        <v>10.0</v>
      </c>
      <c r="I379" s="36" t="s">
        <v>289</v>
      </c>
      <c r="J379" s="39" t="s">
        <v>286</v>
      </c>
      <c r="K379" s="38"/>
      <c r="L379" s="38"/>
    </row>
    <row r="380" ht="22.5" customHeight="1">
      <c r="A380" s="36" t="s">
        <v>1289</v>
      </c>
      <c r="B380" s="36" t="s">
        <v>1290</v>
      </c>
      <c r="C380" s="36" t="s">
        <v>973</v>
      </c>
      <c r="D380" s="36" t="s">
        <v>974</v>
      </c>
      <c r="E380" s="36" t="s">
        <v>1288</v>
      </c>
      <c r="F380" s="36" t="s">
        <v>286</v>
      </c>
      <c r="G380" s="36" t="s">
        <v>411</v>
      </c>
      <c r="H380" s="37">
        <v>30.0</v>
      </c>
      <c r="I380" s="36" t="s">
        <v>289</v>
      </c>
      <c r="J380" s="36" t="s">
        <v>286</v>
      </c>
      <c r="K380" s="38"/>
      <c r="L380" s="38"/>
    </row>
    <row r="381" ht="22.5" customHeight="1">
      <c r="A381" s="36" t="s">
        <v>1291</v>
      </c>
      <c r="B381" s="36" t="s">
        <v>1292</v>
      </c>
      <c r="C381" s="36" t="s">
        <v>973</v>
      </c>
      <c r="D381" s="36" t="s">
        <v>974</v>
      </c>
      <c r="E381" s="36" t="s">
        <v>1288</v>
      </c>
      <c r="F381" s="36" t="s">
        <v>286</v>
      </c>
      <c r="G381" s="36" t="s">
        <v>1293</v>
      </c>
      <c r="H381" s="37">
        <v>20.0</v>
      </c>
      <c r="I381" s="36" t="s">
        <v>289</v>
      </c>
      <c r="J381" s="36" t="s">
        <v>286</v>
      </c>
      <c r="K381" s="38"/>
      <c r="L381" s="38"/>
    </row>
    <row r="382" ht="22.5" customHeight="1">
      <c r="A382" s="36" t="s">
        <v>1294</v>
      </c>
      <c r="B382" s="36" t="s">
        <v>1295</v>
      </c>
      <c r="C382" s="36" t="s">
        <v>973</v>
      </c>
      <c r="D382" s="36" t="s">
        <v>974</v>
      </c>
      <c r="E382" s="36" t="s">
        <v>1288</v>
      </c>
      <c r="F382" s="36" t="s">
        <v>286</v>
      </c>
      <c r="G382" s="36" t="s">
        <v>1296</v>
      </c>
      <c r="H382" s="37">
        <v>40.0</v>
      </c>
      <c r="I382" s="36" t="s">
        <v>289</v>
      </c>
      <c r="J382" s="36" t="s">
        <v>286</v>
      </c>
      <c r="K382" s="38"/>
      <c r="L382" s="38"/>
    </row>
    <row r="383" ht="22.5" customHeight="1">
      <c r="A383" s="36" t="s">
        <v>1297</v>
      </c>
      <c r="B383" s="36" t="s">
        <v>1298</v>
      </c>
      <c r="C383" s="36" t="s">
        <v>286</v>
      </c>
      <c r="D383" s="36" t="s">
        <v>1299</v>
      </c>
      <c r="E383" s="36" t="s">
        <v>1285</v>
      </c>
      <c r="F383" s="36" t="s">
        <v>1300</v>
      </c>
      <c r="G383" s="36" t="s">
        <v>998</v>
      </c>
      <c r="H383" s="37">
        <v>9.81</v>
      </c>
      <c r="I383" s="36" t="s">
        <v>1301</v>
      </c>
      <c r="J383" s="36" t="s">
        <v>1302</v>
      </c>
      <c r="K383" s="38"/>
      <c r="L383" s="38"/>
    </row>
    <row r="384" ht="22.5" customHeight="1">
      <c r="A384" s="36" t="s">
        <v>1303</v>
      </c>
      <c r="B384" s="36" t="s">
        <v>1304</v>
      </c>
      <c r="C384" s="36" t="s">
        <v>286</v>
      </c>
      <c r="D384" s="36" t="s">
        <v>1299</v>
      </c>
      <c r="E384" s="36" t="s">
        <v>1285</v>
      </c>
      <c r="F384" s="36" t="s">
        <v>1305</v>
      </c>
      <c r="G384" s="36" t="s">
        <v>998</v>
      </c>
      <c r="H384" s="37">
        <v>10.56</v>
      </c>
      <c r="I384" s="36" t="s">
        <v>1301</v>
      </c>
      <c r="J384" s="36" t="s">
        <v>1302</v>
      </c>
      <c r="K384" s="38"/>
      <c r="L384" s="38"/>
    </row>
    <row r="385" ht="22.5" customHeight="1">
      <c r="A385" s="36" t="s">
        <v>1306</v>
      </c>
      <c r="B385" s="36" t="s">
        <v>1307</v>
      </c>
      <c r="C385" s="36" t="s">
        <v>286</v>
      </c>
      <c r="D385" s="36" t="s">
        <v>1299</v>
      </c>
      <c r="E385" s="36" t="s">
        <v>1285</v>
      </c>
      <c r="F385" s="36" t="s">
        <v>1308</v>
      </c>
      <c r="G385" s="36" t="s">
        <v>998</v>
      </c>
      <c r="H385" s="37">
        <v>13.5</v>
      </c>
      <c r="I385" s="36" t="s">
        <v>1301</v>
      </c>
      <c r="J385" s="36" t="s">
        <v>1302</v>
      </c>
      <c r="K385" s="38"/>
      <c r="L385" s="38"/>
    </row>
    <row r="386" ht="22.5" customHeight="1">
      <c r="A386" s="36" t="s">
        <v>1309</v>
      </c>
      <c r="B386" s="36" t="s">
        <v>1310</v>
      </c>
      <c r="C386" s="36" t="s">
        <v>286</v>
      </c>
      <c r="D386" s="36" t="s">
        <v>1299</v>
      </c>
      <c r="E386" s="36" t="s">
        <v>1285</v>
      </c>
      <c r="F386" s="36" t="s">
        <v>1311</v>
      </c>
      <c r="G386" s="36" t="s">
        <v>998</v>
      </c>
      <c r="H386" s="37">
        <v>15.79</v>
      </c>
      <c r="I386" s="36" t="s">
        <v>1301</v>
      </c>
      <c r="J386" s="36" t="s">
        <v>1302</v>
      </c>
      <c r="K386" s="38"/>
      <c r="L386" s="38"/>
    </row>
    <row r="387" ht="22.5" customHeight="1">
      <c r="A387" s="36" t="s">
        <v>1312</v>
      </c>
      <c r="B387" s="36" t="s">
        <v>1313</v>
      </c>
      <c r="C387" s="36" t="s">
        <v>286</v>
      </c>
      <c r="D387" s="36" t="s">
        <v>1299</v>
      </c>
      <c r="E387" s="36" t="s">
        <v>1285</v>
      </c>
      <c r="F387" s="36" t="s">
        <v>1314</v>
      </c>
      <c r="G387" s="36" t="s">
        <v>998</v>
      </c>
      <c r="H387" s="37">
        <v>17.04</v>
      </c>
      <c r="I387" s="36" t="s">
        <v>1301</v>
      </c>
      <c r="J387" s="36" t="s">
        <v>1302</v>
      </c>
      <c r="K387" s="38"/>
      <c r="L387" s="38"/>
    </row>
    <row r="388" ht="22.5" customHeight="1">
      <c r="A388" s="36" t="s">
        <v>1315</v>
      </c>
      <c r="B388" s="36" t="s">
        <v>1316</v>
      </c>
      <c r="C388" s="36" t="s">
        <v>286</v>
      </c>
      <c r="D388" s="36" t="s">
        <v>1299</v>
      </c>
      <c r="E388" s="36" t="s">
        <v>1285</v>
      </c>
      <c r="F388" s="36" t="s">
        <v>1317</v>
      </c>
      <c r="G388" s="36" t="s">
        <v>998</v>
      </c>
      <c r="H388" s="37">
        <v>18.45</v>
      </c>
      <c r="I388" s="36" t="s">
        <v>1301</v>
      </c>
      <c r="J388" s="36" t="s">
        <v>1302</v>
      </c>
      <c r="K388" s="38"/>
      <c r="L388" s="38"/>
    </row>
    <row r="389" ht="22.5" customHeight="1">
      <c r="A389" s="36" t="s">
        <v>1318</v>
      </c>
      <c r="B389" s="36" t="s">
        <v>1319</v>
      </c>
      <c r="C389" s="36" t="s">
        <v>286</v>
      </c>
      <c r="D389" s="36" t="s">
        <v>1299</v>
      </c>
      <c r="E389" s="36" t="s">
        <v>1285</v>
      </c>
      <c r="F389" s="36" t="s">
        <v>1320</v>
      </c>
      <c r="G389" s="36" t="s">
        <v>998</v>
      </c>
      <c r="H389" s="37">
        <v>21.85</v>
      </c>
      <c r="I389" s="36" t="s">
        <v>1301</v>
      </c>
      <c r="J389" s="36" t="s">
        <v>1302</v>
      </c>
      <c r="K389" s="38"/>
      <c r="L389" s="38"/>
    </row>
    <row r="390" ht="22.5" customHeight="1">
      <c r="A390" s="36" t="s">
        <v>1321</v>
      </c>
      <c r="B390" s="36" t="s">
        <v>1322</v>
      </c>
      <c r="C390" s="36" t="s">
        <v>286</v>
      </c>
      <c r="D390" s="36" t="s">
        <v>1299</v>
      </c>
      <c r="E390" s="36" t="s">
        <v>1285</v>
      </c>
      <c r="F390" s="36" t="s">
        <v>1323</v>
      </c>
      <c r="G390" s="36" t="s">
        <v>998</v>
      </c>
      <c r="H390" s="37">
        <v>25.83</v>
      </c>
      <c r="I390" s="36" t="s">
        <v>1301</v>
      </c>
      <c r="J390" s="36" t="s">
        <v>1302</v>
      </c>
      <c r="K390" s="38"/>
      <c r="L390" s="38"/>
    </row>
    <row r="391" ht="22.5" customHeight="1">
      <c r="A391" s="36" t="s">
        <v>1324</v>
      </c>
      <c r="B391" s="36" t="s">
        <v>1325</v>
      </c>
      <c r="C391" s="36" t="s">
        <v>286</v>
      </c>
      <c r="D391" s="36" t="s">
        <v>1299</v>
      </c>
      <c r="E391" s="36" t="s">
        <v>1285</v>
      </c>
      <c r="F391" s="36" t="s">
        <v>1326</v>
      </c>
      <c r="G391" s="36" t="s">
        <v>998</v>
      </c>
      <c r="H391" s="37">
        <v>26.54</v>
      </c>
      <c r="I391" s="36" t="s">
        <v>1301</v>
      </c>
      <c r="J391" s="36" t="s">
        <v>1302</v>
      </c>
      <c r="K391" s="38"/>
      <c r="L391" s="38"/>
    </row>
    <row r="392" ht="22.5" customHeight="1">
      <c r="A392" s="36" t="s">
        <v>1327</v>
      </c>
      <c r="B392" s="36" t="s">
        <v>1328</v>
      </c>
      <c r="C392" s="36" t="s">
        <v>286</v>
      </c>
      <c r="D392" s="36" t="s">
        <v>1299</v>
      </c>
      <c r="E392" s="36" t="s">
        <v>1285</v>
      </c>
      <c r="F392" s="36" t="s">
        <v>1329</v>
      </c>
      <c r="G392" s="36" t="s">
        <v>998</v>
      </c>
      <c r="H392" s="37">
        <v>28.49</v>
      </c>
      <c r="I392" s="36" t="s">
        <v>1301</v>
      </c>
      <c r="J392" s="36" t="s">
        <v>1302</v>
      </c>
      <c r="K392" s="38"/>
      <c r="L392" s="38"/>
    </row>
    <row r="393" ht="22.5" customHeight="1">
      <c r="A393" s="36" t="s">
        <v>1330</v>
      </c>
      <c r="B393" s="36" t="s">
        <v>1331</v>
      </c>
      <c r="C393" s="36" t="s">
        <v>286</v>
      </c>
      <c r="D393" s="36" t="s">
        <v>1299</v>
      </c>
      <c r="E393" s="36" t="s">
        <v>1285</v>
      </c>
      <c r="F393" s="36" t="s">
        <v>1332</v>
      </c>
      <c r="G393" s="36" t="s">
        <v>998</v>
      </c>
      <c r="H393" s="37">
        <v>9.81</v>
      </c>
      <c r="I393" s="36" t="s">
        <v>1301</v>
      </c>
      <c r="J393" s="36" t="s">
        <v>1333</v>
      </c>
      <c r="K393" s="38"/>
      <c r="L393" s="38"/>
    </row>
    <row r="394" ht="22.5" customHeight="1">
      <c r="A394" s="36" t="s">
        <v>1334</v>
      </c>
      <c r="B394" s="36" t="s">
        <v>1335</v>
      </c>
      <c r="C394" s="36" t="s">
        <v>286</v>
      </c>
      <c r="D394" s="36" t="s">
        <v>1299</v>
      </c>
      <c r="E394" s="36" t="s">
        <v>1285</v>
      </c>
      <c r="F394" s="36" t="s">
        <v>1336</v>
      </c>
      <c r="G394" s="36" t="s">
        <v>998</v>
      </c>
      <c r="H394" s="37">
        <v>10.56</v>
      </c>
      <c r="I394" s="36" t="s">
        <v>1301</v>
      </c>
      <c r="J394" s="36" t="s">
        <v>1333</v>
      </c>
      <c r="K394" s="38"/>
      <c r="L394" s="38"/>
    </row>
    <row r="395" ht="22.5" customHeight="1">
      <c r="A395" s="36" t="s">
        <v>1337</v>
      </c>
      <c r="B395" s="36" t="s">
        <v>1338</v>
      </c>
      <c r="C395" s="36" t="s">
        <v>286</v>
      </c>
      <c r="D395" s="36" t="s">
        <v>1299</v>
      </c>
      <c r="E395" s="36" t="s">
        <v>1285</v>
      </c>
      <c r="F395" s="36" t="s">
        <v>1339</v>
      </c>
      <c r="G395" s="36" t="s">
        <v>998</v>
      </c>
      <c r="H395" s="37">
        <v>13.5</v>
      </c>
      <c r="I395" s="36" t="s">
        <v>1301</v>
      </c>
      <c r="J395" s="36" t="s">
        <v>1333</v>
      </c>
      <c r="K395" s="38"/>
      <c r="L395" s="38"/>
    </row>
    <row r="396" ht="22.5" customHeight="1">
      <c r="A396" s="36" t="s">
        <v>1340</v>
      </c>
      <c r="B396" s="36" t="s">
        <v>1341</v>
      </c>
      <c r="C396" s="36" t="s">
        <v>286</v>
      </c>
      <c r="D396" s="36" t="s">
        <v>1299</v>
      </c>
      <c r="E396" s="36" t="s">
        <v>1285</v>
      </c>
      <c r="F396" s="36" t="s">
        <v>1342</v>
      </c>
      <c r="G396" s="36" t="s">
        <v>998</v>
      </c>
      <c r="H396" s="37">
        <v>15.79</v>
      </c>
      <c r="I396" s="36" t="s">
        <v>1301</v>
      </c>
      <c r="J396" s="36" t="s">
        <v>1302</v>
      </c>
      <c r="K396" s="38"/>
      <c r="L396" s="38"/>
    </row>
    <row r="397" ht="22.5" customHeight="1">
      <c r="A397" s="36" t="s">
        <v>1343</v>
      </c>
      <c r="B397" s="36" t="s">
        <v>1344</v>
      </c>
      <c r="C397" s="36" t="s">
        <v>286</v>
      </c>
      <c r="D397" s="36" t="s">
        <v>1299</v>
      </c>
      <c r="E397" s="36" t="s">
        <v>1285</v>
      </c>
      <c r="F397" s="36" t="s">
        <v>1345</v>
      </c>
      <c r="G397" s="36" t="s">
        <v>998</v>
      </c>
      <c r="H397" s="37">
        <v>17.04</v>
      </c>
      <c r="I397" s="36" t="s">
        <v>1301</v>
      </c>
      <c r="J397" s="39" t="s">
        <v>1333</v>
      </c>
      <c r="K397" s="38"/>
      <c r="L397" s="38"/>
    </row>
    <row r="398" ht="22.5" customHeight="1">
      <c r="A398" s="36" t="s">
        <v>1346</v>
      </c>
      <c r="B398" s="36" t="s">
        <v>1347</v>
      </c>
      <c r="C398" s="36" t="s">
        <v>286</v>
      </c>
      <c r="D398" s="36" t="s">
        <v>1299</v>
      </c>
      <c r="E398" s="36" t="s">
        <v>1285</v>
      </c>
      <c r="F398" s="36" t="s">
        <v>1348</v>
      </c>
      <c r="G398" s="36" t="s">
        <v>998</v>
      </c>
      <c r="H398" s="37">
        <v>18.45</v>
      </c>
      <c r="I398" s="36" t="s">
        <v>1301</v>
      </c>
      <c r="J398" s="39" t="s">
        <v>1333</v>
      </c>
      <c r="K398" s="38"/>
      <c r="L398" s="38"/>
    </row>
    <row r="399" ht="22.5" customHeight="1">
      <c r="A399" s="36" t="s">
        <v>1349</v>
      </c>
      <c r="B399" s="36" t="s">
        <v>1350</v>
      </c>
      <c r="C399" s="36" t="s">
        <v>286</v>
      </c>
      <c r="D399" s="36" t="s">
        <v>1299</v>
      </c>
      <c r="E399" s="36" t="s">
        <v>1285</v>
      </c>
      <c r="F399" s="36" t="s">
        <v>1351</v>
      </c>
      <c r="G399" s="36" t="s">
        <v>998</v>
      </c>
      <c r="H399" s="37">
        <v>21.85</v>
      </c>
      <c r="I399" s="36" t="s">
        <v>1301</v>
      </c>
      <c r="J399" s="39" t="s">
        <v>1333</v>
      </c>
      <c r="K399" s="38"/>
      <c r="L399" s="38"/>
    </row>
    <row r="400" ht="22.5" customHeight="1">
      <c r="A400" s="36" t="s">
        <v>1352</v>
      </c>
      <c r="B400" s="36" t="s">
        <v>1353</v>
      </c>
      <c r="C400" s="36" t="s">
        <v>286</v>
      </c>
      <c r="D400" s="36" t="s">
        <v>1299</v>
      </c>
      <c r="E400" s="36" t="s">
        <v>1285</v>
      </c>
      <c r="F400" s="36" t="s">
        <v>1354</v>
      </c>
      <c r="G400" s="36" t="s">
        <v>998</v>
      </c>
      <c r="H400" s="37">
        <v>25.83</v>
      </c>
      <c r="I400" s="36" t="s">
        <v>1301</v>
      </c>
      <c r="J400" s="39" t="s">
        <v>1333</v>
      </c>
      <c r="K400" s="38"/>
      <c r="L400" s="38"/>
    </row>
    <row r="401" ht="22.5" customHeight="1">
      <c r="A401" s="36" t="s">
        <v>1355</v>
      </c>
      <c r="B401" s="36" t="s">
        <v>1356</v>
      </c>
      <c r="C401" s="36" t="s">
        <v>286</v>
      </c>
      <c r="D401" s="36" t="s">
        <v>1299</v>
      </c>
      <c r="E401" s="36" t="s">
        <v>1285</v>
      </c>
      <c r="F401" s="36" t="s">
        <v>1357</v>
      </c>
      <c r="G401" s="36" t="s">
        <v>998</v>
      </c>
      <c r="H401" s="37">
        <v>26.54</v>
      </c>
      <c r="I401" s="36" t="s">
        <v>1301</v>
      </c>
      <c r="J401" s="39" t="s">
        <v>1333</v>
      </c>
      <c r="K401" s="38"/>
      <c r="L401" s="38"/>
    </row>
    <row r="402" ht="22.5" customHeight="1">
      <c r="A402" s="36" t="s">
        <v>1358</v>
      </c>
      <c r="B402" s="36" t="s">
        <v>1359</v>
      </c>
      <c r="C402" s="36" t="s">
        <v>286</v>
      </c>
      <c r="D402" s="36" t="s">
        <v>1299</v>
      </c>
      <c r="E402" s="36" t="s">
        <v>1285</v>
      </c>
      <c r="F402" s="36" t="s">
        <v>1360</v>
      </c>
      <c r="G402" s="36" t="s">
        <v>998</v>
      </c>
      <c r="H402" s="37">
        <v>28.49</v>
      </c>
      <c r="I402" s="36" t="s">
        <v>1301</v>
      </c>
      <c r="J402" s="39" t="s">
        <v>1333</v>
      </c>
      <c r="K402" s="38"/>
      <c r="L402" s="38"/>
    </row>
    <row r="403" ht="22.5" customHeight="1">
      <c r="A403" s="36" t="s">
        <v>1361</v>
      </c>
      <c r="B403" s="36" t="s">
        <v>1362</v>
      </c>
      <c r="C403" s="36" t="s">
        <v>286</v>
      </c>
      <c r="D403" s="36" t="s">
        <v>1363</v>
      </c>
      <c r="E403" s="36" t="s">
        <v>1285</v>
      </c>
      <c r="F403" s="36" t="s">
        <v>1364</v>
      </c>
      <c r="G403" s="36" t="s">
        <v>998</v>
      </c>
      <c r="H403" s="37">
        <v>7.92</v>
      </c>
      <c r="I403" s="36" t="s">
        <v>1301</v>
      </c>
      <c r="J403" s="39" t="s">
        <v>286</v>
      </c>
      <c r="K403" s="38"/>
      <c r="L403" s="38"/>
    </row>
    <row r="404" ht="22.5" customHeight="1">
      <c r="A404" s="36" t="s">
        <v>1365</v>
      </c>
      <c r="B404" s="36" t="s">
        <v>1366</v>
      </c>
      <c r="C404" s="36" t="s">
        <v>286</v>
      </c>
      <c r="D404" s="36" t="s">
        <v>1363</v>
      </c>
      <c r="E404" s="36" t="s">
        <v>1285</v>
      </c>
      <c r="F404" s="36" t="s">
        <v>1367</v>
      </c>
      <c r="G404" s="36" t="s">
        <v>998</v>
      </c>
      <c r="H404" s="37">
        <v>7.92</v>
      </c>
      <c r="I404" s="36" t="s">
        <v>1301</v>
      </c>
      <c r="J404" s="39" t="s">
        <v>286</v>
      </c>
      <c r="K404" s="38"/>
      <c r="L404" s="38"/>
    </row>
    <row r="405" ht="22.5" customHeight="1">
      <c r="A405" s="36" t="s">
        <v>1368</v>
      </c>
      <c r="B405" s="36" t="s">
        <v>1369</v>
      </c>
      <c r="C405" s="36" t="s">
        <v>286</v>
      </c>
      <c r="D405" s="36" t="s">
        <v>1363</v>
      </c>
      <c r="E405" s="36" t="s">
        <v>1285</v>
      </c>
      <c r="F405" s="36" t="s">
        <v>1370</v>
      </c>
      <c r="G405" s="36" t="s">
        <v>998</v>
      </c>
      <c r="H405" s="37">
        <v>8.71</v>
      </c>
      <c r="I405" s="36" t="s">
        <v>1301</v>
      </c>
      <c r="J405" s="39" t="s">
        <v>286</v>
      </c>
      <c r="K405" s="38"/>
      <c r="L405" s="38"/>
    </row>
    <row r="406" ht="22.5" customHeight="1">
      <c r="A406" s="36" t="s">
        <v>1371</v>
      </c>
      <c r="B406" s="36" t="s">
        <v>1372</v>
      </c>
      <c r="C406" s="36" t="s">
        <v>286</v>
      </c>
      <c r="D406" s="36" t="s">
        <v>1363</v>
      </c>
      <c r="E406" s="36" t="s">
        <v>1285</v>
      </c>
      <c r="F406" s="36" t="s">
        <v>1373</v>
      </c>
      <c r="G406" s="36" t="s">
        <v>998</v>
      </c>
      <c r="H406" s="37">
        <v>8.71</v>
      </c>
      <c r="I406" s="36" t="s">
        <v>1301</v>
      </c>
      <c r="J406" s="39" t="s">
        <v>286</v>
      </c>
      <c r="K406" s="38"/>
      <c r="L406" s="38"/>
    </row>
    <row r="407" ht="22.5" customHeight="1">
      <c r="A407" s="36" t="s">
        <v>1374</v>
      </c>
      <c r="B407" s="36" t="s">
        <v>1375</v>
      </c>
      <c r="C407" s="36" t="s">
        <v>286</v>
      </c>
      <c r="D407" s="36" t="s">
        <v>1363</v>
      </c>
      <c r="E407" s="36" t="s">
        <v>1285</v>
      </c>
      <c r="F407" s="36" t="s">
        <v>1376</v>
      </c>
      <c r="G407" s="36" t="s">
        <v>998</v>
      </c>
      <c r="H407" s="37">
        <v>9.43</v>
      </c>
      <c r="I407" s="36" t="s">
        <v>1301</v>
      </c>
      <c r="J407" s="39" t="s">
        <v>286</v>
      </c>
      <c r="K407" s="38"/>
      <c r="L407" s="38"/>
    </row>
    <row r="408" ht="22.5" customHeight="1">
      <c r="A408" s="36" t="s">
        <v>1377</v>
      </c>
      <c r="B408" s="36" t="s">
        <v>1378</v>
      </c>
      <c r="C408" s="36" t="s">
        <v>286</v>
      </c>
      <c r="D408" s="36" t="s">
        <v>1363</v>
      </c>
      <c r="E408" s="36" t="s">
        <v>1285</v>
      </c>
      <c r="F408" s="36" t="s">
        <v>1379</v>
      </c>
      <c r="G408" s="36" t="s">
        <v>998</v>
      </c>
      <c r="H408" s="37">
        <v>9.43</v>
      </c>
      <c r="I408" s="36" t="s">
        <v>1301</v>
      </c>
      <c r="J408" s="39" t="s">
        <v>286</v>
      </c>
      <c r="K408" s="38"/>
      <c r="L408" s="38"/>
    </row>
    <row r="409" ht="22.5" customHeight="1">
      <c r="A409" s="36" t="s">
        <v>1380</v>
      </c>
      <c r="B409" s="36" t="s">
        <v>1381</v>
      </c>
      <c r="C409" s="36" t="s">
        <v>286</v>
      </c>
      <c r="D409" s="36" t="s">
        <v>1363</v>
      </c>
      <c r="E409" s="36" t="s">
        <v>1285</v>
      </c>
      <c r="F409" s="36" t="s">
        <v>1382</v>
      </c>
      <c r="G409" s="36" t="s">
        <v>998</v>
      </c>
      <c r="H409" s="37">
        <v>10.56</v>
      </c>
      <c r="I409" s="36" t="s">
        <v>1301</v>
      </c>
      <c r="J409" s="39" t="s">
        <v>286</v>
      </c>
      <c r="K409" s="38"/>
      <c r="L409" s="38"/>
    </row>
    <row r="410" ht="22.5" customHeight="1">
      <c r="A410" s="36" t="s">
        <v>1383</v>
      </c>
      <c r="B410" s="36" t="s">
        <v>1384</v>
      </c>
      <c r="C410" s="36" t="s">
        <v>286</v>
      </c>
      <c r="D410" s="36" t="s">
        <v>1363</v>
      </c>
      <c r="E410" s="36" t="s">
        <v>1285</v>
      </c>
      <c r="F410" s="36" t="s">
        <v>1385</v>
      </c>
      <c r="G410" s="36" t="s">
        <v>998</v>
      </c>
      <c r="H410" s="37">
        <v>11.44</v>
      </c>
      <c r="I410" s="36" t="s">
        <v>1301</v>
      </c>
      <c r="J410" s="36" t="s">
        <v>286</v>
      </c>
      <c r="K410" s="38"/>
      <c r="L410" s="38"/>
    </row>
    <row r="411" ht="22.5" customHeight="1">
      <c r="A411" s="36" t="s">
        <v>1386</v>
      </c>
      <c r="B411" s="36" t="s">
        <v>1387</v>
      </c>
      <c r="C411" s="36" t="s">
        <v>286</v>
      </c>
      <c r="D411" s="36" t="s">
        <v>1363</v>
      </c>
      <c r="E411" s="36" t="s">
        <v>1285</v>
      </c>
      <c r="F411" s="36" t="s">
        <v>1388</v>
      </c>
      <c r="G411" s="36" t="s">
        <v>998</v>
      </c>
      <c r="H411" s="37">
        <v>11.44</v>
      </c>
      <c r="I411" s="36" t="s">
        <v>1301</v>
      </c>
      <c r="J411" s="36" t="s">
        <v>286</v>
      </c>
      <c r="K411" s="38"/>
      <c r="L411" s="38"/>
    </row>
    <row r="412" ht="22.5" customHeight="1">
      <c r="A412" s="36" t="s">
        <v>1389</v>
      </c>
      <c r="B412" s="36" t="s">
        <v>1390</v>
      </c>
      <c r="C412" s="36" t="s">
        <v>286</v>
      </c>
      <c r="D412" s="36" t="s">
        <v>1363</v>
      </c>
      <c r="E412" s="36" t="s">
        <v>1285</v>
      </c>
      <c r="F412" s="36" t="s">
        <v>1391</v>
      </c>
      <c r="G412" s="36" t="s">
        <v>998</v>
      </c>
      <c r="H412" s="37">
        <v>10.56</v>
      </c>
      <c r="I412" s="36" t="s">
        <v>1301</v>
      </c>
      <c r="J412" s="36" t="s">
        <v>286</v>
      </c>
      <c r="K412" s="38"/>
      <c r="L412" s="38"/>
    </row>
    <row r="413" ht="22.5" customHeight="1">
      <c r="A413" s="36" t="s">
        <v>1392</v>
      </c>
      <c r="B413" s="36" t="s">
        <v>1393</v>
      </c>
      <c r="C413" s="36" t="s">
        <v>286</v>
      </c>
      <c r="D413" s="36" t="s">
        <v>1394</v>
      </c>
      <c r="E413" s="36" t="s">
        <v>1285</v>
      </c>
      <c r="F413" s="36" t="s">
        <v>1395</v>
      </c>
      <c r="G413" s="36" t="s">
        <v>998</v>
      </c>
      <c r="H413" s="37">
        <v>4.21</v>
      </c>
      <c r="I413" s="36" t="s">
        <v>1301</v>
      </c>
      <c r="J413" s="36" t="s">
        <v>286</v>
      </c>
      <c r="K413" s="38"/>
      <c r="L413" s="38"/>
    </row>
    <row r="414" ht="22.5" customHeight="1">
      <c r="A414" s="36" t="s">
        <v>1396</v>
      </c>
      <c r="B414" s="36" t="s">
        <v>1397</v>
      </c>
      <c r="C414" s="36" t="s">
        <v>286</v>
      </c>
      <c r="D414" s="36" t="s">
        <v>1394</v>
      </c>
      <c r="E414" s="36" t="s">
        <v>1285</v>
      </c>
      <c r="F414" s="36" t="s">
        <v>1398</v>
      </c>
      <c r="G414" s="36" t="s">
        <v>998</v>
      </c>
      <c r="H414" s="37">
        <v>7.92</v>
      </c>
      <c r="I414" s="36" t="s">
        <v>1301</v>
      </c>
      <c r="J414" s="36" t="s">
        <v>286</v>
      </c>
      <c r="K414" s="38"/>
      <c r="L414" s="38"/>
    </row>
    <row r="415" ht="22.5" customHeight="1">
      <c r="A415" s="36" t="s">
        <v>1399</v>
      </c>
      <c r="B415" s="36" t="s">
        <v>1400</v>
      </c>
      <c r="C415" s="36" t="s">
        <v>286</v>
      </c>
      <c r="D415" s="36" t="s">
        <v>1394</v>
      </c>
      <c r="E415" s="36" t="s">
        <v>1285</v>
      </c>
      <c r="F415" s="36" t="s">
        <v>1401</v>
      </c>
      <c r="G415" s="36" t="s">
        <v>998</v>
      </c>
      <c r="H415" s="37">
        <v>4.21</v>
      </c>
      <c r="I415" s="36" t="s">
        <v>1301</v>
      </c>
      <c r="J415" s="36" t="s">
        <v>286</v>
      </c>
      <c r="K415" s="38"/>
      <c r="L415" s="38"/>
    </row>
    <row r="416" ht="22.5" customHeight="1">
      <c r="A416" s="36" t="s">
        <v>1402</v>
      </c>
      <c r="B416" s="36" t="s">
        <v>1403</v>
      </c>
      <c r="C416" s="36" t="s">
        <v>286</v>
      </c>
      <c r="D416" s="36" t="s">
        <v>1394</v>
      </c>
      <c r="E416" s="36" t="s">
        <v>1285</v>
      </c>
      <c r="F416" s="36" t="s">
        <v>1404</v>
      </c>
      <c r="G416" s="36" t="s">
        <v>998</v>
      </c>
      <c r="H416" s="37">
        <v>4.21</v>
      </c>
      <c r="I416" s="36" t="s">
        <v>1301</v>
      </c>
      <c r="J416" s="36" t="s">
        <v>286</v>
      </c>
      <c r="K416" s="38"/>
      <c r="L416" s="38"/>
    </row>
    <row r="417" ht="22.5" customHeight="1">
      <c r="A417" s="36" t="s">
        <v>1405</v>
      </c>
      <c r="B417" s="36" t="s">
        <v>1406</v>
      </c>
      <c r="C417" s="36" t="s">
        <v>286</v>
      </c>
      <c r="D417" s="36" t="s">
        <v>1394</v>
      </c>
      <c r="E417" s="36" t="s">
        <v>1285</v>
      </c>
      <c r="F417" s="36" t="s">
        <v>1407</v>
      </c>
      <c r="G417" s="36" t="s">
        <v>998</v>
      </c>
      <c r="H417" s="37">
        <v>7.92</v>
      </c>
      <c r="I417" s="36" t="s">
        <v>1301</v>
      </c>
      <c r="J417" s="36" t="s">
        <v>286</v>
      </c>
      <c r="K417" s="38"/>
      <c r="L417" s="38"/>
    </row>
    <row r="418" ht="22.5" customHeight="1">
      <c r="A418" s="36" t="s">
        <v>1408</v>
      </c>
      <c r="B418" s="36" t="s">
        <v>1409</v>
      </c>
      <c r="C418" s="36" t="s">
        <v>286</v>
      </c>
      <c r="D418" s="36" t="s">
        <v>1394</v>
      </c>
      <c r="E418" s="36" t="s">
        <v>1285</v>
      </c>
      <c r="F418" s="36" t="s">
        <v>1410</v>
      </c>
      <c r="G418" s="36" t="s">
        <v>998</v>
      </c>
      <c r="H418" s="37">
        <v>7.92</v>
      </c>
      <c r="I418" s="36" t="s">
        <v>1301</v>
      </c>
      <c r="J418" s="36" t="s">
        <v>286</v>
      </c>
      <c r="K418" s="38"/>
      <c r="L418" s="38"/>
    </row>
    <row r="419" ht="22.5" customHeight="1">
      <c r="A419" s="36" t="s">
        <v>1411</v>
      </c>
      <c r="B419" s="36" t="s">
        <v>1412</v>
      </c>
      <c r="C419" s="36" t="s">
        <v>286</v>
      </c>
      <c r="D419" s="36" t="s">
        <v>1299</v>
      </c>
      <c r="E419" s="36" t="s">
        <v>1285</v>
      </c>
      <c r="F419" s="36" t="s">
        <v>1413</v>
      </c>
      <c r="G419" s="36" t="s">
        <v>998</v>
      </c>
      <c r="H419" s="37">
        <v>11.41</v>
      </c>
      <c r="I419" s="36" t="s">
        <v>1301</v>
      </c>
      <c r="J419" s="36" t="s">
        <v>1302</v>
      </c>
      <c r="K419" s="38"/>
      <c r="L419" s="38"/>
    </row>
    <row r="420" ht="22.5" customHeight="1">
      <c r="A420" s="36" t="s">
        <v>1414</v>
      </c>
      <c r="B420" s="36" t="s">
        <v>1415</v>
      </c>
      <c r="C420" s="36" t="s">
        <v>286</v>
      </c>
      <c r="D420" s="36" t="s">
        <v>1299</v>
      </c>
      <c r="E420" s="36" t="s">
        <v>1285</v>
      </c>
      <c r="F420" s="36" t="s">
        <v>1416</v>
      </c>
      <c r="G420" s="36" t="s">
        <v>998</v>
      </c>
      <c r="H420" s="37">
        <v>11.99</v>
      </c>
      <c r="I420" s="36" t="s">
        <v>1301</v>
      </c>
      <c r="J420" s="39" t="s">
        <v>1302</v>
      </c>
      <c r="K420" s="38"/>
      <c r="L420" s="38"/>
    </row>
    <row r="421" ht="22.5" customHeight="1">
      <c r="A421" s="36" t="s">
        <v>1417</v>
      </c>
      <c r="B421" s="36" t="s">
        <v>1418</v>
      </c>
      <c r="C421" s="36" t="s">
        <v>286</v>
      </c>
      <c r="D421" s="36" t="s">
        <v>1299</v>
      </c>
      <c r="E421" s="36" t="s">
        <v>1285</v>
      </c>
      <c r="F421" s="36" t="s">
        <v>1419</v>
      </c>
      <c r="G421" s="36" t="s">
        <v>998</v>
      </c>
      <c r="H421" s="37">
        <v>16.66</v>
      </c>
      <c r="I421" s="36" t="s">
        <v>1301</v>
      </c>
      <c r="J421" s="36" t="s">
        <v>1302</v>
      </c>
      <c r="K421" s="38"/>
      <c r="L421" s="38"/>
    </row>
    <row r="422" ht="22.5" customHeight="1">
      <c r="A422" s="36" t="s">
        <v>1420</v>
      </c>
      <c r="B422" s="36" t="s">
        <v>1421</v>
      </c>
      <c r="C422" s="36" t="s">
        <v>286</v>
      </c>
      <c r="D422" s="36" t="s">
        <v>1299</v>
      </c>
      <c r="E422" s="36" t="s">
        <v>1285</v>
      </c>
      <c r="F422" s="36" t="s">
        <v>1422</v>
      </c>
      <c r="G422" s="36" t="s">
        <v>998</v>
      </c>
      <c r="H422" s="37">
        <v>19.5</v>
      </c>
      <c r="I422" s="36" t="s">
        <v>1301</v>
      </c>
      <c r="J422" s="36" t="s">
        <v>1302</v>
      </c>
      <c r="K422" s="38"/>
      <c r="L422" s="38"/>
    </row>
    <row r="423" ht="22.5" customHeight="1">
      <c r="A423" s="36" t="s">
        <v>1423</v>
      </c>
      <c r="B423" s="36" t="s">
        <v>1424</v>
      </c>
      <c r="C423" s="36" t="s">
        <v>286</v>
      </c>
      <c r="D423" s="36" t="s">
        <v>1299</v>
      </c>
      <c r="E423" s="36" t="s">
        <v>1285</v>
      </c>
      <c r="F423" s="36" t="s">
        <v>1425</v>
      </c>
      <c r="G423" s="36" t="s">
        <v>998</v>
      </c>
      <c r="H423" s="37">
        <v>20.38</v>
      </c>
      <c r="I423" s="36" t="s">
        <v>1301</v>
      </c>
      <c r="J423" s="36" t="s">
        <v>1302</v>
      </c>
      <c r="K423" s="38"/>
      <c r="L423" s="38"/>
    </row>
    <row r="424" ht="22.5" customHeight="1">
      <c r="A424" s="36" t="s">
        <v>1426</v>
      </c>
      <c r="B424" s="36" t="s">
        <v>1427</v>
      </c>
      <c r="C424" s="36" t="s">
        <v>286</v>
      </c>
      <c r="D424" s="36" t="s">
        <v>1299</v>
      </c>
      <c r="E424" s="36" t="s">
        <v>1285</v>
      </c>
      <c r="F424" s="36" t="s">
        <v>1428</v>
      </c>
      <c r="G424" s="36" t="s">
        <v>998</v>
      </c>
      <c r="H424" s="37">
        <v>21.46</v>
      </c>
      <c r="I424" s="36" t="s">
        <v>1301</v>
      </c>
      <c r="J424" s="36" t="s">
        <v>1302</v>
      </c>
      <c r="K424" s="38"/>
      <c r="L424" s="38"/>
    </row>
    <row r="425" ht="22.5" customHeight="1">
      <c r="A425" s="36" t="s">
        <v>1429</v>
      </c>
      <c r="B425" s="36" t="s">
        <v>1430</v>
      </c>
      <c r="C425" s="36" t="s">
        <v>286</v>
      </c>
      <c r="D425" s="36" t="s">
        <v>1299</v>
      </c>
      <c r="E425" s="36" t="s">
        <v>1285</v>
      </c>
      <c r="F425" s="36" t="s">
        <v>1431</v>
      </c>
      <c r="G425" s="36" t="s">
        <v>998</v>
      </c>
      <c r="H425" s="37">
        <v>24.75</v>
      </c>
      <c r="I425" s="36" t="s">
        <v>1301</v>
      </c>
      <c r="J425" s="36" t="s">
        <v>1302</v>
      </c>
      <c r="K425" s="38"/>
      <c r="L425" s="38"/>
    </row>
    <row r="426" ht="22.5" customHeight="1">
      <c r="A426" s="36" t="s">
        <v>1432</v>
      </c>
      <c r="B426" s="36" t="s">
        <v>1433</v>
      </c>
      <c r="C426" s="36" t="s">
        <v>286</v>
      </c>
      <c r="D426" s="36" t="s">
        <v>1299</v>
      </c>
      <c r="E426" s="36" t="s">
        <v>1285</v>
      </c>
      <c r="F426" s="36" t="s">
        <v>1434</v>
      </c>
      <c r="G426" s="36" t="s">
        <v>998</v>
      </c>
      <c r="H426" s="37">
        <v>28.42</v>
      </c>
      <c r="I426" s="36" t="s">
        <v>1301</v>
      </c>
      <c r="J426" s="36" t="s">
        <v>1302</v>
      </c>
      <c r="K426" s="38"/>
      <c r="L426" s="38"/>
    </row>
    <row r="427" ht="22.5" customHeight="1">
      <c r="A427" s="36" t="s">
        <v>1435</v>
      </c>
      <c r="B427" s="36" t="s">
        <v>1436</v>
      </c>
      <c r="C427" s="36" t="s">
        <v>286</v>
      </c>
      <c r="D427" s="36" t="s">
        <v>1299</v>
      </c>
      <c r="E427" s="36" t="s">
        <v>1285</v>
      </c>
      <c r="F427" s="36" t="s">
        <v>1437</v>
      </c>
      <c r="G427" s="36" t="s">
        <v>998</v>
      </c>
      <c r="H427" s="37">
        <v>29.47</v>
      </c>
      <c r="I427" s="36" t="s">
        <v>1301</v>
      </c>
      <c r="J427" s="36" t="s">
        <v>1302</v>
      </c>
      <c r="K427" s="38"/>
      <c r="L427" s="38"/>
    </row>
    <row r="428" ht="22.5" customHeight="1">
      <c r="A428" s="36" t="s">
        <v>1438</v>
      </c>
      <c r="B428" s="36" t="s">
        <v>1439</v>
      </c>
      <c r="C428" s="36" t="s">
        <v>286</v>
      </c>
      <c r="D428" s="36" t="s">
        <v>1299</v>
      </c>
      <c r="E428" s="36" t="s">
        <v>1285</v>
      </c>
      <c r="F428" s="36" t="s">
        <v>1440</v>
      </c>
      <c r="G428" s="36" t="s">
        <v>998</v>
      </c>
      <c r="H428" s="37">
        <v>31.05</v>
      </c>
      <c r="I428" s="36" t="s">
        <v>1301</v>
      </c>
      <c r="J428" s="36" t="s">
        <v>1302</v>
      </c>
      <c r="K428" s="38"/>
      <c r="L428" s="38"/>
    </row>
    <row r="429" ht="22.5" customHeight="1">
      <c r="A429" s="36" t="s">
        <v>1441</v>
      </c>
      <c r="B429" s="36" t="s">
        <v>1442</v>
      </c>
      <c r="C429" s="36" t="s">
        <v>286</v>
      </c>
      <c r="D429" s="36" t="s">
        <v>1299</v>
      </c>
      <c r="E429" s="36" t="s">
        <v>1285</v>
      </c>
      <c r="F429" s="36" t="s">
        <v>1443</v>
      </c>
      <c r="G429" s="36" t="s">
        <v>998</v>
      </c>
      <c r="H429" s="37">
        <v>11.41</v>
      </c>
      <c r="I429" s="36" t="s">
        <v>1301</v>
      </c>
      <c r="J429" s="36" t="s">
        <v>1333</v>
      </c>
      <c r="K429" s="38"/>
      <c r="L429" s="38"/>
    </row>
    <row r="430" ht="22.5" customHeight="1">
      <c r="A430" s="36" t="s">
        <v>1444</v>
      </c>
      <c r="B430" s="36" t="s">
        <v>1445</v>
      </c>
      <c r="C430" s="36" t="s">
        <v>286</v>
      </c>
      <c r="D430" s="36" t="s">
        <v>1299</v>
      </c>
      <c r="E430" s="36" t="s">
        <v>1285</v>
      </c>
      <c r="F430" s="36" t="s">
        <v>1446</v>
      </c>
      <c r="G430" s="36" t="s">
        <v>998</v>
      </c>
      <c r="H430" s="37">
        <v>11.99</v>
      </c>
      <c r="I430" s="36" t="s">
        <v>1301</v>
      </c>
      <c r="J430" s="36" t="s">
        <v>1333</v>
      </c>
      <c r="K430" s="38"/>
      <c r="L430" s="38"/>
    </row>
    <row r="431" ht="22.5" customHeight="1">
      <c r="A431" s="36" t="s">
        <v>1447</v>
      </c>
      <c r="B431" s="36" t="s">
        <v>1448</v>
      </c>
      <c r="C431" s="36" t="s">
        <v>286</v>
      </c>
      <c r="D431" s="36" t="s">
        <v>1299</v>
      </c>
      <c r="E431" s="36" t="s">
        <v>1285</v>
      </c>
      <c r="F431" s="36" t="s">
        <v>1449</v>
      </c>
      <c r="G431" s="36" t="s">
        <v>998</v>
      </c>
      <c r="H431" s="37">
        <v>16.66</v>
      </c>
      <c r="I431" s="36" t="s">
        <v>1301</v>
      </c>
      <c r="J431" s="36" t="s">
        <v>1333</v>
      </c>
      <c r="K431" s="38"/>
      <c r="L431" s="38"/>
    </row>
    <row r="432" ht="22.5" customHeight="1">
      <c r="A432" s="36" t="s">
        <v>1450</v>
      </c>
      <c r="B432" s="36" t="s">
        <v>1451</v>
      </c>
      <c r="C432" s="36" t="s">
        <v>286</v>
      </c>
      <c r="D432" s="36" t="s">
        <v>1299</v>
      </c>
      <c r="E432" s="36" t="s">
        <v>1285</v>
      </c>
      <c r="F432" s="36" t="s">
        <v>1452</v>
      </c>
      <c r="G432" s="36" t="s">
        <v>998</v>
      </c>
      <c r="H432" s="37">
        <v>19.5</v>
      </c>
      <c r="I432" s="36" t="s">
        <v>1301</v>
      </c>
      <c r="J432" s="36" t="s">
        <v>1333</v>
      </c>
      <c r="K432" s="38"/>
      <c r="L432" s="38"/>
    </row>
    <row r="433" ht="22.5" customHeight="1">
      <c r="A433" s="36" t="s">
        <v>1453</v>
      </c>
      <c r="B433" s="36" t="s">
        <v>1454</v>
      </c>
      <c r="C433" s="36" t="s">
        <v>286</v>
      </c>
      <c r="D433" s="36" t="s">
        <v>1299</v>
      </c>
      <c r="E433" s="36" t="s">
        <v>1285</v>
      </c>
      <c r="F433" s="36" t="s">
        <v>1455</v>
      </c>
      <c r="G433" s="36" t="s">
        <v>998</v>
      </c>
      <c r="H433" s="37">
        <v>20.38</v>
      </c>
      <c r="I433" s="36" t="s">
        <v>1301</v>
      </c>
      <c r="J433" s="36" t="s">
        <v>1333</v>
      </c>
      <c r="K433" s="38"/>
      <c r="L433" s="38"/>
    </row>
    <row r="434" ht="22.5" customHeight="1">
      <c r="A434" s="36" t="s">
        <v>1456</v>
      </c>
      <c r="B434" s="36" t="s">
        <v>1457</v>
      </c>
      <c r="C434" s="36" t="s">
        <v>286</v>
      </c>
      <c r="D434" s="36" t="s">
        <v>1299</v>
      </c>
      <c r="E434" s="36" t="s">
        <v>1285</v>
      </c>
      <c r="F434" s="36" t="s">
        <v>1458</v>
      </c>
      <c r="G434" s="36" t="s">
        <v>998</v>
      </c>
      <c r="H434" s="37">
        <v>21.46</v>
      </c>
      <c r="I434" s="36" t="s">
        <v>1301</v>
      </c>
      <c r="J434" s="36" t="s">
        <v>1333</v>
      </c>
      <c r="K434" s="38"/>
      <c r="L434" s="38"/>
    </row>
    <row r="435" ht="22.5" customHeight="1">
      <c r="A435" s="36" t="s">
        <v>1459</v>
      </c>
      <c r="B435" s="36" t="s">
        <v>1460</v>
      </c>
      <c r="C435" s="36" t="s">
        <v>286</v>
      </c>
      <c r="D435" s="36" t="s">
        <v>1299</v>
      </c>
      <c r="E435" s="36" t="s">
        <v>1285</v>
      </c>
      <c r="F435" s="36" t="s">
        <v>1461</v>
      </c>
      <c r="G435" s="36" t="s">
        <v>998</v>
      </c>
      <c r="H435" s="37">
        <v>24.75</v>
      </c>
      <c r="I435" s="36" t="s">
        <v>1301</v>
      </c>
      <c r="J435" s="39" t="s">
        <v>1333</v>
      </c>
      <c r="K435" s="38"/>
      <c r="L435" s="38"/>
    </row>
    <row r="436" ht="22.5" customHeight="1">
      <c r="A436" s="36" t="s">
        <v>1462</v>
      </c>
      <c r="B436" s="36" t="s">
        <v>1463</v>
      </c>
      <c r="C436" s="36" t="s">
        <v>286</v>
      </c>
      <c r="D436" s="36" t="s">
        <v>1299</v>
      </c>
      <c r="E436" s="36" t="s">
        <v>1285</v>
      </c>
      <c r="F436" s="36" t="s">
        <v>1464</v>
      </c>
      <c r="G436" s="36" t="s">
        <v>998</v>
      </c>
      <c r="H436" s="37">
        <v>28.42</v>
      </c>
      <c r="I436" s="36" t="s">
        <v>1301</v>
      </c>
      <c r="J436" s="39" t="s">
        <v>1333</v>
      </c>
      <c r="K436" s="38"/>
      <c r="L436" s="38"/>
    </row>
    <row r="437" ht="22.5" customHeight="1">
      <c r="A437" s="36" t="s">
        <v>1465</v>
      </c>
      <c r="B437" s="36" t="s">
        <v>1466</v>
      </c>
      <c r="C437" s="36" t="s">
        <v>286</v>
      </c>
      <c r="D437" s="36" t="s">
        <v>1299</v>
      </c>
      <c r="E437" s="36" t="s">
        <v>1285</v>
      </c>
      <c r="F437" s="36" t="s">
        <v>1467</v>
      </c>
      <c r="G437" s="36" t="s">
        <v>998</v>
      </c>
      <c r="H437" s="37">
        <v>29.47</v>
      </c>
      <c r="I437" s="36" t="s">
        <v>1301</v>
      </c>
      <c r="J437" s="39" t="s">
        <v>1333</v>
      </c>
      <c r="K437" s="38"/>
      <c r="L437" s="38"/>
    </row>
    <row r="438" ht="22.5" customHeight="1">
      <c r="A438" s="36" t="s">
        <v>1468</v>
      </c>
      <c r="B438" s="36" t="s">
        <v>1469</v>
      </c>
      <c r="C438" s="36" t="s">
        <v>286</v>
      </c>
      <c r="D438" s="36" t="s">
        <v>1299</v>
      </c>
      <c r="E438" s="36" t="s">
        <v>1285</v>
      </c>
      <c r="F438" s="36" t="s">
        <v>1470</v>
      </c>
      <c r="G438" s="36" t="s">
        <v>998</v>
      </c>
      <c r="H438" s="37">
        <v>31.05</v>
      </c>
      <c r="I438" s="36" t="s">
        <v>1301</v>
      </c>
      <c r="J438" s="36" t="s">
        <v>1333</v>
      </c>
      <c r="K438" s="38"/>
      <c r="L438" s="38"/>
    </row>
    <row r="439" ht="22.5" customHeight="1">
      <c r="A439" s="36" t="s">
        <v>1471</v>
      </c>
      <c r="B439" s="36" t="s">
        <v>1472</v>
      </c>
      <c r="C439" s="36" t="s">
        <v>973</v>
      </c>
      <c r="D439" s="36" t="s">
        <v>974</v>
      </c>
      <c r="E439" s="36" t="s">
        <v>1288</v>
      </c>
      <c r="F439" s="36" t="s">
        <v>286</v>
      </c>
      <c r="G439" s="36" t="s">
        <v>408</v>
      </c>
      <c r="H439" s="37">
        <v>10.0</v>
      </c>
      <c r="I439" s="36" t="s">
        <v>1301</v>
      </c>
      <c r="J439" s="39" t="s">
        <v>1473</v>
      </c>
      <c r="K439" s="38"/>
      <c r="L439" s="38"/>
    </row>
    <row r="440" ht="22.5" customHeight="1">
      <c r="A440" s="36" t="s">
        <v>1474</v>
      </c>
      <c r="B440" s="36" t="s">
        <v>1475</v>
      </c>
      <c r="C440" s="36" t="s">
        <v>1279</v>
      </c>
      <c r="D440" s="36" t="s">
        <v>1280</v>
      </c>
      <c r="E440" s="36" t="s">
        <v>975</v>
      </c>
      <c r="F440" s="36" t="s">
        <v>286</v>
      </c>
      <c r="G440" s="36" t="s">
        <v>1281</v>
      </c>
      <c r="H440" s="37">
        <v>150.0</v>
      </c>
      <c r="I440" s="36" t="s">
        <v>1282</v>
      </c>
      <c r="J440" s="39" t="s">
        <v>286</v>
      </c>
      <c r="K440" s="38"/>
      <c r="L440" s="38"/>
    </row>
    <row r="441" ht="22.5" customHeight="1">
      <c r="A441" s="36" t="s">
        <v>1476</v>
      </c>
      <c r="B441" s="36" t="s">
        <v>1477</v>
      </c>
      <c r="C441" s="36" t="s">
        <v>1279</v>
      </c>
      <c r="D441" s="36" t="s">
        <v>1280</v>
      </c>
      <c r="E441" s="36" t="s">
        <v>975</v>
      </c>
      <c r="F441" s="36" t="s">
        <v>286</v>
      </c>
      <c r="G441" s="36" t="s">
        <v>966</v>
      </c>
      <c r="H441" s="37">
        <v>0.0</v>
      </c>
      <c r="I441" s="36" t="s">
        <v>1301</v>
      </c>
      <c r="J441" s="39" t="s">
        <v>286</v>
      </c>
      <c r="K441" s="38"/>
      <c r="L441" s="38"/>
    </row>
    <row r="442" ht="22.5" customHeight="1">
      <c r="A442" s="36" t="s">
        <v>1478</v>
      </c>
      <c r="B442" s="36" t="s">
        <v>1479</v>
      </c>
      <c r="C442" s="36" t="s">
        <v>1279</v>
      </c>
      <c r="D442" s="36" t="s">
        <v>1280</v>
      </c>
      <c r="E442" s="36" t="s">
        <v>975</v>
      </c>
      <c r="F442" s="36" t="s">
        <v>286</v>
      </c>
      <c r="G442" s="36" t="s">
        <v>1281</v>
      </c>
      <c r="H442" s="37">
        <v>44.0</v>
      </c>
      <c r="I442" s="36" t="s">
        <v>1480</v>
      </c>
      <c r="J442" s="39" t="s">
        <v>286</v>
      </c>
      <c r="K442" s="38"/>
      <c r="L442" s="38"/>
    </row>
    <row r="443" ht="22.5" customHeight="1">
      <c r="A443" s="36" t="s">
        <v>1481</v>
      </c>
      <c r="B443" s="36" t="s">
        <v>1482</v>
      </c>
      <c r="C443" s="36" t="s">
        <v>1279</v>
      </c>
      <c r="D443" s="36" t="s">
        <v>1280</v>
      </c>
      <c r="E443" s="36" t="s">
        <v>975</v>
      </c>
      <c r="F443" s="36" t="s">
        <v>286</v>
      </c>
      <c r="G443" s="36" t="s">
        <v>1281</v>
      </c>
      <c r="H443" s="37">
        <v>0.0</v>
      </c>
      <c r="I443" s="36" t="s">
        <v>289</v>
      </c>
      <c r="J443" s="39" t="s">
        <v>286</v>
      </c>
      <c r="K443" s="38"/>
      <c r="L443" s="38"/>
    </row>
    <row r="444" ht="22.5" customHeight="1">
      <c r="A444" s="36" t="s">
        <v>1483</v>
      </c>
      <c r="B444" s="36" t="s">
        <v>1484</v>
      </c>
      <c r="C444" s="36" t="s">
        <v>1279</v>
      </c>
      <c r="D444" s="36" t="s">
        <v>1280</v>
      </c>
      <c r="E444" s="36" t="s">
        <v>975</v>
      </c>
      <c r="F444" s="36" t="s">
        <v>286</v>
      </c>
      <c r="G444" s="36" t="s">
        <v>1281</v>
      </c>
      <c r="H444" s="37">
        <v>0.0</v>
      </c>
      <c r="I444" s="36" t="s">
        <v>289</v>
      </c>
      <c r="J444" s="39" t="s">
        <v>286</v>
      </c>
      <c r="K444" s="38"/>
      <c r="L444" s="38"/>
    </row>
    <row r="445" ht="22.5" customHeight="1">
      <c r="A445" s="36" t="s">
        <v>1485</v>
      </c>
      <c r="B445" s="36" t="s">
        <v>1486</v>
      </c>
      <c r="C445" s="36" t="s">
        <v>1279</v>
      </c>
      <c r="D445" s="36" t="s">
        <v>1280</v>
      </c>
      <c r="E445" s="36" t="s">
        <v>975</v>
      </c>
      <c r="F445" s="36" t="s">
        <v>286</v>
      </c>
      <c r="G445" s="36" t="s">
        <v>1281</v>
      </c>
      <c r="H445" s="37">
        <v>0.0</v>
      </c>
      <c r="I445" s="36" t="s">
        <v>1301</v>
      </c>
      <c r="J445" s="39" t="s">
        <v>286</v>
      </c>
      <c r="K445" s="38"/>
      <c r="L445" s="38"/>
    </row>
    <row r="446" ht="22.5" customHeight="1">
      <c r="A446" s="36" t="s">
        <v>1487</v>
      </c>
      <c r="B446" s="36" t="s">
        <v>1488</v>
      </c>
      <c r="C446" s="36" t="s">
        <v>1279</v>
      </c>
      <c r="D446" s="36" t="s">
        <v>1280</v>
      </c>
      <c r="E446" s="36" t="s">
        <v>287</v>
      </c>
      <c r="F446" s="36" t="s">
        <v>286</v>
      </c>
      <c r="G446" s="36" t="s">
        <v>1281</v>
      </c>
      <c r="H446" s="37">
        <v>0.0</v>
      </c>
      <c r="I446" s="36" t="s">
        <v>1301</v>
      </c>
      <c r="J446" s="39" t="s">
        <v>286</v>
      </c>
      <c r="K446" s="38"/>
      <c r="L446" s="38"/>
    </row>
    <row r="447" ht="22.5" customHeight="1">
      <c r="A447" s="36" t="s">
        <v>1489</v>
      </c>
      <c r="B447" s="36" t="s">
        <v>1490</v>
      </c>
      <c r="C447" s="36" t="s">
        <v>1279</v>
      </c>
      <c r="D447" s="36" t="s">
        <v>1280</v>
      </c>
      <c r="E447" s="36" t="s">
        <v>975</v>
      </c>
      <c r="F447" s="36" t="s">
        <v>286</v>
      </c>
      <c r="G447" s="36" t="s">
        <v>1281</v>
      </c>
      <c r="H447" s="37">
        <v>0.0</v>
      </c>
      <c r="I447" s="36" t="s">
        <v>1301</v>
      </c>
      <c r="J447" s="39" t="s">
        <v>286</v>
      </c>
      <c r="K447" s="38"/>
      <c r="L447" s="38"/>
    </row>
    <row r="448" ht="22.5" customHeight="1">
      <c r="A448" s="36" t="s">
        <v>1491</v>
      </c>
      <c r="B448" s="36" t="s">
        <v>1492</v>
      </c>
      <c r="C448" s="36" t="s">
        <v>1279</v>
      </c>
      <c r="D448" s="36" t="s">
        <v>1280</v>
      </c>
      <c r="E448" s="36" t="s">
        <v>975</v>
      </c>
      <c r="F448" s="36" t="s">
        <v>286</v>
      </c>
      <c r="G448" s="36" t="s">
        <v>1281</v>
      </c>
      <c r="H448" s="37">
        <v>0.0</v>
      </c>
      <c r="I448" s="36" t="s">
        <v>1301</v>
      </c>
      <c r="J448" s="39" t="s">
        <v>286</v>
      </c>
      <c r="K448" s="38"/>
      <c r="L448" s="38"/>
    </row>
    <row r="449" ht="22.5" customHeight="1">
      <c r="A449" s="36" t="s">
        <v>1493</v>
      </c>
      <c r="B449" s="36" t="s">
        <v>1494</v>
      </c>
      <c r="C449" s="36" t="s">
        <v>1495</v>
      </c>
      <c r="D449" s="36" t="s">
        <v>1496</v>
      </c>
      <c r="E449" s="36" t="s">
        <v>1285</v>
      </c>
      <c r="F449" s="36" t="s">
        <v>286</v>
      </c>
      <c r="G449" s="36" t="s">
        <v>1497</v>
      </c>
      <c r="H449" s="37">
        <v>48.47</v>
      </c>
      <c r="I449" s="36" t="s">
        <v>1301</v>
      </c>
      <c r="J449" s="39" t="s">
        <v>1498</v>
      </c>
      <c r="K449" s="38"/>
      <c r="L449" s="38"/>
    </row>
    <row r="450" ht="22.5" customHeight="1">
      <c r="A450" s="36" t="s">
        <v>1499</v>
      </c>
      <c r="B450" s="36" t="s">
        <v>1500</v>
      </c>
      <c r="C450" s="36" t="s">
        <v>1495</v>
      </c>
      <c r="D450" s="36" t="s">
        <v>1496</v>
      </c>
      <c r="E450" s="36" t="s">
        <v>1285</v>
      </c>
      <c r="F450" s="36" t="s">
        <v>286</v>
      </c>
      <c r="G450" s="36" t="s">
        <v>442</v>
      </c>
      <c r="H450" s="37">
        <v>14.0</v>
      </c>
      <c r="I450" s="36" t="s">
        <v>1301</v>
      </c>
      <c r="J450" s="39" t="s">
        <v>1501</v>
      </c>
      <c r="K450" s="38"/>
      <c r="L450" s="38"/>
    </row>
    <row r="451" ht="22.5" customHeight="1">
      <c r="A451" s="36" t="s">
        <v>1502</v>
      </c>
      <c r="B451" s="36" t="s">
        <v>1503</v>
      </c>
      <c r="C451" s="36" t="s">
        <v>1495</v>
      </c>
      <c r="D451" s="36" t="s">
        <v>1496</v>
      </c>
      <c r="E451" s="36" t="s">
        <v>1285</v>
      </c>
      <c r="F451" s="36" t="s">
        <v>286</v>
      </c>
      <c r="G451" s="36" t="s">
        <v>1504</v>
      </c>
      <c r="H451" s="37">
        <v>2.99</v>
      </c>
      <c r="I451" s="36" t="s">
        <v>1301</v>
      </c>
      <c r="J451" s="39" t="s">
        <v>286</v>
      </c>
      <c r="K451" s="38"/>
      <c r="L451" s="38"/>
    </row>
    <row r="452" ht="22.5" customHeight="1">
      <c r="A452" s="36" t="s">
        <v>1505</v>
      </c>
      <c r="B452" s="36" t="s">
        <v>1506</v>
      </c>
      <c r="C452" s="36" t="s">
        <v>286</v>
      </c>
      <c r="D452" s="36" t="s">
        <v>286</v>
      </c>
      <c r="E452" s="36" t="s">
        <v>287</v>
      </c>
      <c r="F452" s="36" t="s">
        <v>286</v>
      </c>
      <c r="G452" s="36" t="s">
        <v>1504</v>
      </c>
      <c r="H452" s="37">
        <v>2.85</v>
      </c>
      <c r="I452" s="36" t="s">
        <v>1301</v>
      </c>
      <c r="J452" s="39" t="s">
        <v>286</v>
      </c>
      <c r="K452" s="38"/>
      <c r="L452" s="38"/>
    </row>
    <row r="453" ht="22.5" customHeight="1">
      <c r="A453" s="36" t="s">
        <v>1507</v>
      </c>
      <c r="B453" s="36" t="s">
        <v>1508</v>
      </c>
      <c r="C453" s="36" t="s">
        <v>1495</v>
      </c>
      <c r="D453" s="36" t="s">
        <v>1496</v>
      </c>
      <c r="E453" s="36" t="s">
        <v>287</v>
      </c>
      <c r="F453" s="36" t="s">
        <v>286</v>
      </c>
      <c r="G453" s="36" t="s">
        <v>318</v>
      </c>
      <c r="H453" s="37">
        <v>62.5</v>
      </c>
      <c r="I453" s="36" t="s">
        <v>1301</v>
      </c>
      <c r="J453" s="36" t="s">
        <v>1509</v>
      </c>
      <c r="K453" s="38"/>
      <c r="L453" s="38"/>
    </row>
    <row r="454" ht="22.5" customHeight="1">
      <c r="A454" s="36" t="s">
        <v>1510</v>
      </c>
      <c r="B454" s="36" t="s">
        <v>1511</v>
      </c>
      <c r="C454" s="36" t="s">
        <v>1495</v>
      </c>
      <c r="D454" s="36" t="s">
        <v>1496</v>
      </c>
      <c r="E454" s="36" t="s">
        <v>287</v>
      </c>
      <c r="F454" s="36" t="s">
        <v>286</v>
      </c>
      <c r="G454" s="36" t="s">
        <v>1504</v>
      </c>
      <c r="H454" s="37">
        <v>97.92</v>
      </c>
      <c r="I454" s="36" t="s">
        <v>1301</v>
      </c>
      <c r="J454" s="36" t="s">
        <v>1509</v>
      </c>
      <c r="K454" s="38"/>
      <c r="L454" s="38"/>
    </row>
    <row r="455" ht="22.5" customHeight="1">
      <c r="A455" s="36" t="s">
        <v>1512</v>
      </c>
      <c r="B455" s="36" t="s">
        <v>1513</v>
      </c>
      <c r="C455" s="36" t="s">
        <v>1495</v>
      </c>
      <c r="D455" s="36" t="s">
        <v>1496</v>
      </c>
      <c r="E455" s="36" t="s">
        <v>287</v>
      </c>
      <c r="F455" s="36" t="s">
        <v>286</v>
      </c>
      <c r="G455" s="36" t="s">
        <v>1504</v>
      </c>
      <c r="H455" s="37">
        <v>0.0</v>
      </c>
      <c r="I455" s="36" t="s">
        <v>1301</v>
      </c>
      <c r="J455" s="39" t="s">
        <v>1509</v>
      </c>
      <c r="K455" s="38"/>
      <c r="L455" s="38"/>
    </row>
    <row r="456" ht="22.5" customHeight="1">
      <c r="A456" s="36" t="s">
        <v>1514</v>
      </c>
      <c r="B456" s="36" t="s">
        <v>1515</v>
      </c>
      <c r="C456" s="36" t="s">
        <v>1495</v>
      </c>
      <c r="D456" s="36" t="s">
        <v>1496</v>
      </c>
      <c r="E456" s="36" t="s">
        <v>287</v>
      </c>
      <c r="F456" s="36" t="s">
        <v>286</v>
      </c>
      <c r="G456" s="36" t="s">
        <v>411</v>
      </c>
      <c r="H456" s="37">
        <v>85.0</v>
      </c>
      <c r="I456" s="36" t="s">
        <v>1301</v>
      </c>
      <c r="J456" s="36" t="s">
        <v>1509</v>
      </c>
      <c r="K456" s="38"/>
      <c r="L456" s="38"/>
    </row>
    <row r="457" ht="22.5" customHeight="1">
      <c r="A457" s="36" t="s">
        <v>1516</v>
      </c>
      <c r="B457" s="36" t="s">
        <v>1517</v>
      </c>
      <c r="C457" s="36" t="s">
        <v>1495</v>
      </c>
      <c r="D457" s="36" t="s">
        <v>1496</v>
      </c>
      <c r="E457" s="36" t="s">
        <v>287</v>
      </c>
      <c r="F457" s="36" t="s">
        <v>286</v>
      </c>
      <c r="G457" s="36" t="s">
        <v>411</v>
      </c>
      <c r="H457" s="37">
        <v>13.33</v>
      </c>
      <c r="I457" s="36" t="s">
        <v>1301</v>
      </c>
      <c r="J457" s="39" t="s">
        <v>1518</v>
      </c>
      <c r="K457" s="38"/>
      <c r="L457" s="38"/>
    </row>
    <row r="458" ht="22.5" customHeight="1">
      <c r="A458" s="36" t="s">
        <v>1519</v>
      </c>
      <c r="B458" s="36" t="s">
        <v>1520</v>
      </c>
      <c r="C458" s="36" t="s">
        <v>1495</v>
      </c>
      <c r="D458" s="36" t="s">
        <v>1496</v>
      </c>
      <c r="E458" s="36" t="s">
        <v>287</v>
      </c>
      <c r="F458" s="36" t="s">
        <v>286</v>
      </c>
      <c r="G458" s="36" t="s">
        <v>411</v>
      </c>
      <c r="H458" s="37">
        <v>5.0</v>
      </c>
      <c r="I458" s="36" t="s">
        <v>1301</v>
      </c>
      <c r="J458" s="39" t="s">
        <v>1518</v>
      </c>
      <c r="K458" s="38"/>
      <c r="L458" s="38"/>
    </row>
    <row r="459" ht="22.5" customHeight="1">
      <c r="A459" s="36" t="s">
        <v>1521</v>
      </c>
      <c r="B459" s="36" t="s">
        <v>1522</v>
      </c>
      <c r="C459" s="36" t="s">
        <v>1495</v>
      </c>
      <c r="D459" s="36" t="s">
        <v>1496</v>
      </c>
      <c r="E459" s="36" t="s">
        <v>287</v>
      </c>
      <c r="F459" s="36" t="s">
        <v>286</v>
      </c>
      <c r="G459" s="36" t="s">
        <v>411</v>
      </c>
      <c r="H459" s="37">
        <v>6.67</v>
      </c>
      <c r="I459" s="36" t="s">
        <v>1301</v>
      </c>
      <c r="J459" s="39" t="s">
        <v>1518</v>
      </c>
      <c r="K459" s="38"/>
      <c r="L459" s="38"/>
    </row>
    <row r="460" ht="22.5" customHeight="1">
      <c r="A460" s="36" t="s">
        <v>1523</v>
      </c>
      <c r="B460" s="36" t="s">
        <v>1524</v>
      </c>
      <c r="C460" s="36" t="s">
        <v>286</v>
      </c>
      <c r="D460" s="36" t="s">
        <v>286</v>
      </c>
      <c r="E460" s="36" t="s">
        <v>287</v>
      </c>
      <c r="F460" s="36" t="s">
        <v>286</v>
      </c>
      <c r="G460" s="36" t="s">
        <v>411</v>
      </c>
      <c r="H460" s="37">
        <v>6.83</v>
      </c>
      <c r="I460" s="36" t="s">
        <v>1301</v>
      </c>
      <c r="J460" s="39" t="s">
        <v>1518</v>
      </c>
      <c r="K460" s="38"/>
      <c r="L460" s="38"/>
    </row>
    <row r="461" ht="22.5" customHeight="1">
      <c r="A461" s="36" t="s">
        <v>1525</v>
      </c>
      <c r="B461" s="36" t="s">
        <v>1526</v>
      </c>
      <c r="C461" s="36" t="s">
        <v>1495</v>
      </c>
      <c r="D461" s="36" t="s">
        <v>1496</v>
      </c>
      <c r="E461" s="36" t="s">
        <v>287</v>
      </c>
      <c r="F461" s="36" t="s">
        <v>286</v>
      </c>
      <c r="G461" s="36" t="s">
        <v>411</v>
      </c>
      <c r="H461" s="37">
        <v>8.75</v>
      </c>
      <c r="I461" s="36" t="s">
        <v>1301</v>
      </c>
      <c r="J461" s="36" t="s">
        <v>1518</v>
      </c>
      <c r="K461" s="38"/>
      <c r="L461" s="38"/>
    </row>
    <row r="462" ht="22.5" customHeight="1">
      <c r="A462" s="36" t="s">
        <v>1527</v>
      </c>
      <c r="B462" s="36" t="s">
        <v>1528</v>
      </c>
      <c r="C462" s="36" t="s">
        <v>973</v>
      </c>
      <c r="D462" s="36" t="s">
        <v>974</v>
      </c>
      <c r="E462" s="36" t="s">
        <v>975</v>
      </c>
      <c r="F462" s="36" t="s">
        <v>286</v>
      </c>
      <c r="G462" s="36" t="s">
        <v>966</v>
      </c>
      <c r="H462" s="37">
        <v>9.0</v>
      </c>
      <c r="I462" s="36" t="s">
        <v>289</v>
      </c>
      <c r="J462" s="36" t="s">
        <v>286</v>
      </c>
      <c r="K462" s="38"/>
      <c r="L462" s="38"/>
    </row>
    <row r="463" ht="22.5" customHeight="1">
      <c r="A463" s="36" t="s">
        <v>1529</v>
      </c>
      <c r="B463" s="36" t="s">
        <v>1530</v>
      </c>
      <c r="C463" s="36" t="s">
        <v>1495</v>
      </c>
      <c r="D463" s="36" t="s">
        <v>1496</v>
      </c>
      <c r="E463" s="36" t="s">
        <v>1285</v>
      </c>
      <c r="F463" s="36" t="s">
        <v>286</v>
      </c>
      <c r="G463" s="36" t="s">
        <v>411</v>
      </c>
      <c r="H463" s="37">
        <v>0.0</v>
      </c>
      <c r="I463" s="36" t="s">
        <v>1301</v>
      </c>
      <c r="J463" s="39" t="s">
        <v>1531</v>
      </c>
      <c r="K463" s="38"/>
      <c r="L463" s="38"/>
    </row>
    <row r="464" ht="22.5" customHeight="1">
      <c r="A464" s="36" t="s">
        <v>1532</v>
      </c>
      <c r="B464" s="36" t="s">
        <v>1533</v>
      </c>
      <c r="C464" s="36" t="s">
        <v>1495</v>
      </c>
      <c r="D464" s="36" t="s">
        <v>1496</v>
      </c>
      <c r="E464" s="36" t="s">
        <v>287</v>
      </c>
      <c r="F464" s="36" t="s">
        <v>286</v>
      </c>
      <c r="G464" s="36" t="s">
        <v>411</v>
      </c>
      <c r="H464" s="37">
        <v>0.0</v>
      </c>
      <c r="I464" s="36" t="s">
        <v>1301</v>
      </c>
      <c r="J464" s="39" t="s">
        <v>286</v>
      </c>
      <c r="K464" s="38"/>
      <c r="L464" s="38"/>
    </row>
    <row r="465" ht="22.5" customHeight="1">
      <c r="A465" s="36" t="s">
        <v>1534</v>
      </c>
      <c r="B465" s="36" t="s">
        <v>1535</v>
      </c>
      <c r="C465" s="36" t="s">
        <v>1495</v>
      </c>
      <c r="D465" s="36" t="s">
        <v>1496</v>
      </c>
      <c r="E465" s="36" t="s">
        <v>287</v>
      </c>
      <c r="F465" s="36" t="s">
        <v>286</v>
      </c>
      <c r="G465" s="36" t="s">
        <v>411</v>
      </c>
      <c r="H465" s="37">
        <v>2.0</v>
      </c>
      <c r="I465" s="36" t="s">
        <v>1301</v>
      </c>
      <c r="J465" s="39" t="s">
        <v>1536</v>
      </c>
      <c r="K465" s="38"/>
      <c r="L465" s="38"/>
    </row>
    <row r="466" ht="22.5" customHeight="1">
      <c r="A466" s="36" t="s">
        <v>1537</v>
      </c>
      <c r="B466" s="36" t="s">
        <v>1538</v>
      </c>
      <c r="C466" s="36" t="s">
        <v>1495</v>
      </c>
      <c r="D466" s="36" t="s">
        <v>1496</v>
      </c>
      <c r="E466" s="36" t="s">
        <v>287</v>
      </c>
      <c r="F466" s="36" t="s">
        <v>286</v>
      </c>
      <c r="G466" s="36" t="s">
        <v>411</v>
      </c>
      <c r="H466" s="37">
        <v>0.4</v>
      </c>
      <c r="I466" s="36" t="s">
        <v>1301</v>
      </c>
      <c r="J466" s="39" t="s">
        <v>1536</v>
      </c>
      <c r="K466" s="38"/>
      <c r="L466" s="38"/>
    </row>
    <row r="467" ht="22.5" customHeight="1">
      <c r="A467" s="36" t="s">
        <v>1539</v>
      </c>
      <c r="B467" s="36" t="s">
        <v>1540</v>
      </c>
      <c r="C467" s="36" t="s">
        <v>1495</v>
      </c>
      <c r="D467" s="36" t="s">
        <v>1496</v>
      </c>
      <c r="E467" s="36" t="s">
        <v>287</v>
      </c>
      <c r="F467" s="36" t="s">
        <v>286</v>
      </c>
      <c r="G467" s="36" t="s">
        <v>411</v>
      </c>
      <c r="H467" s="37">
        <v>95.83</v>
      </c>
      <c r="I467" s="36" t="s">
        <v>1301</v>
      </c>
      <c r="J467" s="39" t="s">
        <v>1541</v>
      </c>
      <c r="K467" s="38"/>
      <c r="L467" s="38"/>
    </row>
    <row r="468" ht="22.5" customHeight="1">
      <c r="A468" s="36" t="s">
        <v>1542</v>
      </c>
      <c r="B468" s="36" t="s">
        <v>1543</v>
      </c>
      <c r="C468" s="36" t="s">
        <v>1495</v>
      </c>
      <c r="D468" s="36" t="s">
        <v>1496</v>
      </c>
      <c r="E468" s="36" t="s">
        <v>287</v>
      </c>
      <c r="F468" s="36" t="s">
        <v>286</v>
      </c>
      <c r="G468" s="36" t="s">
        <v>411</v>
      </c>
      <c r="H468" s="37">
        <v>72.5</v>
      </c>
      <c r="I468" s="36" t="s">
        <v>1301</v>
      </c>
      <c r="J468" s="39" t="s">
        <v>1544</v>
      </c>
      <c r="K468" s="38"/>
      <c r="L468" s="38"/>
    </row>
    <row r="469" ht="22.5" customHeight="1">
      <c r="A469" s="36" t="s">
        <v>1545</v>
      </c>
      <c r="B469" s="36" t="s">
        <v>1546</v>
      </c>
      <c r="C469" s="36" t="s">
        <v>1495</v>
      </c>
      <c r="D469" s="36" t="s">
        <v>1496</v>
      </c>
      <c r="E469" s="36" t="s">
        <v>287</v>
      </c>
      <c r="F469" s="36" t="s">
        <v>286</v>
      </c>
      <c r="G469" s="36" t="s">
        <v>411</v>
      </c>
      <c r="H469" s="37">
        <v>0.0</v>
      </c>
      <c r="I469" s="36" t="s">
        <v>1301</v>
      </c>
      <c r="J469" s="36" t="s">
        <v>1547</v>
      </c>
      <c r="K469" s="38"/>
      <c r="L469" s="38"/>
    </row>
    <row r="470" ht="22.5" customHeight="1">
      <c r="A470" s="36" t="s">
        <v>1548</v>
      </c>
      <c r="B470" s="36" t="s">
        <v>1549</v>
      </c>
      <c r="C470" s="36" t="s">
        <v>1495</v>
      </c>
      <c r="D470" s="36" t="s">
        <v>1496</v>
      </c>
      <c r="E470" s="36" t="s">
        <v>287</v>
      </c>
      <c r="F470" s="36" t="s">
        <v>286</v>
      </c>
      <c r="G470" s="36" t="s">
        <v>411</v>
      </c>
      <c r="H470" s="37">
        <v>150.0</v>
      </c>
      <c r="I470" s="36" t="s">
        <v>1301</v>
      </c>
      <c r="J470" s="36" t="s">
        <v>1547</v>
      </c>
      <c r="K470" s="38"/>
      <c r="L470" s="38"/>
    </row>
    <row r="471" ht="22.5" customHeight="1">
      <c r="A471" s="36" t="s">
        <v>1550</v>
      </c>
      <c r="B471" s="36" t="s">
        <v>1551</v>
      </c>
      <c r="C471" s="36" t="s">
        <v>1495</v>
      </c>
      <c r="D471" s="36" t="s">
        <v>1496</v>
      </c>
      <c r="E471" s="36" t="s">
        <v>287</v>
      </c>
      <c r="F471" s="36" t="s">
        <v>286</v>
      </c>
      <c r="G471" s="36" t="s">
        <v>411</v>
      </c>
      <c r="H471" s="37">
        <v>36.23</v>
      </c>
      <c r="I471" s="36" t="s">
        <v>1301</v>
      </c>
      <c r="J471" s="36" t="s">
        <v>1552</v>
      </c>
      <c r="K471" s="38"/>
      <c r="L471" s="38"/>
    </row>
    <row r="472" ht="22.5" customHeight="1">
      <c r="A472" s="36" t="s">
        <v>1553</v>
      </c>
      <c r="B472" s="36" t="s">
        <v>1554</v>
      </c>
      <c r="C472" s="36" t="s">
        <v>1495</v>
      </c>
      <c r="D472" s="36" t="s">
        <v>1496</v>
      </c>
      <c r="E472" s="36" t="s">
        <v>287</v>
      </c>
      <c r="F472" s="36" t="s">
        <v>286</v>
      </c>
      <c r="G472" s="36" t="s">
        <v>411</v>
      </c>
      <c r="H472" s="37">
        <v>58.33</v>
      </c>
      <c r="I472" s="36" t="s">
        <v>1301</v>
      </c>
      <c r="J472" s="36" t="s">
        <v>1552</v>
      </c>
      <c r="K472" s="38"/>
      <c r="L472" s="38"/>
    </row>
    <row r="473" ht="22.5" customHeight="1">
      <c r="A473" s="36" t="s">
        <v>1555</v>
      </c>
      <c r="B473" s="36" t="s">
        <v>1556</v>
      </c>
      <c r="C473" s="36" t="s">
        <v>286</v>
      </c>
      <c r="D473" s="36" t="s">
        <v>286</v>
      </c>
      <c r="E473" s="36" t="s">
        <v>287</v>
      </c>
      <c r="F473" s="36" t="s">
        <v>286</v>
      </c>
      <c r="G473" s="36" t="s">
        <v>411</v>
      </c>
      <c r="H473" s="37">
        <v>30.0</v>
      </c>
      <c r="I473" s="36" t="s">
        <v>1301</v>
      </c>
      <c r="J473" s="36" t="s">
        <v>1544</v>
      </c>
      <c r="K473" s="38"/>
      <c r="L473" s="38"/>
    </row>
    <row r="474" ht="22.5" customHeight="1">
      <c r="A474" s="36" t="s">
        <v>1557</v>
      </c>
      <c r="B474" s="36" t="s">
        <v>1558</v>
      </c>
      <c r="C474" s="36" t="s">
        <v>1495</v>
      </c>
      <c r="D474" s="36" t="s">
        <v>1496</v>
      </c>
      <c r="E474" s="36" t="s">
        <v>287</v>
      </c>
      <c r="F474" s="36" t="s">
        <v>286</v>
      </c>
      <c r="G474" s="36" t="s">
        <v>411</v>
      </c>
      <c r="H474" s="37">
        <v>6906.88</v>
      </c>
      <c r="I474" s="36" t="s">
        <v>1301</v>
      </c>
      <c r="J474" s="36" t="s">
        <v>1552</v>
      </c>
      <c r="K474" s="38"/>
      <c r="L474" s="38"/>
    </row>
    <row r="475" ht="22.5" customHeight="1">
      <c r="A475" s="36" t="s">
        <v>1559</v>
      </c>
      <c r="B475" s="36" t="s">
        <v>1560</v>
      </c>
      <c r="C475" s="36" t="s">
        <v>1495</v>
      </c>
      <c r="D475" s="36" t="s">
        <v>1496</v>
      </c>
      <c r="E475" s="36" t="s">
        <v>287</v>
      </c>
      <c r="F475" s="36" t="s">
        <v>286</v>
      </c>
      <c r="G475" s="36" t="s">
        <v>411</v>
      </c>
      <c r="H475" s="37">
        <v>6.26</v>
      </c>
      <c r="I475" s="36" t="s">
        <v>1301</v>
      </c>
      <c r="J475" s="36" t="s">
        <v>1561</v>
      </c>
      <c r="K475" s="38"/>
      <c r="L475" s="38"/>
    </row>
    <row r="476" ht="22.5" customHeight="1">
      <c r="A476" s="36" t="s">
        <v>1562</v>
      </c>
      <c r="B476" s="36" t="s">
        <v>1563</v>
      </c>
      <c r="C476" s="36" t="s">
        <v>1495</v>
      </c>
      <c r="D476" s="36" t="s">
        <v>1496</v>
      </c>
      <c r="E476" s="36" t="s">
        <v>287</v>
      </c>
      <c r="F476" s="36" t="s">
        <v>286</v>
      </c>
      <c r="G476" s="36" t="s">
        <v>411</v>
      </c>
      <c r="H476" s="37">
        <v>404.37</v>
      </c>
      <c r="I476" s="36" t="s">
        <v>1301</v>
      </c>
      <c r="J476" s="39" t="s">
        <v>1564</v>
      </c>
      <c r="K476" s="38"/>
      <c r="L476" s="38"/>
    </row>
    <row r="477" ht="22.5" customHeight="1">
      <c r="A477" s="36" t="s">
        <v>1565</v>
      </c>
      <c r="B477" s="36" t="s">
        <v>1566</v>
      </c>
      <c r="C477" s="36" t="s">
        <v>1495</v>
      </c>
      <c r="D477" s="36" t="s">
        <v>1496</v>
      </c>
      <c r="E477" s="36" t="s">
        <v>287</v>
      </c>
      <c r="F477" s="36" t="s">
        <v>286</v>
      </c>
      <c r="G477" s="36" t="s">
        <v>411</v>
      </c>
      <c r="H477" s="37">
        <v>3.33</v>
      </c>
      <c r="I477" s="36" t="s">
        <v>1301</v>
      </c>
      <c r="J477" s="36" t="s">
        <v>1567</v>
      </c>
      <c r="K477" s="38"/>
      <c r="L477" s="38"/>
    </row>
    <row r="478" ht="22.5" customHeight="1">
      <c r="A478" s="36" t="s">
        <v>1568</v>
      </c>
      <c r="B478" s="36" t="s">
        <v>1569</v>
      </c>
      <c r="C478" s="36" t="s">
        <v>1495</v>
      </c>
      <c r="D478" s="36" t="s">
        <v>1496</v>
      </c>
      <c r="E478" s="36" t="s">
        <v>287</v>
      </c>
      <c r="F478" s="36" t="s">
        <v>286</v>
      </c>
      <c r="G478" s="36" t="s">
        <v>411</v>
      </c>
      <c r="H478" s="37">
        <v>3.67</v>
      </c>
      <c r="I478" s="36" t="s">
        <v>1301</v>
      </c>
      <c r="J478" s="36" t="s">
        <v>1567</v>
      </c>
      <c r="K478" s="38"/>
      <c r="L478" s="38"/>
    </row>
    <row r="479" ht="22.5" customHeight="1">
      <c r="A479" s="36" t="s">
        <v>1570</v>
      </c>
      <c r="B479" s="36" t="s">
        <v>1571</v>
      </c>
      <c r="C479" s="36" t="s">
        <v>1495</v>
      </c>
      <c r="D479" s="36" t="s">
        <v>1496</v>
      </c>
      <c r="E479" s="36" t="s">
        <v>287</v>
      </c>
      <c r="F479" s="36" t="s">
        <v>286</v>
      </c>
      <c r="G479" s="36" t="s">
        <v>411</v>
      </c>
      <c r="H479" s="37">
        <v>0.0</v>
      </c>
      <c r="I479" s="36" t="s">
        <v>1301</v>
      </c>
      <c r="J479" s="36" t="s">
        <v>1567</v>
      </c>
      <c r="K479" s="38"/>
      <c r="L479" s="38"/>
    </row>
    <row r="480" ht="22.5" customHeight="1">
      <c r="A480" s="36" t="s">
        <v>1572</v>
      </c>
      <c r="B480" s="36" t="s">
        <v>1573</v>
      </c>
      <c r="C480" s="36" t="s">
        <v>1495</v>
      </c>
      <c r="D480" s="36" t="s">
        <v>1496</v>
      </c>
      <c r="E480" s="36" t="s">
        <v>287</v>
      </c>
      <c r="F480" s="36" t="s">
        <v>286</v>
      </c>
      <c r="G480" s="36" t="s">
        <v>411</v>
      </c>
      <c r="H480" s="37">
        <v>0.0</v>
      </c>
      <c r="I480" s="36" t="s">
        <v>1301</v>
      </c>
      <c r="J480" s="36" t="s">
        <v>1574</v>
      </c>
      <c r="K480" s="38"/>
      <c r="L480" s="38"/>
    </row>
    <row r="481" ht="22.5" customHeight="1">
      <c r="A481" s="36" t="s">
        <v>1575</v>
      </c>
      <c r="B481" s="36" t="s">
        <v>1576</v>
      </c>
      <c r="C481" s="36" t="s">
        <v>1495</v>
      </c>
      <c r="D481" s="36" t="s">
        <v>1496</v>
      </c>
      <c r="E481" s="36" t="s">
        <v>287</v>
      </c>
      <c r="F481" s="36" t="s">
        <v>286</v>
      </c>
      <c r="G481" s="36" t="s">
        <v>411</v>
      </c>
      <c r="H481" s="37">
        <v>1.78</v>
      </c>
      <c r="I481" s="36" t="s">
        <v>1301</v>
      </c>
      <c r="J481" s="36" t="s">
        <v>1577</v>
      </c>
      <c r="K481" s="38"/>
      <c r="L481" s="38"/>
    </row>
    <row r="482" ht="22.5" customHeight="1">
      <c r="A482" s="36" t="s">
        <v>1578</v>
      </c>
      <c r="B482" s="36" t="s">
        <v>1579</v>
      </c>
      <c r="C482" s="36" t="s">
        <v>1495</v>
      </c>
      <c r="D482" s="36" t="s">
        <v>1496</v>
      </c>
      <c r="E482" s="36" t="s">
        <v>287</v>
      </c>
      <c r="F482" s="36" t="s">
        <v>286</v>
      </c>
      <c r="G482" s="36" t="s">
        <v>411</v>
      </c>
      <c r="H482" s="37">
        <v>1.6</v>
      </c>
      <c r="I482" s="36" t="s">
        <v>1301</v>
      </c>
      <c r="J482" s="36" t="s">
        <v>1580</v>
      </c>
      <c r="K482" s="38"/>
      <c r="L482" s="38"/>
    </row>
    <row r="483" ht="22.5" customHeight="1">
      <c r="A483" s="36" t="s">
        <v>1581</v>
      </c>
      <c r="B483" s="36" t="s">
        <v>1582</v>
      </c>
      <c r="C483" s="36" t="s">
        <v>1495</v>
      </c>
      <c r="D483" s="36" t="s">
        <v>1496</v>
      </c>
      <c r="E483" s="36" t="s">
        <v>287</v>
      </c>
      <c r="F483" s="36" t="s">
        <v>286</v>
      </c>
      <c r="G483" s="36" t="s">
        <v>411</v>
      </c>
      <c r="H483" s="37">
        <v>1.85</v>
      </c>
      <c r="I483" s="36" t="s">
        <v>1301</v>
      </c>
      <c r="J483" s="39" t="s">
        <v>1577</v>
      </c>
      <c r="K483" s="38"/>
      <c r="L483" s="38"/>
    </row>
    <row r="484" ht="22.5" customHeight="1">
      <c r="A484" s="36" t="s">
        <v>1583</v>
      </c>
      <c r="B484" s="36" t="s">
        <v>1584</v>
      </c>
      <c r="C484" s="36" t="s">
        <v>1495</v>
      </c>
      <c r="D484" s="36" t="s">
        <v>1496</v>
      </c>
      <c r="E484" s="36" t="s">
        <v>287</v>
      </c>
      <c r="F484" s="36" t="s">
        <v>286</v>
      </c>
      <c r="G484" s="36" t="s">
        <v>411</v>
      </c>
      <c r="H484" s="37">
        <v>0.0</v>
      </c>
      <c r="I484" s="36" t="s">
        <v>1301</v>
      </c>
      <c r="J484" s="39" t="s">
        <v>1585</v>
      </c>
      <c r="K484" s="38"/>
      <c r="L484" s="38"/>
    </row>
    <row r="485" ht="22.5" customHeight="1">
      <c r="A485" s="36" t="s">
        <v>1586</v>
      </c>
      <c r="B485" s="36" t="s">
        <v>1587</v>
      </c>
      <c r="C485" s="36" t="s">
        <v>1495</v>
      </c>
      <c r="D485" s="36" t="s">
        <v>1496</v>
      </c>
      <c r="E485" s="36" t="s">
        <v>287</v>
      </c>
      <c r="F485" s="36" t="s">
        <v>286</v>
      </c>
      <c r="G485" s="36" t="s">
        <v>411</v>
      </c>
      <c r="H485" s="37">
        <v>60.98</v>
      </c>
      <c r="I485" s="36" t="s">
        <v>1301</v>
      </c>
      <c r="J485" s="39" t="s">
        <v>1585</v>
      </c>
      <c r="K485" s="38"/>
      <c r="L485" s="38"/>
    </row>
    <row r="486" ht="22.5" customHeight="1">
      <c r="A486" s="36" t="s">
        <v>1588</v>
      </c>
      <c r="B486" s="36" t="s">
        <v>1589</v>
      </c>
      <c r="C486" s="36" t="s">
        <v>1495</v>
      </c>
      <c r="D486" s="36" t="s">
        <v>1496</v>
      </c>
      <c r="E486" s="36" t="s">
        <v>287</v>
      </c>
      <c r="F486" s="36" t="s">
        <v>286</v>
      </c>
      <c r="G486" s="36" t="s">
        <v>411</v>
      </c>
      <c r="H486" s="37">
        <v>93.22</v>
      </c>
      <c r="I486" s="36" t="s">
        <v>1301</v>
      </c>
      <c r="J486" s="39" t="s">
        <v>1585</v>
      </c>
      <c r="K486" s="38"/>
      <c r="L486" s="38"/>
    </row>
    <row r="487" ht="22.5" customHeight="1">
      <c r="A487" s="36" t="s">
        <v>1590</v>
      </c>
      <c r="B487" s="36" t="s">
        <v>1591</v>
      </c>
      <c r="C487" s="36" t="s">
        <v>1495</v>
      </c>
      <c r="D487" s="36" t="s">
        <v>1496</v>
      </c>
      <c r="E487" s="36" t="s">
        <v>287</v>
      </c>
      <c r="F487" s="36" t="s">
        <v>286</v>
      </c>
      <c r="G487" s="36" t="s">
        <v>411</v>
      </c>
      <c r="H487" s="37">
        <v>25.71</v>
      </c>
      <c r="I487" s="36" t="s">
        <v>1301</v>
      </c>
      <c r="J487" s="39" t="s">
        <v>1585</v>
      </c>
      <c r="K487" s="38"/>
      <c r="L487" s="38"/>
    </row>
    <row r="488" ht="22.5" customHeight="1">
      <c r="A488" s="36" t="s">
        <v>1592</v>
      </c>
      <c r="B488" s="36" t="s">
        <v>1593</v>
      </c>
      <c r="C488" s="36" t="s">
        <v>1495</v>
      </c>
      <c r="D488" s="36" t="s">
        <v>1496</v>
      </c>
      <c r="E488" s="36" t="s">
        <v>287</v>
      </c>
      <c r="F488" s="36" t="s">
        <v>286</v>
      </c>
      <c r="G488" s="36" t="s">
        <v>411</v>
      </c>
      <c r="H488" s="37">
        <v>21.67</v>
      </c>
      <c r="I488" s="36" t="s">
        <v>1301</v>
      </c>
      <c r="J488" s="39" t="s">
        <v>1594</v>
      </c>
      <c r="K488" s="38"/>
      <c r="L488" s="38"/>
    </row>
    <row r="489" ht="22.5" customHeight="1">
      <c r="A489" s="36" t="s">
        <v>1595</v>
      </c>
      <c r="B489" s="36" t="s">
        <v>1596</v>
      </c>
      <c r="C489" s="36" t="s">
        <v>1495</v>
      </c>
      <c r="D489" s="36" t="s">
        <v>1496</v>
      </c>
      <c r="E489" s="36" t="s">
        <v>287</v>
      </c>
      <c r="F489" s="36" t="s">
        <v>286</v>
      </c>
      <c r="G489" s="36" t="s">
        <v>411</v>
      </c>
      <c r="H489" s="37">
        <v>0.0</v>
      </c>
      <c r="I489" s="36" t="s">
        <v>1301</v>
      </c>
      <c r="J489" s="39" t="s">
        <v>1594</v>
      </c>
      <c r="K489" s="38"/>
      <c r="L489" s="38"/>
    </row>
    <row r="490" ht="22.5" customHeight="1">
      <c r="A490" s="36" t="s">
        <v>1597</v>
      </c>
      <c r="B490" s="36" t="s">
        <v>1598</v>
      </c>
      <c r="C490" s="36" t="s">
        <v>1495</v>
      </c>
      <c r="D490" s="36" t="s">
        <v>1496</v>
      </c>
      <c r="E490" s="36" t="s">
        <v>287</v>
      </c>
      <c r="F490" s="36" t="s">
        <v>286</v>
      </c>
      <c r="G490" s="36" t="s">
        <v>411</v>
      </c>
      <c r="H490" s="37">
        <v>25.0</v>
      </c>
      <c r="I490" s="36" t="s">
        <v>1301</v>
      </c>
      <c r="J490" s="39" t="s">
        <v>1594</v>
      </c>
      <c r="K490" s="38"/>
      <c r="L490" s="38"/>
    </row>
    <row r="491" ht="22.5" customHeight="1">
      <c r="A491" s="36" t="s">
        <v>1599</v>
      </c>
      <c r="B491" s="36" t="s">
        <v>1600</v>
      </c>
      <c r="C491" s="36" t="s">
        <v>1495</v>
      </c>
      <c r="D491" s="36" t="s">
        <v>1496</v>
      </c>
      <c r="E491" s="36" t="s">
        <v>287</v>
      </c>
      <c r="F491" s="36" t="s">
        <v>286</v>
      </c>
      <c r="G491" s="36" t="s">
        <v>411</v>
      </c>
      <c r="H491" s="37">
        <v>150.0</v>
      </c>
      <c r="I491" s="36" t="s">
        <v>1301</v>
      </c>
      <c r="J491" s="39" t="s">
        <v>1601</v>
      </c>
      <c r="K491" s="38"/>
      <c r="L491" s="38"/>
    </row>
    <row r="492" ht="22.5" customHeight="1">
      <c r="A492" s="36" t="s">
        <v>1602</v>
      </c>
      <c r="B492" s="36" t="s">
        <v>1603</v>
      </c>
      <c r="C492" s="36" t="s">
        <v>1495</v>
      </c>
      <c r="D492" s="36" t="s">
        <v>1496</v>
      </c>
      <c r="E492" s="36" t="s">
        <v>287</v>
      </c>
      <c r="F492" s="36" t="s">
        <v>286</v>
      </c>
      <c r="G492" s="36" t="s">
        <v>411</v>
      </c>
      <c r="H492" s="37">
        <v>76.58</v>
      </c>
      <c r="I492" s="36" t="s">
        <v>1301</v>
      </c>
      <c r="J492" s="39" t="s">
        <v>1604</v>
      </c>
      <c r="K492" s="38"/>
      <c r="L492" s="38"/>
    </row>
    <row r="493" ht="22.5" customHeight="1">
      <c r="A493" s="36" t="s">
        <v>1605</v>
      </c>
      <c r="B493" s="36" t="s">
        <v>1606</v>
      </c>
      <c r="C493" s="36" t="s">
        <v>1495</v>
      </c>
      <c r="D493" s="36" t="s">
        <v>1496</v>
      </c>
      <c r="E493" s="36" t="s">
        <v>287</v>
      </c>
      <c r="F493" s="36" t="s">
        <v>286</v>
      </c>
      <c r="G493" s="36" t="s">
        <v>411</v>
      </c>
      <c r="H493" s="37">
        <v>0.0</v>
      </c>
      <c r="I493" s="36" t="s">
        <v>1301</v>
      </c>
      <c r="J493" s="39" t="s">
        <v>1607</v>
      </c>
      <c r="K493" s="38"/>
      <c r="L493" s="38"/>
    </row>
    <row r="494" ht="22.5" customHeight="1">
      <c r="A494" s="36" t="s">
        <v>1608</v>
      </c>
      <c r="B494" s="36" t="s">
        <v>1609</v>
      </c>
      <c r="C494" s="36" t="s">
        <v>1495</v>
      </c>
      <c r="D494" s="36" t="s">
        <v>1496</v>
      </c>
      <c r="E494" s="36" t="s">
        <v>287</v>
      </c>
      <c r="F494" s="36" t="s">
        <v>286</v>
      </c>
      <c r="G494" s="36" t="s">
        <v>411</v>
      </c>
      <c r="H494" s="37">
        <v>83.58</v>
      </c>
      <c r="I494" s="36" t="s">
        <v>1301</v>
      </c>
      <c r="J494" s="39" t="s">
        <v>1607</v>
      </c>
      <c r="K494" s="38"/>
      <c r="L494" s="38"/>
    </row>
    <row r="495" ht="22.5" customHeight="1">
      <c r="A495" s="36" t="s">
        <v>1610</v>
      </c>
      <c r="B495" s="36" t="s">
        <v>1611</v>
      </c>
      <c r="C495" s="36" t="s">
        <v>1495</v>
      </c>
      <c r="D495" s="36" t="s">
        <v>1496</v>
      </c>
      <c r="E495" s="36" t="s">
        <v>287</v>
      </c>
      <c r="F495" s="36" t="s">
        <v>286</v>
      </c>
      <c r="G495" s="36" t="s">
        <v>411</v>
      </c>
      <c r="H495" s="37">
        <v>1.61</v>
      </c>
      <c r="I495" s="36" t="s">
        <v>1301</v>
      </c>
      <c r="J495" s="39" t="s">
        <v>1580</v>
      </c>
      <c r="K495" s="38"/>
      <c r="L495" s="38"/>
    </row>
    <row r="496" ht="22.5" customHeight="1">
      <c r="A496" s="36" t="s">
        <v>1612</v>
      </c>
      <c r="B496" s="36" t="s">
        <v>1613</v>
      </c>
      <c r="C496" s="36" t="s">
        <v>1495</v>
      </c>
      <c r="D496" s="36" t="s">
        <v>1496</v>
      </c>
      <c r="E496" s="36" t="s">
        <v>975</v>
      </c>
      <c r="F496" s="36" t="s">
        <v>286</v>
      </c>
      <c r="G496" s="36" t="s">
        <v>411</v>
      </c>
      <c r="H496" s="37">
        <v>42.71</v>
      </c>
      <c r="I496" s="36" t="s">
        <v>1301</v>
      </c>
      <c r="J496" s="39" t="s">
        <v>1614</v>
      </c>
      <c r="K496" s="38"/>
      <c r="L496" s="38"/>
    </row>
    <row r="497" ht="22.5" customHeight="1">
      <c r="A497" s="36" t="s">
        <v>1615</v>
      </c>
      <c r="B497" s="36" t="s">
        <v>1616</v>
      </c>
      <c r="C497" s="36" t="s">
        <v>1495</v>
      </c>
      <c r="D497" s="36" t="s">
        <v>1496</v>
      </c>
      <c r="E497" s="36" t="s">
        <v>975</v>
      </c>
      <c r="F497" s="36" t="s">
        <v>286</v>
      </c>
      <c r="G497" s="36" t="s">
        <v>411</v>
      </c>
      <c r="H497" s="37">
        <v>5.83</v>
      </c>
      <c r="I497" s="36" t="s">
        <v>1301</v>
      </c>
      <c r="J497" s="39" t="s">
        <v>1617</v>
      </c>
      <c r="K497" s="38"/>
      <c r="L497" s="38"/>
    </row>
    <row r="498" ht="22.5" customHeight="1">
      <c r="A498" s="36" t="s">
        <v>1618</v>
      </c>
      <c r="B498" s="36" t="s">
        <v>1619</v>
      </c>
      <c r="C498" s="36" t="s">
        <v>1495</v>
      </c>
      <c r="D498" s="36" t="s">
        <v>1496</v>
      </c>
      <c r="E498" s="36" t="s">
        <v>975</v>
      </c>
      <c r="F498" s="36" t="s">
        <v>286</v>
      </c>
      <c r="G498" s="36" t="s">
        <v>411</v>
      </c>
      <c r="H498" s="37">
        <v>13.5</v>
      </c>
      <c r="I498" s="36" t="s">
        <v>1301</v>
      </c>
      <c r="J498" s="39" t="s">
        <v>1620</v>
      </c>
      <c r="K498" s="38"/>
      <c r="L498" s="38"/>
    </row>
    <row r="499" ht="22.5" customHeight="1">
      <c r="A499" s="36" t="s">
        <v>1621</v>
      </c>
      <c r="B499" s="36" t="s">
        <v>1622</v>
      </c>
      <c r="C499" s="36" t="s">
        <v>1495</v>
      </c>
      <c r="D499" s="36" t="s">
        <v>1496</v>
      </c>
      <c r="E499" s="36" t="s">
        <v>975</v>
      </c>
      <c r="F499" s="36" t="s">
        <v>286</v>
      </c>
      <c r="G499" s="36" t="s">
        <v>411</v>
      </c>
      <c r="H499" s="37">
        <v>0.0</v>
      </c>
      <c r="I499" s="36" t="s">
        <v>1301</v>
      </c>
      <c r="J499" s="36" t="s">
        <v>1544</v>
      </c>
      <c r="K499" s="38"/>
      <c r="L499" s="38"/>
    </row>
    <row r="500" ht="22.5" customHeight="1">
      <c r="A500" s="36" t="s">
        <v>1623</v>
      </c>
      <c r="B500" s="36" t="s">
        <v>1624</v>
      </c>
      <c r="C500" s="36" t="s">
        <v>1495</v>
      </c>
      <c r="D500" s="36" t="s">
        <v>1496</v>
      </c>
      <c r="E500" s="36" t="s">
        <v>975</v>
      </c>
      <c r="F500" s="36" t="s">
        <v>286</v>
      </c>
      <c r="G500" s="36" t="s">
        <v>411</v>
      </c>
      <c r="H500" s="37">
        <v>90.42</v>
      </c>
      <c r="I500" s="36" t="s">
        <v>1301</v>
      </c>
      <c r="J500" s="36" t="s">
        <v>1544</v>
      </c>
      <c r="K500" s="38"/>
      <c r="L500" s="38"/>
    </row>
    <row r="501" ht="22.5" customHeight="1">
      <c r="A501" s="36" t="s">
        <v>1625</v>
      </c>
      <c r="B501" s="36" t="s">
        <v>1626</v>
      </c>
      <c r="C501" s="36" t="s">
        <v>1495</v>
      </c>
      <c r="D501" s="36" t="s">
        <v>1496</v>
      </c>
      <c r="E501" s="36" t="s">
        <v>975</v>
      </c>
      <c r="F501" s="36" t="s">
        <v>286</v>
      </c>
      <c r="G501" s="36" t="s">
        <v>411</v>
      </c>
      <c r="H501" s="37">
        <v>122.08</v>
      </c>
      <c r="I501" s="36" t="s">
        <v>1301</v>
      </c>
      <c r="J501" s="39" t="s">
        <v>1627</v>
      </c>
      <c r="K501" s="38"/>
      <c r="L501" s="38"/>
    </row>
    <row r="502" ht="22.5" customHeight="1">
      <c r="A502" s="36" t="s">
        <v>1628</v>
      </c>
      <c r="B502" s="36" t="s">
        <v>1629</v>
      </c>
      <c r="C502" s="36" t="s">
        <v>1495</v>
      </c>
      <c r="D502" s="36" t="s">
        <v>1496</v>
      </c>
      <c r="E502" s="36" t="s">
        <v>975</v>
      </c>
      <c r="F502" s="36" t="s">
        <v>286</v>
      </c>
      <c r="G502" s="36" t="s">
        <v>411</v>
      </c>
      <c r="H502" s="37">
        <v>136.47</v>
      </c>
      <c r="I502" s="36" t="s">
        <v>1301</v>
      </c>
      <c r="J502" s="39" t="s">
        <v>1627</v>
      </c>
      <c r="K502" s="38"/>
      <c r="L502" s="38"/>
    </row>
    <row r="503" ht="22.5" customHeight="1">
      <c r="A503" s="36" t="s">
        <v>1630</v>
      </c>
      <c r="B503" s="36" t="s">
        <v>1631</v>
      </c>
      <c r="C503" s="36" t="s">
        <v>1495</v>
      </c>
      <c r="D503" s="36" t="s">
        <v>1496</v>
      </c>
      <c r="E503" s="36" t="s">
        <v>975</v>
      </c>
      <c r="F503" s="36" t="s">
        <v>286</v>
      </c>
      <c r="G503" s="36" t="s">
        <v>411</v>
      </c>
      <c r="H503" s="37">
        <v>157.24</v>
      </c>
      <c r="I503" s="36" t="s">
        <v>1301</v>
      </c>
      <c r="J503" s="39" t="s">
        <v>1627</v>
      </c>
      <c r="K503" s="38"/>
      <c r="L503" s="38"/>
    </row>
    <row r="504" ht="22.5" customHeight="1">
      <c r="A504" s="36" t="s">
        <v>1632</v>
      </c>
      <c r="B504" s="36" t="s">
        <v>1633</v>
      </c>
      <c r="C504" s="36" t="s">
        <v>1495</v>
      </c>
      <c r="D504" s="36" t="s">
        <v>1496</v>
      </c>
      <c r="E504" s="36" t="s">
        <v>975</v>
      </c>
      <c r="F504" s="36" t="s">
        <v>286</v>
      </c>
      <c r="G504" s="36" t="s">
        <v>411</v>
      </c>
      <c r="H504" s="37">
        <v>145.52</v>
      </c>
      <c r="I504" s="36" t="s">
        <v>1301</v>
      </c>
      <c r="J504" s="39" t="s">
        <v>1627</v>
      </c>
      <c r="K504" s="38"/>
      <c r="L504" s="38"/>
    </row>
    <row r="505" ht="22.5" customHeight="1">
      <c r="A505" s="36" t="s">
        <v>1634</v>
      </c>
      <c r="B505" s="36" t="s">
        <v>1635</v>
      </c>
      <c r="C505" s="36" t="s">
        <v>1495</v>
      </c>
      <c r="D505" s="36" t="s">
        <v>1496</v>
      </c>
      <c r="E505" s="36" t="s">
        <v>975</v>
      </c>
      <c r="F505" s="36" t="s">
        <v>286</v>
      </c>
      <c r="G505" s="36" t="s">
        <v>411</v>
      </c>
      <c r="H505" s="37">
        <v>250.0</v>
      </c>
      <c r="I505" s="36" t="s">
        <v>1301</v>
      </c>
      <c r="J505" s="39" t="s">
        <v>1620</v>
      </c>
      <c r="K505" s="38"/>
      <c r="L505" s="38"/>
    </row>
    <row r="506" ht="22.5" customHeight="1">
      <c r="A506" s="36" t="s">
        <v>1636</v>
      </c>
      <c r="B506" s="36" t="s">
        <v>1637</v>
      </c>
      <c r="C506" s="36" t="s">
        <v>1495</v>
      </c>
      <c r="D506" s="36" t="s">
        <v>1496</v>
      </c>
      <c r="E506" s="36" t="s">
        <v>1285</v>
      </c>
      <c r="F506" s="36" t="s">
        <v>286</v>
      </c>
      <c r="G506" s="36" t="s">
        <v>411</v>
      </c>
      <c r="H506" s="37">
        <v>61.66</v>
      </c>
      <c r="I506" s="36" t="s">
        <v>1301</v>
      </c>
      <c r="J506" s="39" t="s">
        <v>1638</v>
      </c>
      <c r="K506" s="38"/>
      <c r="L506" s="38"/>
    </row>
    <row r="507" ht="22.5" customHeight="1">
      <c r="A507" s="36" t="s">
        <v>1639</v>
      </c>
      <c r="B507" s="36" t="s">
        <v>1640</v>
      </c>
      <c r="C507" s="36" t="s">
        <v>1495</v>
      </c>
      <c r="D507" s="36" t="s">
        <v>1496</v>
      </c>
      <c r="E507" s="36" t="s">
        <v>1285</v>
      </c>
      <c r="F507" s="36" t="s">
        <v>286</v>
      </c>
      <c r="G507" s="36" t="s">
        <v>411</v>
      </c>
      <c r="H507" s="37">
        <v>33.11</v>
      </c>
      <c r="I507" s="36" t="s">
        <v>1301</v>
      </c>
      <c r="J507" s="39" t="s">
        <v>1641</v>
      </c>
      <c r="K507" s="38"/>
      <c r="L507" s="38"/>
    </row>
    <row r="508" ht="22.5" customHeight="1">
      <c r="A508" s="36" t="s">
        <v>1642</v>
      </c>
      <c r="B508" s="36" t="s">
        <v>1643</v>
      </c>
      <c r="C508" s="36" t="s">
        <v>1495</v>
      </c>
      <c r="D508" s="36" t="s">
        <v>1496</v>
      </c>
      <c r="E508" s="36" t="s">
        <v>1285</v>
      </c>
      <c r="F508" s="36" t="s">
        <v>286</v>
      </c>
      <c r="G508" s="36" t="s">
        <v>411</v>
      </c>
      <c r="H508" s="37">
        <v>42.07</v>
      </c>
      <c r="I508" s="36" t="s">
        <v>1301</v>
      </c>
      <c r="J508" s="39" t="s">
        <v>1638</v>
      </c>
      <c r="K508" s="38"/>
      <c r="L508" s="38"/>
    </row>
    <row r="509" ht="22.5" customHeight="1">
      <c r="A509" s="36" t="s">
        <v>1644</v>
      </c>
      <c r="B509" s="36" t="s">
        <v>1645</v>
      </c>
      <c r="C509" s="36" t="s">
        <v>1495</v>
      </c>
      <c r="D509" s="36" t="s">
        <v>1496</v>
      </c>
      <c r="E509" s="36" t="s">
        <v>1285</v>
      </c>
      <c r="F509" s="36" t="s">
        <v>286</v>
      </c>
      <c r="G509" s="36" t="s">
        <v>411</v>
      </c>
      <c r="H509" s="37">
        <v>26.65</v>
      </c>
      <c r="I509" s="36" t="s">
        <v>1301</v>
      </c>
      <c r="J509" s="39" t="s">
        <v>1638</v>
      </c>
      <c r="K509" s="38"/>
      <c r="L509" s="38"/>
    </row>
    <row r="510" ht="22.5" customHeight="1">
      <c r="A510" s="36" t="s">
        <v>1646</v>
      </c>
      <c r="B510" s="36" t="s">
        <v>1647</v>
      </c>
      <c r="C510" s="36" t="s">
        <v>1495</v>
      </c>
      <c r="D510" s="36" t="s">
        <v>1496</v>
      </c>
      <c r="E510" s="36" t="s">
        <v>1285</v>
      </c>
      <c r="F510" s="36" t="s">
        <v>286</v>
      </c>
      <c r="G510" s="36" t="s">
        <v>411</v>
      </c>
      <c r="H510" s="37">
        <v>131.54</v>
      </c>
      <c r="I510" s="36" t="s">
        <v>1301</v>
      </c>
      <c r="J510" s="39" t="s">
        <v>1638</v>
      </c>
      <c r="K510" s="38"/>
      <c r="L510" s="38"/>
    </row>
    <row r="511" ht="22.5" customHeight="1">
      <c r="A511" s="36" t="s">
        <v>1648</v>
      </c>
      <c r="B511" s="36" t="s">
        <v>1649</v>
      </c>
      <c r="C511" s="36" t="s">
        <v>1495</v>
      </c>
      <c r="D511" s="36" t="s">
        <v>1496</v>
      </c>
      <c r="E511" s="36" t="s">
        <v>1285</v>
      </c>
      <c r="F511" s="36" t="s">
        <v>286</v>
      </c>
      <c r="G511" s="36" t="s">
        <v>411</v>
      </c>
      <c r="H511" s="37">
        <v>49.08</v>
      </c>
      <c r="I511" s="36" t="s">
        <v>1301</v>
      </c>
      <c r="J511" s="39" t="s">
        <v>1638</v>
      </c>
      <c r="K511" s="38"/>
      <c r="L511" s="38"/>
    </row>
    <row r="512" ht="22.5" customHeight="1">
      <c r="A512" s="36" t="s">
        <v>1650</v>
      </c>
      <c r="B512" s="36" t="s">
        <v>1651</v>
      </c>
      <c r="C512" s="36" t="s">
        <v>1495</v>
      </c>
      <c r="D512" s="36" t="s">
        <v>1496</v>
      </c>
      <c r="E512" s="36" t="s">
        <v>1285</v>
      </c>
      <c r="F512" s="36" t="s">
        <v>286</v>
      </c>
      <c r="G512" s="36" t="s">
        <v>411</v>
      </c>
      <c r="H512" s="37">
        <v>45.3</v>
      </c>
      <c r="I512" s="36" t="s">
        <v>1301</v>
      </c>
      <c r="J512" s="39" t="s">
        <v>1652</v>
      </c>
      <c r="K512" s="38"/>
      <c r="L512" s="38"/>
    </row>
    <row r="513" ht="22.5" customHeight="1">
      <c r="A513" s="36" t="s">
        <v>1653</v>
      </c>
      <c r="B513" s="36" t="s">
        <v>1654</v>
      </c>
      <c r="C513" s="36" t="s">
        <v>1495</v>
      </c>
      <c r="D513" s="36" t="s">
        <v>1496</v>
      </c>
      <c r="E513" s="36" t="s">
        <v>1285</v>
      </c>
      <c r="F513" s="36" t="s">
        <v>286</v>
      </c>
      <c r="G513" s="36" t="s">
        <v>411</v>
      </c>
      <c r="H513" s="37">
        <v>17.69</v>
      </c>
      <c r="I513" s="36" t="s">
        <v>1301</v>
      </c>
      <c r="J513" s="39" t="s">
        <v>1652</v>
      </c>
      <c r="K513" s="38"/>
      <c r="L513" s="38"/>
    </row>
    <row r="514" ht="22.5" customHeight="1">
      <c r="A514" s="36" t="s">
        <v>1655</v>
      </c>
      <c r="B514" s="36" t="s">
        <v>1656</v>
      </c>
      <c r="C514" s="36" t="s">
        <v>1495</v>
      </c>
      <c r="D514" s="36" t="s">
        <v>1496</v>
      </c>
      <c r="E514" s="36" t="s">
        <v>1285</v>
      </c>
      <c r="F514" s="36" t="s">
        <v>286</v>
      </c>
      <c r="G514" s="36" t="s">
        <v>411</v>
      </c>
      <c r="H514" s="37">
        <v>42.82</v>
      </c>
      <c r="I514" s="36" t="s">
        <v>1301</v>
      </c>
      <c r="J514" s="39" t="s">
        <v>1652</v>
      </c>
      <c r="K514" s="38"/>
      <c r="L514" s="38"/>
    </row>
    <row r="515" ht="22.5" customHeight="1">
      <c r="A515" s="36" t="s">
        <v>1657</v>
      </c>
      <c r="B515" s="36" t="s">
        <v>1658</v>
      </c>
      <c r="C515" s="36" t="s">
        <v>1495</v>
      </c>
      <c r="D515" s="36" t="s">
        <v>1496</v>
      </c>
      <c r="E515" s="36" t="s">
        <v>1285</v>
      </c>
      <c r="F515" s="36" t="s">
        <v>286</v>
      </c>
      <c r="G515" s="36" t="s">
        <v>1659</v>
      </c>
      <c r="H515" s="37">
        <v>31.8</v>
      </c>
      <c r="I515" s="36" t="s">
        <v>1301</v>
      </c>
      <c r="J515" s="39" t="s">
        <v>1652</v>
      </c>
      <c r="K515" s="38"/>
      <c r="L515" s="38"/>
    </row>
    <row r="516" ht="22.5" customHeight="1">
      <c r="A516" s="36" t="s">
        <v>1660</v>
      </c>
      <c r="B516" s="36" t="s">
        <v>1661</v>
      </c>
      <c r="C516" s="36" t="s">
        <v>1495</v>
      </c>
      <c r="D516" s="36" t="s">
        <v>1496</v>
      </c>
      <c r="E516" s="36" t="s">
        <v>1285</v>
      </c>
      <c r="F516" s="36" t="s">
        <v>286</v>
      </c>
      <c r="G516" s="36" t="s">
        <v>411</v>
      </c>
      <c r="H516" s="37">
        <v>131.98</v>
      </c>
      <c r="I516" s="36" t="s">
        <v>1301</v>
      </c>
      <c r="J516" s="39" t="s">
        <v>1652</v>
      </c>
      <c r="K516" s="38"/>
      <c r="L516" s="38"/>
    </row>
    <row r="517" ht="22.5" customHeight="1">
      <c r="A517" s="36" t="s">
        <v>1662</v>
      </c>
      <c r="B517" s="36" t="s">
        <v>1663</v>
      </c>
      <c r="C517" s="36" t="s">
        <v>1495</v>
      </c>
      <c r="D517" s="36" t="s">
        <v>1496</v>
      </c>
      <c r="E517" s="36" t="s">
        <v>1285</v>
      </c>
      <c r="F517" s="36" t="s">
        <v>286</v>
      </c>
      <c r="G517" s="36" t="s">
        <v>411</v>
      </c>
      <c r="H517" s="37">
        <v>58.82</v>
      </c>
      <c r="I517" s="36" t="s">
        <v>1301</v>
      </c>
      <c r="J517" s="39" t="s">
        <v>1652</v>
      </c>
      <c r="K517" s="38"/>
      <c r="L517" s="38"/>
    </row>
    <row r="518" ht="22.5" customHeight="1">
      <c r="A518" s="36" t="s">
        <v>1664</v>
      </c>
      <c r="B518" s="36" t="s">
        <v>1665</v>
      </c>
      <c r="C518" s="36" t="s">
        <v>1495</v>
      </c>
      <c r="D518" s="36" t="s">
        <v>1496</v>
      </c>
      <c r="E518" s="36" t="s">
        <v>1285</v>
      </c>
      <c r="F518" s="36" t="s">
        <v>286</v>
      </c>
      <c r="G518" s="36" t="s">
        <v>411</v>
      </c>
      <c r="H518" s="37">
        <v>404.0</v>
      </c>
      <c r="I518" s="36" t="s">
        <v>1301</v>
      </c>
      <c r="J518" s="39" t="s">
        <v>1564</v>
      </c>
      <c r="K518" s="38"/>
      <c r="L518" s="38"/>
    </row>
    <row r="519" ht="22.5" customHeight="1">
      <c r="A519" s="36" t="s">
        <v>1666</v>
      </c>
      <c r="B519" s="36" t="s">
        <v>1667</v>
      </c>
      <c r="C519" s="36" t="s">
        <v>1495</v>
      </c>
      <c r="D519" s="36" t="s">
        <v>1496</v>
      </c>
      <c r="E519" s="36" t="s">
        <v>1285</v>
      </c>
      <c r="F519" s="36" t="s">
        <v>286</v>
      </c>
      <c r="G519" s="36" t="s">
        <v>411</v>
      </c>
      <c r="H519" s="37">
        <v>54.17</v>
      </c>
      <c r="I519" s="36" t="s">
        <v>1301</v>
      </c>
      <c r="J519" s="39" t="s">
        <v>1544</v>
      </c>
      <c r="K519" s="38"/>
      <c r="L519" s="38"/>
    </row>
    <row r="520" ht="22.5" customHeight="1">
      <c r="A520" s="36" t="s">
        <v>1668</v>
      </c>
      <c r="B520" s="36" t="s">
        <v>1669</v>
      </c>
      <c r="C520" s="36" t="s">
        <v>1495</v>
      </c>
      <c r="D520" s="36" t="s">
        <v>1496</v>
      </c>
      <c r="E520" s="36" t="s">
        <v>1285</v>
      </c>
      <c r="F520" s="36" t="s">
        <v>286</v>
      </c>
      <c r="G520" s="36" t="s">
        <v>411</v>
      </c>
      <c r="H520" s="37">
        <v>150.0</v>
      </c>
      <c r="I520" s="36" t="s">
        <v>1301</v>
      </c>
      <c r="J520" s="39" t="s">
        <v>1547</v>
      </c>
      <c r="K520" s="38"/>
      <c r="L520" s="38"/>
    </row>
    <row r="521" ht="22.5" customHeight="1">
      <c r="A521" s="36" t="s">
        <v>1670</v>
      </c>
      <c r="B521" s="36" t="s">
        <v>1671</v>
      </c>
      <c r="C521" s="36" t="s">
        <v>1495</v>
      </c>
      <c r="D521" s="36" t="s">
        <v>1496</v>
      </c>
      <c r="E521" s="36" t="s">
        <v>1285</v>
      </c>
      <c r="F521" s="36" t="s">
        <v>286</v>
      </c>
      <c r="G521" s="36" t="s">
        <v>411</v>
      </c>
      <c r="H521" s="37">
        <v>24.66</v>
      </c>
      <c r="I521" s="36" t="s">
        <v>1301</v>
      </c>
      <c r="J521" s="39" t="s">
        <v>1672</v>
      </c>
      <c r="K521" s="38"/>
      <c r="L521" s="38"/>
    </row>
    <row r="522" ht="22.5" customHeight="1">
      <c r="A522" s="36" t="s">
        <v>1673</v>
      </c>
      <c r="B522" s="36" t="s">
        <v>1674</v>
      </c>
      <c r="C522" s="36" t="s">
        <v>1495</v>
      </c>
      <c r="D522" s="36" t="s">
        <v>1496</v>
      </c>
      <c r="E522" s="36" t="s">
        <v>1285</v>
      </c>
      <c r="F522" s="36" t="s">
        <v>286</v>
      </c>
      <c r="G522" s="36" t="s">
        <v>411</v>
      </c>
      <c r="H522" s="37">
        <v>12.81</v>
      </c>
      <c r="I522" s="36" t="s">
        <v>1301</v>
      </c>
      <c r="J522" s="39" t="s">
        <v>1561</v>
      </c>
      <c r="K522" s="38"/>
      <c r="L522" s="38"/>
    </row>
    <row r="523" ht="22.5" customHeight="1">
      <c r="A523" s="36" t="s">
        <v>1675</v>
      </c>
      <c r="B523" s="36" t="s">
        <v>1676</v>
      </c>
      <c r="C523" s="36" t="s">
        <v>1495</v>
      </c>
      <c r="D523" s="36" t="s">
        <v>1496</v>
      </c>
      <c r="E523" s="36" t="s">
        <v>1285</v>
      </c>
      <c r="F523" s="36" t="s">
        <v>286</v>
      </c>
      <c r="G523" s="36" t="s">
        <v>411</v>
      </c>
      <c r="H523" s="37">
        <v>494.15</v>
      </c>
      <c r="I523" s="36" t="s">
        <v>1301</v>
      </c>
      <c r="J523" s="39" t="s">
        <v>1677</v>
      </c>
      <c r="K523" s="38"/>
      <c r="L523" s="38"/>
    </row>
    <row r="524" ht="22.5" customHeight="1">
      <c r="A524" s="36" t="s">
        <v>1678</v>
      </c>
      <c r="B524" s="36" t="s">
        <v>1679</v>
      </c>
      <c r="C524" s="36" t="s">
        <v>1495</v>
      </c>
      <c r="D524" s="36" t="s">
        <v>1496</v>
      </c>
      <c r="E524" s="36" t="s">
        <v>1285</v>
      </c>
      <c r="F524" s="36" t="s">
        <v>286</v>
      </c>
      <c r="G524" s="36" t="s">
        <v>411</v>
      </c>
      <c r="H524" s="37">
        <v>534.74</v>
      </c>
      <c r="I524" s="36" t="s">
        <v>1301</v>
      </c>
      <c r="J524" s="39" t="s">
        <v>1677</v>
      </c>
      <c r="K524" s="38"/>
      <c r="L524" s="38"/>
    </row>
    <row r="525" ht="22.5" customHeight="1">
      <c r="A525" s="36" t="s">
        <v>1680</v>
      </c>
      <c r="B525" s="36" t="s">
        <v>1681</v>
      </c>
      <c r="C525" s="36" t="s">
        <v>1495</v>
      </c>
      <c r="D525" s="36" t="s">
        <v>1496</v>
      </c>
      <c r="E525" s="36" t="s">
        <v>1285</v>
      </c>
      <c r="F525" s="36" t="s">
        <v>286</v>
      </c>
      <c r="G525" s="36" t="s">
        <v>411</v>
      </c>
      <c r="H525" s="37">
        <v>503.88</v>
      </c>
      <c r="I525" s="36" t="s">
        <v>1301</v>
      </c>
      <c r="J525" s="39" t="s">
        <v>1677</v>
      </c>
      <c r="K525" s="38"/>
      <c r="L525" s="38"/>
    </row>
    <row r="526" ht="22.5" customHeight="1">
      <c r="A526" s="36" t="s">
        <v>1682</v>
      </c>
      <c r="B526" s="36" t="s">
        <v>1683</v>
      </c>
      <c r="C526" s="36" t="s">
        <v>1495</v>
      </c>
      <c r="D526" s="36" t="s">
        <v>1496</v>
      </c>
      <c r="E526" s="36" t="s">
        <v>1285</v>
      </c>
      <c r="F526" s="36" t="s">
        <v>286</v>
      </c>
      <c r="G526" s="36" t="s">
        <v>411</v>
      </c>
      <c r="H526" s="37">
        <v>1.58</v>
      </c>
      <c r="I526" s="36" t="s">
        <v>1301</v>
      </c>
      <c r="J526" s="39" t="s">
        <v>1684</v>
      </c>
      <c r="K526" s="38"/>
      <c r="L526" s="38"/>
    </row>
    <row r="527" ht="22.5" customHeight="1">
      <c r="A527" s="36" t="s">
        <v>1685</v>
      </c>
      <c r="B527" s="36" t="s">
        <v>1686</v>
      </c>
      <c r="C527" s="36" t="s">
        <v>1495</v>
      </c>
      <c r="D527" s="36" t="s">
        <v>1496</v>
      </c>
      <c r="E527" s="36" t="s">
        <v>287</v>
      </c>
      <c r="F527" s="36" t="s">
        <v>286</v>
      </c>
      <c r="G527" s="36" t="s">
        <v>411</v>
      </c>
      <c r="H527" s="37">
        <v>22.63</v>
      </c>
      <c r="I527" s="36" t="s">
        <v>1301</v>
      </c>
      <c r="J527" s="39" t="s">
        <v>1687</v>
      </c>
      <c r="K527" s="38"/>
      <c r="L527" s="38"/>
    </row>
    <row r="528" ht="22.5" customHeight="1">
      <c r="A528" s="36" t="s">
        <v>1688</v>
      </c>
      <c r="B528" s="36" t="s">
        <v>1689</v>
      </c>
      <c r="C528" s="36" t="s">
        <v>1495</v>
      </c>
      <c r="D528" s="36" t="s">
        <v>1496</v>
      </c>
      <c r="E528" s="36" t="s">
        <v>287</v>
      </c>
      <c r="F528" s="36" t="s">
        <v>286</v>
      </c>
      <c r="G528" s="36" t="s">
        <v>411</v>
      </c>
      <c r="H528" s="37">
        <v>12.81</v>
      </c>
      <c r="I528" s="36" t="s">
        <v>1301</v>
      </c>
      <c r="J528" s="39" t="s">
        <v>1690</v>
      </c>
      <c r="K528" s="38"/>
      <c r="L528" s="38"/>
    </row>
    <row r="529" ht="22.5" customHeight="1">
      <c r="A529" s="36" t="s">
        <v>1691</v>
      </c>
      <c r="B529" s="36" t="s">
        <v>1692</v>
      </c>
      <c r="C529" s="36" t="s">
        <v>1495</v>
      </c>
      <c r="D529" s="36" t="s">
        <v>1496</v>
      </c>
      <c r="E529" s="36" t="s">
        <v>287</v>
      </c>
      <c r="F529" s="36" t="s">
        <v>286</v>
      </c>
      <c r="G529" s="36" t="s">
        <v>411</v>
      </c>
      <c r="H529" s="37">
        <v>4.93</v>
      </c>
      <c r="I529" s="36" t="s">
        <v>1301</v>
      </c>
      <c r="J529" s="39" t="s">
        <v>1544</v>
      </c>
      <c r="K529" s="38"/>
      <c r="L529" s="38"/>
    </row>
    <row r="530" ht="22.5" customHeight="1">
      <c r="A530" s="36" t="s">
        <v>1693</v>
      </c>
      <c r="B530" s="36" t="s">
        <v>1694</v>
      </c>
      <c r="C530" s="36" t="s">
        <v>1495</v>
      </c>
      <c r="D530" s="36" t="s">
        <v>1496</v>
      </c>
      <c r="E530" s="36" t="s">
        <v>287</v>
      </c>
      <c r="F530" s="36" t="s">
        <v>286</v>
      </c>
      <c r="G530" s="36" t="s">
        <v>411</v>
      </c>
      <c r="H530" s="37">
        <v>5.42</v>
      </c>
      <c r="I530" s="36" t="s">
        <v>1301</v>
      </c>
      <c r="J530" s="39" t="s">
        <v>1552</v>
      </c>
      <c r="K530" s="38"/>
      <c r="L530" s="38"/>
    </row>
    <row r="531" ht="22.5" customHeight="1">
      <c r="A531" s="36" t="s">
        <v>1695</v>
      </c>
      <c r="B531" s="36" t="s">
        <v>1696</v>
      </c>
      <c r="C531" s="36" t="s">
        <v>1495</v>
      </c>
      <c r="D531" s="36" t="s">
        <v>1496</v>
      </c>
      <c r="E531" s="36" t="s">
        <v>287</v>
      </c>
      <c r="F531" s="36" t="s">
        <v>286</v>
      </c>
      <c r="G531" s="36" t="s">
        <v>411</v>
      </c>
      <c r="H531" s="37">
        <v>7.92</v>
      </c>
      <c r="I531" s="36" t="s">
        <v>1301</v>
      </c>
      <c r="J531" s="39" t="s">
        <v>1552</v>
      </c>
      <c r="K531" s="38"/>
      <c r="L531" s="38"/>
    </row>
    <row r="532" ht="22.5" customHeight="1">
      <c r="A532" s="36" t="s">
        <v>1697</v>
      </c>
      <c r="B532" s="36" t="s">
        <v>1698</v>
      </c>
      <c r="C532" s="36" t="s">
        <v>1495</v>
      </c>
      <c r="D532" s="36" t="s">
        <v>1496</v>
      </c>
      <c r="E532" s="36" t="s">
        <v>287</v>
      </c>
      <c r="F532" s="36" t="s">
        <v>286</v>
      </c>
      <c r="G532" s="36" t="s">
        <v>411</v>
      </c>
      <c r="H532" s="37">
        <v>11.25</v>
      </c>
      <c r="I532" s="36" t="s">
        <v>1301</v>
      </c>
      <c r="J532" s="39" t="s">
        <v>1552</v>
      </c>
      <c r="K532" s="38"/>
      <c r="L532" s="38"/>
    </row>
    <row r="533" ht="22.5" customHeight="1">
      <c r="A533" s="36" t="s">
        <v>1699</v>
      </c>
      <c r="B533" s="36" t="s">
        <v>1700</v>
      </c>
      <c r="C533" s="36" t="s">
        <v>1495</v>
      </c>
      <c r="D533" s="36" t="s">
        <v>1496</v>
      </c>
      <c r="E533" s="36" t="s">
        <v>287</v>
      </c>
      <c r="F533" s="36" t="s">
        <v>286</v>
      </c>
      <c r="G533" s="36" t="s">
        <v>411</v>
      </c>
      <c r="H533" s="37">
        <v>8.83</v>
      </c>
      <c r="I533" s="36" t="s">
        <v>1301</v>
      </c>
      <c r="J533" s="39" t="s">
        <v>1552</v>
      </c>
      <c r="K533" s="38"/>
      <c r="L533" s="38"/>
    </row>
    <row r="534" ht="22.5" customHeight="1">
      <c r="A534" s="36" t="s">
        <v>1701</v>
      </c>
      <c r="B534" s="36" t="s">
        <v>1702</v>
      </c>
      <c r="C534" s="36" t="s">
        <v>1495</v>
      </c>
      <c r="D534" s="36" t="s">
        <v>1496</v>
      </c>
      <c r="E534" s="36" t="s">
        <v>287</v>
      </c>
      <c r="F534" s="36" t="s">
        <v>286</v>
      </c>
      <c r="G534" s="36" t="s">
        <v>411</v>
      </c>
      <c r="H534" s="37">
        <v>8.5</v>
      </c>
      <c r="I534" s="36" t="s">
        <v>1301</v>
      </c>
      <c r="J534" s="39" t="s">
        <v>1552</v>
      </c>
      <c r="K534" s="38"/>
      <c r="L534" s="38"/>
    </row>
    <row r="535" ht="22.5" customHeight="1">
      <c r="A535" s="36" t="s">
        <v>1703</v>
      </c>
      <c r="B535" s="36" t="s">
        <v>1704</v>
      </c>
      <c r="C535" s="36" t="s">
        <v>1495</v>
      </c>
      <c r="D535" s="36" t="s">
        <v>1496</v>
      </c>
      <c r="E535" s="36" t="s">
        <v>287</v>
      </c>
      <c r="F535" s="36" t="s">
        <v>286</v>
      </c>
      <c r="G535" s="36" t="s">
        <v>411</v>
      </c>
      <c r="H535" s="37">
        <v>294.3</v>
      </c>
      <c r="I535" s="36" t="s">
        <v>1301</v>
      </c>
      <c r="J535" s="39" t="s">
        <v>1585</v>
      </c>
      <c r="K535" s="38"/>
      <c r="L535" s="38"/>
    </row>
    <row r="536" ht="22.5" customHeight="1">
      <c r="A536" s="36" t="s">
        <v>1705</v>
      </c>
      <c r="B536" s="36" t="s">
        <v>1706</v>
      </c>
      <c r="C536" s="36" t="s">
        <v>1495</v>
      </c>
      <c r="D536" s="36" t="s">
        <v>1496</v>
      </c>
      <c r="E536" s="36" t="s">
        <v>287</v>
      </c>
      <c r="F536" s="36" t="s">
        <v>286</v>
      </c>
      <c r="G536" s="36" t="s">
        <v>411</v>
      </c>
      <c r="H536" s="37">
        <v>326.77</v>
      </c>
      <c r="I536" s="36" t="s">
        <v>1301</v>
      </c>
      <c r="J536" s="39" t="s">
        <v>1585</v>
      </c>
      <c r="K536" s="38"/>
      <c r="L536" s="38"/>
    </row>
    <row r="537" ht="22.5" customHeight="1">
      <c r="A537" s="36" t="s">
        <v>1707</v>
      </c>
      <c r="B537" s="36" t="s">
        <v>1708</v>
      </c>
      <c r="C537" s="36" t="s">
        <v>1495</v>
      </c>
      <c r="D537" s="36" t="s">
        <v>1496</v>
      </c>
      <c r="E537" s="36" t="s">
        <v>287</v>
      </c>
      <c r="F537" s="36" t="s">
        <v>286</v>
      </c>
      <c r="G537" s="36" t="s">
        <v>411</v>
      </c>
      <c r="H537" s="37">
        <v>418.41</v>
      </c>
      <c r="I537" s="36" t="s">
        <v>1301</v>
      </c>
      <c r="J537" s="39" t="s">
        <v>1585</v>
      </c>
      <c r="K537" s="38"/>
      <c r="L537" s="38"/>
    </row>
    <row r="538" ht="22.5" customHeight="1">
      <c r="A538" s="36" t="s">
        <v>1709</v>
      </c>
      <c r="B538" s="36" t="s">
        <v>1710</v>
      </c>
      <c r="C538" s="36" t="s">
        <v>1495</v>
      </c>
      <c r="D538" s="36" t="s">
        <v>1496</v>
      </c>
      <c r="E538" s="36" t="s">
        <v>287</v>
      </c>
      <c r="F538" s="36" t="s">
        <v>286</v>
      </c>
      <c r="G538" s="36" t="s">
        <v>411</v>
      </c>
      <c r="H538" s="37">
        <v>1.32</v>
      </c>
      <c r="I538" s="36" t="s">
        <v>1301</v>
      </c>
      <c r="J538" s="39" t="s">
        <v>1580</v>
      </c>
      <c r="K538" s="38"/>
      <c r="L538" s="38"/>
    </row>
    <row r="539" ht="22.5" customHeight="1">
      <c r="A539" s="36" t="s">
        <v>1711</v>
      </c>
      <c r="B539" s="36" t="s">
        <v>1712</v>
      </c>
      <c r="C539" s="36" t="s">
        <v>1495</v>
      </c>
      <c r="D539" s="36" t="s">
        <v>1496</v>
      </c>
      <c r="E539" s="36" t="s">
        <v>287</v>
      </c>
      <c r="F539" s="36" t="s">
        <v>286</v>
      </c>
      <c r="G539" s="36" t="s">
        <v>411</v>
      </c>
      <c r="H539" s="37">
        <v>1.01</v>
      </c>
      <c r="I539" s="36" t="s">
        <v>1301</v>
      </c>
      <c r="J539" s="39" t="s">
        <v>1580</v>
      </c>
      <c r="K539" s="38"/>
      <c r="L539" s="38"/>
    </row>
    <row r="540" ht="22.5" customHeight="1">
      <c r="A540" s="36" t="s">
        <v>1713</v>
      </c>
      <c r="B540" s="36" t="s">
        <v>1714</v>
      </c>
      <c r="C540" s="36" t="s">
        <v>1495</v>
      </c>
      <c r="D540" s="36" t="s">
        <v>1496</v>
      </c>
      <c r="E540" s="36" t="s">
        <v>287</v>
      </c>
      <c r="F540" s="36" t="s">
        <v>286</v>
      </c>
      <c r="G540" s="36" t="s">
        <v>411</v>
      </c>
      <c r="H540" s="37">
        <v>10.0</v>
      </c>
      <c r="I540" s="36" t="s">
        <v>1301</v>
      </c>
      <c r="J540" s="39" t="s">
        <v>1501</v>
      </c>
      <c r="K540" s="38"/>
      <c r="L540" s="38"/>
    </row>
    <row r="541" ht="22.5" customHeight="1">
      <c r="A541" s="36" t="s">
        <v>1715</v>
      </c>
      <c r="B541" s="36" t="s">
        <v>1716</v>
      </c>
      <c r="C541" s="36" t="s">
        <v>1495</v>
      </c>
      <c r="D541" s="36" t="s">
        <v>1496</v>
      </c>
      <c r="E541" s="36" t="s">
        <v>287</v>
      </c>
      <c r="F541" s="36" t="s">
        <v>286</v>
      </c>
      <c r="G541" s="36" t="s">
        <v>411</v>
      </c>
      <c r="H541" s="37">
        <v>13.2</v>
      </c>
      <c r="I541" s="36" t="s">
        <v>1301</v>
      </c>
      <c r="J541" s="39" t="s">
        <v>1564</v>
      </c>
      <c r="K541" s="38"/>
      <c r="L541" s="38"/>
    </row>
    <row r="542" ht="22.5" customHeight="1">
      <c r="A542" s="36" t="s">
        <v>1717</v>
      </c>
      <c r="B542" s="36" t="s">
        <v>1718</v>
      </c>
      <c r="C542" s="36" t="s">
        <v>1495</v>
      </c>
      <c r="D542" s="36" t="s">
        <v>1496</v>
      </c>
      <c r="E542" s="36" t="s">
        <v>287</v>
      </c>
      <c r="F542" s="36" t="s">
        <v>286</v>
      </c>
      <c r="G542" s="36" t="s">
        <v>411</v>
      </c>
      <c r="H542" s="37">
        <v>31.41</v>
      </c>
      <c r="I542" s="36" t="s">
        <v>1301</v>
      </c>
      <c r="J542" s="39" t="s">
        <v>1719</v>
      </c>
      <c r="K542" s="38"/>
      <c r="L542" s="38"/>
    </row>
    <row r="543" ht="22.5" customHeight="1">
      <c r="A543" s="36" t="s">
        <v>1720</v>
      </c>
      <c r="B543" s="36" t="s">
        <v>1721</v>
      </c>
      <c r="C543" s="36" t="s">
        <v>1495</v>
      </c>
      <c r="D543" s="36" t="s">
        <v>1496</v>
      </c>
      <c r="E543" s="36" t="s">
        <v>287</v>
      </c>
      <c r="F543" s="36" t="s">
        <v>286</v>
      </c>
      <c r="G543" s="36" t="s">
        <v>411</v>
      </c>
      <c r="H543" s="37">
        <v>38.86</v>
      </c>
      <c r="I543" s="36" t="s">
        <v>1301</v>
      </c>
      <c r="J543" s="39" t="s">
        <v>1722</v>
      </c>
      <c r="K543" s="38"/>
      <c r="L543" s="38"/>
    </row>
    <row r="544" ht="22.5" customHeight="1">
      <c r="A544" s="36" t="s">
        <v>1723</v>
      </c>
      <c r="B544" s="36" t="s">
        <v>1724</v>
      </c>
      <c r="C544" s="36" t="s">
        <v>1495</v>
      </c>
      <c r="D544" s="36" t="s">
        <v>1496</v>
      </c>
      <c r="E544" s="36" t="s">
        <v>287</v>
      </c>
      <c r="F544" s="36" t="s">
        <v>286</v>
      </c>
      <c r="G544" s="36" t="s">
        <v>411</v>
      </c>
      <c r="H544" s="37">
        <v>11.17</v>
      </c>
      <c r="I544" s="36" t="s">
        <v>1301</v>
      </c>
      <c r="J544" s="39" t="s">
        <v>286</v>
      </c>
      <c r="K544" s="38"/>
      <c r="L544" s="38"/>
    </row>
    <row r="545" ht="22.5" customHeight="1">
      <c r="A545" s="36" t="s">
        <v>1725</v>
      </c>
      <c r="B545" s="36" t="s">
        <v>1726</v>
      </c>
      <c r="C545" s="36" t="s">
        <v>1495</v>
      </c>
      <c r="D545" s="36" t="s">
        <v>1496</v>
      </c>
      <c r="E545" s="36" t="s">
        <v>287</v>
      </c>
      <c r="F545" s="36" t="s">
        <v>286</v>
      </c>
      <c r="G545" s="36" t="s">
        <v>411</v>
      </c>
      <c r="H545" s="37">
        <v>10.75</v>
      </c>
      <c r="I545" s="36" t="s">
        <v>1301</v>
      </c>
      <c r="J545" s="39" t="s">
        <v>286</v>
      </c>
      <c r="K545" s="38"/>
      <c r="L545" s="38"/>
    </row>
    <row r="546" ht="22.5" customHeight="1">
      <c r="A546" s="36" t="s">
        <v>1727</v>
      </c>
      <c r="B546" s="36" t="s">
        <v>1728</v>
      </c>
      <c r="C546" s="36" t="s">
        <v>1495</v>
      </c>
      <c r="D546" s="36" t="s">
        <v>1496</v>
      </c>
      <c r="E546" s="36" t="s">
        <v>287</v>
      </c>
      <c r="F546" s="36" t="s">
        <v>286</v>
      </c>
      <c r="G546" s="36" t="s">
        <v>411</v>
      </c>
      <c r="H546" s="37">
        <v>12.17</v>
      </c>
      <c r="I546" s="36" t="s">
        <v>1301</v>
      </c>
      <c r="J546" s="39" t="s">
        <v>286</v>
      </c>
      <c r="K546" s="38"/>
      <c r="L546" s="38"/>
    </row>
    <row r="547" ht="22.5" customHeight="1">
      <c r="A547" s="36" t="s">
        <v>1729</v>
      </c>
      <c r="B547" s="36" t="s">
        <v>1730</v>
      </c>
      <c r="C547" s="36" t="s">
        <v>1495</v>
      </c>
      <c r="D547" s="36" t="s">
        <v>1496</v>
      </c>
      <c r="E547" s="36" t="s">
        <v>287</v>
      </c>
      <c r="F547" s="36" t="s">
        <v>286</v>
      </c>
      <c r="G547" s="36" t="s">
        <v>411</v>
      </c>
      <c r="H547" s="37">
        <v>11.67</v>
      </c>
      <c r="I547" s="36" t="s">
        <v>1301</v>
      </c>
      <c r="J547" s="39" t="s">
        <v>286</v>
      </c>
      <c r="K547" s="38"/>
      <c r="L547" s="38"/>
    </row>
    <row r="548" ht="22.5" customHeight="1">
      <c r="A548" s="36" t="s">
        <v>1731</v>
      </c>
      <c r="B548" s="36" t="s">
        <v>1732</v>
      </c>
      <c r="C548" s="36" t="s">
        <v>1495</v>
      </c>
      <c r="D548" s="36" t="s">
        <v>1496</v>
      </c>
      <c r="E548" s="36" t="s">
        <v>287</v>
      </c>
      <c r="F548" s="36" t="s">
        <v>286</v>
      </c>
      <c r="G548" s="36" t="s">
        <v>411</v>
      </c>
      <c r="H548" s="37">
        <v>4.5</v>
      </c>
      <c r="I548" s="36" t="s">
        <v>1301</v>
      </c>
      <c r="J548" s="39" t="s">
        <v>286</v>
      </c>
      <c r="K548" s="38"/>
      <c r="L548" s="38"/>
    </row>
    <row r="549" ht="22.5" customHeight="1">
      <c r="A549" s="36" t="s">
        <v>1733</v>
      </c>
      <c r="B549" s="36" t="s">
        <v>1734</v>
      </c>
      <c r="C549" s="36" t="s">
        <v>1495</v>
      </c>
      <c r="D549" s="36" t="s">
        <v>1496</v>
      </c>
      <c r="E549" s="36" t="s">
        <v>287</v>
      </c>
      <c r="F549" s="36" t="s">
        <v>286</v>
      </c>
      <c r="G549" s="36" t="s">
        <v>411</v>
      </c>
      <c r="H549" s="37">
        <v>12.9</v>
      </c>
      <c r="I549" s="36" t="s">
        <v>1301</v>
      </c>
      <c r="J549" s="39" t="s">
        <v>286</v>
      </c>
      <c r="K549" s="38"/>
      <c r="L549" s="38"/>
    </row>
    <row r="550" ht="22.5" customHeight="1">
      <c r="A550" s="36" t="s">
        <v>1735</v>
      </c>
      <c r="B550" s="36" t="s">
        <v>1736</v>
      </c>
      <c r="C550" s="36" t="s">
        <v>1495</v>
      </c>
      <c r="D550" s="36" t="s">
        <v>1496</v>
      </c>
      <c r="E550" s="36" t="s">
        <v>287</v>
      </c>
      <c r="F550" s="36" t="s">
        <v>286</v>
      </c>
      <c r="G550" s="36" t="s">
        <v>411</v>
      </c>
      <c r="H550" s="37">
        <v>0.0</v>
      </c>
      <c r="I550" s="36" t="s">
        <v>1301</v>
      </c>
      <c r="J550" s="39" t="s">
        <v>1614</v>
      </c>
      <c r="K550" s="38"/>
      <c r="L550" s="38"/>
    </row>
    <row r="551" ht="22.5" customHeight="1">
      <c r="A551" s="36" t="s">
        <v>1737</v>
      </c>
      <c r="B551" s="36" t="s">
        <v>1738</v>
      </c>
      <c r="C551" s="36" t="s">
        <v>1495</v>
      </c>
      <c r="D551" s="36" t="s">
        <v>1496</v>
      </c>
      <c r="E551" s="36" t="s">
        <v>287</v>
      </c>
      <c r="F551" s="36" t="s">
        <v>286</v>
      </c>
      <c r="G551" s="36" t="s">
        <v>411</v>
      </c>
      <c r="H551" s="37">
        <v>14.29</v>
      </c>
      <c r="I551" s="36" t="s">
        <v>1301</v>
      </c>
      <c r="J551" s="36" t="s">
        <v>1544</v>
      </c>
      <c r="K551" s="38"/>
      <c r="L551" s="38"/>
    </row>
    <row r="552" ht="22.5" customHeight="1">
      <c r="A552" s="36" t="s">
        <v>1739</v>
      </c>
      <c r="B552" s="36" t="s">
        <v>1740</v>
      </c>
      <c r="C552" s="36" t="s">
        <v>1495</v>
      </c>
      <c r="D552" s="36" t="s">
        <v>1496</v>
      </c>
      <c r="E552" s="36" t="s">
        <v>287</v>
      </c>
      <c r="F552" s="36" t="s">
        <v>286</v>
      </c>
      <c r="G552" s="36" t="s">
        <v>411</v>
      </c>
      <c r="H552" s="37">
        <v>10.5</v>
      </c>
      <c r="I552" s="36" t="s">
        <v>1301</v>
      </c>
      <c r="J552" s="39" t="s">
        <v>1544</v>
      </c>
      <c r="K552" s="38"/>
      <c r="L552" s="38"/>
    </row>
    <row r="553" ht="22.5" customHeight="1">
      <c r="A553" s="36" t="s">
        <v>1741</v>
      </c>
      <c r="B553" s="36" t="s">
        <v>1742</v>
      </c>
      <c r="C553" s="36" t="s">
        <v>1495</v>
      </c>
      <c r="D553" s="36" t="s">
        <v>1496</v>
      </c>
      <c r="E553" s="36" t="s">
        <v>287</v>
      </c>
      <c r="F553" s="36" t="s">
        <v>286</v>
      </c>
      <c r="G553" s="36" t="s">
        <v>411</v>
      </c>
      <c r="H553" s="37">
        <v>65.33</v>
      </c>
      <c r="I553" s="36" t="s">
        <v>1301</v>
      </c>
      <c r="J553" s="39" t="s">
        <v>1544</v>
      </c>
      <c r="K553" s="38"/>
      <c r="L553" s="38"/>
    </row>
    <row r="554" ht="22.5" customHeight="1">
      <c r="A554" s="36" t="s">
        <v>1743</v>
      </c>
      <c r="B554" s="36" t="s">
        <v>1744</v>
      </c>
      <c r="C554" s="36" t="s">
        <v>1495</v>
      </c>
      <c r="D554" s="36" t="s">
        <v>1496</v>
      </c>
      <c r="E554" s="36" t="s">
        <v>287</v>
      </c>
      <c r="F554" s="36" t="s">
        <v>286</v>
      </c>
      <c r="G554" s="36" t="s">
        <v>411</v>
      </c>
      <c r="H554" s="37">
        <v>1.1</v>
      </c>
      <c r="I554" s="36" t="s">
        <v>1301</v>
      </c>
      <c r="J554" s="39" t="s">
        <v>1518</v>
      </c>
      <c r="K554" s="38"/>
      <c r="L554" s="38"/>
    </row>
    <row r="555" ht="22.5" customHeight="1">
      <c r="A555" s="36" t="s">
        <v>1745</v>
      </c>
      <c r="B555" s="36" t="s">
        <v>1746</v>
      </c>
      <c r="C555" s="36" t="s">
        <v>1495</v>
      </c>
      <c r="D555" s="36" t="s">
        <v>1496</v>
      </c>
      <c r="E555" s="36" t="s">
        <v>287</v>
      </c>
      <c r="F555" s="36" t="s">
        <v>286</v>
      </c>
      <c r="G555" s="36" t="s">
        <v>411</v>
      </c>
      <c r="H555" s="37">
        <v>0.88</v>
      </c>
      <c r="I555" s="36" t="s">
        <v>1301</v>
      </c>
      <c r="J555" s="39" t="s">
        <v>1518</v>
      </c>
      <c r="K555" s="38"/>
      <c r="L555" s="38"/>
    </row>
    <row r="556" ht="22.5" customHeight="1">
      <c r="A556" s="36" t="s">
        <v>1747</v>
      </c>
      <c r="B556" s="36" t="s">
        <v>1748</v>
      </c>
      <c r="C556" s="36" t="s">
        <v>1495</v>
      </c>
      <c r="D556" s="36" t="s">
        <v>1496</v>
      </c>
      <c r="E556" s="36" t="s">
        <v>287</v>
      </c>
      <c r="F556" s="36" t="s">
        <v>286</v>
      </c>
      <c r="G556" s="36" t="s">
        <v>411</v>
      </c>
      <c r="H556" s="37">
        <v>3.06</v>
      </c>
      <c r="I556" s="36" t="s">
        <v>1301</v>
      </c>
      <c r="J556" s="39" t="s">
        <v>1518</v>
      </c>
      <c r="K556" s="38"/>
      <c r="L556" s="38"/>
    </row>
    <row r="557" ht="22.5" customHeight="1">
      <c r="A557" s="36" t="s">
        <v>1749</v>
      </c>
      <c r="B557" s="36" t="s">
        <v>1750</v>
      </c>
      <c r="C557" s="36" t="s">
        <v>1495</v>
      </c>
      <c r="D557" s="36" t="s">
        <v>1496</v>
      </c>
      <c r="E557" s="36" t="s">
        <v>287</v>
      </c>
      <c r="F557" s="36" t="s">
        <v>286</v>
      </c>
      <c r="G557" s="36" t="s">
        <v>411</v>
      </c>
      <c r="H557" s="37">
        <v>1.87</v>
      </c>
      <c r="I557" s="36" t="s">
        <v>1301</v>
      </c>
      <c r="J557" s="39" t="s">
        <v>1518</v>
      </c>
      <c r="K557" s="38"/>
      <c r="L557" s="38"/>
    </row>
    <row r="558" ht="22.5" customHeight="1">
      <c r="A558" s="36" t="s">
        <v>1751</v>
      </c>
      <c r="B558" s="36" t="s">
        <v>1752</v>
      </c>
      <c r="C558" s="36" t="s">
        <v>1495</v>
      </c>
      <c r="D558" s="36" t="s">
        <v>1496</v>
      </c>
      <c r="E558" s="36" t="s">
        <v>287</v>
      </c>
      <c r="F558" s="36" t="s">
        <v>286</v>
      </c>
      <c r="G558" s="36" t="s">
        <v>411</v>
      </c>
      <c r="H558" s="37">
        <v>2.02</v>
      </c>
      <c r="I558" s="36" t="s">
        <v>1301</v>
      </c>
      <c r="J558" s="39" t="s">
        <v>1518</v>
      </c>
      <c r="K558" s="38"/>
      <c r="L558" s="38"/>
    </row>
    <row r="559" ht="22.5" customHeight="1">
      <c r="A559" s="36" t="s">
        <v>1753</v>
      </c>
      <c r="B559" s="36" t="s">
        <v>1754</v>
      </c>
      <c r="C559" s="36" t="s">
        <v>1495</v>
      </c>
      <c r="D559" s="36" t="s">
        <v>1496</v>
      </c>
      <c r="E559" s="36" t="s">
        <v>287</v>
      </c>
      <c r="F559" s="36" t="s">
        <v>286</v>
      </c>
      <c r="G559" s="36" t="s">
        <v>411</v>
      </c>
      <c r="H559" s="37">
        <v>2.75</v>
      </c>
      <c r="I559" s="36" t="s">
        <v>1301</v>
      </c>
      <c r="J559" s="39" t="s">
        <v>1518</v>
      </c>
      <c r="K559" s="38"/>
      <c r="L559" s="38"/>
    </row>
    <row r="560" ht="22.5" customHeight="1">
      <c r="A560" s="36" t="s">
        <v>1755</v>
      </c>
      <c r="B560" s="36" t="s">
        <v>1756</v>
      </c>
      <c r="C560" s="36" t="s">
        <v>1495</v>
      </c>
      <c r="D560" s="36" t="s">
        <v>1496</v>
      </c>
      <c r="E560" s="36" t="s">
        <v>287</v>
      </c>
      <c r="F560" s="36" t="s">
        <v>286</v>
      </c>
      <c r="G560" s="36" t="s">
        <v>411</v>
      </c>
      <c r="H560" s="37">
        <v>0.65</v>
      </c>
      <c r="I560" s="36" t="s">
        <v>1301</v>
      </c>
      <c r="J560" s="39" t="s">
        <v>1757</v>
      </c>
      <c r="K560" s="38"/>
      <c r="L560" s="38"/>
    </row>
    <row r="561" ht="22.5" customHeight="1">
      <c r="A561" s="36" t="s">
        <v>1758</v>
      </c>
      <c r="B561" s="36" t="s">
        <v>1759</v>
      </c>
      <c r="C561" s="36" t="s">
        <v>1495</v>
      </c>
      <c r="D561" s="36" t="s">
        <v>1496</v>
      </c>
      <c r="E561" s="36" t="s">
        <v>287</v>
      </c>
      <c r="F561" s="36" t="s">
        <v>286</v>
      </c>
      <c r="G561" s="36" t="s">
        <v>411</v>
      </c>
      <c r="H561" s="37">
        <v>3.01</v>
      </c>
      <c r="I561" s="36" t="s">
        <v>1301</v>
      </c>
      <c r="J561" s="39" t="s">
        <v>1760</v>
      </c>
      <c r="K561" s="38"/>
      <c r="L561" s="38"/>
    </row>
    <row r="562" ht="22.5" customHeight="1">
      <c r="A562" s="36" t="s">
        <v>1761</v>
      </c>
      <c r="B562" s="36" t="s">
        <v>1762</v>
      </c>
      <c r="C562" s="36" t="s">
        <v>1495</v>
      </c>
      <c r="D562" s="36" t="s">
        <v>1496</v>
      </c>
      <c r="E562" s="36" t="s">
        <v>287</v>
      </c>
      <c r="F562" s="36" t="s">
        <v>286</v>
      </c>
      <c r="G562" s="36" t="s">
        <v>411</v>
      </c>
      <c r="H562" s="37">
        <v>5.3</v>
      </c>
      <c r="I562" s="36" t="s">
        <v>1301</v>
      </c>
      <c r="J562" s="39" t="s">
        <v>1763</v>
      </c>
      <c r="K562" s="38"/>
      <c r="L562" s="38"/>
    </row>
    <row r="563" ht="22.5" customHeight="1">
      <c r="A563" s="36" t="s">
        <v>1764</v>
      </c>
      <c r="B563" s="36" t="s">
        <v>1765</v>
      </c>
      <c r="C563" s="36" t="s">
        <v>1495</v>
      </c>
      <c r="D563" s="36" t="s">
        <v>1496</v>
      </c>
      <c r="E563" s="36" t="s">
        <v>287</v>
      </c>
      <c r="F563" s="36" t="s">
        <v>286</v>
      </c>
      <c r="G563" s="36" t="s">
        <v>411</v>
      </c>
      <c r="H563" s="37">
        <v>3.6</v>
      </c>
      <c r="I563" s="36" t="s">
        <v>1301</v>
      </c>
      <c r="J563" s="39" t="s">
        <v>1763</v>
      </c>
      <c r="K563" s="38"/>
      <c r="L563" s="38"/>
    </row>
    <row r="564" ht="22.5" customHeight="1">
      <c r="A564" s="36" t="s">
        <v>1766</v>
      </c>
      <c r="B564" s="36" t="s">
        <v>1767</v>
      </c>
      <c r="C564" s="36" t="s">
        <v>1495</v>
      </c>
      <c r="D564" s="36" t="s">
        <v>1496</v>
      </c>
      <c r="E564" s="36" t="s">
        <v>287</v>
      </c>
      <c r="F564" s="36" t="s">
        <v>286</v>
      </c>
      <c r="G564" s="36" t="s">
        <v>411</v>
      </c>
      <c r="H564" s="37">
        <v>120.0</v>
      </c>
      <c r="I564" s="36" t="s">
        <v>1301</v>
      </c>
      <c r="J564" s="39" t="s">
        <v>1620</v>
      </c>
      <c r="K564" s="38"/>
      <c r="L564" s="38"/>
    </row>
    <row r="565" ht="22.5" customHeight="1">
      <c r="A565" s="36" t="s">
        <v>1768</v>
      </c>
      <c r="B565" s="36" t="s">
        <v>1769</v>
      </c>
      <c r="C565" s="36" t="s">
        <v>1495</v>
      </c>
      <c r="D565" s="36" t="s">
        <v>1496</v>
      </c>
      <c r="E565" s="36" t="s">
        <v>287</v>
      </c>
      <c r="F565" s="36" t="s">
        <v>286</v>
      </c>
      <c r="G565" s="36" t="s">
        <v>411</v>
      </c>
      <c r="H565" s="37">
        <v>57.35</v>
      </c>
      <c r="I565" s="36" t="s">
        <v>1301</v>
      </c>
      <c r="J565" s="39" t="s">
        <v>1770</v>
      </c>
      <c r="K565" s="38"/>
      <c r="L565" s="38"/>
    </row>
    <row r="566" ht="22.5" customHeight="1">
      <c r="A566" s="36" t="s">
        <v>1771</v>
      </c>
      <c r="B566" s="36" t="s">
        <v>1772</v>
      </c>
      <c r="C566" s="36" t="s">
        <v>1495</v>
      </c>
      <c r="D566" s="36" t="s">
        <v>1496</v>
      </c>
      <c r="E566" s="36" t="s">
        <v>287</v>
      </c>
      <c r="F566" s="36" t="s">
        <v>286</v>
      </c>
      <c r="G566" s="36" t="s">
        <v>411</v>
      </c>
      <c r="H566" s="37">
        <v>76.08</v>
      </c>
      <c r="I566" s="36" t="s">
        <v>1301</v>
      </c>
      <c r="J566" s="39" t="s">
        <v>1770</v>
      </c>
      <c r="K566" s="38"/>
      <c r="L566" s="38"/>
    </row>
    <row r="567" ht="22.5" customHeight="1">
      <c r="A567" s="36" t="s">
        <v>1773</v>
      </c>
      <c r="B567" s="36" t="s">
        <v>1774</v>
      </c>
      <c r="C567" s="36" t="s">
        <v>1495</v>
      </c>
      <c r="D567" s="36" t="s">
        <v>1496</v>
      </c>
      <c r="E567" s="36" t="s">
        <v>287</v>
      </c>
      <c r="F567" s="36" t="s">
        <v>286</v>
      </c>
      <c r="G567" s="36" t="s">
        <v>411</v>
      </c>
      <c r="H567" s="37">
        <v>76.36</v>
      </c>
      <c r="I567" s="36" t="s">
        <v>1301</v>
      </c>
      <c r="J567" s="39" t="s">
        <v>1770</v>
      </c>
      <c r="K567" s="38"/>
      <c r="L567" s="38"/>
    </row>
    <row r="568" ht="22.5" customHeight="1">
      <c r="A568" s="36" t="s">
        <v>1775</v>
      </c>
      <c r="B568" s="36" t="s">
        <v>1776</v>
      </c>
      <c r="C568" s="36" t="s">
        <v>1495</v>
      </c>
      <c r="D568" s="36" t="s">
        <v>1496</v>
      </c>
      <c r="E568" s="36" t="s">
        <v>287</v>
      </c>
      <c r="F568" s="36" t="s">
        <v>286</v>
      </c>
      <c r="G568" s="36" t="s">
        <v>411</v>
      </c>
      <c r="H568" s="37">
        <v>225.36</v>
      </c>
      <c r="I568" s="36" t="s">
        <v>1301</v>
      </c>
      <c r="J568" s="39" t="s">
        <v>1770</v>
      </c>
      <c r="K568" s="38"/>
      <c r="L568" s="38"/>
    </row>
    <row r="569" ht="22.5" customHeight="1">
      <c r="A569" s="36" t="s">
        <v>1777</v>
      </c>
      <c r="B569" s="36" t="s">
        <v>1778</v>
      </c>
      <c r="C569" s="36" t="s">
        <v>1495</v>
      </c>
      <c r="D569" s="36" t="s">
        <v>1496</v>
      </c>
      <c r="E569" s="36" t="s">
        <v>287</v>
      </c>
      <c r="F569" s="36" t="s">
        <v>286</v>
      </c>
      <c r="G569" s="36" t="s">
        <v>411</v>
      </c>
      <c r="H569" s="37">
        <v>48.85</v>
      </c>
      <c r="I569" s="36" t="s">
        <v>1301</v>
      </c>
      <c r="J569" s="39" t="s">
        <v>1564</v>
      </c>
      <c r="K569" s="38"/>
      <c r="L569" s="38"/>
    </row>
    <row r="570" ht="22.5" customHeight="1">
      <c r="A570" s="36" t="s">
        <v>1779</v>
      </c>
      <c r="B570" s="36" t="s">
        <v>1780</v>
      </c>
      <c r="C570" s="36" t="s">
        <v>1495</v>
      </c>
      <c r="D570" s="36" t="s">
        <v>1496</v>
      </c>
      <c r="E570" s="36" t="s">
        <v>287</v>
      </c>
      <c r="F570" s="36" t="s">
        <v>286</v>
      </c>
      <c r="G570" s="36" t="s">
        <v>411</v>
      </c>
      <c r="H570" s="37">
        <v>53.98</v>
      </c>
      <c r="I570" s="36" t="s">
        <v>1301</v>
      </c>
      <c r="J570" s="39" t="s">
        <v>1564</v>
      </c>
      <c r="K570" s="38"/>
      <c r="L570" s="38"/>
    </row>
    <row r="571" ht="22.5" customHeight="1">
      <c r="A571" s="36" t="s">
        <v>1781</v>
      </c>
      <c r="B571" s="36" t="s">
        <v>1782</v>
      </c>
      <c r="C571" s="36" t="s">
        <v>1495</v>
      </c>
      <c r="D571" s="36" t="s">
        <v>1496</v>
      </c>
      <c r="E571" s="36" t="s">
        <v>287</v>
      </c>
      <c r="F571" s="36" t="s">
        <v>286</v>
      </c>
      <c r="G571" s="36" t="s">
        <v>411</v>
      </c>
      <c r="H571" s="37">
        <v>21.56</v>
      </c>
      <c r="I571" s="36" t="s">
        <v>1301</v>
      </c>
      <c r="J571" s="39" t="s">
        <v>1564</v>
      </c>
      <c r="K571" s="38"/>
      <c r="L571" s="38"/>
    </row>
    <row r="572" ht="22.5" customHeight="1">
      <c r="A572" s="36" t="s">
        <v>1783</v>
      </c>
      <c r="B572" s="36" t="s">
        <v>1784</v>
      </c>
      <c r="C572" s="36" t="s">
        <v>1495</v>
      </c>
      <c r="D572" s="36" t="s">
        <v>1496</v>
      </c>
      <c r="E572" s="36" t="s">
        <v>287</v>
      </c>
      <c r="F572" s="36" t="s">
        <v>286</v>
      </c>
      <c r="G572" s="36" t="s">
        <v>411</v>
      </c>
      <c r="H572" s="37">
        <v>45.54</v>
      </c>
      <c r="I572" s="36" t="s">
        <v>1301</v>
      </c>
      <c r="J572" s="39" t="s">
        <v>1564</v>
      </c>
      <c r="K572" s="38"/>
      <c r="L572" s="38"/>
    </row>
    <row r="573" ht="22.5" customHeight="1">
      <c r="A573" s="36" t="s">
        <v>1785</v>
      </c>
      <c r="B573" s="36" t="s">
        <v>1786</v>
      </c>
      <c r="C573" s="36" t="s">
        <v>1495</v>
      </c>
      <c r="D573" s="36" t="s">
        <v>1496</v>
      </c>
      <c r="E573" s="36" t="s">
        <v>287</v>
      </c>
      <c r="F573" s="36" t="s">
        <v>286</v>
      </c>
      <c r="G573" s="36" t="s">
        <v>411</v>
      </c>
      <c r="H573" s="37">
        <v>44.08</v>
      </c>
      <c r="I573" s="36" t="s">
        <v>1301</v>
      </c>
      <c r="J573" s="39" t="s">
        <v>1564</v>
      </c>
      <c r="K573" s="38"/>
      <c r="L573" s="38"/>
    </row>
    <row r="574" ht="22.5" customHeight="1">
      <c r="A574" s="36" t="s">
        <v>1787</v>
      </c>
      <c r="B574" s="36" t="s">
        <v>1788</v>
      </c>
      <c r="C574" s="36" t="s">
        <v>1495</v>
      </c>
      <c r="D574" s="36" t="s">
        <v>1496</v>
      </c>
      <c r="E574" s="36" t="s">
        <v>287</v>
      </c>
      <c r="F574" s="36" t="s">
        <v>286</v>
      </c>
      <c r="G574" s="36" t="s">
        <v>411</v>
      </c>
      <c r="H574" s="37">
        <v>18.15</v>
      </c>
      <c r="I574" s="36" t="s">
        <v>1301</v>
      </c>
      <c r="J574" s="39" t="s">
        <v>1518</v>
      </c>
      <c r="K574" s="38"/>
      <c r="L574" s="38"/>
    </row>
    <row r="575" ht="22.5" customHeight="1">
      <c r="A575" s="36" t="s">
        <v>1789</v>
      </c>
      <c r="B575" s="36" t="s">
        <v>1790</v>
      </c>
      <c r="C575" s="36" t="s">
        <v>1495</v>
      </c>
      <c r="D575" s="36" t="s">
        <v>1496</v>
      </c>
      <c r="E575" s="36" t="s">
        <v>287</v>
      </c>
      <c r="F575" s="36" t="s">
        <v>286</v>
      </c>
      <c r="G575" s="36" t="s">
        <v>411</v>
      </c>
      <c r="H575" s="37">
        <v>18.68</v>
      </c>
      <c r="I575" s="36" t="s">
        <v>1301</v>
      </c>
      <c r="J575" s="39" t="s">
        <v>1518</v>
      </c>
      <c r="K575" s="38"/>
      <c r="L575" s="38"/>
    </row>
    <row r="576" ht="22.5" customHeight="1">
      <c r="A576" s="36" t="s">
        <v>1791</v>
      </c>
      <c r="B576" s="36" t="s">
        <v>1792</v>
      </c>
      <c r="C576" s="36" t="s">
        <v>1495</v>
      </c>
      <c r="D576" s="36" t="s">
        <v>1496</v>
      </c>
      <c r="E576" s="36" t="s">
        <v>287</v>
      </c>
      <c r="F576" s="36" t="s">
        <v>286</v>
      </c>
      <c r="G576" s="36" t="s">
        <v>411</v>
      </c>
      <c r="H576" s="37">
        <v>4.58</v>
      </c>
      <c r="I576" s="36" t="s">
        <v>1301</v>
      </c>
      <c r="J576" s="39" t="s">
        <v>1518</v>
      </c>
      <c r="K576" s="38"/>
      <c r="L576" s="38"/>
    </row>
    <row r="577" ht="22.5" customHeight="1">
      <c r="A577" s="36" t="s">
        <v>1793</v>
      </c>
      <c r="B577" s="36" t="s">
        <v>1794</v>
      </c>
      <c r="C577" s="36" t="s">
        <v>1495</v>
      </c>
      <c r="D577" s="36" t="s">
        <v>1496</v>
      </c>
      <c r="E577" s="36" t="s">
        <v>287</v>
      </c>
      <c r="F577" s="36" t="s">
        <v>286</v>
      </c>
      <c r="G577" s="36" t="s">
        <v>411</v>
      </c>
      <c r="H577" s="37">
        <v>7.16</v>
      </c>
      <c r="I577" s="36" t="s">
        <v>1301</v>
      </c>
      <c r="J577" s="39" t="s">
        <v>1518</v>
      </c>
      <c r="K577" s="38"/>
      <c r="L577" s="38"/>
    </row>
    <row r="578" ht="22.5" customHeight="1">
      <c r="A578" s="36" t="s">
        <v>1795</v>
      </c>
      <c r="B578" s="36" t="s">
        <v>1796</v>
      </c>
      <c r="C578" s="36" t="s">
        <v>1495</v>
      </c>
      <c r="D578" s="36" t="s">
        <v>1496</v>
      </c>
      <c r="E578" s="36" t="s">
        <v>287</v>
      </c>
      <c r="F578" s="36" t="s">
        <v>286</v>
      </c>
      <c r="G578" s="36" t="s">
        <v>411</v>
      </c>
      <c r="H578" s="37">
        <v>5.7</v>
      </c>
      <c r="I578" s="36" t="s">
        <v>1301</v>
      </c>
      <c r="J578" s="39" t="s">
        <v>1518</v>
      </c>
      <c r="K578" s="38"/>
      <c r="L578" s="38"/>
    </row>
    <row r="579" ht="22.5" customHeight="1">
      <c r="A579" s="36" t="s">
        <v>1797</v>
      </c>
      <c r="B579" s="36" t="s">
        <v>1798</v>
      </c>
      <c r="C579" s="36" t="s">
        <v>1495</v>
      </c>
      <c r="D579" s="36" t="s">
        <v>1496</v>
      </c>
      <c r="E579" s="36" t="s">
        <v>287</v>
      </c>
      <c r="F579" s="36" t="s">
        <v>286</v>
      </c>
      <c r="G579" s="36" t="s">
        <v>411</v>
      </c>
      <c r="H579" s="37">
        <v>82.93</v>
      </c>
      <c r="I579" s="36" t="s">
        <v>1301</v>
      </c>
      <c r="J579" s="39" t="s">
        <v>1799</v>
      </c>
      <c r="K579" s="38"/>
      <c r="L579" s="38"/>
    </row>
    <row r="580" ht="22.5" customHeight="1">
      <c r="A580" s="36" t="s">
        <v>1800</v>
      </c>
      <c r="B580" s="36" t="s">
        <v>1801</v>
      </c>
      <c r="C580" s="36" t="s">
        <v>1495</v>
      </c>
      <c r="D580" s="36" t="s">
        <v>1496</v>
      </c>
      <c r="E580" s="36" t="s">
        <v>287</v>
      </c>
      <c r="F580" s="36" t="s">
        <v>286</v>
      </c>
      <c r="G580" s="36" t="s">
        <v>411</v>
      </c>
      <c r="H580" s="37">
        <v>44.15</v>
      </c>
      <c r="I580" s="36" t="s">
        <v>1301</v>
      </c>
      <c r="J580" s="39" t="s">
        <v>1802</v>
      </c>
      <c r="K580" s="38"/>
      <c r="L580" s="38"/>
    </row>
    <row r="581" ht="22.5" customHeight="1">
      <c r="A581" s="36" t="s">
        <v>1803</v>
      </c>
      <c r="B581" s="36" t="s">
        <v>1804</v>
      </c>
      <c r="C581" s="36" t="s">
        <v>1495</v>
      </c>
      <c r="D581" s="36" t="s">
        <v>1496</v>
      </c>
      <c r="E581" s="36" t="s">
        <v>287</v>
      </c>
      <c r="F581" s="36" t="s">
        <v>286</v>
      </c>
      <c r="G581" s="36" t="s">
        <v>411</v>
      </c>
      <c r="H581" s="37">
        <v>115.78</v>
      </c>
      <c r="I581" s="36" t="s">
        <v>1301</v>
      </c>
      <c r="J581" s="39" t="s">
        <v>1799</v>
      </c>
      <c r="K581" s="38"/>
      <c r="L581" s="38"/>
    </row>
    <row r="582" ht="22.5" customHeight="1">
      <c r="A582" s="36" t="s">
        <v>1805</v>
      </c>
      <c r="B582" s="36" t="s">
        <v>1806</v>
      </c>
      <c r="C582" s="36" t="s">
        <v>1495</v>
      </c>
      <c r="D582" s="36" t="s">
        <v>1496</v>
      </c>
      <c r="E582" s="36" t="s">
        <v>287</v>
      </c>
      <c r="F582" s="36" t="s">
        <v>286</v>
      </c>
      <c r="G582" s="36" t="s">
        <v>411</v>
      </c>
      <c r="H582" s="37">
        <v>44.68</v>
      </c>
      <c r="I582" s="36" t="s">
        <v>1301</v>
      </c>
      <c r="J582" s="39" t="s">
        <v>1802</v>
      </c>
      <c r="K582" s="38"/>
      <c r="L582" s="38"/>
    </row>
    <row r="583" ht="22.5" customHeight="1">
      <c r="A583" s="36" t="s">
        <v>1807</v>
      </c>
      <c r="B583" s="36" t="s">
        <v>1808</v>
      </c>
      <c r="C583" s="36" t="s">
        <v>1495</v>
      </c>
      <c r="D583" s="36" t="s">
        <v>1496</v>
      </c>
      <c r="E583" s="36" t="s">
        <v>287</v>
      </c>
      <c r="F583" s="36" t="s">
        <v>286</v>
      </c>
      <c r="G583" s="36" t="s">
        <v>411</v>
      </c>
      <c r="H583" s="37">
        <v>130.75</v>
      </c>
      <c r="I583" s="36" t="s">
        <v>1301</v>
      </c>
      <c r="J583" s="39" t="s">
        <v>1799</v>
      </c>
      <c r="K583" s="38"/>
      <c r="L583" s="38"/>
    </row>
    <row r="584" ht="22.5" customHeight="1">
      <c r="A584" s="36" t="s">
        <v>1809</v>
      </c>
      <c r="B584" s="36" t="s">
        <v>1810</v>
      </c>
      <c r="C584" s="36" t="s">
        <v>1495</v>
      </c>
      <c r="D584" s="36" t="s">
        <v>1496</v>
      </c>
      <c r="E584" s="36" t="s">
        <v>287</v>
      </c>
      <c r="F584" s="36" t="s">
        <v>286</v>
      </c>
      <c r="G584" s="36" t="s">
        <v>411</v>
      </c>
      <c r="H584" s="37">
        <v>45.43</v>
      </c>
      <c r="I584" s="36" t="s">
        <v>1301</v>
      </c>
      <c r="J584" s="39" t="s">
        <v>1802</v>
      </c>
      <c r="K584" s="38"/>
      <c r="L584" s="38"/>
    </row>
    <row r="585" ht="22.5" customHeight="1">
      <c r="A585" s="36" t="s">
        <v>1811</v>
      </c>
      <c r="B585" s="36" t="s">
        <v>1812</v>
      </c>
      <c r="C585" s="36" t="s">
        <v>1495</v>
      </c>
      <c r="D585" s="36" t="s">
        <v>1496</v>
      </c>
      <c r="E585" s="36" t="s">
        <v>287</v>
      </c>
      <c r="F585" s="36" t="s">
        <v>286</v>
      </c>
      <c r="G585" s="36" t="s">
        <v>411</v>
      </c>
      <c r="H585" s="37">
        <v>131.25</v>
      </c>
      <c r="I585" s="36" t="s">
        <v>1301</v>
      </c>
      <c r="J585" s="39" t="s">
        <v>1799</v>
      </c>
      <c r="K585" s="38"/>
      <c r="L585" s="38"/>
    </row>
    <row r="586" ht="22.5" customHeight="1">
      <c r="A586" s="36" t="s">
        <v>1813</v>
      </c>
      <c r="B586" s="36" t="s">
        <v>1814</v>
      </c>
      <c r="C586" s="36" t="s">
        <v>1495</v>
      </c>
      <c r="D586" s="36" t="s">
        <v>1496</v>
      </c>
      <c r="E586" s="36" t="s">
        <v>287</v>
      </c>
      <c r="F586" s="36" t="s">
        <v>286</v>
      </c>
      <c r="G586" s="36" t="s">
        <v>411</v>
      </c>
      <c r="H586" s="37">
        <v>45.95</v>
      </c>
      <c r="I586" s="36" t="s">
        <v>1301</v>
      </c>
      <c r="J586" s="39" t="s">
        <v>1802</v>
      </c>
      <c r="K586" s="38"/>
      <c r="L586" s="38"/>
    </row>
    <row r="587" ht="22.5" customHeight="1">
      <c r="A587" s="36" t="s">
        <v>1815</v>
      </c>
      <c r="B587" s="36" t="s">
        <v>1816</v>
      </c>
      <c r="C587" s="36" t="s">
        <v>1495</v>
      </c>
      <c r="D587" s="36" t="s">
        <v>1496</v>
      </c>
      <c r="E587" s="36" t="s">
        <v>287</v>
      </c>
      <c r="F587" s="36" t="s">
        <v>286</v>
      </c>
      <c r="G587" s="36" t="s">
        <v>411</v>
      </c>
      <c r="H587" s="37">
        <v>188.53</v>
      </c>
      <c r="I587" s="36" t="s">
        <v>1301</v>
      </c>
      <c r="J587" s="39" t="s">
        <v>1799</v>
      </c>
      <c r="K587" s="38"/>
      <c r="L587" s="38"/>
    </row>
    <row r="588" ht="22.5" customHeight="1">
      <c r="A588" s="36" t="s">
        <v>1817</v>
      </c>
      <c r="B588" s="36" t="s">
        <v>1818</v>
      </c>
      <c r="C588" s="36" t="s">
        <v>1495</v>
      </c>
      <c r="D588" s="36" t="s">
        <v>1496</v>
      </c>
      <c r="E588" s="36" t="s">
        <v>287</v>
      </c>
      <c r="F588" s="36" t="s">
        <v>286</v>
      </c>
      <c r="G588" s="36" t="s">
        <v>411</v>
      </c>
      <c r="H588" s="37">
        <v>46.33</v>
      </c>
      <c r="I588" s="36" t="s">
        <v>1301</v>
      </c>
      <c r="J588" s="39" t="s">
        <v>1802</v>
      </c>
      <c r="K588" s="38"/>
      <c r="L588" s="38"/>
    </row>
    <row r="589" ht="22.5" customHeight="1">
      <c r="A589" s="36" t="s">
        <v>1819</v>
      </c>
      <c r="B589" s="36" t="s">
        <v>1820</v>
      </c>
      <c r="C589" s="36" t="s">
        <v>1495</v>
      </c>
      <c r="D589" s="36" t="s">
        <v>1496</v>
      </c>
      <c r="E589" s="36" t="s">
        <v>287</v>
      </c>
      <c r="F589" s="36" t="s">
        <v>286</v>
      </c>
      <c r="G589" s="36" t="s">
        <v>411</v>
      </c>
      <c r="H589" s="37">
        <v>188.75</v>
      </c>
      <c r="I589" s="36" t="s">
        <v>1301</v>
      </c>
      <c r="J589" s="39" t="s">
        <v>1799</v>
      </c>
      <c r="K589" s="38"/>
      <c r="L589" s="38"/>
    </row>
    <row r="590" ht="22.5" customHeight="1">
      <c r="A590" s="36" t="s">
        <v>1821</v>
      </c>
      <c r="B590" s="36" t="s">
        <v>1822</v>
      </c>
      <c r="C590" s="36" t="s">
        <v>1495</v>
      </c>
      <c r="D590" s="36" t="s">
        <v>1496</v>
      </c>
      <c r="E590" s="36" t="s">
        <v>287</v>
      </c>
      <c r="F590" s="36" t="s">
        <v>286</v>
      </c>
      <c r="G590" s="36" t="s">
        <v>411</v>
      </c>
      <c r="H590" s="37">
        <v>53.55</v>
      </c>
      <c r="I590" s="36" t="s">
        <v>1301</v>
      </c>
      <c r="J590" s="39" t="s">
        <v>1802</v>
      </c>
      <c r="K590" s="38"/>
      <c r="L590" s="38"/>
    </row>
    <row r="591" ht="22.5" customHeight="1">
      <c r="A591" s="36" t="s">
        <v>1823</v>
      </c>
      <c r="B591" s="36" t="s">
        <v>1824</v>
      </c>
      <c r="C591" s="36" t="s">
        <v>1495</v>
      </c>
      <c r="D591" s="36" t="s">
        <v>1496</v>
      </c>
      <c r="E591" s="36" t="s">
        <v>287</v>
      </c>
      <c r="F591" s="36" t="s">
        <v>286</v>
      </c>
      <c r="G591" s="36" t="s">
        <v>411</v>
      </c>
      <c r="H591" s="37">
        <v>267.75</v>
      </c>
      <c r="I591" s="36" t="s">
        <v>1301</v>
      </c>
      <c r="J591" s="39" t="s">
        <v>1799</v>
      </c>
      <c r="K591" s="38"/>
      <c r="L591" s="38"/>
    </row>
    <row r="592" ht="22.5" customHeight="1">
      <c r="A592" s="36" t="s">
        <v>1825</v>
      </c>
      <c r="B592" s="36" t="s">
        <v>1826</v>
      </c>
      <c r="C592" s="36" t="s">
        <v>1495</v>
      </c>
      <c r="D592" s="36" t="s">
        <v>1496</v>
      </c>
      <c r="E592" s="36" t="s">
        <v>287</v>
      </c>
      <c r="F592" s="36" t="s">
        <v>286</v>
      </c>
      <c r="G592" s="36" t="s">
        <v>411</v>
      </c>
      <c r="H592" s="37">
        <v>54.45</v>
      </c>
      <c r="I592" s="36" t="s">
        <v>1301</v>
      </c>
      <c r="J592" s="39" t="s">
        <v>1802</v>
      </c>
      <c r="K592" s="38"/>
      <c r="L592" s="38"/>
    </row>
    <row r="593" ht="22.5" customHeight="1">
      <c r="A593" s="36" t="s">
        <v>1827</v>
      </c>
      <c r="B593" s="36" t="s">
        <v>1828</v>
      </c>
      <c r="C593" s="36" t="s">
        <v>1495</v>
      </c>
      <c r="D593" s="36" t="s">
        <v>1496</v>
      </c>
      <c r="E593" s="36" t="s">
        <v>287</v>
      </c>
      <c r="F593" s="36" t="s">
        <v>286</v>
      </c>
      <c r="G593" s="36" t="s">
        <v>411</v>
      </c>
      <c r="H593" s="37">
        <v>26.31</v>
      </c>
      <c r="I593" s="36" t="s">
        <v>1301</v>
      </c>
      <c r="J593" s="39" t="s">
        <v>1799</v>
      </c>
      <c r="K593" s="38"/>
      <c r="L593" s="38"/>
    </row>
    <row r="594" ht="22.5" customHeight="1">
      <c r="A594" s="36" t="s">
        <v>1829</v>
      </c>
      <c r="B594" s="36" t="s">
        <v>1830</v>
      </c>
      <c r="C594" s="36" t="s">
        <v>1495</v>
      </c>
      <c r="D594" s="36" t="s">
        <v>1496</v>
      </c>
      <c r="E594" s="36" t="s">
        <v>287</v>
      </c>
      <c r="F594" s="36" t="s">
        <v>286</v>
      </c>
      <c r="G594" s="36" t="s">
        <v>411</v>
      </c>
      <c r="H594" s="37">
        <v>12.93</v>
      </c>
      <c r="I594" s="36" t="s">
        <v>1301</v>
      </c>
      <c r="J594" s="39" t="s">
        <v>1802</v>
      </c>
      <c r="K594" s="38"/>
      <c r="L594" s="38"/>
    </row>
    <row r="595" ht="22.5" customHeight="1">
      <c r="A595" s="36" t="s">
        <v>1831</v>
      </c>
      <c r="B595" s="36" t="s">
        <v>1832</v>
      </c>
      <c r="C595" s="36" t="s">
        <v>1495</v>
      </c>
      <c r="D595" s="36" t="s">
        <v>1496</v>
      </c>
      <c r="E595" s="36" t="s">
        <v>287</v>
      </c>
      <c r="F595" s="36" t="s">
        <v>286</v>
      </c>
      <c r="G595" s="36" t="s">
        <v>411</v>
      </c>
      <c r="H595" s="37">
        <v>41.47</v>
      </c>
      <c r="I595" s="36" t="s">
        <v>1301</v>
      </c>
      <c r="J595" s="39" t="s">
        <v>1833</v>
      </c>
      <c r="K595" s="38"/>
      <c r="L595" s="38"/>
    </row>
    <row r="596" ht="22.5" customHeight="1">
      <c r="A596" s="36" t="s">
        <v>1834</v>
      </c>
      <c r="B596" s="36" t="s">
        <v>1835</v>
      </c>
      <c r="C596" s="36" t="s">
        <v>1495</v>
      </c>
      <c r="D596" s="36" t="s">
        <v>1496</v>
      </c>
      <c r="E596" s="36" t="s">
        <v>287</v>
      </c>
      <c r="F596" s="36" t="s">
        <v>286</v>
      </c>
      <c r="G596" s="36" t="s">
        <v>411</v>
      </c>
      <c r="H596" s="37">
        <v>45.83</v>
      </c>
      <c r="I596" s="36" t="s">
        <v>1301</v>
      </c>
      <c r="J596" s="39" t="s">
        <v>1763</v>
      </c>
      <c r="K596" s="38"/>
      <c r="L596" s="38"/>
    </row>
    <row r="597" ht="22.5" customHeight="1">
      <c r="A597" s="36" t="s">
        <v>1836</v>
      </c>
      <c r="B597" s="36" t="s">
        <v>1837</v>
      </c>
      <c r="C597" s="36" t="s">
        <v>1495</v>
      </c>
      <c r="D597" s="36" t="s">
        <v>1496</v>
      </c>
      <c r="E597" s="36" t="s">
        <v>287</v>
      </c>
      <c r="F597" s="36" t="s">
        <v>286</v>
      </c>
      <c r="G597" s="36" t="s">
        <v>411</v>
      </c>
      <c r="H597" s="37">
        <v>23.96</v>
      </c>
      <c r="I597" s="36" t="s">
        <v>1301</v>
      </c>
      <c r="J597" s="39" t="s">
        <v>1544</v>
      </c>
      <c r="K597" s="38"/>
      <c r="L597" s="38"/>
    </row>
    <row r="598" ht="22.5" customHeight="1">
      <c r="A598" s="36" t="s">
        <v>1838</v>
      </c>
      <c r="B598" s="36" t="s">
        <v>1839</v>
      </c>
      <c r="C598" s="36" t="s">
        <v>1495</v>
      </c>
      <c r="D598" s="36" t="s">
        <v>1496</v>
      </c>
      <c r="E598" s="36" t="s">
        <v>287</v>
      </c>
      <c r="F598" s="36" t="s">
        <v>286</v>
      </c>
      <c r="G598" s="36" t="s">
        <v>411</v>
      </c>
      <c r="H598" s="37">
        <v>3.31</v>
      </c>
      <c r="I598" s="36" t="s">
        <v>1301</v>
      </c>
      <c r="J598" s="39" t="s">
        <v>1840</v>
      </c>
      <c r="K598" s="38"/>
      <c r="L598" s="38"/>
    </row>
    <row r="599" ht="22.5" customHeight="1">
      <c r="A599" s="36" t="s">
        <v>1841</v>
      </c>
      <c r="B599" s="36" t="s">
        <v>1842</v>
      </c>
      <c r="C599" s="36" t="s">
        <v>1495</v>
      </c>
      <c r="D599" s="36" t="s">
        <v>1496</v>
      </c>
      <c r="E599" s="36" t="s">
        <v>287</v>
      </c>
      <c r="F599" s="36" t="s">
        <v>286</v>
      </c>
      <c r="G599" s="36" t="s">
        <v>411</v>
      </c>
      <c r="H599" s="37">
        <v>3.03</v>
      </c>
      <c r="I599" s="36" t="s">
        <v>1301</v>
      </c>
      <c r="J599" s="39" t="s">
        <v>1544</v>
      </c>
      <c r="K599" s="38"/>
      <c r="L599" s="38"/>
    </row>
    <row r="600" ht="22.5" customHeight="1">
      <c r="A600" s="36" t="s">
        <v>1843</v>
      </c>
      <c r="B600" s="36" t="s">
        <v>1844</v>
      </c>
      <c r="C600" s="36" t="s">
        <v>1495</v>
      </c>
      <c r="D600" s="36" t="s">
        <v>1496</v>
      </c>
      <c r="E600" s="36" t="s">
        <v>287</v>
      </c>
      <c r="F600" s="36" t="s">
        <v>286</v>
      </c>
      <c r="G600" s="36" t="s">
        <v>411</v>
      </c>
      <c r="H600" s="37">
        <v>2.81</v>
      </c>
      <c r="I600" s="36" t="s">
        <v>1301</v>
      </c>
      <c r="J600" s="39" t="s">
        <v>1544</v>
      </c>
      <c r="K600" s="38"/>
      <c r="L600" s="38"/>
    </row>
    <row r="601" ht="22.5" customHeight="1">
      <c r="A601" s="36" t="s">
        <v>1845</v>
      </c>
      <c r="B601" s="36" t="s">
        <v>1846</v>
      </c>
      <c r="C601" s="36" t="s">
        <v>1495</v>
      </c>
      <c r="D601" s="36" t="s">
        <v>1496</v>
      </c>
      <c r="E601" s="36" t="s">
        <v>287</v>
      </c>
      <c r="F601" s="36" t="s">
        <v>286</v>
      </c>
      <c r="G601" s="36" t="s">
        <v>411</v>
      </c>
      <c r="H601" s="37">
        <v>24.06</v>
      </c>
      <c r="I601" s="36" t="s">
        <v>1301</v>
      </c>
      <c r="J601" s="39" t="s">
        <v>286</v>
      </c>
      <c r="K601" s="38"/>
      <c r="L601" s="38"/>
    </row>
    <row r="602" ht="22.5" customHeight="1">
      <c r="A602" s="36" t="s">
        <v>1847</v>
      </c>
      <c r="B602" s="36" t="s">
        <v>1848</v>
      </c>
      <c r="C602" s="36" t="s">
        <v>1495</v>
      </c>
      <c r="D602" s="36" t="s">
        <v>1496</v>
      </c>
      <c r="E602" s="36" t="s">
        <v>287</v>
      </c>
      <c r="F602" s="36" t="s">
        <v>286</v>
      </c>
      <c r="G602" s="36" t="s">
        <v>411</v>
      </c>
      <c r="H602" s="37">
        <v>0.96</v>
      </c>
      <c r="I602" s="36" t="s">
        <v>1301</v>
      </c>
      <c r="J602" s="39" t="s">
        <v>286</v>
      </c>
      <c r="K602" s="38"/>
      <c r="L602" s="38"/>
    </row>
    <row r="603" ht="22.5" customHeight="1">
      <c r="A603" s="36" t="s">
        <v>1849</v>
      </c>
      <c r="B603" s="36" t="s">
        <v>1850</v>
      </c>
      <c r="C603" s="36" t="s">
        <v>1495</v>
      </c>
      <c r="D603" s="36" t="s">
        <v>1496</v>
      </c>
      <c r="E603" s="36" t="s">
        <v>287</v>
      </c>
      <c r="F603" s="36" t="s">
        <v>286</v>
      </c>
      <c r="G603" s="36" t="s">
        <v>411</v>
      </c>
      <c r="H603" s="37">
        <v>0.65</v>
      </c>
      <c r="I603" s="36" t="s">
        <v>1301</v>
      </c>
      <c r="J603" s="39" t="s">
        <v>286</v>
      </c>
      <c r="K603" s="38"/>
      <c r="L603" s="38"/>
    </row>
    <row r="604" ht="22.5" customHeight="1">
      <c r="A604" s="36" t="s">
        <v>1851</v>
      </c>
      <c r="B604" s="36" t="s">
        <v>1852</v>
      </c>
      <c r="C604" s="36" t="s">
        <v>1495</v>
      </c>
      <c r="D604" s="36" t="s">
        <v>1496</v>
      </c>
      <c r="E604" s="36" t="s">
        <v>287</v>
      </c>
      <c r="F604" s="36" t="s">
        <v>286</v>
      </c>
      <c r="G604" s="36" t="s">
        <v>411</v>
      </c>
      <c r="H604" s="37">
        <v>1.4</v>
      </c>
      <c r="I604" s="36" t="s">
        <v>1301</v>
      </c>
      <c r="J604" s="39" t="s">
        <v>286</v>
      </c>
      <c r="K604" s="38"/>
      <c r="L604" s="38"/>
    </row>
    <row r="605" ht="22.5" customHeight="1">
      <c r="A605" s="36" t="s">
        <v>1853</v>
      </c>
      <c r="B605" s="36" t="s">
        <v>1854</v>
      </c>
      <c r="C605" s="36" t="s">
        <v>1495</v>
      </c>
      <c r="D605" s="36" t="s">
        <v>1496</v>
      </c>
      <c r="E605" s="36" t="s">
        <v>287</v>
      </c>
      <c r="F605" s="36" t="s">
        <v>286</v>
      </c>
      <c r="G605" s="36" t="s">
        <v>411</v>
      </c>
      <c r="H605" s="37">
        <v>0.71</v>
      </c>
      <c r="I605" s="36" t="s">
        <v>1301</v>
      </c>
      <c r="J605" s="39" t="s">
        <v>286</v>
      </c>
      <c r="K605" s="38"/>
      <c r="L605" s="38"/>
    </row>
    <row r="606" ht="22.5" customHeight="1">
      <c r="A606" s="36" t="s">
        <v>1855</v>
      </c>
      <c r="B606" s="36" t="s">
        <v>1856</v>
      </c>
      <c r="C606" s="36" t="s">
        <v>1495</v>
      </c>
      <c r="D606" s="36" t="s">
        <v>1496</v>
      </c>
      <c r="E606" s="36" t="s">
        <v>287</v>
      </c>
      <c r="F606" s="36" t="s">
        <v>286</v>
      </c>
      <c r="G606" s="36" t="s">
        <v>411</v>
      </c>
      <c r="H606" s="37">
        <v>0.7</v>
      </c>
      <c r="I606" s="36" t="s">
        <v>1301</v>
      </c>
      <c r="J606" s="39" t="s">
        <v>286</v>
      </c>
      <c r="K606" s="38"/>
      <c r="L606" s="38"/>
    </row>
    <row r="607" ht="22.5" customHeight="1">
      <c r="A607" s="36" t="s">
        <v>1857</v>
      </c>
      <c r="B607" s="36" t="s">
        <v>1858</v>
      </c>
      <c r="C607" s="36" t="s">
        <v>1495</v>
      </c>
      <c r="D607" s="36" t="s">
        <v>1496</v>
      </c>
      <c r="E607" s="36" t="s">
        <v>287</v>
      </c>
      <c r="F607" s="36" t="s">
        <v>286</v>
      </c>
      <c r="G607" s="36" t="s">
        <v>411</v>
      </c>
      <c r="H607" s="37">
        <v>9.26</v>
      </c>
      <c r="I607" s="36" t="s">
        <v>1301</v>
      </c>
      <c r="J607" s="39" t="s">
        <v>286</v>
      </c>
      <c r="K607" s="38"/>
      <c r="L607" s="38"/>
    </row>
    <row r="608" ht="22.5" customHeight="1">
      <c r="A608" s="36" t="s">
        <v>1859</v>
      </c>
      <c r="B608" s="36" t="s">
        <v>1860</v>
      </c>
      <c r="C608" s="36" t="s">
        <v>1495</v>
      </c>
      <c r="D608" s="36" t="s">
        <v>1496</v>
      </c>
      <c r="E608" s="36" t="s">
        <v>287</v>
      </c>
      <c r="F608" s="36" t="s">
        <v>286</v>
      </c>
      <c r="G608" s="36" t="s">
        <v>411</v>
      </c>
      <c r="H608" s="37">
        <v>0.58</v>
      </c>
      <c r="I608" s="36" t="s">
        <v>1301</v>
      </c>
      <c r="J608" s="39" t="s">
        <v>286</v>
      </c>
      <c r="K608" s="38"/>
      <c r="L608" s="38"/>
    </row>
    <row r="609" ht="22.5" customHeight="1">
      <c r="A609" s="36" t="s">
        <v>1861</v>
      </c>
      <c r="B609" s="36" t="s">
        <v>1862</v>
      </c>
      <c r="C609" s="36" t="s">
        <v>1495</v>
      </c>
      <c r="D609" s="36" t="s">
        <v>1496</v>
      </c>
      <c r="E609" s="36" t="s">
        <v>287</v>
      </c>
      <c r="F609" s="36" t="s">
        <v>286</v>
      </c>
      <c r="G609" s="36" t="s">
        <v>411</v>
      </c>
      <c r="H609" s="37">
        <v>8.46</v>
      </c>
      <c r="I609" s="36" t="s">
        <v>1301</v>
      </c>
      <c r="J609" s="39" t="s">
        <v>286</v>
      </c>
      <c r="K609" s="38"/>
      <c r="L609" s="38"/>
    </row>
    <row r="610" ht="22.5" customHeight="1">
      <c r="A610" s="36" t="s">
        <v>1863</v>
      </c>
      <c r="B610" s="36" t="s">
        <v>1864</v>
      </c>
      <c r="C610" s="36" t="s">
        <v>1495</v>
      </c>
      <c r="D610" s="36" t="s">
        <v>1496</v>
      </c>
      <c r="E610" s="36" t="s">
        <v>287</v>
      </c>
      <c r="F610" s="36" t="s">
        <v>286</v>
      </c>
      <c r="G610" s="36" t="s">
        <v>411</v>
      </c>
      <c r="H610" s="37">
        <v>0.31</v>
      </c>
      <c r="I610" s="36" t="s">
        <v>1301</v>
      </c>
      <c r="J610" s="39" t="s">
        <v>286</v>
      </c>
      <c r="K610" s="38"/>
      <c r="L610" s="38"/>
    </row>
    <row r="611" ht="22.5" customHeight="1">
      <c r="A611" s="36" t="s">
        <v>1865</v>
      </c>
      <c r="B611" s="36" t="s">
        <v>1866</v>
      </c>
      <c r="C611" s="36" t="s">
        <v>1867</v>
      </c>
      <c r="D611" s="36" t="s">
        <v>1868</v>
      </c>
      <c r="E611" s="36" t="s">
        <v>287</v>
      </c>
      <c r="F611" s="36" t="s">
        <v>286</v>
      </c>
      <c r="G611" s="36" t="s">
        <v>411</v>
      </c>
      <c r="H611" s="37">
        <v>18.21</v>
      </c>
      <c r="I611" s="36" t="s">
        <v>1301</v>
      </c>
      <c r="J611" s="39" t="s">
        <v>1869</v>
      </c>
      <c r="K611" s="38"/>
      <c r="L611" s="38"/>
    </row>
    <row r="612" ht="22.5" customHeight="1">
      <c r="A612" s="36" t="s">
        <v>1870</v>
      </c>
      <c r="B612" s="36" t="s">
        <v>1871</v>
      </c>
      <c r="C612" s="36" t="s">
        <v>1495</v>
      </c>
      <c r="D612" s="36" t="s">
        <v>1496</v>
      </c>
      <c r="E612" s="36" t="s">
        <v>287</v>
      </c>
      <c r="F612" s="36" t="s">
        <v>286</v>
      </c>
      <c r="G612" s="36" t="s">
        <v>411</v>
      </c>
      <c r="H612" s="37">
        <v>250.0</v>
      </c>
      <c r="I612" s="36" t="s">
        <v>1301</v>
      </c>
      <c r="J612" s="39" t="s">
        <v>1872</v>
      </c>
      <c r="K612" s="38"/>
      <c r="L612" s="38"/>
    </row>
    <row r="613" ht="22.5" customHeight="1">
      <c r="A613" s="36" t="s">
        <v>1873</v>
      </c>
      <c r="B613" s="36" t="s">
        <v>1874</v>
      </c>
      <c r="C613" s="36" t="s">
        <v>1495</v>
      </c>
      <c r="D613" s="36" t="s">
        <v>1496</v>
      </c>
      <c r="E613" s="36" t="s">
        <v>287</v>
      </c>
      <c r="F613" s="36" t="s">
        <v>286</v>
      </c>
      <c r="G613" s="36" t="s">
        <v>411</v>
      </c>
      <c r="H613" s="37">
        <v>27.58</v>
      </c>
      <c r="I613" s="36" t="s">
        <v>1301</v>
      </c>
      <c r="J613" s="39" t="s">
        <v>1875</v>
      </c>
      <c r="K613" s="38"/>
      <c r="L613" s="38"/>
    </row>
    <row r="614" ht="22.5" customHeight="1">
      <c r="A614" s="36" t="s">
        <v>1876</v>
      </c>
      <c r="B614" s="36" t="s">
        <v>1877</v>
      </c>
      <c r="C614" s="36" t="s">
        <v>1495</v>
      </c>
      <c r="D614" s="36" t="s">
        <v>1496</v>
      </c>
      <c r="E614" s="36" t="s">
        <v>287</v>
      </c>
      <c r="F614" s="36" t="s">
        <v>286</v>
      </c>
      <c r="G614" s="36" t="s">
        <v>411</v>
      </c>
      <c r="H614" s="37">
        <v>16.52</v>
      </c>
      <c r="I614" s="36" t="s">
        <v>1301</v>
      </c>
      <c r="J614" s="39" t="s">
        <v>1620</v>
      </c>
      <c r="K614" s="38"/>
      <c r="L614" s="38"/>
    </row>
    <row r="615" ht="22.5" customHeight="1">
      <c r="A615" s="36" t="s">
        <v>1878</v>
      </c>
      <c r="B615" s="36" t="s">
        <v>1879</v>
      </c>
      <c r="C615" s="36" t="s">
        <v>1495</v>
      </c>
      <c r="D615" s="36" t="s">
        <v>1496</v>
      </c>
      <c r="E615" s="36" t="s">
        <v>287</v>
      </c>
      <c r="F615" s="36" t="s">
        <v>286</v>
      </c>
      <c r="G615" s="36" t="s">
        <v>411</v>
      </c>
      <c r="H615" s="37">
        <v>22.29</v>
      </c>
      <c r="I615" s="36" t="s">
        <v>1301</v>
      </c>
      <c r="J615" s="39" t="s">
        <v>1620</v>
      </c>
      <c r="K615" s="38"/>
      <c r="L615" s="38"/>
    </row>
    <row r="616" ht="22.5" customHeight="1">
      <c r="A616" s="36" t="s">
        <v>1880</v>
      </c>
      <c r="B616" s="36" t="s">
        <v>1881</v>
      </c>
      <c r="C616" s="36" t="s">
        <v>1495</v>
      </c>
      <c r="D616" s="36" t="s">
        <v>1496</v>
      </c>
      <c r="E616" s="36" t="s">
        <v>287</v>
      </c>
      <c r="F616" s="36" t="s">
        <v>286</v>
      </c>
      <c r="G616" s="36" t="s">
        <v>411</v>
      </c>
      <c r="H616" s="37">
        <v>19.79</v>
      </c>
      <c r="I616" s="36" t="s">
        <v>1301</v>
      </c>
      <c r="J616" s="39" t="s">
        <v>1620</v>
      </c>
      <c r="K616" s="38"/>
      <c r="L616" s="38"/>
    </row>
    <row r="617" ht="22.5" customHeight="1">
      <c r="A617" s="36" t="s">
        <v>1882</v>
      </c>
      <c r="B617" s="36" t="s">
        <v>1883</v>
      </c>
      <c r="C617" s="36" t="s">
        <v>1495</v>
      </c>
      <c r="D617" s="36" t="s">
        <v>1496</v>
      </c>
      <c r="E617" s="36" t="s">
        <v>1285</v>
      </c>
      <c r="F617" s="36" t="s">
        <v>286</v>
      </c>
      <c r="G617" s="36" t="s">
        <v>411</v>
      </c>
      <c r="H617" s="37">
        <v>29.58</v>
      </c>
      <c r="I617" s="36" t="s">
        <v>1301</v>
      </c>
      <c r="J617" s="39" t="s">
        <v>1564</v>
      </c>
      <c r="K617" s="38"/>
      <c r="L617" s="38"/>
    </row>
    <row r="618" ht="22.5" customHeight="1">
      <c r="A618" s="36" t="s">
        <v>1884</v>
      </c>
      <c r="B618" s="36" t="s">
        <v>1885</v>
      </c>
      <c r="C618" s="36" t="s">
        <v>1495</v>
      </c>
      <c r="D618" s="36" t="s">
        <v>1496</v>
      </c>
      <c r="E618" s="36" t="s">
        <v>1285</v>
      </c>
      <c r="F618" s="36" t="s">
        <v>286</v>
      </c>
      <c r="G618" s="36" t="s">
        <v>411</v>
      </c>
      <c r="H618" s="37">
        <v>1.34</v>
      </c>
      <c r="I618" s="36" t="s">
        <v>1301</v>
      </c>
      <c r="J618" s="39" t="s">
        <v>1580</v>
      </c>
      <c r="K618" s="38"/>
      <c r="L618" s="38"/>
    </row>
    <row r="619" ht="22.5" customHeight="1">
      <c r="A619" s="36" t="s">
        <v>1886</v>
      </c>
      <c r="B619" s="36" t="s">
        <v>1887</v>
      </c>
      <c r="C619" s="36" t="s">
        <v>1495</v>
      </c>
      <c r="D619" s="36" t="s">
        <v>1496</v>
      </c>
      <c r="E619" s="36" t="s">
        <v>1285</v>
      </c>
      <c r="F619" s="36" t="s">
        <v>286</v>
      </c>
      <c r="G619" s="36" t="s">
        <v>411</v>
      </c>
      <c r="H619" s="37">
        <v>0.87</v>
      </c>
      <c r="I619" s="36" t="s">
        <v>1301</v>
      </c>
      <c r="J619" s="39" t="s">
        <v>1518</v>
      </c>
      <c r="K619" s="38"/>
      <c r="L619" s="38"/>
    </row>
    <row r="620" ht="22.5" customHeight="1">
      <c r="A620" s="36" t="s">
        <v>1888</v>
      </c>
      <c r="B620" s="36" t="s">
        <v>1889</v>
      </c>
      <c r="C620" s="36" t="s">
        <v>1495</v>
      </c>
      <c r="D620" s="36" t="s">
        <v>1496</v>
      </c>
      <c r="E620" s="36" t="s">
        <v>1285</v>
      </c>
      <c r="F620" s="36" t="s">
        <v>286</v>
      </c>
      <c r="G620" s="36" t="s">
        <v>411</v>
      </c>
      <c r="H620" s="37">
        <v>1.6</v>
      </c>
      <c r="I620" s="36" t="s">
        <v>1301</v>
      </c>
      <c r="J620" s="39" t="s">
        <v>1518</v>
      </c>
      <c r="K620" s="38"/>
      <c r="L620" s="38"/>
    </row>
    <row r="621" ht="22.5" customHeight="1">
      <c r="A621" s="36" t="s">
        <v>1890</v>
      </c>
      <c r="B621" s="36" t="s">
        <v>1891</v>
      </c>
      <c r="C621" s="36" t="s">
        <v>1495</v>
      </c>
      <c r="D621" s="36" t="s">
        <v>1496</v>
      </c>
      <c r="E621" s="36" t="s">
        <v>1285</v>
      </c>
      <c r="F621" s="36" t="s">
        <v>286</v>
      </c>
      <c r="G621" s="36" t="s">
        <v>411</v>
      </c>
      <c r="H621" s="37">
        <v>31.5</v>
      </c>
      <c r="I621" s="36" t="s">
        <v>1301</v>
      </c>
      <c r="J621" s="39" t="s">
        <v>1872</v>
      </c>
      <c r="K621" s="38"/>
      <c r="L621" s="38"/>
    </row>
    <row r="622" ht="22.5" customHeight="1">
      <c r="A622" s="36" t="s">
        <v>1892</v>
      </c>
      <c r="B622" s="36" t="s">
        <v>1893</v>
      </c>
      <c r="C622" s="36" t="s">
        <v>1495</v>
      </c>
      <c r="D622" s="36" t="s">
        <v>1496</v>
      </c>
      <c r="E622" s="36" t="s">
        <v>1285</v>
      </c>
      <c r="F622" s="36" t="s">
        <v>286</v>
      </c>
      <c r="G622" s="36" t="s">
        <v>411</v>
      </c>
      <c r="H622" s="37">
        <v>0.56</v>
      </c>
      <c r="I622" s="36" t="s">
        <v>1301</v>
      </c>
      <c r="J622" s="39" t="s">
        <v>1544</v>
      </c>
      <c r="K622" s="38"/>
      <c r="L622" s="38"/>
    </row>
    <row r="623" ht="22.5" customHeight="1">
      <c r="A623" s="36" t="s">
        <v>1894</v>
      </c>
      <c r="B623" s="36" t="s">
        <v>1895</v>
      </c>
      <c r="C623" s="36" t="s">
        <v>1495</v>
      </c>
      <c r="D623" s="36" t="s">
        <v>1496</v>
      </c>
      <c r="E623" s="36" t="s">
        <v>1285</v>
      </c>
      <c r="F623" s="36" t="s">
        <v>286</v>
      </c>
      <c r="G623" s="36" t="s">
        <v>411</v>
      </c>
      <c r="H623" s="37">
        <v>5.2</v>
      </c>
      <c r="I623" s="36" t="s">
        <v>1301</v>
      </c>
      <c r="J623" s="39" t="s">
        <v>1760</v>
      </c>
      <c r="K623" s="38"/>
      <c r="L623" s="38"/>
    </row>
    <row r="624" ht="22.5" customHeight="1">
      <c r="A624" s="36" t="s">
        <v>1896</v>
      </c>
      <c r="B624" s="36" t="s">
        <v>1897</v>
      </c>
      <c r="C624" s="36" t="s">
        <v>1495</v>
      </c>
      <c r="D624" s="36" t="s">
        <v>1496</v>
      </c>
      <c r="E624" s="36" t="s">
        <v>1285</v>
      </c>
      <c r="F624" s="36" t="s">
        <v>286</v>
      </c>
      <c r="G624" s="36" t="s">
        <v>411</v>
      </c>
      <c r="H624" s="37">
        <v>0.77</v>
      </c>
      <c r="I624" s="36" t="s">
        <v>1301</v>
      </c>
      <c r="J624" s="39" t="s">
        <v>1544</v>
      </c>
      <c r="K624" s="38"/>
      <c r="L624" s="38"/>
    </row>
    <row r="625" ht="22.5" customHeight="1">
      <c r="A625" s="36" t="s">
        <v>1898</v>
      </c>
      <c r="B625" s="36" t="s">
        <v>1899</v>
      </c>
      <c r="C625" s="36" t="s">
        <v>1495</v>
      </c>
      <c r="D625" s="36" t="s">
        <v>1496</v>
      </c>
      <c r="E625" s="36" t="s">
        <v>1285</v>
      </c>
      <c r="F625" s="36" t="s">
        <v>286</v>
      </c>
      <c r="G625" s="36" t="s">
        <v>411</v>
      </c>
      <c r="H625" s="37">
        <v>0.88</v>
      </c>
      <c r="I625" s="36" t="s">
        <v>1301</v>
      </c>
      <c r="J625" s="39" t="s">
        <v>1544</v>
      </c>
      <c r="K625" s="38"/>
      <c r="L625" s="38"/>
    </row>
    <row r="626" ht="22.5" customHeight="1">
      <c r="A626" s="36" t="s">
        <v>1900</v>
      </c>
      <c r="B626" s="36" t="s">
        <v>1901</v>
      </c>
      <c r="C626" s="36" t="s">
        <v>1495</v>
      </c>
      <c r="D626" s="36" t="s">
        <v>1496</v>
      </c>
      <c r="E626" s="36" t="s">
        <v>1285</v>
      </c>
      <c r="F626" s="36" t="s">
        <v>286</v>
      </c>
      <c r="G626" s="36" t="s">
        <v>411</v>
      </c>
      <c r="H626" s="37">
        <v>0.88</v>
      </c>
      <c r="I626" s="36" t="s">
        <v>1301</v>
      </c>
      <c r="J626" s="39" t="s">
        <v>1544</v>
      </c>
      <c r="K626" s="38"/>
      <c r="L626" s="38"/>
    </row>
    <row r="627" ht="22.5" customHeight="1">
      <c r="A627" s="36" t="s">
        <v>1902</v>
      </c>
      <c r="B627" s="36" t="s">
        <v>1903</v>
      </c>
      <c r="C627" s="36" t="s">
        <v>1495</v>
      </c>
      <c r="D627" s="36" t="s">
        <v>1496</v>
      </c>
      <c r="E627" s="36" t="s">
        <v>1285</v>
      </c>
      <c r="F627" s="36" t="s">
        <v>286</v>
      </c>
      <c r="G627" s="36" t="s">
        <v>411</v>
      </c>
      <c r="H627" s="37">
        <v>0.88</v>
      </c>
      <c r="I627" s="36" t="s">
        <v>1301</v>
      </c>
      <c r="J627" s="39" t="s">
        <v>1544</v>
      </c>
      <c r="K627" s="38"/>
      <c r="L627" s="38"/>
    </row>
    <row r="628" ht="22.5" customHeight="1">
      <c r="A628" s="36" t="s">
        <v>1904</v>
      </c>
      <c r="B628" s="36" t="s">
        <v>1905</v>
      </c>
      <c r="C628" s="36" t="s">
        <v>1495</v>
      </c>
      <c r="D628" s="36" t="s">
        <v>1496</v>
      </c>
      <c r="E628" s="36" t="s">
        <v>1285</v>
      </c>
      <c r="F628" s="36" t="s">
        <v>286</v>
      </c>
      <c r="G628" s="36" t="s">
        <v>411</v>
      </c>
      <c r="H628" s="37">
        <v>0.81</v>
      </c>
      <c r="I628" s="36" t="s">
        <v>1301</v>
      </c>
      <c r="J628" s="39" t="s">
        <v>1544</v>
      </c>
      <c r="K628" s="38"/>
      <c r="L628" s="38"/>
    </row>
    <row r="629" ht="22.5" customHeight="1">
      <c r="A629" s="36" t="s">
        <v>1906</v>
      </c>
      <c r="B629" s="36" t="s">
        <v>1907</v>
      </c>
      <c r="C629" s="36" t="s">
        <v>1495</v>
      </c>
      <c r="D629" s="36" t="s">
        <v>1496</v>
      </c>
      <c r="E629" s="36" t="s">
        <v>1285</v>
      </c>
      <c r="F629" s="36" t="s">
        <v>286</v>
      </c>
      <c r="G629" s="36" t="s">
        <v>411</v>
      </c>
      <c r="H629" s="37">
        <v>3.36</v>
      </c>
      <c r="I629" s="36" t="s">
        <v>1301</v>
      </c>
      <c r="J629" s="39" t="s">
        <v>1518</v>
      </c>
      <c r="K629" s="38"/>
      <c r="L629" s="38"/>
    </row>
    <row r="630" ht="22.5" customHeight="1">
      <c r="A630" s="36" t="s">
        <v>1908</v>
      </c>
      <c r="B630" s="36" t="s">
        <v>1909</v>
      </c>
      <c r="C630" s="36" t="s">
        <v>1495</v>
      </c>
      <c r="D630" s="36" t="s">
        <v>1496</v>
      </c>
      <c r="E630" s="36" t="s">
        <v>1285</v>
      </c>
      <c r="F630" s="36" t="s">
        <v>286</v>
      </c>
      <c r="G630" s="36" t="s">
        <v>411</v>
      </c>
      <c r="H630" s="37">
        <v>0.3</v>
      </c>
      <c r="I630" s="36" t="s">
        <v>1301</v>
      </c>
      <c r="J630" s="39" t="s">
        <v>1872</v>
      </c>
      <c r="K630" s="38"/>
      <c r="L630" s="38"/>
    </row>
    <row r="631" ht="22.5" customHeight="1">
      <c r="A631" s="36" t="s">
        <v>1910</v>
      </c>
      <c r="B631" s="36" t="s">
        <v>1911</v>
      </c>
      <c r="C631" s="36" t="s">
        <v>1495</v>
      </c>
      <c r="D631" s="36" t="s">
        <v>1496</v>
      </c>
      <c r="E631" s="36" t="s">
        <v>1285</v>
      </c>
      <c r="F631" s="36" t="s">
        <v>286</v>
      </c>
      <c r="G631" s="36" t="s">
        <v>411</v>
      </c>
      <c r="H631" s="37">
        <v>2.97</v>
      </c>
      <c r="I631" s="36" t="s">
        <v>1301</v>
      </c>
      <c r="J631" s="39" t="s">
        <v>1760</v>
      </c>
      <c r="K631" s="38"/>
      <c r="L631" s="38"/>
    </row>
    <row r="632" ht="22.5" customHeight="1">
      <c r="A632" s="36" t="s">
        <v>1912</v>
      </c>
      <c r="B632" s="36" t="s">
        <v>1913</v>
      </c>
      <c r="C632" s="36" t="s">
        <v>1495</v>
      </c>
      <c r="D632" s="36" t="s">
        <v>1496</v>
      </c>
      <c r="E632" s="36" t="s">
        <v>1285</v>
      </c>
      <c r="F632" s="36" t="s">
        <v>286</v>
      </c>
      <c r="G632" s="36" t="s">
        <v>411</v>
      </c>
      <c r="H632" s="37">
        <v>4.66</v>
      </c>
      <c r="I632" s="36" t="s">
        <v>1301</v>
      </c>
      <c r="J632" s="39" t="s">
        <v>1544</v>
      </c>
      <c r="K632" s="38"/>
      <c r="L632" s="38"/>
    </row>
    <row r="633" ht="22.5" customHeight="1">
      <c r="A633" s="36" t="s">
        <v>1914</v>
      </c>
      <c r="B633" s="36" t="s">
        <v>1915</v>
      </c>
      <c r="C633" s="36" t="s">
        <v>1495</v>
      </c>
      <c r="D633" s="36" t="s">
        <v>1496</v>
      </c>
      <c r="E633" s="36" t="s">
        <v>1285</v>
      </c>
      <c r="F633" s="36" t="s">
        <v>286</v>
      </c>
      <c r="G633" s="36" t="s">
        <v>411</v>
      </c>
      <c r="H633" s="37">
        <v>0.31</v>
      </c>
      <c r="I633" s="36" t="s">
        <v>1301</v>
      </c>
      <c r="J633" s="39" t="s">
        <v>1544</v>
      </c>
      <c r="K633" s="38"/>
      <c r="L633" s="38"/>
    </row>
    <row r="634" ht="22.5" customHeight="1">
      <c r="A634" s="36" t="s">
        <v>1916</v>
      </c>
      <c r="B634" s="36" t="s">
        <v>1917</v>
      </c>
      <c r="C634" s="36" t="s">
        <v>1495</v>
      </c>
      <c r="D634" s="36" t="s">
        <v>1496</v>
      </c>
      <c r="E634" s="36" t="s">
        <v>1285</v>
      </c>
      <c r="F634" s="36" t="s">
        <v>286</v>
      </c>
      <c r="G634" s="36" t="s">
        <v>411</v>
      </c>
      <c r="H634" s="37">
        <v>1.0</v>
      </c>
      <c r="I634" s="36" t="s">
        <v>1301</v>
      </c>
      <c r="J634" s="39" t="s">
        <v>1577</v>
      </c>
      <c r="K634" s="38"/>
      <c r="L634" s="38"/>
    </row>
    <row r="635" ht="22.5" customHeight="1">
      <c r="A635" s="36" t="s">
        <v>1918</v>
      </c>
      <c r="B635" s="36" t="s">
        <v>1919</v>
      </c>
      <c r="C635" s="36" t="s">
        <v>1495</v>
      </c>
      <c r="D635" s="36" t="s">
        <v>1496</v>
      </c>
      <c r="E635" s="36" t="s">
        <v>1285</v>
      </c>
      <c r="F635" s="36" t="s">
        <v>286</v>
      </c>
      <c r="G635" s="36" t="s">
        <v>411</v>
      </c>
      <c r="H635" s="37">
        <v>30.5</v>
      </c>
      <c r="I635" s="36" t="s">
        <v>1301</v>
      </c>
      <c r="J635" s="39" t="s">
        <v>1920</v>
      </c>
      <c r="K635" s="38"/>
      <c r="L635" s="38"/>
    </row>
    <row r="636" ht="22.5" customHeight="1">
      <c r="A636" s="36" t="s">
        <v>1921</v>
      </c>
      <c r="B636" s="36" t="s">
        <v>1922</v>
      </c>
      <c r="C636" s="36" t="s">
        <v>1495</v>
      </c>
      <c r="D636" s="36" t="s">
        <v>1496</v>
      </c>
      <c r="E636" s="36" t="s">
        <v>1285</v>
      </c>
      <c r="F636" s="36" t="s">
        <v>286</v>
      </c>
      <c r="G636" s="36" t="s">
        <v>411</v>
      </c>
      <c r="H636" s="37">
        <v>26.5</v>
      </c>
      <c r="I636" s="36" t="s">
        <v>1301</v>
      </c>
      <c r="J636" s="39" t="s">
        <v>1923</v>
      </c>
      <c r="K636" s="38"/>
      <c r="L636" s="38"/>
    </row>
    <row r="637" ht="22.5" customHeight="1">
      <c r="A637" s="36" t="s">
        <v>1924</v>
      </c>
      <c r="B637" s="36" t="s">
        <v>1925</v>
      </c>
      <c r="C637" s="36" t="s">
        <v>1495</v>
      </c>
      <c r="D637" s="36" t="s">
        <v>1496</v>
      </c>
      <c r="E637" s="36" t="s">
        <v>1285</v>
      </c>
      <c r="F637" s="36" t="s">
        <v>286</v>
      </c>
      <c r="G637" s="36" t="s">
        <v>411</v>
      </c>
      <c r="H637" s="37">
        <v>3.19</v>
      </c>
      <c r="I637" s="36" t="s">
        <v>1301</v>
      </c>
      <c r="J637" s="39" t="s">
        <v>1923</v>
      </c>
      <c r="K637" s="38"/>
      <c r="L637" s="38"/>
    </row>
    <row r="638" ht="22.5" customHeight="1">
      <c r="A638" s="36" t="s">
        <v>1926</v>
      </c>
      <c r="B638" s="36" t="s">
        <v>1927</v>
      </c>
      <c r="C638" s="36" t="s">
        <v>1495</v>
      </c>
      <c r="D638" s="36" t="s">
        <v>1496</v>
      </c>
      <c r="E638" s="36" t="s">
        <v>1285</v>
      </c>
      <c r="F638" s="36" t="s">
        <v>286</v>
      </c>
      <c r="G638" s="36" t="s">
        <v>411</v>
      </c>
      <c r="H638" s="37">
        <v>120.83</v>
      </c>
      <c r="I638" s="36" t="s">
        <v>1301</v>
      </c>
      <c r="J638" s="39" t="s">
        <v>1541</v>
      </c>
      <c r="K638" s="38"/>
      <c r="L638" s="38"/>
    </row>
    <row r="639" ht="22.5" customHeight="1">
      <c r="A639" s="36" t="s">
        <v>1928</v>
      </c>
      <c r="B639" s="36" t="s">
        <v>1929</v>
      </c>
      <c r="C639" s="36" t="s">
        <v>1495</v>
      </c>
      <c r="D639" s="36" t="s">
        <v>1496</v>
      </c>
      <c r="E639" s="36" t="s">
        <v>1285</v>
      </c>
      <c r="F639" s="36" t="s">
        <v>286</v>
      </c>
      <c r="G639" s="36" t="s">
        <v>411</v>
      </c>
      <c r="H639" s="37">
        <v>35.0</v>
      </c>
      <c r="I639" s="36" t="s">
        <v>1301</v>
      </c>
      <c r="J639" s="39" t="s">
        <v>1552</v>
      </c>
      <c r="K639" s="38"/>
      <c r="L639" s="38"/>
    </row>
    <row r="640" ht="22.5" customHeight="1">
      <c r="A640" s="36" t="s">
        <v>1930</v>
      </c>
      <c r="B640" s="36" t="s">
        <v>1931</v>
      </c>
      <c r="C640" s="36" t="s">
        <v>1495</v>
      </c>
      <c r="D640" s="36" t="s">
        <v>1496</v>
      </c>
      <c r="E640" s="36" t="s">
        <v>1285</v>
      </c>
      <c r="F640" s="36" t="s">
        <v>286</v>
      </c>
      <c r="G640" s="36" t="s">
        <v>411</v>
      </c>
      <c r="H640" s="37">
        <v>46.53</v>
      </c>
      <c r="I640" s="36" t="s">
        <v>1301</v>
      </c>
      <c r="J640" s="39" t="s">
        <v>1923</v>
      </c>
      <c r="K640" s="38"/>
      <c r="L640" s="38"/>
    </row>
    <row r="641" ht="22.5" customHeight="1">
      <c r="A641" s="36" t="s">
        <v>1932</v>
      </c>
      <c r="B641" s="36" t="s">
        <v>1933</v>
      </c>
      <c r="C641" s="36" t="s">
        <v>1495</v>
      </c>
      <c r="D641" s="36" t="s">
        <v>1496</v>
      </c>
      <c r="E641" s="36" t="s">
        <v>1285</v>
      </c>
      <c r="F641" s="36" t="s">
        <v>286</v>
      </c>
      <c r="G641" s="36" t="s">
        <v>411</v>
      </c>
      <c r="H641" s="37">
        <v>4.55</v>
      </c>
      <c r="I641" s="36" t="s">
        <v>1301</v>
      </c>
      <c r="J641" s="39" t="s">
        <v>1541</v>
      </c>
      <c r="K641" s="38"/>
      <c r="L641" s="38"/>
    </row>
    <row r="642" ht="22.5" customHeight="1">
      <c r="A642" s="36" t="s">
        <v>1934</v>
      </c>
      <c r="B642" s="36" t="s">
        <v>1935</v>
      </c>
      <c r="C642" s="36" t="s">
        <v>1495</v>
      </c>
      <c r="D642" s="36" t="s">
        <v>1496</v>
      </c>
      <c r="E642" s="36" t="s">
        <v>1285</v>
      </c>
      <c r="F642" s="36" t="s">
        <v>286</v>
      </c>
      <c r="G642" s="36" t="s">
        <v>411</v>
      </c>
      <c r="H642" s="37">
        <v>6.9</v>
      </c>
      <c r="I642" s="36" t="s">
        <v>1301</v>
      </c>
      <c r="J642" s="39" t="s">
        <v>1936</v>
      </c>
      <c r="K642" s="38"/>
      <c r="L642" s="38"/>
    </row>
    <row r="643" ht="22.5" customHeight="1">
      <c r="A643" s="36" t="s">
        <v>1937</v>
      </c>
      <c r="B643" s="36" t="s">
        <v>1938</v>
      </c>
      <c r="C643" s="36" t="s">
        <v>1495</v>
      </c>
      <c r="D643" s="36" t="s">
        <v>1496</v>
      </c>
      <c r="E643" s="36" t="s">
        <v>1285</v>
      </c>
      <c r="F643" s="36" t="s">
        <v>286</v>
      </c>
      <c r="G643" s="36" t="s">
        <v>411</v>
      </c>
      <c r="H643" s="37">
        <v>5.03</v>
      </c>
      <c r="I643" s="36" t="s">
        <v>1301</v>
      </c>
      <c r="J643" s="39" t="s">
        <v>1936</v>
      </c>
      <c r="K643" s="38"/>
      <c r="L643" s="38"/>
    </row>
    <row r="644" ht="22.5" customHeight="1">
      <c r="A644" s="36" t="s">
        <v>1939</v>
      </c>
      <c r="B644" s="36" t="s">
        <v>1940</v>
      </c>
      <c r="C644" s="36" t="s">
        <v>1495</v>
      </c>
      <c r="D644" s="36" t="s">
        <v>1496</v>
      </c>
      <c r="E644" s="36" t="s">
        <v>1285</v>
      </c>
      <c r="F644" s="36" t="s">
        <v>286</v>
      </c>
      <c r="G644" s="36" t="s">
        <v>411</v>
      </c>
      <c r="H644" s="37">
        <v>1.14</v>
      </c>
      <c r="I644" s="36" t="s">
        <v>1301</v>
      </c>
      <c r="J644" s="39" t="s">
        <v>1941</v>
      </c>
      <c r="K644" s="38"/>
      <c r="L644" s="38"/>
    </row>
    <row r="645" ht="22.5" customHeight="1">
      <c r="A645" s="36" t="s">
        <v>1942</v>
      </c>
      <c r="B645" s="36" t="s">
        <v>1943</v>
      </c>
      <c r="C645" s="36" t="s">
        <v>286</v>
      </c>
      <c r="D645" s="36" t="s">
        <v>286</v>
      </c>
      <c r="E645" s="36" t="s">
        <v>287</v>
      </c>
      <c r="F645" s="36" t="s">
        <v>286</v>
      </c>
      <c r="G645" s="36" t="s">
        <v>411</v>
      </c>
      <c r="H645" s="37">
        <v>1.21</v>
      </c>
      <c r="I645" s="36" t="s">
        <v>1301</v>
      </c>
      <c r="J645" s="39" t="s">
        <v>1941</v>
      </c>
      <c r="K645" s="38"/>
      <c r="L645" s="38"/>
    </row>
    <row r="646" ht="22.5" customHeight="1">
      <c r="A646" s="36" t="s">
        <v>1944</v>
      </c>
      <c r="B646" s="36" t="s">
        <v>1945</v>
      </c>
      <c r="C646" s="36" t="s">
        <v>1495</v>
      </c>
      <c r="D646" s="36" t="s">
        <v>1496</v>
      </c>
      <c r="E646" s="36" t="s">
        <v>1285</v>
      </c>
      <c r="F646" s="36" t="s">
        <v>286</v>
      </c>
      <c r="G646" s="36" t="s">
        <v>411</v>
      </c>
      <c r="H646" s="37">
        <v>36.74</v>
      </c>
      <c r="I646" s="36" t="s">
        <v>1301</v>
      </c>
      <c r="J646" s="39" t="s">
        <v>1564</v>
      </c>
      <c r="K646" s="38"/>
      <c r="L646" s="38"/>
    </row>
    <row r="647" ht="22.5" customHeight="1">
      <c r="A647" s="36" t="s">
        <v>1946</v>
      </c>
      <c r="B647" s="36" t="s">
        <v>1947</v>
      </c>
      <c r="C647" s="36" t="s">
        <v>1495</v>
      </c>
      <c r="D647" s="36" t="s">
        <v>1496</v>
      </c>
      <c r="E647" s="36" t="s">
        <v>1285</v>
      </c>
      <c r="F647" s="36" t="s">
        <v>286</v>
      </c>
      <c r="G647" s="36" t="s">
        <v>411</v>
      </c>
      <c r="H647" s="37">
        <v>54.65</v>
      </c>
      <c r="I647" s="36" t="s">
        <v>1301</v>
      </c>
      <c r="J647" s="39" t="s">
        <v>1564</v>
      </c>
      <c r="K647" s="38"/>
      <c r="L647" s="38"/>
    </row>
    <row r="648" ht="22.5" customHeight="1">
      <c r="A648" s="36" t="s">
        <v>1948</v>
      </c>
      <c r="B648" s="36" t="s">
        <v>1949</v>
      </c>
      <c r="C648" s="36" t="s">
        <v>1495</v>
      </c>
      <c r="D648" s="36" t="s">
        <v>1496</v>
      </c>
      <c r="E648" s="36" t="s">
        <v>1285</v>
      </c>
      <c r="F648" s="36" t="s">
        <v>286</v>
      </c>
      <c r="G648" s="36" t="s">
        <v>411</v>
      </c>
      <c r="H648" s="37">
        <v>25.43</v>
      </c>
      <c r="I648" s="36" t="s">
        <v>1301</v>
      </c>
      <c r="J648" s="39" t="s">
        <v>1564</v>
      </c>
      <c r="K648" s="38"/>
      <c r="L648" s="38"/>
    </row>
    <row r="649" ht="22.5" customHeight="1">
      <c r="A649" s="36" t="s">
        <v>1950</v>
      </c>
      <c r="B649" s="36" t="s">
        <v>1951</v>
      </c>
      <c r="C649" s="36" t="s">
        <v>1495</v>
      </c>
      <c r="D649" s="36" t="s">
        <v>1496</v>
      </c>
      <c r="E649" s="36" t="s">
        <v>1285</v>
      </c>
      <c r="F649" s="36" t="s">
        <v>286</v>
      </c>
      <c r="G649" s="36" t="s">
        <v>411</v>
      </c>
      <c r="H649" s="37">
        <v>64.67</v>
      </c>
      <c r="I649" s="36" t="s">
        <v>1301</v>
      </c>
      <c r="J649" s="39" t="s">
        <v>1585</v>
      </c>
      <c r="K649" s="38"/>
      <c r="L649" s="38"/>
    </row>
    <row r="650" ht="22.5" customHeight="1">
      <c r="A650" s="36" t="s">
        <v>1952</v>
      </c>
      <c r="B650" s="36" t="s">
        <v>1953</v>
      </c>
      <c r="C650" s="36" t="s">
        <v>1495</v>
      </c>
      <c r="D650" s="36" t="s">
        <v>1496</v>
      </c>
      <c r="E650" s="36" t="s">
        <v>1285</v>
      </c>
      <c r="F650" s="36" t="s">
        <v>286</v>
      </c>
      <c r="G650" s="36" t="s">
        <v>411</v>
      </c>
      <c r="H650" s="37">
        <v>21.81</v>
      </c>
      <c r="I650" s="36" t="s">
        <v>1301</v>
      </c>
      <c r="J650" s="39" t="s">
        <v>1585</v>
      </c>
      <c r="K650" s="38"/>
      <c r="L650" s="38"/>
    </row>
    <row r="651" ht="22.5" customHeight="1">
      <c r="A651" s="36" t="s">
        <v>1954</v>
      </c>
      <c r="B651" s="36" t="s">
        <v>1955</v>
      </c>
      <c r="C651" s="36" t="s">
        <v>1495</v>
      </c>
      <c r="D651" s="36" t="s">
        <v>1496</v>
      </c>
      <c r="E651" s="36" t="s">
        <v>1285</v>
      </c>
      <c r="F651" s="36" t="s">
        <v>286</v>
      </c>
      <c r="G651" s="36" t="s">
        <v>411</v>
      </c>
      <c r="H651" s="37">
        <v>34.0</v>
      </c>
      <c r="I651" s="36" t="s">
        <v>1301</v>
      </c>
      <c r="J651" s="39" t="s">
        <v>1585</v>
      </c>
      <c r="K651" s="38"/>
      <c r="L651" s="38"/>
    </row>
    <row r="652" ht="22.5" customHeight="1">
      <c r="A652" s="36" t="s">
        <v>1956</v>
      </c>
      <c r="B652" s="36" t="s">
        <v>1957</v>
      </c>
      <c r="C652" s="36" t="s">
        <v>1495</v>
      </c>
      <c r="D652" s="36" t="s">
        <v>1496</v>
      </c>
      <c r="E652" s="36" t="s">
        <v>1285</v>
      </c>
      <c r="F652" s="36" t="s">
        <v>286</v>
      </c>
      <c r="G652" s="36" t="s">
        <v>411</v>
      </c>
      <c r="H652" s="37">
        <v>15.12</v>
      </c>
      <c r="I652" s="36" t="s">
        <v>1301</v>
      </c>
      <c r="J652" s="39" t="s">
        <v>1577</v>
      </c>
      <c r="K652" s="38"/>
      <c r="L652" s="38"/>
    </row>
    <row r="653" ht="22.5" customHeight="1">
      <c r="A653" s="36" t="s">
        <v>1958</v>
      </c>
      <c r="B653" s="36" t="s">
        <v>1959</v>
      </c>
      <c r="C653" s="36" t="s">
        <v>1495</v>
      </c>
      <c r="D653" s="36" t="s">
        <v>1496</v>
      </c>
      <c r="E653" s="36" t="s">
        <v>1285</v>
      </c>
      <c r="F653" s="36" t="s">
        <v>286</v>
      </c>
      <c r="G653" s="36" t="s">
        <v>411</v>
      </c>
      <c r="H653" s="37">
        <v>10.45</v>
      </c>
      <c r="I653" s="36" t="s">
        <v>1301</v>
      </c>
      <c r="J653" s="39" t="s">
        <v>1564</v>
      </c>
      <c r="K653" s="38"/>
      <c r="L653" s="38"/>
    </row>
    <row r="654" ht="22.5" customHeight="1">
      <c r="A654" s="36" t="s">
        <v>1960</v>
      </c>
      <c r="B654" s="36" t="s">
        <v>1961</v>
      </c>
      <c r="C654" s="36" t="s">
        <v>1495</v>
      </c>
      <c r="D654" s="36" t="s">
        <v>1496</v>
      </c>
      <c r="E654" s="36" t="s">
        <v>1285</v>
      </c>
      <c r="F654" s="36" t="s">
        <v>286</v>
      </c>
      <c r="G654" s="36" t="s">
        <v>411</v>
      </c>
      <c r="H654" s="37">
        <v>4.74</v>
      </c>
      <c r="I654" s="36" t="s">
        <v>1301</v>
      </c>
      <c r="J654" s="39" t="s">
        <v>1518</v>
      </c>
      <c r="K654" s="38"/>
      <c r="L654" s="38"/>
    </row>
    <row r="655" ht="22.5" customHeight="1">
      <c r="A655" s="36" t="s">
        <v>1962</v>
      </c>
      <c r="B655" s="36" t="s">
        <v>1963</v>
      </c>
      <c r="C655" s="36" t="s">
        <v>1495</v>
      </c>
      <c r="D655" s="36" t="s">
        <v>1496</v>
      </c>
      <c r="E655" s="36" t="s">
        <v>1285</v>
      </c>
      <c r="F655" s="36" t="s">
        <v>286</v>
      </c>
      <c r="G655" s="36" t="s">
        <v>411</v>
      </c>
      <c r="H655" s="37">
        <v>18.28</v>
      </c>
      <c r="I655" s="36" t="s">
        <v>1301</v>
      </c>
      <c r="J655" s="39" t="s">
        <v>1964</v>
      </c>
      <c r="K655" s="38"/>
      <c r="L655" s="38"/>
    </row>
    <row r="656" ht="22.5" customHeight="1">
      <c r="A656" s="36" t="s">
        <v>1965</v>
      </c>
      <c r="B656" s="36" t="s">
        <v>1966</v>
      </c>
      <c r="C656" s="36" t="s">
        <v>1495</v>
      </c>
      <c r="D656" s="36" t="s">
        <v>1496</v>
      </c>
      <c r="E656" s="36" t="s">
        <v>1285</v>
      </c>
      <c r="F656" s="36" t="s">
        <v>286</v>
      </c>
      <c r="G656" s="36" t="s">
        <v>411</v>
      </c>
      <c r="H656" s="37">
        <v>12.99</v>
      </c>
      <c r="I656" s="36" t="s">
        <v>1301</v>
      </c>
      <c r="J656" s="39" t="s">
        <v>1964</v>
      </c>
      <c r="K656" s="38"/>
      <c r="L656" s="38"/>
    </row>
    <row r="657" ht="22.5" customHeight="1">
      <c r="A657" s="36" t="s">
        <v>1967</v>
      </c>
      <c r="B657" s="36" t="s">
        <v>1968</v>
      </c>
      <c r="C657" s="36" t="s">
        <v>1495</v>
      </c>
      <c r="D657" s="36" t="s">
        <v>1496</v>
      </c>
      <c r="E657" s="36" t="s">
        <v>1285</v>
      </c>
      <c r="F657" s="36" t="s">
        <v>286</v>
      </c>
      <c r="G657" s="36" t="s">
        <v>411</v>
      </c>
      <c r="H657" s="37">
        <v>13.77</v>
      </c>
      <c r="I657" s="36" t="s">
        <v>1301</v>
      </c>
      <c r="J657" s="39" t="s">
        <v>1964</v>
      </c>
      <c r="K657" s="38"/>
      <c r="L657" s="38"/>
    </row>
    <row r="658" ht="22.5" customHeight="1">
      <c r="A658" s="36" t="s">
        <v>1969</v>
      </c>
      <c r="B658" s="36" t="s">
        <v>1970</v>
      </c>
      <c r="C658" s="36" t="s">
        <v>1495</v>
      </c>
      <c r="D658" s="36" t="s">
        <v>1496</v>
      </c>
      <c r="E658" s="36" t="s">
        <v>1285</v>
      </c>
      <c r="F658" s="36" t="s">
        <v>286</v>
      </c>
      <c r="G658" s="36" t="s">
        <v>411</v>
      </c>
      <c r="H658" s="37">
        <v>12.06</v>
      </c>
      <c r="I658" s="36" t="s">
        <v>1301</v>
      </c>
      <c r="J658" s="39" t="s">
        <v>1964</v>
      </c>
      <c r="K658" s="38"/>
      <c r="L658" s="38"/>
    </row>
    <row r="659" ht="22.5" customHeight="1">
      <c r="A659" s="36" t="s">
        <v>1971</v>
      </c>
      <c r="B659" s="36" t="s">
        <v>1972</v>
      </c>
      <c r="C659" s="36" t="s">
        <v>1495</v>
      </c>
      <c r="D659" s="36" t="s">
        <v>1496</v>
      </c>
      <c r="E659" s="36" t="s">
        <v>1285</v>
      </c>
      <c r="F659" s="36" t="s">
        <v>286</v>
      </c>
      <c r="G659" s="36" t="s">
        <v>411</v>
      </c>
      <c r="H659" s="37">
        <v>10.66</v>
      </c>
      <c r="I659" s="36" t="s">
        <v>1301</v>
      </c>
      <c r="J659" s="39" t="s">
        <v>1964</v>
      </c>
      <c r="K659" s="38"/>
      <c r="L659" s="38"/>
    </row>
    <row r="660" ht="22.5" customHeight="1">
      <c r="A660" s="36" t="s">
        <v>1973</v>
      </c>
      <c r="B660" s="36" t="s">
        <v>1974</v>
      </c>
      <c r="C660" s="36" t="s">
        <v>1495</v>
      </c>
      <c r="D660" s="36" t="s">
        <v>1496</v>
      </c>
      <c r="E660" s="36" t="s">
        <v>1285</v>
      </c>
      <c r="F660" s="36" t="s">
        <v>286</v>
      </c>
      <c r="G660" s="36" t="s">
        <v>411</v>
      </c>
      <c r="H660" s="37">
        <v>63.26</v>
      </c>
      <c r="I660" s="36" t="s">
        <v>1301</v>
      </c>
      <c r="J660" s="39" t="s">
        <v>1975</v>
      </c>
      <c r="K660" s="38"/>
      <c r="L660" s="38"/>
    </row>
    <row r="661" ht="22.5" customHeight="1">
      <c r="A661" s="36" t="s">
        <v>1976</v>
      </c>
      <c r="B661" s="36" t="s">
        <v>1977</v>
      </c>
      <c r="C661" s="36" t="s">
        <v>1495</v>
      </c>
      <c r="D661" s="36" t="s">
        <v>1496</v>
      </c>
      <c r="E661" s="36" t="s">
        <v>1285</v>
      </c>
      <c r="F661" s="36" t="s">
        <v>286</v>
      </c>
      <c r="G661" s="36" t="s">
        <v>411</v>
      </c>
      <c r="H661" s="37">
        <v>17.5</v>
      </c>
      <c r="I661" s="36" t="s">
        <v>1301</v>
      </c>
      <c r="J661" s="39" t="s">
        <v>1978</v>
      </c>
      <c r="K661" s="38"/>
      <c r="L661" s="38"/>
    </row>
    <row r="662" ht="22.5" customHeight="1">
      <c r="A662" s="36" t="s">
        <v>1979</v>
      </c>
      <c r="B662" s="36" t="s">
        <v>1980</v>
      </c>
      <c r="C662" s="36" t="s">
        <v>1495</v>
      </c>
      <c r="D662" s="36" t="s">
        <v>1496</v>
      </c>
      <c r="E662" s="36" t="s">
        <v>1285</v>
      </c>
      <c r="F662" s="36" t="s">
        <v>286</v>
      </c>
      <c r="G662" s="36" t="s">
        <v>411</v>
      </c>
      <c r="H662" s="37">
        <v>61.06</v>
      </c>
      <c r="I662" s="36" t="s">
        <v>1301</v>
      </c>
      <c r="J662" s="39" t="s">
        <v>1981</v>
      </c>
      <c r="K662" s="38"/>
      <c r="L662" s="38"/>
    </row>
    <row r="663" ht="22.5" customHeight="1">
      <c r="A663" s="36" t="s">
        <v>1982</v>
      </c>
      <c r="B663" s="36" t="s">
        <v>1983</v>
      </c>
      <c r="C663" s="36" t="s">
        <v>1495</v>
      </c>
      <c r="D663" s="36" t="s">
        <v>1496</v>
      </c>
      <c r="E663" s="36" t="s">
        <v>1285</v>
      </c>
      <c r="F663" s="36" t="s">
        <v>286</v>
      </c>
      <c r="G663" s="36" t="s">
        <v>411</v>
      </c>
      <c r="H663" s="37">
        <v>11.98</v>
      </c>
      <c r="I663" s="36" t="s">
        <v>1301</v>
      </c>
      <c r="J663" s="39" t="s">
        <v>1964</v>
      </c>
      <c r="K663" s="38"/>
      <c r="L663" s="38"/>
    </row>
    <row r="664" ht="22.5" customHeight="1">
      <c r="A664" s="36" t="s">
        <v>1984</v>
      </c>
      <c r="B664" s="36" t="s">
        <v>1985</v>
      </c>
      <c r="C664" s="36" t="s">
        <v>1495</v>
      </c>
      <c r="D664" s="36" t="s">
        <v>1496</v>
      </c>
      <c r="E664" s="36" t="s">
        <v>1285</v>
      </c>
      <c r="F664" s="36" t="s">
        <v>286</v>
      </c>
      <c r="G664" s="36" t="s">
        <v>411</v>
      </c>
      <c r="H664" s="37">
        <v>49.33</v>
      </c>
      <c r="I664" s="36" t="s">
        <v>1301</v>
      </c>
      <c r="J664" s="39" t="s">
        <v>1975</v>
      </c>
      <c r="K664" s="38"/>
      <c r="L664" s="38"/>
    </row>
    <row r="665" ht="22.5" customHeight="1">
      <c r="A665" s="36" t="s">
        <v>1986</v>
      </c>
      <c r="B665" s="36" t="s">
        <v>1987</v>
      </c>
      <c r="C665" s="36" t="s">
        <v>1495</v>
      </c>
      <c r="D665" s="36" t="s">
        <v>1496</v>
      </c>
      <c r="E665" s="36" t="s">
        <v>1285</v>
      </c>
      <c r="F665" s="36" t="s">
        <v>286</v>
      </c>
      <c r="G665" s="36" t="s">
        <v>411</v>
      </c>
      <c r="H665" s="37">
        <v>10.73</v>
      </c>
      <c r="I665" s="36" t="s">
        <v>1301</v>
      </c>
      <c r="J665" s="39" t="s">
        <v>1964</v>
      </c>
      <c r="K665" s="38"/>
      <c r="L665" s="38"/>
    </row>
    <row r="666" ht="22.5" customHeight="1">
      <c r="A666" s="36" t="s">
        <v>1988</v>
      </c>
      <c r="B666" s="36" t="s">
        <v>1989</v>
      </c>
      <c r="C666" s="36" t="s">
        <v>1495</v>
      </c>
      <c r="D666" s="36" t="s">
        <v>1496</v>
      </c>
      <c r="E666" s="36" t="s">
        <v>1285</v>
      </c>
      <c r="F666" s="36" t="s">
        <v>286</v>
      </c>
      <c r="G666" s="36" t="s">
        <v>411</v>
      </c>
      <c r="H666" s="37">
        <v>21.38</v>
      </c>
      <c r="I666" s="36" t="s">
        <v>1301</v>
      </c>
      <c r="J666" s="39" t="s">
        <v>1975</v>
      </c>
      <c r="K666" s="38"/>
      <c r="L666" s="38"/>
    </row>
    <row r="667" ht="22.5" customHeight="1">
      <c r="A667" s="36" t="s">
        <v>1990</v>
      </c>
      <c r="B667" s="36" t="s">
        <v>1991</v>
      </c>
      <c r="C667" s="36" t="s">
        <v>1495</v>
      </c>
      <c r="D667" s="36" t="s">
        <v>1496</v>
      </c>
      <c r="E667" s="36" t="s">
        <v>1285</v>
      </c>
      <c r="F667" s="36" t="s">
        <v>286</v>
      </c>
      <c r="G667" s="36" t="s">
        <v>411</v>
      </c>
      <c r="H667" s="37">
        <v>118.11</v>
      </c>
      <c r="I667" s="36" t="s">
        <v>1301</v>
      </c>
      <c r="J667" s="39" t="s">
        <v>1561</v>
      </c>
      <c r="K667" s="38"/>
      <c r="L667" s="38"/>
    </row>
    <row r="668" ht="22.5" customHeight="1">
      <c r="A668" s="36" t="s">
        <v>1992</v>
      </c>
      <c r="B668" s="36" t="s">
        <v>1993</v>
      </c>
      <c r="C668" s="36" t="s">
        <v>1495</v>
      </c>
      <c r="D668" s="36" t="s">
        <v>1496</v>
      </c>
      <c r="E668" s="36" t="s">
        <v>1285</v>
      </c>
      <c r="F668" s="36" t="s">
        <v>286</v>
      </c>
      <c r="G668" s="36" t="s">
        <v>411</v>
      </c>
      <c r="H668" s="37">
        <v>50.56</v>
      </c>
      <c r="I668" s="36" t="s">
        <v>1301</v>
      </c>
      <c r="J668" s="39" t="s">
        <v>1518</v>
      </c>
      <c r="K668" s="38"/>
      <c r="L668" s="38"/>
    </row>
    <row r="669" ht="22.5" customHeight="1">
      <c r="A669" s="36" t="s">
        <v>1994</v>
      </c>
      <c r="B669" s="36" t="s">
        <v>1995</v>
      </c>
      <c r="C669" s="36" t="s">
        <v>1495</v>
      </c>
      <c r="D669" s="36" t="s">
        <v>1496</v>
      </c>
      <c r="E669" s="36" t="s">
        <v>1285</v>
      </c>
      <c r="F669" s="36" t="s">
        <v>286</v>
      </c>
      <c r="G669" s="36" t="s">
        <v>411</v>
      </c>
      <c r="H669" s="37">
        <v>11.61</v>
      </c>
      <c r="I669" s="36" t="s">
        <v>1301</v>
      </c>
      <c r="J669" s="39" t="s">
        <v>1996</v>
      </c>
      <c r="K669" s="38"/>
      <c r="L669" s="38"/>
    </row>
    <row r="670" ht="22.5" customHeight="1">
      <c r="A670" s="36" t="s">
        <v>1997</v>
      </c>
      <c r="B670" s="36" t="s">
        <v>1998</v>
      </c>
      <c r="C670" s="36" t="s">
        <v>1495</v>
      </c>
      <c r="D670" s="36" t="s">
        <v>1496</v>
      </c>
      <c r="E670" s="36" t="s">
        <v>1285</v>
      </c>
      <c r="F670" s="36" t="s">
        <v>286</v>
      </c>
      <c r="G670" s="36" t="s">
        <v>411</v>
      </c>
      <c r="H670" s="37">
        <v>12.41</v>
      </c>
      <c r="I670" s="36" t="s">
        <v>1301</v>
      </c>
      <c r="J670" s="39" t="s">
        <v>1996</v>
      </c>
      <c r="K670" s="38"/>
      <c r="L670" s="38"/>
    </row>
    <row r="671" ht="22.5" customHeight="1">
      <c r="A671" s="36" t="s">
        <v>1999</v>
      </c>
      <c r="B671" s="36" t="s">
        <v>2000</v>
      </c>
      <c r="C671" s="36" t="s">
        <v>1495</v>
      </c>
      <c r="D671" s="36" t="s">
        <v>1496</v>
      </c>
      <c r="E671" s="36" t="s">
        <v>1285</v>
      </c>
      <c r="F671" s="36" t="s">
        <v>286</v>
      </c>
      <c r="G671" s="36" t="s">
        <v>411</v>
      </c>
      <c r="H671" s="37">
        <v>12.38</v>
      </c>
      <c r="I671" s="36" t="s">
        <v>1301</v>
      </c>
      <c r="J671" s="39" t="s">
        <v>1996</v>
      </c>
      <c r="K671" s="38"/>
      <c r="L671" s="38"/>
    </row>
    <row r="672" ht="22.5" customHeight="1">
      <c r="A672" s="36" t="s">
        <v>2001</v>
      </c>
      <c r="B672" s="36" t="s">
        <v>2002</v>
      </c>
      <c r="C672" s="36" t="s">
        <v>1495</v>
      </c>
      <c r="D672" s="36" t="s">
        <v>1496</v>
      </c>
      <c r="E672" s="36" t="s">
        <v>1285</v>
      </c>
      <c r="F672" s="36" t="s">
        <v>286</v>
      </c>
      <c r="G672" s="36" t="s">
        <v>411</v>
      </c>
      <c r="H672" s="37">
        <v>13.31</v>
      </c>
      <c r="I672" s="36" t="s">
        <v>1301</v>
      </c>
      <c r="J672" s="39" t="s">
        <v>1996</v>
      </c>
      <c r="K672" s="38"/>
      <c r="L672" s="38"/>
    </row>
    <row r="673" ht="22.5" customHeight="1">
      <c r="A673" s="36" t="s">
        <v>2003</v>
      </c>
      <c r="B673" s="36" t="s">
        <v>2004</v>
      </c>
      <c r="C673" s="36" t="s">
        <v>1495</v>
      </c>
      <c r="D673" s="36" t="s">
        <v>1496</v>
      </c>
      <c r="E673" s="36" t="s">
        <v>1285</v>
      </c>
      <c r="F673" s="36" t="s">
        <v>286</v>
      </c>
      <c r="G673" s="36" t="s">
        <v>411</v>
      </c>
      <c r="H673" s="37">
        <v>9.17</v>
      </c>
      <c r="I673" s="36" t="s">
        <v>1301</v>
      </c>
      <c r="J673" s="39" t="s">
        <v>1996</v>
      </c>
      <c r="K673" s="38"/>
      <c r="L673" s="38"/>
    </row>
    <row r="674" ht="22.5" customHeight="1">
      <c r="A674" s="36" t="s">
        <v>2005</v>
      </c>
      <c r="B674" s="36" t="s">
        <v>2006</v>
      </c>
      <c r="C674" s="36" t="s">
        <v>1495</v>
      </c>
      <c r="D674" s="36" t="s">
        <v>1496</v>
      </c>
      <c r="E674" s="36" t="s">
        <v>1285</v>
      </c>
      <c r="F674" s="36" t="s">
        <v>286</v>
      </c>
      <c r="G674" s="36" t="s">
        <v>411</v>
      </c>
      <c r="H674" s="37">
        <v>16.5</v>
      </c>
      <c r="I674" s="36" t="s">
        <v>1301</v>
      </c>
      <c r="J674" s="39" t="s">
        <v>1996</v>
      </c>
      <c r="K674" s="38"/>
      <c r="L674" s="38"/>
    </row>
    <row r="675" ht="22.5" customHeight="1">
      <c r="A675" s="36" t="s">
        <v>2007</v>
      </c>
      <c r="B675" s="36" t="s">
        <v>2008</v>
      </c>
      <c r="C675" s="36" t="s">
        <v>1495</v>
      </c>
      <c r="D675" s="36" t="s">
        <v>1496</v>
      </c>
      <c r="E675" s="36" t="s">
        <v>1285</v>
      </c>
      <c r="F675" s="36" t="s">
        <v>286</v>
      </c>
      <c r="G675" s="36" t="s">
        <v>411</v>
      </c>
      <c r="H675" s="37">
        <v>10.15</v>
      </c>
      <c r="I675" s="36" t="s">
        <v>1301</v>
      </c>
      <c r="J675" s="39" t="s">
        <v>1996</v>
      </c>
      <c r="K675" s="38"/>
      <c r="L675" s="38"/>
    </row>
    <row r="676" ht="22.5" customHeight="1">
      <c r="A676" s="36" t="s">
        <v>2009</v>
      </c>
      <c r="B676" s="36" t="s">
        <v>2010</v>
      </c>
      <c r="C676" s="36" t="s">
        <v>1495</v>
      </c>
      <c r="D676" s="36" t="s">
        <v>1496</v>
      </c>
      <c r="E676" s="36" t="s">
        <v>1285</v>
      </c>
      <c r="F676" s="36" t="s">
        <v>286</v>
      </c>
      <c r="G676" s="36" t="s">
        <v>411</v>
      </c>
      <c r="H676" s="37">
        <v>8.45</v>
      </c>
      <c r="I676" s="36" t="s">
        <v>1301</v>
      </c>
      <c r="J676" s="39" t="s">
        <v>1996</v>
      </c>
      <c r="K676" s="38"/>
      <c r="L676" s="38"/>
    </row>
    <row r="677" ht="22.5" customHeight="1">
      <c r="A677" s="36" t="s">
        <v>2011</v>
      </c>
      <c r="B677" s="36" t="s">
        <v>2012</v>
      </c>
      <c r="C677" s="36" t="s">
        <v>1495</v>
      </c>
      <c r="D677" s="36" t="s">
        <v>1496</v>
      </c>
      <c r="E677" s="36" t="s">
        <v>1285</v>
      </c>
      <c r="F677" s="36" t="s">
        <v>286</v>
      </c>
      <c r="G677" s="36" t="s">
        <v>411</v>
      </c>
      <c r="H677" s="37">
        <v>16.13</v>
      </c>
      <c r="I677" s="36" t="s">
        <v>1301</v>
      </c>
      <c r="J677" s="39" t="s">
        <v>1996</v>
      </c>
      <c r="K677" s="38"/>
      <c r="L677" s="38"/>
    </row>
    <row r="678" ht="22.5" customHeight="1">
      <c r="A678" s="36" t="s">
        <v>2013</v>
      </c>
      <c r="B678" s="36" t="s">
        <v>2014</v>
      </c>
      <c r="C678" s="36" t="s">
        <v>1495</v>
      </c>
      <c r="D678" s="36" t="s">
        <v>1496</v>
      </c>
      <c r="E678" s="36" t="s">
        <v>1285</v>
      </c>
      <c r="F678" s="36" t="s">
        <v>286</v>
      </c>
      <c r="G678" s="36" t="s">
        <v>411</v>
      </c>
      <c r="H678" s="37">
        <v>13.77</v>
      </c>
      <c r="I678" s="36" t="s">
        <v>1301</v>
      </c>
      <c r="J678" s="39" t="s">
        <v>1996</v>
      </c>
      <c r="K678" s="38"/>
      <c r="L678" s="38"/>
    </row>
    <row r="679" ht="22.5" customHeight="1">
      <c r="A679" s="36" t="s">
        <v>2015</v>
      </c>
      <c r="B679" s="36" t="s">
        <v>2016</v>
      </c>
      <c r="C679" s="36" t="s">
        <v>1495</v>
      </c>
      <c r="D679" s="36" t="s">
        <v>1496</v>
      </c>
      <c r="E679" s="36" t="s">
        <v>1285</v>
      </c>
      <c r="F679" s="36" t="s">
        <v>286</v>
      </c>
      <c r="G679" s="36" t="s">
        <v>411</v>
      </c>
      <c r="H679" s="37">
        <v>9.47</v>
      </c>
      <c r="I679" s="36" t="s">
        <v>1301</v>
      </c>
      <c r="J679" s="39" t="s">
        <v>1996</v>
      </c>
      <c r="K679" s="38"/>
      <c r="L679" s="38"/>
    </row>
    <row r="680" ht="22.5" customHeight="1">
      <c r="A680" s="36" t="s">
        <v>2017</v>
      </c>
      <c r="B680" s="36" t="s">
        <v>2018</v>
      </c>
      <c r="C680" s="36" t="s">
        <v>1495</v>
      </c>
      <c r="D680" s="36" t="s">
        <v>1496</v>
      </c>
      <c r="E680" s="36" t="s">
        <v>1285</v>
      </c>
      <c r="F680" s="36" t="s">
        <v>286</v>
      </c>
      <c r="G680" s="36" t="s">
        <v>411</v>
      </c>
      <c r="H680" s="37">
        <v>8.21</v>
      </c>
      <c r="I680" s="36" t="s">
        <v>1301</v>
      </c>
      <c r="J680" s="39" t="s">
        <v>1996</v>
      </c>
      <c r="K680" s="38"/>
      <c r="L680" s="38"/>
    </row>
    <row r="681" ht="22.5" customHeight="1">
      <c r="A681" s="36" t="s">
        <v>2019</v>
      </c>
      <c r="B681" s="36" t="s">
        <v>2020</v>
      </c>
      <c r="C681" s="36" t="s">
        <v>1495</v>
      </c>
      <c r="D681" s="36" t="s">
        <v>1496</v>
      </c>
      <c r="E681" s="36" t="s">
        <v>1285</v>
      </c>
      <c r="F681" s="36" t="s">
        <v>286</v>
      </c>
      <c r="G681" s="36" t="s">
        <v>411</v>
      </c>
      <c r="H681" s="37">
        <v>10.83</v>
      </c>
      <c r="I681" s="36" t="s">
        <v>1301</v>
      </c>
      <c r="J681" s="39" t="s">
        <v>1996</v>
      </c>
      <c r="K681" s="38"/>
      <c r="L681" s="38"/>
    </row>
    <row r="682" ht="22.5" customHeight="1">
      <c r="A682" s="36" t="s">
        <v>2021</v>
      </c>
      <c r="B682" s="36" t="s">
        <v>2022</v>
      </c>
      <c r="C682" s="36" t="s">
        <v>1495</v>
      </c>
      <c r="D682" s="36" t="s">
        <v>1496</v>
      </c>
      <c r="E682" s="36" t="s">
        <v>1285</v>
      </c>
      <c r="F682" s="36" t="s">
        <v>286</v>
      </c>
      <c r="G682" s="36" t="s">
        <v>411</v>
      </c>
      <c r="H682" s="37">
        <v>16.29</v>
      </c>
      <c r="I682" s="36" t="s">
        <v>1301</v>
      </c>
      <c r="J682" s="39" t="s">
        <v>1996</v>
      </c>
      <c r="K682" s="38"/>
      <c r="L682" s="38"/>
    </row>
    <row r="683" ht="22.5" customHeight="1">
      <c r="A683" s="36" t="s">
        <v>2023</v>
      </c>
      <c r="B683" s="36" t="s">
        <v>2024</v>
      </c>
      <c r="C683" s="36" t="s">
        <v>1495</v>
      </c>
      <c r="D683" s="36" t="s">
        <v>1496</v>
      </c>
      <c r="E683" s="36" t="s">
        <v>1285</v>
      </c>
      <c r="F683" s="36" t="s">
        <v>286</v>
      </c>
      <c r="G683" s="36" t="s">
        <v>411</v>
      </c>
      <c r="H683" s="37">
        <v>13.93</v>
      </c>
      <c r="I683" s="36" t="s">
        <v>1301</v>
      </c>
      <c r="J683" s="39" t="s">
        <v>1996</v>
      </c>
      <c r="K683" s="38"/>
      <c r="L683" s="38"/>
    </row>
    <row r="684" ht="22.5" customHeight="1">
      <c r="A684" s="36" t="s">
        <v>2025</v>
      </c>
      <c r="B684" s="36" t="s">
        <v>2026</v>
      </c>
      <c r="C684" s="36" t="s">
        <v>1495</v>
      </c>
      <c r="D684" s="36" t="s">
        <v>1496</v>
      </c>
      <c r="E684" s="36" t="s">
        <v>1285</v>
      </c>
      <c r="F684" s="36" t="s">
        <v>286</v>
      </c>
      <c r="G684" s="36" t="s">
        <v>411</v>
      </c>
      <c r="H684" s="37">
        <v>16.16</v>
      </c>
      <c r="I684" s="36" t="s">
        <v>1301</v>
      </c>
      <c r="J684" s="39" t="s">
        <v>1996</v>
      </c>
      <c r="K684" s="38"/>
      <c r="L684" s="38"/>
    </row>
    <row r="685" ht="22.5" customHeight="1">
      <c r="A685" s="36" t="s">
        <v>2027</v>
      </c>
      <c r="B685" s="36" t="s">
        <v>2028</v>
      </c>
      <c r="C685" s="36" t="s">
        <v>1495</v>
      </c>
      <c r="D685" s="36" t="s">
        <v>1496</v>
      </c>
      <c r="E685" s="36" t="s">
        <v>1285</v>
      </c>
      <c r="F685" s="36" t="s">
        <v>286</v>
      </c>
      <c r="G685" s="36" t="s">
        <v>411</v>
      </c>
      <c r="H685" s="37">
        <v>10.39</v>
      </c>
      <c r="I685" s="36" t="s">
        <v>1301</v>
      </c>
      <c r="J685" s="39" t="s">
        <v>1996</v>
      </c>
      <c r="K685" s="38"/>
      <c r="L685" s="38"/>
    </row>
    <row r="686" ht="22.5" customHeight="1">
      <c r="A686" s="36" t="s">
        <v>2029</v>
      </c>
      <c r="B686" s="36" t="s">
        <v>2030</v>
      </c>
      <c r="C686" s="36" t="s">
        <v>1495</v>
      </c>
      <c r="D686" s="36" t="s">
        <v>1496</v>
      </c>
      <c r="E686" s="36" t="s">
        <v>1285</v>
      </c>
      <c r="F686" s="36" t="s">
        <v>286</v>
      </c>
      <c r="G686" s="36" t="s">
        <v>411</v>
      </c>
      <c r="H686" s="37">
        <v>16.81</v>
      </c>
      <c r="I686" s="36" t="s">
        <v>1301</v>
      </c>
      <c r="J686" s="39" t="s">
        <v>1996</v>
      </c>
      <c r="K686" s="38"/>
      <c r="L686" s="38"/>
    </row>
    <row r="687" ht="22.5" customHeight="1">
      <c r="A687" s="36" t="s">
        <v>2031</v>
      </c>
      <c r="B687" s="36" t="s">
        <v>2032</v>
      </c>
      <c r="C687" s="36" t="s">
        <v>1495</v>
      </c>
      <c r="D687" s="36" t="s">
        <v>1496</v>
      </c>
      <c r="E687" s="36" t="s">
        <v>1285</v>
      </c>
      <c r="F687" s="36" t="s">
        <v>286</v>
      </c>
      <c r="G687" s="36" t="s">
        <v>411</v>
      </c>
      <c r="H687" s="37">
        <v>13.49</v>
      </c>
      <c r="I687" s="36" t="s">
        <v>1301</v>
      </c>
      <c r="J687" s="39" t="s">
        <v>1996</v>
      </c>
      <c r="K687" s="38"/>
      <c r="L687" s="38"/>
    </row>
    <row r="688" ht="22.5" customHeight="1">
      <c r="A688" s="36" t="s">
        <v>2033</v>
      </c>
      <c r="B688" s="36" t="s">
        <v>2034</v>
      </c>
      <c r="C688" s="36" t="s">
        <v>1495</v>
      </c>
      <c r="D688" s="36" t="s">
        <v>1496</v>
      </c>
      <c r="E688" s="36" t="s">
        <v>1285</v>
      </c>
      <c r="F688" s="36" t="s">
        <v>286</v>
      </c>
      <c r="G688" s="36" t="s">
        <v>411</v>
      </c>
      <c r="H688" s="37">
        <v>11.32</v>
      </c>
      <c r="I688" s="36" t="s">
        <v>1301</v>
      </c>
      <c r="J688" s="39" t="s">
        <v>1996</v>
      </c>
      <c r="K688" s="38"/>
      <c r="L688" s="38"/>
    </row>
    <row r="689" ht="22.5" customHeight="1">
      <c r="A689" s="36" t="s">
        <v>2035</v>
      </c>
      <c r="B689" s="36" t="s">
        <v>2036</v>
      </c>
      <c r="C689" s="36" t="s">
        <v>1495</v>
      </c>
      <c r="D689" s="36" t="s">
        <v>1496</v>
      </c>
      <c r="E689" s="36" t="s">
        <v>1285</v>
      </c>
      <c r="F689" s="36" t="s">
        <v>286</v>
      </c>
      <c r="G689" s="36" t="s">
        <v>411</v>
      </c>
      <c r="H689" s="37">
        <v>11.97</v>
      </c>
      <c r="I689" s="36" t="s">
        <v>1301</v>
      </c>
      <c r="J689" s="39" t="s">
        <v>1996</v>
      </c>
      <c r="K689" s="38"/>
      <c r="L689" s="38"/>
    </row>
    <row r="690" ht="22.5" customHeight="1">
      <c r="A690" s="36" t="s">
        <v>2037</v>
      </c>
      <c r="B690" s="36" t="s">
        <v>2038</v>
      </c>
      <c r="C690" s="36" t="s">
        <v>1495</v>
      </c>
      <c r="D690" s="36" t="s">
        <v>1496</v>
      </c>
      <c r="E690" s="36" t="s">
        <v>1285</v>
      </c>
      <c r="F690" s="36" t="s">
        <v>286</v>
      </c>
      <c r="G690" s="36" t="s">
        <v>411</v>
      </c>
      <c r="H690" s="37">
        <v>12.12</v>
      </c>
      <c r="I690" s="36" t="s">
        <v>1301</v>
      </c>
      <c r="J690" s="39" t="s">
        <v>1996</v>
      </c>
      <c r="K690" s="38"/>
      <c r="L690" s="38"/>
    </row>
    <row r="691" ht="22.5" customHeight="1">
      <c r="A691" s="36" t="s">
        <v>2039</v>
      </c>
      <c r="B691" s="36" t="s">
        <v>2040</v>
      </c>
      <c r="C691" s="36" t="s">
        <v>1495</v>
      </c>
      <c r="D691" s="36" t="s">
        <v>1496</v>
      </c>
      <c r="E691" s="36" t="s">
        <v>1285</v>
      </c>
      <c r="F691" s="36" t="s">
        <v>286</v>
      </c>
      <c r="G691" s="36" t="s">
        <v>411</v>
      </c>
      <c r="H691" s="37">
        <v>16.11</v>
      </c>
      <c r="I691" s="36" t="s">
        <v>1301</v>
      </c>
      <c r="J691" s="39" t="s">
        <v>1996</v>
      </c>
      <c r="K691" s="38"/>
      <c r="L691" s="38"/>
    </row>
    <row r="692" ht="22.5" customHeight="1">
      <c r="A692" s="36" t="s">
        <v>2041</v>
      </c>
      <c r="B692" s="36" t="s">
        <v>2042</v>
      </c>
      <c r="C692" s="36" t="s">
        <v>1495</v>
      </c>
      <c r="D692" s="36" t="s">
        <v>1496</v>
      </c>
      <c r="E692" s="36" t="s">
        <v>1285</v>
      </c>
      <c r="F692" s="36" t="s">
        <v>286</v>
      </c>
      <c r="G692" s="36" t="s">
        <v>411</v>
      </c>
      <c r="H692" s="37">
        <v>12.54</v>
      </c>
      <c r="I692" s="36" t="s">
        <v>1301</v>
      </c>
      <c r="J692" s="39" t="s">
        <v>1996</v>
      </c>
      <c r="K692" s="38"/>
      <c r="L692" s="38"/>
    </row>
    <row r="693" ht="22.5" customHeight="1">
      <c r="A693" s="36" t="s">
        <v>2043</v>
      </c>
      <c r="B693" s="36" t="s">
        <v>2044</v>
      </c>
      <c r="C693" s="36" t="s">
        <v>1495</v>
      </c>
      <c r="D693" s="36" t="s">
        <v>1496</v>
      </c>
      <c r="E693" s="36" t="s">
        <v>1285</v>
      </c>
      <c r="F693" s="36" t="s">
        <v>286</v>
      </c>
      <c r="G693" s="36" t="s">
        <v>411</v>
      </c>
      <c r="H693" s="37">
        <v>10.29</v>
      </c>
      <c r="I693" s="36" t="s">
        <v>1301</v>
      </c>
      <c r="J693" s="39" t="s">
        <v>1996</v>
      </c>
      <c r="K693" s="38"/>
      <c r="L693" s="38"/>
    </row>
    <row r="694" ht="22.5" customHeight="1">
      <c r="A694" s="36" t="s">
        <v>2045</v>
      </c>
      <c r="B694" s="36" t="s">
        <v>2046</v>
      </c>
      <c r="C694" s="36" t="s">
        <v>1495</v>
      </c>
      <c r="D694" s="36" t="s">
        <v>1496</v>
      </c>
      <c r="E694" s="36" t="s">
        <v>1285</v>
      </c>
      <c r="F694" s="36" t="s">
        <v>286</v>
      </c>
      <c r="G694" s="36" t="s">
        <v>411</v>
      </c>
      <c r="H694" s="37">
        <v>12.66</v>
      </c>
      <c r="I694" s="36" t="s">
        <v>1301</v>
      </c>
      <c r="J694" s="39" t="s">
        <v>1996</v>
      </c>
      <c r="K694" s="38"/>
      <c r="L694" s="38"/>
    </row>
    <row r="695" ht="22.5" customHeight="1">
      <c r="A695" s="36" t="s">
        <v>2047</v>
      </c>
      <c r="B695" s="36" t="s">
        <v>2048</v>
      </c>
      <c r="C695" s="36" t="s">
        <v>1495</v>
      </c>
      <c r="D695" s="36" t="s">
        <v>1496</v>
      </c>
      <c r="E695" s="36" t="s">
        <v>1285</v>
      </c>
      <c r="F695" s="36" t="s">
        <v>286</v>
      </c>
      <c r="G695" s="36" t="s">
        <v>411</v>
      </c>
      <c r="H695" s="37">
        <v>10.06</v>
      </c>
      <c r="I695" s="36" t="s">
        <v>1301</v>
      </c>
      <c r="J695" s="39" t="s">
        <v>1996</v>
      </c>
      <c r="K695" s="38"/>
      <c r="L695" s="38"/>
    </row>
    <row r="696" ht="22.5" customHeight="1">
      <c r="A696" s="36" t="s">
        <v>2049</v>
      </c>
      <c r="B696" s="36" t="s">
        <v>2050</v>
      </c>
      <c r="C696" s="36" t="s">
        <v>1495</v>
      </c>
      <c r="D696" s="36" t="s">
        <v>1496</v>
      </c>
      <c r="E696" s="36" t="s">
        <v>1285</v>
      </c>
      <c r="F696" s="36" t="s">
        <v>286</v>
      </c>
      <c r="G696" s="36" t="s">
        <v>411</v>
      </c>
      <c r="H696" s="37">
        <v>73.85</v>
      </c>
      <c r="I696" s="36" t="s">
        <v>1301</v>
      </c>
      <c r="J696" s="39" t="s">
        <v>1641</v>
      </c>
      <c r="K696" s="38"/>
      <c r="L696" s="38"/>
    </row>
    <row r="697" ht="22.5" customHeight="1">
      <c r="A697" s="36" t="s">
        <v>2051</v>
      </c>
      <c r="B697" s="36" t="s">
        <v>2052</v>
      </c>
      <c r="C697" s="36" t="s">
        <v>1495</v>
      </c>
      <c r="D697" s="36" t="s">
        <v>1496</v>
      </c>
      <c r="E697" s="36" t="s">
        <v>1285</v>
      </c>
      <c r="F697" s="36" t="s">
        <v>286</v>
      </c>
      <c r="G697" s="36" t="s">
        <v>411</v>
      </c>
      <c r="H697" s="37">
        <v>26.05</v>
      </c>
      <c r="I697" s="36" t="s">
        <v>1301</v>
      </c>
      <c r="J697" s="39" t="s">
        <v>1652</v>
      </c>
      <c r="K697" s="38"/>
      <c r="L697" s="38"/>
    </row>
    <row r="698" ht="22.5" customHeight="1">
      <c r="A698" s="36" t="s">
        <v>2053</v>
      </c>
      <c r="B698" s="36" t="s">
        <v>2054</v>
      </c>
      <c r="C698" s="36" t="s">
        <v>1495</v>
      </c>
      <c r="D698" s="36" t="s">
        <v>1496</v>
      </c>
      <c r="E698" s="36" t="s">
        <v>1285</v>
      </c>
      <c r="F698" s="36" t="s">
        <v>286</v>
      </c>
      <c r="G698" s="36" t="s">
        <v>411</v>
      </c>
      <c r="H698" s="37">
        <v>12.61</v>
      </c>
      <c r="I698" s="36" t="s">
        <v>1301</v>
      </c>
      <c r="J698" s="39" t="s">
        <v>1652</v>
      </c>
      <c r="K698" s="38"/>
      <c r="L698" s="38"/>
    </row>
    <row r="699" ht="22.5" customHeight="1">
      <c r="A699" s="36" t="s">
        <v>2055</v>
      </c>
      <c r="B699" s="36" t="s">
        <v>2056</v>
      </c>
      <c r="C699" s="36" t="s">
        <v>1495</v>
      </c>
      <c r="D699" s="36" t="s">
        <v>1496</v>
      </c>
      <c r="E699" s="36" t="s">
        <v>1285</v>
      </c>
      <c r="F699" s="36" t="s">
        <v>286</v>
      </c>
      <c r="G699" s="36" t="s">
        <v>411</v>
      </c>
      <c r="H699" s="37">
        <v>129.74</v>
      </c>
      <c r="I699" s="36" t="s">
        <v>1301</v>
      </c>
      <c r="J699" s="39" t="s">
        <v>1652</v>
      </c>
      <c r="K699" s="38"/>
      <c r="L699" s="38"/>
    </row>
    <row r="700" ht="22.5" customHeight="1">
      <c r="A700" s="36" t="s">
        <v>2057</v>
      </c>
      <c r="B700" s="36" t="s">
        <v>2058</v>
      </c>
      <c r="C700" s="36" t="s">
        <v>1495</v>
      </c>
      <c r="D700" s="36" t="s">
        <v>1496</v>
      </c>
      <c r="E700" s="36" t="s">
        <v>1285</v>
      </c>
      <c r="F700" s="36" t="s">
        <v>286</v>
      </c>
      <c r="G700" s="36" t="s">
        <v>411</v>
      </c>
      <c r="H700" s="37">
        <v>126.47</v>
      </c>
      <c r="I700" s="36" t="s">
        <v>1301</v>
      </c>
      <c r="J700" s="39" t="s">
        <v>1652</v>
      </c>
      <c r="K700" s="38"/>
      <c r="L700" s="38"/>
    </row>
    <row r="701" ht="22.5" customHeight="1">
      <c r="A701" s="36" t="s">
        <v>2059</v>
      </c>
      <c r="B701" s="36" t="s">
        <v>2060</v>
      </c>
      <c r="C701" s="36" t="s">
        <v>1495</v>
      </c>
      <c r="D701" s="36" t="s">
        <v>1496</v>
      </c>
      <c r="E701" s="36" t="s">
        <v>1285</v>
      </c>
      <c r="F701" s="36" t="s">
        <v>286</v>
      </c>
      <c r="G701" s="36" t="s">
        <v>411</v>
      </c>
      <c r="H701" s="37">
        <v>21.24</v>
      </c>
      <c r="I701" s="36" t="s">
        <v>1301</v>
      </c>
      <c r="J701" s="39" t="s">
        <v>1641</v>
      </c>
      <c r="K701" s="38"/>
      <c r="L701" s="38"/>
    </row>
    <row r="702" ht="22.5" customHeight="1">
      <c r="A702" s="36" t="s">
        <v>2061</v>
      </c>
      <c r="B702" s="36" t="s">
        <v>2062</v>
      </c>
      <c r="C702" s="36" t="s">
        <v>1495</v>
      </c>
      <c r="D702" s="36" t="s">
        <v>1496</v>
      </c>
      <c r="E702" s="36" t="s">
        <v>1285</v>
      </c>
      <c r="F702" s="36" t="s">
        <v>286</v>
      </c>
      <c r="G702" s="36" t="s">
        <v>411</v>
      </c>
      <c r="H702" s="37">
        <v>142.3</v>
      </c>
      <c r="I702" s="36" t="s">
        <v>1301</v>
      </c>
      <c r="J702" s="39" t="s">
        <v>1652</v>
      </c>
      <c r="K702" s="38"/>
      <c r="L702" s="38"/>
    </row>
    <row r="703" ht="22.5" customHeight="1">
      <c r="A703" s="36" t="s">
        <v>2063</v>
      </c>
      <c r="B703" s="36" t="s">
        <v>2064</v>
      </c>
      <c r="C703" s="36" t="s">
        <v>1495</v>
      </c>
      <c r="D703" s="36" t="s">
        <v>1496</v>
      </c>
      <c r="E703" s="36" t="s">
        <v>1285</v>
      </c>
      <c r="F703" s="36" t="s">
        <v>286</v>
      </c>
      <c r="G703" s="36" t="s">
        <v>411</v>
      </c>
      <c r="H703" s="37">
        <v>42.86</v>
      </c>
      <c r="I703" s="36" t="s">
        <v>1301</v>
      </c>
      <c r="J703" s="39" t="s">
        <v>1652</v>
      </c>
      <c r="K703" s="38"/>
      <c r="L703" s="38"/>
    </row>
    <row r="704" ht="22.5" customHeight="1">
      <c r="A704" s="36" t="s">
        <v>2065</v>
      </c>
      <c r="B704" s="36" t="s">
        <v>2066</v>
      </c>
      <c r="C704" s="36" t="s">
        <v>1495</v>
      </c>
      <c r="D704" s="36" t="s">
        <v>1496</v>
      </c>
      <c r="E704" s="36" t="s">
        <v>1285</v>
      </c>
      <c r="F704" s="36" t="s">
        <v>286</v>
      </c>
      <c r="G704" s="36" t="s">
        <v>411</v>
      </c>
      <c r="H704" s="37">
        <v>19.64</v>
      </c>
      <c r="I704" s="36" t="s">
        <v>1301</v>
      </c>
      <c r="J704" s="39" t="s">
        <v>1923</v>
      </c>
      <c r="K704" s="38"/>
      <c r="L704" s="38"/>
    </row>
    <row r="705" ht="22.5" customHeight="1">
      <c r="A705" s="36" t="s">
        <v>2067</v>
      </c>
      <c r="B705" s="36" t="s">
        <v>2068</v>
      </c>
      <c r="C705" s="36" t="s">
        <v>1495</v>
      </c>
      <c r="D705" s="36" t="s">
        <v>1496</v>
      </c>
      <c r="E705" s="36" t="s">
        <v>1285</v>
      </c>
      <c r="F705" s="36" t="s">
        <v>286</v>
      </c>
      <c r="G705" s="36" t="s">
        <v>411</v>
      </c>
      <c r="H705" s="37">
        <v>2.6</v>
      </c>
      <c r="I705" s="36" t="s">
        <v>1301</v>
      </c>
      <c r="J705" s="39" t="s">
        <v>1541</v>
      </c>
      <c r="K705" s="38"/>
      <c r="L705" s="38"/>
    </row>
    <row r="706" ht="22.5" customHeight="1">
      <c r="A706" s="36" t="s">
        <v>2069</v>
      </c>
      <c r="B706" s="36" t="s">
        <v>2070</v>
      </c>
      <c r="C706" s="36" t="s">
        <v>1495</v>
      </c>
      <c r="D706" s="36" t="s">
        <v>1496</v>
      </c>
      <c r="E706" s="36" t="s">
        <v>1285</v>
      </c>
      <c r="F706" s="36" t="s">
        <v>286</v>
      </c>
      <c r="G706" s="36" t="s">
        <v>411</v>
      </c>
      <c r="H706" s="37">
        <v>2.53</v>
      </c>
      <c r="I706" s="36" t="s">
        <v>1301</v>
      </c>
      <c r="J706" s="39" t="s">
        <v>1541</v>
      </c>
      <c r="K706" s="38"/>
      <c r="L706" s="38"/>
    </row>
    <row r="707" ht="22.5" customHeight="1">
      <c r="A707" s="36" t="s">
        <v>2071</v>
      </c>
      <c r="B707" s="36" t="s">
        <v>2072</v>
      </c>
      <c r="C707" s="36" t="s">
        <v>1495</v>
      </c>
      <c r="D707" s="36" t="s">
        <v>1496</v>
      </c>
      <c r="E707" s="36" t="s">
        <v>1285</v>
      </c>
      <c r="F707" s="36" t="s">
        <v>286</v>
      </c>
      <c r="G707" s="36" t="s">
        <v>411</v>
      </c>
      <c r="H707" s="37">
        <v>2.89</v>
      </c>
      <c r="I707" s="36" t="s">
        <v>1301</v>
      </c>
      <c r="J707" s="39" t="s">
        <v>1923</v>
      </c>
      <c r="K707" s="38"/>
      <c r="L707" s="38"/>
    </row>
    <row r="708" ht="22.5" customHeight="1">
      <c r="A708" s="36" t="s">
        <v>2073</v>
      </c>
      <c r="B708" s="36" t="s">
        <v>2074</v>
      </c>
      <c r="C708" s="36" t="s">
        <v>1495</v>
      </c>
      <c r="D708" s="36" t="s">
        <v>1496</v>
      </c>
      <c r="E708" s="36" t="s">
        <v>1285</v>
      </c>
      <c r="F708" s="36" t="s">
        <v>286</v>
      </c>
      <c r="G708" s="36" t="s">
        <v>411</v>
      </c>
      <c r="H708" s="37">
        <v>4.69</v>
      </c>
      <c r="I708" s="36" t="s">
        <v>1301</v>
      </c>
      <c r="J708" s="39" t="s">
        <v>1923</v>
      </c>
      <c r="K708" s="38"/>
      <c r="L708" s="38"/>
    </row>
    <row r="709" ht="22.5" customHeight="1">
      <c r="A709" s="36" t="s">
        <v>2075</v>
      </c>
      <c r="B709" s="36" t="s">
        <v>2076</v>
      </c>
      <c r="C709" s="36" t="s">
        <v>1495</v>
      </c>
      <c r="D709" s="36" t="s">
        <v>1496</v>
      </c>
      <c r="E709" s="36" t="s">
        <v>1285</v>
      </c>
      <c r="F709" s="36" t="s">
        <v>286</v>
      </c>
      <c r="G709" s="36" t="s">
        <v>411</v>
      </c>
      <c r="H709" s="37">
        <v>8.16</v>
      </c>
      <c r="I709" s="36" t="s">
        <v>1301</v>
      </c>
      <c r="J709" s="39" t="s">
        <v>2077</v>
      </c>
      <c r="K709" s="38"/>
      <c r="L709" s="38"/>
    </row>
    <row r="710" ht="22.5" customHeight="1">
      <c r="A710" s="36" t="s">
        <v>2078</v>
      </c>
      <c r="B710" s="36" t="s">
        <v>2079</v>
      </c>
      <c r="C710" s="36" t="s">
        <v>1495</v>
      </c>
      <c r="D710" s="36" t="s">
        <v>1496</v>
      </c>
      <c r="E710" s="36" t="s">
        <v>1285</v>
      </c>
      <c r="F710" s="36" t="s">
        <v>286</v>
      </c>
      <c r="G710" s="36" t="s">
        <v>411</v>
      </c>
      <c r="H710" s="37">
        <v>3.03</v>
      </c>
      <c r="I710" s="36" t="s">
        <v>1301</v>
      </c>
      <c r="J710" s="39" t="s">
        <v>1923</v>
      </c>
      <c r="K710" s="38"/>
      <c r="L710" s="38"/>
    </row>
    <row r="711" ht="22.5" customHeight="1">
      <c r="A711" s="36" t="s">
        <v>2080</v>
      </c>
      <c r="B711" s="36" t="s">
        <v>2081</v>
      </c>
      <c r="C711" s="36" t="s">
        <v>1495</v>
      </c>
      <c r="D711" s="36" t="s">
        <v>1496</v>
      </c>
      <c r="E711" s="36" t="s">
        <v>1285</v>
      </c>
      <c r="F711" s="36" t="s">
        <v>286</v>
      </c>
      <c r="G711" s="36" t="s">
        <v>411</v>
      </c>
      <c r="H711" s="37">
        <v>1.81</v>
      </c>
      <c r="I711" s="36" t="s">
        <v>1301</v>
      </c>
      <c r="J711" s="39" t="s">
        <v>1923</v>
      </c>
      <c r="K711" s="38"/>
      <c r="L711" s="38"/>
    </row>
    <row r="712" ht="22.5" customHeight="1">
      <c r="A712" s="36" t="s">
        <v>2082</v>
      </c>
      <c r="B712" s="36" t="s">
        <v>2083</v>
      </c>
      <c r="C712" s="36" t="s">
        <v>1495</v>
      </c>
      <c r="D712" s="36" t="s">
        <v>1496</v>
      </c>
      <c r="E712" s="36" t="s">
        <v>1285</v>
      </c>
      <c r="F712" s="36" t="s">
        <v>286</v>
      </c>
      <c r="G712" s="36" t="s">
        <v>411</v>
      </c>
      <c r="H712" s="37">
        <v>2.89</v>
      </c>
      <c r="I712" s="36" t="s">
        <v>1301</v>
      </c>
      <c r="J712" s="39" t="s">
        <v>1923</v>
      </c>
      <c r="K712" s="38"/>
      <c r="L712" s="38"/>
    </row>
    <row r="713" ht="22.5" customHeight="1">
      <c r="A713" s="36" t="s">
        <v>2084</v>
      </c>
      <c r="B713" s="36" t="s">
        <v>2085</v>
      </c>
      <c r="C713" s="36" t="s">
        <v>1495</v>
      </c>
      <c r="D713" s="36" t="s">
        <v>1496</v>
      </c>
      <c r="E713" s="36" t="s">
        <v>1285</v>
      </c>
      <c r="F713" s="36" t="s">
        <v>286</v>
      </c>
      <c r="G713" s="36" t="s">
        <v>411</v>
      </c>
      <c r="H713" s="37">
        <v>6.72</v>
      </c>
      <c r="I713" s="36" t="s">
        <v>1301</v>
      </c>
      <c r="J713" s="39" t="s">
        <v>1923</v>
      </c>
      <c r="K713" s="38"/>
      <c r="L713" s="38"/>
    </row>
    <row r="714" ht="22.5" customHeight="1">
      <c r="A714" s="36" t="s">
        <v>2086</v>
      </c>
      <c r="B714" s="36" t="s">
        <v>2087</v>
      </c>
      <c r="C714" s="36" t="s">
        <v>1495</v>
      </c>
      <c r="D714" s="36" t="s">
        <v>1496</v>
      </c>
      <c r="E714" s="36" t="s">
        <v>1285</v>
      </c>
      <c r="F714" s="36" t="s">
        <v>286</v>
      </c>
      <c r="G714" s="36" t="s">
        <v>411</v>
      </c>
      <c r="H714" s="37">
        <v>1.44</v>
      </c>
      <c r="I714" s="36" t="s">
        <v>1301</v>
      </c>
      <c r="J714" s="39" t="s">
        <v>1541</v>
      </c>
      <c r="K714" s="38"/>
      <c r="L714" s="38"/>
    </row>
    <row r="715" ht="22.5" customHeight="1">
      <c r="A715" s="36" t="s">
        <v>2088</v>
      </c>
      <c r="B715" s="36" t="s">
        <v>2089</v>
      </c>
      <c r="C715" s="36" t="s">
        <v>1495</v>
      </c>
      <c r="D715" s="36" t="s">
        <v>1496</v>
      </c>
      <c r="E715" s="36" t="s">
        <v>1285</v>
      </c>
      <c r="F715" s="36" t="s">
        <v>286</v>
      </c>
      <c r="G715" s="36" t="s">
        <v>411</v>
      </c>
      <c r="H715" s="37">
        <v>111.79</v>
      </c>
      <c r="I715" s="36" t="s">
        <v>1301</v>
      </c>
      <c r="J715" s="39" t="s">
        <v>2090</v>
      </c>
      <c r="K715" s="38"/>
      <c r="L715" s="38"/>
    </row>
    <row r="716" ht="22.5" customHeight="1">
      <c r="A716" s="36" t="s">
        <v>2091</v>
      </c>
      <c r="B716" s="36" t="s">
        <v>2092</v>
      </c>
      <c r="C716" s="36" t="s">
        <v>1495</v>
      </c>
      <c r="D716" s="36" t="s">
        <v>1496</v>
      </c>
      <c r="E716" s="36" t="s">
        <v>1285</v>
      </c>
      <c r="F716" s="36" t="s">
        <v>286</v>
      </c>
      <c r="G716" s="36" t="s">
        <v>411</v>
      </c>
      <c r="H716" s="37">
        <v>27.75</v>
      </c>
      <c r="I716" s="36" t="s">
        <v>1301</v>
      </c>
      <c r="J716" s="39" t="s">
        <v>2090</v>
      </c>
      <c r="K716" s="38"/>
      <c r="L716" s="38"/>
    </row>
    <row r="717" ht="22.5" customHeight="1">
      <c r="A717" s="36" t="s">
        <v>2093</v>
      </c>
      <c r="B717" s="36" t="s">
        <v>2094</v>
      </c>
      <c r="C717" s="36" t="s">
        <v>1495</v>
      </c>
      <c r="D717" s="36" t="s">
        <v>1496</v>
      </c>
      <c r="E717" s="36" t="s">
        <v>1285</v>
      </c>
      <c r="F717" s="36" t="s">
        <v>286</v>
      </c>
      <c r="G717" s="36" t="s">
        <v>411</v>
      </c>
      <c r="H717" s="37">
        <v>205.42</v>
      </c>
      <c r="I717" s="36" t="s">
        <v>1301</v>
      </c>
      <c r="J717" s="39" t="s">
        <v>2090</v>
      </c>
      <c r="K717" s="38"/>
      <c r="L717" s="38"/>
    </row>
    <row r="718" ht="22.5" customHeight="1">
      <c r="A718" s="36" t="s">
        <v>2095</v>
      </c>
      <c r="B718" s="36" t="s">
        <v>2096</v>
      </c>
      <c r="C718" s="36" t="s">
        <v>1495</v>
      </c>
      <c r="D718" s="36" t="s">
        <v>1496</v>
      </c>
      <c r="E718" s="36" t="s">
        <v>1285</v>
      </c>
      <c r="F718" s="36" t="s">
        <v>286</v>
      </c>
      <c r="G718" s="36" t="s">
        <v>411</v>
      </c>
      <c r="H718" s="37">
        <v>196.91</v>
      </c>
      <c r="I718" s="36" t="s">
        <v>1301</v>
      </c>
      <c r="J718" s="39" t="s">
        <v>2090</v>
      </c>
      <c r="K718" s="38"/>
      <c r="L718" s="38"/>
    </row>
    <row r="719" ht="22.5" customHeight="1">
      <c r="A719" s="36" t="s">
        <v>2097</v>
      </c>
      <c r="B719" s="36" t="s">
        <v>2098</v>
      </c>
      <c r="C719" s="36" t="s">
        <v>1495</v>
      </c>
      <c r="D719" s="36" t="s">
        <v>1496</v>
      </c>
      <c r="E719" s="36" t="s">
        <v>1285</v>
      </c>
      <c r="F719" s="36" t="s">
        <v>286</v>
      </c>
      <c r="G719" s="36" t="s">
        <v>411</v>
      </c>
      <c r="H719" s="37">
        <v>166.99</v>
      </c>
      <c r="I719" s="36" t="s">
        <v>1301</v>
      </c>
      <c r="J719" s="39" t="s">
        <v>2090</v>
      </c>
      <c r="K719" s="38"/>
      <c r="L719" s="38"/>
    </row>
    <row r="720" ht="22.5" customHeight="1">
      <c r="A720" s="36" t="s">
        <v>2099</v>
      </c>
      <c r="B720" s="36" t="s">
        <v>2100</v>
      </c>
      <c r="C720" s="36" t="s">
        <v>1495</v>
      </c>
      <c r="D720" s="36" t="s">
        <v>1496</v>
      </c>
      <c r="E720" s="36" t="s">
        <v>1285</v>
      </c>
      <c r="F720" s="36" t="s">
        <v>286</v>
      </c>
      <c r="G720" s="36" t="s">
        <v>411</v>
      </c>
      <c r="H720" s="37">
        <v>94.11</v>
      </c>
      <c r="I720" s="36" t="s">
        <v>1301</v>
      </c>
      <c r="J720" s="39" t="s">
        <v>2090</v>
      </c>
      <c r="K720" s="38"/>
      <c r="L720" s="38"/>
    </row>
    <row r="721" ht="22.5" customHeight="1">
      <c r="A721" s="36" t="s">
        <v>2101</v>
      </c>
      <c r="B721" s="36" t="s">
        <v>2102</v>
      </c>
      <c r="C721" s="36" t="s">
        <v>1495</v>
      </c>
      <c r="D721" s="36" t="s">
        <v>1496</v>
      </c>
      <c r="E721" s="36" t="s">
        <v>1285</v>
      </c>
      <c r="F721" s="36" t="s">
        <v>286</v>
      </c>
      <c r="G721" s="36" t="s">
        <v>411</v>
      </c>
      <c r="H721" s="37">
        <v>350.47</v>
      </c>
      <c r="I721" s="36" t="s">
        <v>1301</v>
      </c>
      <c r="J721" s="39" t="s">
        <v>1564</v>
      </c>
      <c r="K721" s="38"/>
      <c r="L721" s="38"/>
    </row>
    <row r="722" ht="22.5" customHeight="1">
      <c r="A722" s="36" t="s">
        <v>2103</v>
      </c>
      <c r="B722" s="36" t="s">
        <v>2104</v>
      </c>
      <c r="C722" s="36" t="s">
        <v>1495</v>
      </c>
      <c r="D722" s="36" t="s">
        <v>1496</v>
      </c>
      <c r="E722" s="36" t="s">
        <v>1285</v>
      </c>
      <c r="F722" s="36" t="s">
        <v>286</v>
      </c>
      <c r="G722" s="36" t="s">
        <v>411</v>
      </c>
      <c r="H722" s="37">
        <v>275.88</v>
      </c>
      <c r="I722" s="36" t="s">
        <v>1301</v>
      </c>
      <c r="J722" s="39" t="s">
        <v>1564</v>
      </c>
      <c r="K722" s="38"/>
      <c r="L722" s="38"/>
    </row>
    <row r="723" ht="22.5" customHeight="1">
      <c r="A723" s="36" t="s">
        <v>2105</v>
      </c>
      <c r="B723" s="36" t="s">
        <v>2106</v>
      </c>
      <c r="C723" s="36" t="s">
        <v>1495</v>
      </c>
      <c r="D723" s="36" t="s">
        <v>1496</v>
      </c>
      <c r="E723" s="36" t="s">
        <v>1285</v>
      </c>
      <c r="F723" s="36" t="s">
        <v>286</v>
      </c>
      <c r="G723" s="36" t="s">
        <v>411</v>
      </c>
      <c r="H723" s="37">
        <v>4.94</v>
      </c>
      <c r="I723" s="36" t="s">
        <v>1301</v>
      </c>
      <c r="J723" s="39" t="s">
        <v>2107</v>
      </c>
      <c r="K723" s="38"/>
      <c r="L723" s="38"/>
    </row>
    <row r="724" ht="22.5" customHeight="1">
      <c r="A724" s="36" t="s">
        <v>2108</v>
      </c>
      <c r="B724" s="36" t="s">
        <v>2109</v>
      </c>
      <c r="C724" s="36" t="s">
        <v>1495</v>
      </c>
      <c r="D724" s="36" t="s">
        <v>1496</v>
      </c>
      <c r="E724" s="36" t="s">
        <v>1285</v>
      </c>
      <c r="F724" s="36" t="s">
        <v>286</v>
      </c>
      <c r="G724" s="36" t="s">
        <v>411</v>
      </c>
      <c r="H724" s="37">
        <v>2.8</v>
      </c>
      <c r="I724" s="36" t="s">
        <v>1301</v>
      </c>
      <c r="J724" s="39" t="s">
        <v>2107</v>
      </c>
      <c r="K724" s="38"/>
      <c r="L724" s="38"/>
    </row>
    <row r="725" ht="22.5" customHeight="1">
      <c r="A725" s="36" t="s">
        <v>2110</v>
      </c>
      <c r="B725" s="36" t="s">
        <v>2111</v>
      </c>
      <c r="C725" s="36" t="s">
        <v>1495</v>
      </c>
      <c r="D725" s="36" t="s">
        <v>1496</v>
      </c>
      <c r="E725" s="36" t="s">
        <v>287</v>
      </c>
      <c r="F725" s="36" t="s">
        <v>286</v>
      </c>
      <c r="G725" s="36" t="s">
        <v>411</v>
      </c>
      <c r="H725" s="37">
        <v>180.16</v>
      </c>
      <c r="I725" s="36" t="s">
        <v>1301</v>
      </c>
      <c r="J725" s="39" t="s">
        <v>1799</v>
      </c>
      <c r="K725" s="38"/>
      <c r="L725" s="38"/>
    </row>
    <row r="726" ht="22.5" customHeight="1">
      <c r="A726" s="36" t="s">
        <v>2112</v>
      </c>
      <c r="B726" s="36" t="s">
        <v>2113</v>
      </c>
      <c r="C726" s="36" t="s">
        <v>1495</v>
      </c>
      <c r="D726" s="36" t="s">
        <v>1496</v>
      </c>
      <c r="E726" s="36" t="s">
        <v>287</v>
      </c>
      <c r="F726" s="36" t="s">
        <v>286</v>
      </c>
      <c r="G726" s="36" t="s">
        <v>411</v>
      </c>
      <c r="H726" s="37">
        <v>48.74</v>
      </c>
      <c r="I726" s="36" t="s">
        <v>1301</v>
      </c>
      <c r="J726" s="39" t="s">
        <v>1799</v>
      </c>
      <c r="K726" s="38"/>
      <c r="L726" s="38"/>
    </row>
    <row r="727" ht="22.5" customHeight="1">
      <c r="A727" s="36" t="s">
        <v>2114</v>
      </c>
      <c r="B727" s="36" t="s">
        <v>2115</v>
      </c>
      <c r="C727" s="36" t="s">
        <v>1495</v>
      </c>
      <c r="D727" s="36" t="s">
        <v>1496</v>
      </c>
      <c r="E727" s="36" t="s">
        <v>287</v>
      </c>
      <c r="F727" s="36" t="s">
        <v>286</v>
      </c>
      <c r="G727" s="36" t="s">
        <v>411</v>
      </c>
      <c r="H727" s="37">
        <v>44.3</v>
      </c>
      <c r="I727" s="36" t="s">
        <v>1301</v>
      </c>
      <c r="J727" s="39" t="s">
        <v>1684</v>
      </c>
      <c r="K727" s="38"/>
      <c r="L727" s="38"/>
    </row>
    <row r="728" ht="22.5" customHeight="1">
      <c r="A728" s="36" t="s">
        <v>2116</v>
      </c>
      <c r="B728" s="36" t="s">
        <v>2117</v>
      </c>
      <c r="C728" s="36" t="s">
        <v>1495</v>
      </c>
      <c r="D728" s="36" t="s">
        <v>1496</v>
      </c>
      <c r="E728" s="36" t="s">
        <v>287</v>
      </c>
      <c r="F728" s="36" t="s">
        <v>286</v>
      </c>
      <c r="G728" s="36" t="s">
        <v>411</v>
      </c>
      <c r="H728" s="37">
        <v>44.18</v>
      </c>
      <c r="I728" s="36" t="s">
        <v>1301</v>
      </c>
      <c r="J728" s="39" t="s">
        <v>1614</v>
      </c>
      <c r="K728" s="38"/>
      <c r="L728" s="38"/>
    </row>
    <row r="729" ht="22.5" customHeight="1">
      <c r="A729" s="36" t="s">
        <v>2118</v>
      </c>
      <c r="B729" s="36" t="s">
        <v>2119</v>
      </c>
      <c r="C729" s="36" t="s">
        <v>1495</v>
      </c>
      <c r="D729" s="36" t="s">
        <v>1496</v>
      </c>
      <c r="E729" s="36" t="s">
        <v>287</v>
      </c>
      <c r="F729" s="36" t="s">
        <v>286</v>
      </c>
      <c r="G729" s="36" t="s">
        <v>411</v>
      </c>
      <c r="H729" s="37">
        <v>45.65</v>
      </c>
      <c r="I729" s="36" t="s">
        <v>1301</v>
      </c>
      <c r="J729" s="39" t="s">
        <v>1614</v>
      </c>
      <c r="K729" s="38"/>
      <c r="L729" s="38"/>
    </row>
    <row r="730" ht="22.5" customHeight="1">
      <c r="A730" s="36" t="s">
        <v>2120</v>
      </c>
      <c r="B730" s="36" t="s">
        <v>2121</v>
      </c>
      <c r="C730" s="36" t="s">
        <v>1495</v>
      </c>
      <c r="D730" s="36" t="s">
        <v>1496</v>
      </c>
      <c r="E730" s="36" t="s">
        <v>287</v>
      </c>
      <c r="F730" s="36" t="s">
        <v>286</v>
      </c>
      <c r="G730" s="36" t="s">
        <v>411</v>
      </c>
      <c r="H730" s="37">
        <v>41.67</v>
      </c>
      <c r="I730" s="36" t="s">
        <v>1301</v>
      </c>
      <c r="J730" s="39" t="s">
        <v>1840</v>
      </c>
      <c r="K730" s="38"/>
      <c r="L730" s="38"/>
    </row>
    <row r="731" ht="22.5" customHeight="1">
      <c r="A731" s="36" t="s">
        <v>2122</v>
      </c>
      <c r="B731" s="36" t="s">
        <v>2123</v>
      </c>
      <c r="C731" s="36" t="s">
        <v>1495</v>
      </c>
      <c r="D731" s="36" t="s">
        <v>1496</v>
      </c>
      <c r="E731" s="36" t="s">
        <v>287</v>
      </c>
      <c r="F731" s="36" t="s">
        <v>286</v>
      </c>
      <c r="G731" s="36" t="s">
        <v>411</v>
      </c>
      <c r="H731" s="37">
        <v>60.14</v>
      </c>
      <c r="I731" s="36" t="s">
        <v>1301</v>
      </c>
      <c r="J731" s="39" t="s">
        <v>2124</v>
      </c>
      <c r="K731" s="38"/>
      <c r="L731" s="38"/>
    </row>
    <row r="732" ht="22.5" customHeight="1">
      <c r="A732" s="36" t="s">
        <v>2125</v>
      </c>
      <c r="B732" s="36" t="s">
        <v>2126</v>
      </c>
      <c r="C732" s="36" t="s">
        <v>1495</v>
      </c>
      <c r="D732" s="36" t="s">
        <v>1496</v>
      </c>
      <c r="E732" s="36" t="s">
        <v>287</v>
      </c>
      <c r="F732" s="36" t="s">
        <v>286</v>
      </c>
      <c r="G732" s="36" t="s">
        <v>411</v>
      </c>
      <c r="H732" s="37">
        <v>0.0</v>
      </c>
      <c r="I732" s="36" t="s">
        <v>1301</v>
      </c>
      <c r="J732" s="39" t="s">
        <v>2127</v>
      </c>
      <c r="K732" s="38"/>
      <c r="L732" s="38"/>
    </row>
    <row r="733" ht="22.5" customHeight="1">
      <c r="A733" s="36" t="s">
        <v>2128</v>
      </c>
      <c r="B733" s="36" t="s">
        <v>2129</v>
      </c>
      <c r="C733" s="36" t="s">
        <v>1495</v>
      </c>
      <c r="D733" s="36" t="s">
        <v>1496</v>
      </c>
      <c r="E733" s="36" t="s">
        <v>287</v>
      </c>
      <c r="F733" s="36" t="s">
        <v>286</v>
      </c>
      <c r="G733" s="36" t="s">
        <v>411</v>
      </c>
      <c r="H733" s="37">
        <v>8.07</v>
      </c>
      <c r="I733" s="36" t="s">
        <v>1301</v>
      </c>
      <c r="J733" s="39" t="s">
        <v>2130</v>
      </c>
      <c r="K733" s="38"/>
      <c r="L733" s="38"/>
    </row>
    <row r="734" ht="22.5" customHeight="1">
      <c r="A734" s="36" t="s">
        <v>2131</v>
      </c>
      <c r="B734" s="36" t="s">
        <v>2132</v>
      </c>
      <c r="C734" s="36" t="s">
        <v>1495</v>
      </c>
      <c r="D734" s="36" t="s">
        <v>1496</v>
      </c>
      <c r="E734" s="36" t="s">
        <v>287</v>
      </c>
      <c r="F734" s="36" t="s">
        <v>286</v>
      </c>
      <c r="G734" s="36" t="s">
        <v>411</v>
      </c>
      <c r="H734" s="37">
        <v>43.63</v>
      </c>
      <c r="I734" s="36" t="s">
        <v>1301</v>
      </c>
      <c r="J734" s="39" t="s">
        <v>1936</v>
      </c>
      <c r="K734" s="38"/>
      <c r="L734" s="38"/>
    </row>
    <row r="735" ht="22.5" customHeight="1">
      <c r="A735" s="36" t="s">
        <v>2133</v>
      </c>
      <c r="B735" s="36" t="s">
        <v>2134</v>
      </c>
      <c r="C735" s="36" t="s">
        <v>1495</v>
      </c>
      <c r="D735" s="36" t="s">
        <v>1496</v>
      </c>
      <c r="E735" s="36" t="s">
        <v>287</v>
      </c>
      <c r="F735" s="36" t="s">
        <v>286</v>
      </c>
      <c r="G735" s="36" t="s">
        <v>411</v>
      </c>
      <c r="H735" s="37">
        <v>42.81</v>
      </c>
      <c r="I735" s="36" t="s">
        <v>1301</v>
      </c>
      <c r="J735" s="39" t="s">
        <v>1936</v>
      </c>
      <c r="K735" s="38"/>
      <c r="L735" s="38"/>
    </row>
    <row r="736" ht="22.5" customHeight="1">
      <c r="A736" s="36" t="s">
        <v>2135</v>
      </c>
      <c r="B736" s="36" t="s">
        <v>2136</v>
      </c>
      <c r="C736" s="36" t="s">
        <v>1495</v>
      </c>
      <c r="D736" s="36" t="s">
        <v>1496</v>
      </c>
      <c r="E736" s="36" t="s">
        <v>287</v>
      </c>
      <c r="F736" s="36" t="s">
        <v>286</v>
      </c>
      <c r="G736" s="36" t="s">
        <v>411</v>
      </c>
      <c r="H736" s="37">
        <v>800.0</v>
      </c>
      <c r="I736" s="36" t="s">
        <v>1301</v>
      </c>
      <c r="J736" s="39" t="s">
        <v>286</v>
      </c>
      <c r="K736" s="38"/>
      <c r="L736" s="38"/>
    </row>
    <row r="737" ht="22.5" customHeight="1">
      <c r="A737" s="36" t="s">
        <v>2137</v>
      </c>
      <c r="B737" s="36" t="s">
        <v>2138</v>
      </c>
      <c r="C737" s="36" t="s">
        <v>1495</v>
      </c>
      <c r="D737" s="36" t="s">
        <v>1496</v>
      </c>
      <c r="E737" s="36" t="s">
        <v>287</v>
      </c>
      <c r="F737" s="36" t="s">
        <v>286</v>
      </c>
      <c r="G737" s="36" t="s">
        <v>411</v>
      </c>
      <c r="H737" s="37">
        <v>81.67</v>
      </c>
      <c r="I737" s="36" t="s">
        <v>1301</v>
      </c>
      <c r="J737" s="39" t="s">
        <v>286</v>
      </c>
      <c r="K737" s="38"/>
      <c r="L737" s="38"/>
    </row>
    <row r="738" ht="22.5" customHeight="1">
      <c r="A738" s="36" t="s">
        <v>2139</v>
      </c>
      <c r="B738" s="36" t="s">
        <v>2140</v>
      </c>
      <c r="C738" s="36" t="s">
        <v>1495</v>
      </c>
      <c r="D738" s="36" t="s">
        <v>1496</v>
      </c>
      <c r="E738" s="36" t="s">
        <v>287</v>
      </c>
      <c r="F738" s="36" t="s">
        <v>286</v>
      </c>
      <c r="G738" s="36" t="s">
        <v>411</v>
      </c>
      <c r="H738" s="37">
        <v>7.11</v>
      </c>
      <c r="I738" s="36" t="s">
        <v>1301</v>
      </c>
      <c r="J738" s="39" t="s">
        <v>286</v>
      </c>
      <c r="K738" s="38"/>
      <c r="L738" s="38"/>
    </row>
    <row r="739" ht="22.5" customHeight="1">
      <c r="A739" s="36" t="s">
        <v>2141</v>
      </c>
      <c r="B739" s="36" t="s">
        <v>2142</v>
      </c>
      <c r="C739" s="36" t="s">
        <v>1495</v>
      </c>
      <c r="D739" s="36" t="s">
        <v>1496</v>
      </c>
      <c r="E739" s="36" t="s">
        <v>287</v>
      </c>
      <c r="F739" s="36" t="s">
        <v>286</v>
      </c>
      <c r="G739" s="36" t="s">
        <v>411</v>
      </c>
      <c r="H739" s="37">
        <v>5.7</v>
      </c>
      <c r="I739" s="36" t="s">
        <v>1301</v>
      </c>
      <c r="J739" s="39" t="s">
        <v>286</v>
      </c>
      <c r="K739" s="38"/>
      <c r="L739" s="38"/>
    </row>
    <row r="740" ht="22.5" customHeight="1">
      <c r="A740" s="36" t="s">
        <v>2143</v>
      </c>
      <c r="B740" s="36" t="s">
        <v>2144</v>
      </c>
      <c r="C740" s="36" t="s">
        <v>1495</v>
      </c>
      <c r="D740" s="36" t="s">
        <v>1496</v>
      </c>
      <c r="E740" s="36" t="s">
        <v>287</v>
      </c>
      <c r="F740" s="36" t="s">
        <v>286</v>
      </c>
      <c r="G740" s="36" t="s">
        <v>411</v>
      </c>
      <c r="H740" s="37">
        <v>5.71</v>
      </c>
      <c r="I740" s="36" t="s">
        <v>1301</v>
      </c>
      <c r="J740" s="39" t="s">
        <v>2145</v>
      </c>
      <c r="K740" s="38"/>
      <c r="L740" s="38"/>
    </row>
    <row r="741" ht="22.5" customHeight="1">
      <c r="A741" s="36" t="s">
        <v>2146</v>
      </c>
      <c r="B741" s="36" t="s">
        <v>2147</v>
      </c>
      <c r="C741" s="36" t="s">
        <v>1495</v>
      </c>
      <c r="D741" s="36" t="s">
        <v>1496</v>
      </c>
      <c r="E741" s="36" t="s">
        <v>287</v>
      </c>
      <c r="F741" s="36" t="s">
        <v>286</v>
      </c>
      <c r="G741" s="36" t="s">
        <v>411</v>
      </c>
      <c r="H741" s="37">
        <v>1.82</v>
      </c>
      <c r="I741" s="36" t="s">
        <v>1301</v>
      </c>
      <c r="J741" s="39" t="s">
        <v>2148</v>
      </c>
      <c r="K741" s="38"/>
      <c r="L741" s="38"/>
    </row>
    <row r="742" ht="22.5" customHeight="1">
      <c r="A742" s="36" t="s">
        <v>2149</v>
      </c>
      <c r="B742" s="36" t="s">
        <v>2150</v>
      </c>
      <c r="C742" s="36" t="s">
        <v>1495</v>
      </c>
      <c r="D742" s="36" t="s">
        <v>1496</v>
      </c>
      <c r="E742" s="36" t="s">
        <v>287</v>
      </c>
      <c r="F742" s="36" t="s">
        <v>286</v>
      </c>
      <c r="G742" s="36" t="s">
        <v>411</v>
      </c>
      <c r="H742" s="37">
        <v>8.02</v>
      </c>
      <c r="I742" s="36" t="s">
        <v>1301</v>
      </c>
      <c r="J742" s="39" t="s">
        <v>2151</v>
      </c>
      <c r="K742" s="38"/>
      <c r="L742" s="38"/>
    </row>
    <row r="743" ht="22.5" customHeight="1">
      <c r="A743" s="36" t="s">
        <v>2152</v>
      </c>
      <c r="B743" s="36" t="s">
        <v>2153</v>
      </c>
      <c r="C743" s="36" t="s">
        <v>1495</v>
      </c>
      <c r="D743" s="36" t="s">
        <v>1496</v>
      </c>
      <c r="E743" s="36" t="s">
        <v>287</v>
      </c>
      <c r="F743" s="36" t="s">
        <v>286</v>
      </c>
      <c r="G743" s="36" t="s">
        <v>411</v>
      </c>
      <c r="H743" s="37">
        <v>3.83</v>
      </c>
      <c r="I743" s="36" t="s">
        <v>1301</v>
      </c>
      <c r="J743" s="39" t="s">
        <v>1518</v>
      </c>
      <c r="K743" s="38"/>
      <c r="L743" s="38"/>
    </row>
    <row r="744" ht="22.5" customHeight="1">
      <c r="A744" s="36" t="s">
        <v>2154</v>
      </c>
      <c r="B744" s="36" t="s">
        <v>2155</v>
      </c>
      <c r="C744" s="36" t="s">
        <v>1495</v>
      </c>
      <c r="D744" s="36" t="s">
        <v>1496</v>
      </c>
      <c r="E744" s="36" t="s">
        <v>287</v>
      </c>
      <c r="F744" s="36" t="s">
        <v>286</v>
      </c>
      <c r="G744" s="36" t="s">
        <v>411</v>
      </c>
      <c r="H744" s="37">
        <v>3.97</v>
      </c>
      <c r="I744" s="36" t="s">
        <v>1301</v>
      </c>
      <c r="J744" s="39" t="s">
        <v>1763</v>
      </c>
      <c r="K744" s="38"/>
      <c r="L744" s="38"/>
    </row>
    <row r="745" ht="22.5" customHeight="1">
      <c r="A745" s="36" t="s">
        <v>2156</v>
      </c>
      <c r="B745" s="36" t="s">
        <v>2157</v>
      </c>
      <c r="C745" s="36" t="s">
        <v>1495</v>
      </c>
      <c r="D745" s="36" t="s">
        <v>1496</v>
      </c>
      <c r="E745" s="36" t="s">
        <v>287</v>
      </c>
      <c r="F745" s="36" t="s">
        <v>286</v>
      </c>
      <c r="G745" s="36" t="s">
        <v>411</v>
      </c>
      <c r="H745" s="37">
        <v>12.78</v>
      </c>
      <c r="I745" s="36" t="s">
        <v>1301</v>
      </c>
      <c r="J745" s="39" t="s">
        <v>286</v>
      </c>
      <c r="K745" s="38"/>
      <c r="L745" s="38"/>
    </row>
    <row r="746" ht="22.5" customHeight="1">
      <c r="A746" s="36" t="s">
        <v>2158</v>
      </c>
      <c r="B746" s="36" t="s">
        <v>2159</v>
      </c>
      <c r="C746" s="36" t="s">
        <v>1495</v>
      </c>
      <c r="D746" s="36" t="s">
        <v>1496</v>
      </c>
      <c r="E746" s="36" t="s">
        <v>287</v>
      </c>
      <c r="F746" s="36" t="s">
        <v>286</v>
      </c>
      <c r="G746" s="36" t="s">
        <v>411</v>
      </c>
      <c r="H746" s="37">
        <v>150.0</v>
      </c>
      <c r="I746" s="36" t="s">
        <v>1301</v>
      </c>
      <c r="J746" s="39" t="s">
        <v>286</v>
      </c>
      <c r="K746" s="38"/>
      <c r="L746" s="38"/>
    </row>
    <row r="747" ht="22.5" customHeight="1">
      <c r="A747" s="36" t="s">
        <v>2160</v>
      </c>
      <c r="B747" s="36" t="s">
        <v>2161</v>
      </c>
      <c r="C747" s="36" t="s">
        <v>1495</v>
      </c>
      <c r="D747" s="36" t="s">
        <v>1496</v>
      </c>
      <c r="E747" s="36" t="s">
        <v>287</v>
      </c>
      <c r="F747" s="36" t="s">
        <v>286</v>
      </c>
      <c r="G747" s="36" t="s">
        <v>411</v>
      </c>
      <c r="H747" s="37">
        <v>37.07</v>
      </c>
      <c r="I747" s="36" t="s">
        <v>1301</v>
      </c>
      <c r="J747" s="39" t="s">
        <v>286</v>
      </c>
      <c r="K747" s="38"/>
      <c r="L747" s="38"/>
    </row>
    <row r="748" ht="22.5" customHeight="1">
      <c r="A748" s="36" t="s">
        <v>2162</v>
      </c>
      <c r="B748" s="36" t="s">
        <v>2163</v>
      </c>
      <c r="C748" s="36" t="s">
        <v>1495</v>
      </c>
      <c r="D748" s="36" t="s">
        <v>1496</v>
      </c>
      <c r="E748" s="36" t="s">
        <v>287</v>
      </c>
      <c r="F748" s="36" t="s">
        <v>286</v>
      </c>
      <c r="G748" s="36" t="s">
        <v>411</v>
      </c>
      <c r="H748" s="37">
        <v>18.63</v>
      </c>
      <c r="I748" s="36" t="s">
        <v>1301</v>
      </c>
      <c r="J748" s="39" t="s">
        <v>1936</v>
      </c>
      <c r="K748" s="38"/>
      <c r="L748" s="38"/>
    </row>
    <row r="749" ht="22.5" customHeight="1">
      <c r="A749" s="36" t="s">
        <v>2164</v>
      </c>
      <c r="B749" s="36" t="s">
        <v>2165</v>
      </c>
      <c r="C749" s="36" t="s">
        <v>1495</v>
      </c>
      <c r="D749" s="36" t="s">
        <v>1496</v>
      </c>
      <c r="E749" s="36" t="s">
        <v>287</v>
      </c>
      <c r="F749" s="36" t="s">
        <v>286</v>
      </c>
      <c r="G749" s="36" t="s">
        <v>411</v>
      </c>
      <c r="H749" s="37">
        <v>17.81</v>
      </c>
      <c r="I749" s="36" t="s">
        <v>1301</v>
      </c>
      <c r="J749" s="39" t="s">
        <v>1936</v>
      </c>
      <c r="K749" s="38"/>
      <c r="L749" s="38"/>
    </row>
    <row r="750" ht="22.5" customHeight="1">
      <c r="A750" s="36" t="s">
        <v>2166</v>
      </c>
      <c r="B750" s="36" t="s">
        <v>2167</v>
      </c>
      <c r="C750" s="36" t="s">
        <v>1495</v>
      </c>
      <c r="D750" s="36" t="s">
        <v>1496</v>
      </c>
      <c r="E750" s="36" t="s">
        <v>287</v>
      </c>
      <c r="F750" s="36" t="s">
        <v>286</v>
      </c>
      <c r="G750" s="36" t="s">
        <v>411</v>
      </c>
      <c r="H750" s="37">
        <v>58.5</v>
      </c>
      <c r="I750" s="36" t="s">
        <v>1301</v>
      </c>
      <c r="J750" s="39" t="s">
        <v>1620</v>
      </c>
      <c r="K750" s="38"/>
      <c r="L750" s="38"/>
    </row>
    <row r="751" ht="22.5" customHeight="1">
      <c r="A751" s="36" t="s">
        <v>2168</v>
      </c>
      <c r="B751" s="36" t="s">
        <v>2169</v>
      </c>
      <c r="C751" s="36" t="s">
        <v>1495</v>
      </c>
      <c r="D751" s="36" t="s">
        <v>1496</v>
      </c>
      <c r="E751" s="36" t="s">
        <v>287</v>
      </c>
      <c r="F751" s="36" t="s">
        <v>286</v>
      </c>
      <c r="G751" s="36" t="s">
        <v>411</v>
      </c>
      <c r="H751" s="37">
        <v>36.83</v>
      </c>
      <c r="I751" s="36" t="s">
        <v>1301</v>
      </c>
      <c r="J751" s="39" t="s">
        <v>1620</v>
      </c>
      <c r="K751" s="38"/>
      <c r="L751" s="38"/>
    </row>
    <row r="752" ht="22.5" customHeight="1">
      <c r="A752" s="36" t="s">
        <v>2170</v>
      </c>
      <c r="B752" s="36" t="s">
        <v>2171</v>
      </c>
      <c r="C752" s="36" t="s">
        <v>1495</v>
      </c>
      <c r="D752" s="36" t="s">
        <v>1496</v>
      </c>
      <c r="E752" s="36" t="s">
        <v>287</v>
      </c>
      <c r="F752" s="36" t="s">
        <v>286</v>
      </c>
      <c r="G752" s="36" t="s">
        <v>411</v>
      </c>
      <c r="H752" s="37">
        <v>84.5</v>
      </c>
      <c r="I752" s="36" t="s">
        <v>1301</v>
      </c>
      <c r="J752" s="39" t="s">
        <v>1620</v>
      </c>
      <c r="K752" s="38"/>
      <c r="L752" s="38"/>
    </row>
    <row r="753" ht="22.5" customHeight="1">
      <c r="A753" s="36" t="s">
        <v>2172</v>
      </c>
      <c r="B753" s="36" t="s">
        <v>2173</v>
      </c>
      <c r="C753" s="36" t="s">
        <v>1495</v>
      </c>
      <c r="D753" s="36" t="s">
        <v>1496</v>
      </c>
      <c r="E753" s="36" t="s">
        <v>287</v>
      </c>
      <c r="F753" s="36" t="s">
        <v>286</v>
      </c>
      <c r="G753" s="36" t="s">
        <v>411</v>
      </c>
      <c r="H753" s="37">
        <v>456.88</v>
      </c>
      <c r="I753" s="36" t="s">
        <v>1301</v>
      </c>
      <c r="J753" s="39" t="s">
        <v>2174</v>
      </c>
      <c r="K753" s="38"/>
      <c r="L753" s="38"/>
    </row>
    <row r="754" ht="22.5" customHeight="1">
      <c r="A754" s="36" t="s">
        <v>2175</v>
      </c>
      <c r="B754" s="36" t="s">
        <v>2176</v>
      </c>
      <c r="C754" s="36" t="s">
        <v>1495</v>
      </c>
      <c r="D754" s="36" t="s">
        <v>1496</v>
      </c>
      <c r="E754" s="36" t="s">
        <v>287</v>
      </c>
      <c r="F754" s="36" t="s">
        <v>286</v>
      </c>
      <c r="G754" s="36" t="s">
        <v>411</v>
      </c>
      <c r="H754" s="37">
        <v>433.72</v>
      </c>
      <c r="I754" s="36" t="s">
        <v>1301</v>
      </c>
      <c r="J754" s="39" t="s">
        <v>2174</v>
      </c>
      <c r="K754" s="38"/>
      <c r="L754" s="38"/>
    </row>
    <row r="755" ht="22.5" customHeight="1">
      <c r="A755" s="36" t="s">
        <v>2177</v>
      </c>
      <c r="B755" s="36" t="s">
        <v>2178</v>
      </c>
      <c r="C755" s="36" t="s">
        <v>1495</v>
      </c>
      <c r="D755" s="36" t="s">
        <v>1496</v>
      </c>
      <c r="E755" s="36" t="s">
        <v>287</v>
      </c>
      <c r="F755" s="36" t="s">
        <v>286</v>
      </c>
      <c r="G755" s="36" t="s">
        <v>411</v>
      </c>
      <c r="H755" s="37">
        <v>553.92</v>
      </c>
      <c r="I755" s="36" t="s">
        <v>1301</v>
      </c>
      <c r="J755" s="39" t="s">
        <v>2174</v>
      </c>
      <c r="K755" s="38"/>
      <c r="L755" s="38"/>
    </row>
    <row r="756" ht="22.5" customHeight="1">
      <c r="A756" s="36" t="s">
        <v>2179</v>
      </c>
      <c r="B756" s="36" t="s">
        <v>2180</v>
      </c>
      <c r="C756" s="36" t="s">
        <v>1495</v>
      </c>
      <c r="D756" s="36" t="s">
        <v>1496</v>
      </c>
      <c r="E756" s="36" t="s">
        <v>287</v>
      </c>
      <c r="F756" s="36" t="s">
        <v>286</v>
      </c>
      <c r="G756" s="36" t="s">
        <v>411</v>
      </c>
      <c r="H756" s="37">
        <v>213.22</v>
      </c>
      <c r="I756" s="36" t="s">
        <v>1301</v>
      </c>
      <c r="J756" s="39" t="s">
        <v>2174</v>
      </c>
      <c r="K756" s="38"/>
      <c r="L756" s="38"/>
    </row>
    <row r="757" ht="22.5" customHeight="1">
      <c r="A757" s="36" t="s">
        <v>2181</v>
      </c>
      <c r="B757" s="36" t="s">
        <v>2182</v>
      </c>
      <c r="C757" s="36" t="s">
        <v>1495</v>
      </c>
      <c r="D757" s="36" t="s">
        <v>1496</v>
      </c>
      <c r="E757" s="36" t="s">
        <v>287</v>
      </c>
      <c r="F757" s="36" t="s">
        <v>286</v>
      </c>
      <c r="G757" s="36" t="s">
        <v>411</v>
      </c>
      <c r="H757" s="37">
        <v>425.35</v>
      </c>
      <c r="I757" s="36" t="s">
        <v>1301</v>
      </c>
      <c r="J757" s="39" t="s">
        <v>2174</v>
      </c>
      <c r="K757" s="38"/>
      <c r="L757" s="38"/>
    </row>
    <row r="758" ht="22.5" customHeight="1">
      <c r="A758" s="36" t="s">
        <v>2183</v>
      </c>
      <c r="B758" s="36" t="s">
        <v>2184</v>
      </c>
      <c r="C758" s="36" t="s">
        <v>1495</v>
      </c>
      <c r="D758" s="36" t="s">
        <v>1496</v>
      </c>
      <c r="E758" s="36" t="s">
        <v>287</v>
      </c>
      <c r="F758" s="36" t="s">
        <v>286</v>
      </c>
      <c r="G758" s="36" t="s">
        <v>411</v>
      </c>
      <c r="H758" s="37">
        <v>216.22</v>
      </c>
      <c r="I758" s="36" t="s">
        <v>1301</v>
      </c>
      <c r="J758" s="39" t="s">
        <v>2185</v>
      </c>
      <c r="K758" s="38"/>
      <c r="L758" s="38"/>
    </row>
    <row r="759" ht="22.5" customHeight="1">
      <c r="A759" s="36" t="s">
        <v>2186</v>
      </c>
      <c r="B759" s="36" t="s">
        <v>2187</v>
      </c>
      <c r="C759" s="36" t="s">
        <v>1495</v>
      </c>
      <c r="D759" s="36" t="s">
        <v>1496</v>
      </c>
      <c r="E759" s="36" t="s">
        <v>287</v>
      </c>
      <c r="F759" s="36" t="s">
        <v>286</v>
      </c>
      <c r="G759" s="36" t="s">
        <v>411</v>
      </c>
      <c r="H759" s="37">
        <v>168.08</v>
      </c>
      <c r="I759" s="36" t="s">
        <v>1301</v>
      </c>
      <c r="J759" s="39" t="s">
        <v>2185</v>
      </c>
      <c r="K759" s="38"/>
      <c r="L759" s="38"/>
    </row>
    <row r="760" ht="22.5" customHeight="1">
      <c r="A760" s="36" t="s">
        <v>2188</v>
      </c>
      <c r="B760" s="36" t="s">
        <v>2189</v>
      </c>
      <c r="C760" s="36" t="s">
        <v>1495</v>
      </c>
      <c r="D760" s="36" t="s">
        <v>1496</v>
      </c>
      <c r="E760" s="36" t="s">
        <v>287</v>
      </c>
      <c r="F760" s="36" t="s">
        <v>286</v>
      </c>
      <c r="G760" s="36" t="s">
        <v>411</v>
      </c>
      <c r="H760" s="37">
        <v>155.02</v>
      </c>
      <c r="I760" s="36" t="s">
        <v>1301</v>
      </c>
      <c r="J760" s="39" t="s">
        <v>2185</v>
      </c>
      <c r="K760" s="38"/>
      <c r="L760" s="38"/>
    </row>
    <row r="761" ht="22.5" customHeight="1">
      <c r="A761" s="36" t="s">
        <v>2190</v>
      </c>
      <c r="B761" s="36" t="s">
        <v>2191</v>
      </c>
      <c r="C761" s="36" t="s">
        <v>1495</v>
      </c>
      <c r="D761" s="36" t="s">
        <v>1496</v>
      </c>
      <c r="E761" s="36" t="s">
        <v>287</v>
      </c>
      <c r="F761" s="36" t="s">
        <v>286</v>
      </c>
      <c r="G761" s="36" t="s">
        <v>411</v>
      </c>
      <c r="H761" s="37">
        <v>80.46</v>
      </c>
      <c r="I761" s="36" t="s">
        <v>1301</v>
      </c>
      <c r="J761" s="39" t="s">
        <v>2185</v>
      </c>
      <c r="K761" s="38"/>
      <c r="L761" s="38"/>
    </row>
    <row r="762" ht="22.5" customHeight="1">
      <c r="A762" s="36" t="s">
        <v>2192</v>
      </c>
      <c r="B762" s="36" t="s">
        <v>2193</v>
      </c>
      <c r="C762" s="36" t="s">
        <v>1495</v>
      </c>
      <c r="D762" s="36" t="s">
        <v>1496</v>
      </c>
      <c r="E762" s="36" t="s">
        <v>287</v>
      </c>
      <c r="F762" s="36" t="s">
        <v>286</v>
      </c>
      <c r="G762" s="36" t="s">
        <v>411</v>
      </c>
      <c r="H762" s="37">
        <v>137.47</v>
      </c>
      <c r="I762" s="36" t="s">
        <v>1301</v>
      </c>
      <c r="J762" s="39" t="s">
        <v>2185</v>
      </c>
      <c r="K762" s="38"/>
      <c r="L762" s="38"/>
    </row>
    <row r="763" ht="22.5" customHeight="1">
      <c r="A763" s="36" t="s">
        <v>2194</v>
      </c>
      <c r="B763" s="36" t="s">
        <v>2195</v>
      </c>
      <c r="C763" s="36" t="s">
        <v>1495</v>
      </c>
      <c r="D763" s="36" t="s">
        <v>1496</v>
      </c>
      <c r="E763" s="36" t="s">
        <v>287</v>
      </c>
      <c r="F763" s="36" t="s">
        <v>286</v>
      </c>
      <c r="G763" s="36" t="s">
        <v>411</v>
      </c>
      <c r="H763" s="37">
        <v>224.83</v>
      </c>
      <c r="I763" s="36" t="s">
        <v>1301</v>
      </c>
      <c r="J763" s="39" t="s">
        <v>1564</v>
      </c>
      <c r="K763" s="38"/>
      <c r="L763" s="38"/>
    </row>
    <row r="764" ht="22.5" customHeight="1">
      <c r="A764" s="36" t="s">
        <v>2196</v>
      </c>
      <c r="B764" s="36" t="s">
        <v>2197</v>
      </c>
      <c r="C764" s="36" t="s">
        <v>1495</v>
      </c>
      <c r="D764" s="36" t="s">
        <v>1496</v>
      </c>
      <c r="E764" s="36" t="s">
        <v>287</v>
      </c>
      <c r="F764" s="36" t="s">
        <v>286</v>
      </c>
      <c r="G764" s="36" t="s">
        <v>411</v>
      </c>
      <c r="H764" s="37">
        <v>100.07</v>
      </c>
      <c r="I764" s="36" t="s">
        <v>1301</v>
      </c>
      <c r="J764" s="39" t="s">
        <v>2198</v>
      </c>
      <c r="K764" s="38"/>
      <c r="L764" s="38"/>
    </row>
    <row r="765" ht="22.5" customHeight="1">
      <c r="A765" s="36" t="s">
        <v>2199</v>
      </c>
      <c r="B765" s="36" t="s">
        <v>2200</v>
      </c>
      <c r="C765" s="36" t="s">
        <v>1495</v>
      </c>
      <c r="D765" s="36" t="s">
        <v>1496</v>
      </c>
      <c r="E765" s="36" t="s">
        <v>287</v>
      </c>
      <c r="F765" s="36" t="s">
        <v>286</v>
      </c>
      <c r="G765" s="36" t="s">
        <v>411</v>
      </c>
      <c r="H765" s="37">
        <v>10.58</v>
      </c>
      <c r="I765" s="36" t="s">
        <v>1301</v>
      </c>
      <c r="J765" s="39" t="s">
        <v>286</v>
      </c>
      <c r="K765" s="38"/>
      <c r="L765" s="38"/>
    </row>
    <row r="766" ht="22.5" customHeight="1">
      <c r="A766" s="36" t="s">
        <v>2201</v>
      </c>
      <c r="B766" s="36" t="s">
        <v>2202</v>
      </c>
      <c r="C766" s="36" t="s">
        <v>1495</v>
      </c>
      <c r="D766" s="36" t="s">
        <v>1496</v>
      </c>
      <c r="E766" s="36" t="s">
        <v>287</v>
      </c>
      <c r="F766" s="36" t="s">
        <v>286</v>
      </c>
      <c r="G766" s="36" t="s">
        <v>411</v>
      </c>
      <c r="H766" s="37">
        <v>84.87</v>
      </c>
      <c r="I766" s="36" t="s">
        <v>1301</v>
      </c>
      <c r="J766" s="39" t="s">
        <v>1770</v>
      </c>
      <c r="K766" s="38"/>
      <c r="L766" s="38"/>
    </row>
    <row r="767" ht="22.5" customHeight="1">
      <c r="A767" s="36" t="s">
        <v>2203</v>
      </c>
      <c r="B767" s="36" t="s">
        <v>2204</v>
      </c>
      <c r="C767" s="36" t="s">
        <v>1495</v>
      </c>
      <c r="D767" s="36" t="s">
        <v>1496</v>
      </c>
      <c r="E767" s="36" t="s">
        <v>287</v>
      </c>
      <c r="F767" s="36" t="s">
        <v>286</v>
      </c>
      <c r="G767" s="36" t="s">
        <v>411</v>
      </c>
      <c r="H767" s="37">
        <v>22.96</v>
      </c>
      <c r="I767" s="36" t="s">
        <v>1301</v>
      </c>
      <c r="J767" s="39" t="s">
        <v>1770</v>
      </c>
      <c r="K767" s="38"/>
      <c r="L767" s="38"/>
    </row>
    <row r="768" ht="22.5" customHeight="1">
      <c r="A768" s="36" t="s">
        <v>2205</v>
      </c>
      <c r="B768" s="36" t="s">
        <v>2206</v>
      </c>
      <c r="C768" s="36" t="s">
        <v>1495</v>
      </c>
      <c r="D768" s="36" t="s">
        <v>1496</v>
      </c>
      <c r="E768" s="36" t="s">
        <v>287</v>
      </c>
      <c r="F768" s="36" t="s">
        <v>286</v>
      </c>
      <c r="G768" s="36" t="s">
        <v>411</v>
      </c>
      <c r="H768" s="37">
        <v>11.01</v>
      </c>
      <c r="I768" s="36" t="s">
        <v>1301</v>
      </c>
      <c r="J768" s="39" t="s">
        <v>2077</v>
      </c>
      <c r="K768" s="38"/>
      <c r="L768" s="38"/>
    </row>
    <row r="769" ht="22.5" customHeight="1">
      <c r="A769" s="36" t="s">
        <v>2207</v>
      </c>
      <c r="B769" s="36" t="s">
        <v>2208</v>
      </c>
      <c r="C769" s="36" t="s">
        <v>1495</v>
      </c>
      <c r="D769" s="36" t="s">
        <v>1496</v>
      </c>
      <c r="E769" s="36" t="s">
        <v>287</v>
      </c>
      <c r="F769" s="36" t="s">
        <v>286</v>
      </c>
      <c r="G769" s="36" t="s">
        <v>411</v>
      </c>
      <c r="H769" s="37">
        <v>6.68</v>
      </c>
      <c r="I769" s="36" t="s">
        <v>1301</v>
      </c>
      <c r="J769" s="39" t="s">
        <v>2198</v>
      </c>
      <c r="K769" s="38"/>
      <c r="L769" s="38"/>
    </row>
    <row r="770" ht="22.5" customHeight="1">
      <c r="A770" s="36" t="s">
        <v>2209</v>
      </c>
      <c r="B770" s="36" t="s">
        <v>2210</v>
      </c>
      <c r="C770" s="36" t="s">
        <v>1495</v>
      </c>
      <c r="D770" s="36" t="s">
        <v>1496</v>
      </c>
      <c r="E770" s="36" t="s">
        <v>287</v>
      </c>
      <c r="F770" s="36" t="s">
        <v>286</v>
      </c>
      <c r="G770" s="36" t="s">
        <v>411</v>
      </c>
      <c r="H770" s="37">
        <v>3.84</v>
      </c>
      <c r="I770" s="36" t="s">
        <v>1301</v>
      </c>
      <c r="J770" s="39" t="s">
        <v>2198</v>
      </c>
      <c r="K770" s="38"/>
      <c r="L770" s="38"/>
    </row>
    <row r="771" ht="22.5" customHeight="1">
      <c r="A771" s="36" t="s">
        <v>2211</v>
      </c>
      <c r="B771" s="36" t="s">
        <v>2212</v>
      </c>
      <c r="C771" s="36" t="s">
        <v>1495</v>
      </c>
      <c r="D771" s="36" t="s">
        <v>1496</v>
      </c>
      <c r="E771" s="36" t="s">
        <v>287</v>
      </c>
      <c r="F771" s="36" t="s">
        <v>286</v>
      </c>
      <c r="G771" s="36" t="s">
        <v>411</v>
      </c>
      <c r="H771" s="37">
        <v>4.13</v>
      </c>
      <c r="I771" s="36" t="s">
        <v>1301</v>
      </c>
      <c r="J771" s="39" t="s">
        <v>2198</v>
      </c>
      <c r="K771" s="38"/>
      <c r="L771" s="38"/>
    </row>
    <row r="772" ht="22.5" customHeight="1">
      <c r="A772" s="36" t="s">
        <v>2213</v>
      </c>
      <c r="B772" s="36" t="s">
        <v>2214</v>
      </c>
      <c r="C772" s="36" t="s">
        <v>1495</v>
      </c>
      <c r="D772" s="36" t="s">
        <v>1496</v>
      </c>
      <c r="E772" s="36" t="s">
        <v>287</v>
      </c>
      <c r="F772" s="36" t="s">
        <v>286</v>
      </c>
      <c r="G772" s="36" t="s">
        <v>411</v>
      </c>
      <c r="H772" s="37">
        <v>363.67</v>
      </c>
      <c r="I772" s="36" t="s">
        <v>1301</v>
      </c>
      <c r="J772" s="39" t="s">
        <v>1770</v>
      </c>
      <c r="K772" s="38"/>
      <c r="L772" s="38"/>
    </row>
    <row r="773" ht="22.5" customHeight="1">
      <c r="A773" s="36" t="s">
        <v>2215</v>
      </c>
      <c r="B773" s="36" t="s">
        <v>2216</v>
      </c>
      <c r="C773" s="36" t="s">
        <v>1495</v>
      </c>
      <c r="D773" s="36" t="s">
        <v>1496</v>
      </c>
      <c r="E773" s="36" t="s">
        <v>287</v>
      </c>
      <c r="F773" s="36" t="s">
        <v>286</v>
      </c>
      <c r="G773" s="36" t="s">
        <v>411</v>
      </c>
      <c r="H773" s="37">
        <v>45.76</v>
      </c>
      <c r="I773" s="36" t="s">
        <v>1301</v>
      </c>
      <c r="J773" s="39" t="s">
        <v>1564</v>
      </c>
      <c r="K773" s="38"/>
      <c r="L773" s="38"/>
    </row>
    <row r="774" ht="22.5" customHeight="1">
      <c r="A774" s="36" t="s">
        <v>2217</v>
      </c>
      <c r="B774" s="36" t="s">
        <v>2218</v>
      </c>
      <c r="C774" s="36" t="s">
        <v>1495</v>
      </c>
      <c r="D774" s="36" t="s">
        <v>1496</v>
      </c>
      <c r="E774" s="36" t="s">
        <v>287</v>
      </c>
      <c r="F774" s="36" t="s">
        <v>286</v>
      </c>
      <c r="G774" s="36" t="s">
        <v>411</v>
      </c>
      <c r="H774" s="37">
        <v>3.47</v>
      </c>
      <c r="I774" s="36" t="s">
        <v>1301</v>
      </c>
      <c r="J774" s="39" t="s">
        <v>1875</v>
      </c>
      <c r="K774" s="38"/>
      <c r="L774" s="38"/>
    </row>
    <row r="775" ht="22.5" customHeight="1">
      <c r="A775" s="36" t="s">
        <v>2219</v>
      </c>
      <c r="B775" s="36" t="s">
        <v>2220</v>
      </c>
      <c r="C775" s="36" t="s">
        <v>1495</v>
      </c>
      <c r="D775" s="36" t="s">
        <v>1496</v>
      </c>
      <c r="E775" s="36" t="s">
        <v>287</v>
      </c>
      <c r="F775" s="36" t="s">
        <v>286</v>
      </c>
      <c r="G775" s="36" t="s">
        <v>411</v>
      </c>
      <c r="H775" s="37">
        <v>2.71</v>
      </c>
      <c r="I775" s="36" t="s">
        <v>1301</v>
      </c>
      <c r="J775" s="39" t="s">
        <v>1518</v>
      </c>
      <c r="K775" s="38"/>
      <c r="L775" s="38"/>
    </row>
    <row r="776" ht="22.5" customHeight="1">
      <c r="A776" s="36" t="s">
        <v>2221</v>
      </c>
      <c r="B776" s="36" t="s">
        <v>2222</v>
      </c>
      <c r="C776" s="36" t="s">
        <v>1495</v>
      </c>
      <c r="D776" s="36" t="s">
        <v>1496</v>
      </c>
      <c r="E776" s="36" t="s">
        <v>287</v>
      </c>
      <c r="F776" s="36" t="s">
        <v>286</v>
      </c>
      <c r="G776" s="36" t="s">
        <v>411</v>
      </c>
      <c r="H776" s="37">
        <v>7.09</v>
      </c>
      <c r="I776" s="36" t="s">
        <v>1301</v>
      </c>
      <c r="J776" s="39" t="s">
        <v>1561</v>
      </c>
      <c r="K776" s="38"/>
      <c r="L776" s="38"/>
    </row>
    <row r="777" ht="22.5" customHeight="1">
      <c r="A777" s="36" t="s">
        <v>2223</v>
      </c>
      <c r="B777" s="36" t="s">
        <v>2224</v>
      </c>
      <c r="C777" s="36" t="s">
        <v>1495</v>
      </c>
      <c r="D777" s="36" t="s">
        <v>1496</v>
      </c>
      <c r="E777" s="36" t="s">
        <v>287</v>
      </c>
      <c r="F777" s="36" t="s">
        <v>286</v>
      </c>
      <c r="G777" s="36" t="s">
        <v>411</v>
      </c>
      <c r="H777" s="37">
        <v>1.22</v>
      </c>
      <c r="I777" s="36" t="s">
        <v>1301</v>
      </c>
      <c r="J777" s="39" t="s">
        <v>1577</v>
      </c>
      <c r="K777" s="38"/>
      <c r="L777" s="38"/>
    </row>
    <row r="778" ht="22.5" customHeight="1">
      <c r="A778" s="36" t="s">
        <v>2225</v>
      </c>
      <c r="B778" s="36" t="s">
        <v>2226</v>
      </c>
      <c r="C778" s="36" t="s">
        <v>1867</v>
      </c>
      <c r="D778" s="36" t="s">
        <v>1868</v>
      </c>
      <c r="E778" s="36" t="s">
        <v>287</v>
      </c>
      <c r="F778" s="36" t="s">
        <v>286</v>
      </c>
      <c r="G778" s="36" t="s">
        <v>411</v>
      </c>
      <c r="H778" s="37">
        <v>4.2</v>
      </c>
      <c r="I778" s="36" t="s">
        <v>1301</v>
      </c>
      <c r="J778" s="39" t="s">
        <v>2227</v>
      </c>
      <c r="K778" s="38"/>
      <c r="L778" s="38"/>
    </row>
    <row r="779" ht="22.5" customHeight="1">
      <c r="A779" s="36" t="s">
        <v>2228</v>
      </c>
      <c r="B779" s="36" t="s">
        <v>2229</v>
      </c>
      <c r="C779" s="36" t="s">
        <v>1495</v>
      </c>
      <c r="D779" s="36" t="s">
        <v>1496</v>
      </c>
      <c r="E779" s="36" t="s">
        <v>287</v>
      </c>
      <c r="F779" s="36" t="s">
        <v>286</v>
      </c>
      <c r="G779" s="36" t="s">
        <v>411</v>
      </c>
      <c r="H779" s="37">
        <v>2.01</v>
      </c>
      <c r="I779" s="36" t="s">
        <v>1301</v>
      </c>
      <c r="J779" s="39" t="s">
        <v>1518</v>
      </c>
      <c r="K779" s="38"/>
      <c r="L779" s="38"/>
    </row>
    <row r="780" ht="22.5" customHeight="1">
      <c r="A780" s="36" t="s">
        <v>2230</v>
      </c>
      <c r="B780" s="36" t="s">
        <v>2231</v>
      </c>
      <c r="C780" s="36" t="s">
        <v>1495</v>
      </c>
      <c r="D780" s="36" t="s">
        <v>1496</v>
      </c>
      <c r="E780" s="36" t="s">
        <v>287</v>
      </c>
      <c r="F780" s="36" t="s">
        <v>286</v>
      </c>
      <c r="G780" s="36" t="s">
        <v>411</v>
      </c>
      <c r="H780" s="37">
        <v>2.78</v>
      </c>
      <c r="I780" s="36" t="s">
        <v>1301</v>
      </c>
      <c r="J780" s="39" t="s">
        <v>1577</v>
      </c>
      <c r="K780" s="38"/>
      <c r="L780" s="38"/>
    </row>
    <row r="781" ht="22.5" customHeight="1">
      <c r="A781" s="36" t="s">
        <v>2232</v>
      </c>
      <c r="B781" s="36" t="s">
        <v>2233</v>
      </c>
      <c r="C781" s="36" t="s">
        <v>1495</v>
      </c>
      <c r="D781" s="36" t="s">
        <v>1496</v>
      </c>
      <c r="E781" s="36" t="s">
        <v>287</v>
      </c>
      <c r="F781" s="36" t="s">
        <v>286</v>
      </c>
      <c r="G781" s="36" t="s">
        <v>411</v>
      </c>
      <c r="H781" s="37">
        <v>6.27</v>
      </c>
      <c r="I781" s="36" t="s">
        <v>1301</v>
      </c>
      <c r="J781" s="39" t="s">
        <v>1763</v>
      </c>
      <c r="K781" s="38"/>
      <c r="L781" s="38"/>
    </row>
    <row r="782" ht="22.5" customHeight="1">
      <c r="A782" s="36" t="s">
        <v>2234</v>
      </c>
      <c r="B782" s="36" t="s">
        <v>2235</v>
      </c>
      <c r="C782" s="36" t="s">
        <v>1495</v>
      </c>
      <c r="D782" s="36" t="s">
        <v>1496</v>
      </c>
      <c r="E782" s="36" t="s">
        <v>287</v>
      </c>
      <c r="F782" s="36" t="s">
        <v>286</v>
      </c>
      <c r="G782" s="36" t="s">
        <v>411</v>
      </c>
      <c r="H782" s="37">
        <v>1.56</v>
      </c>
      <c r="I782" s="36" t="s">
        <v>1301</v>
      </c>
      <c r="J782" s="39" t="s">
        <v>1544</v>
      </c>
      <c r="K782" s="38"/>
      <c r="L782" s="38"/>
    </row>
    <row r="783" ht="22.5" customHeight="1">
      <c r="A783" s="36" t="s">
        <v>2236</v>
      </c>
      <c r="B783" s="36" t="s">
        <v>2237</v>
      </c>
      <c r="C783" s="36" t="s">
        <v>1495</v>
      </c>
      <c r="D783" s="36" t="s">
        <v>1496</v>
      </c>
      <c r="E783" s="36" t="s">
        <v>287</v>
      </c>
      <c r="F783" s="36" t="s">
        <v>286</v>
      </c>
      <c r="G783" s="36" t="s">
        <v>411</v>
      </c>
      <c r="H783" s="37">
        <v>9.17</v>
      </c>
      <c r="I783" s="36" t="s">
        <v>1301</v>
      </c>
      <c r="J783" s="39" t="s">
        <v>286</v>
      </c>
      <c r="K783" s="38"/>
      <c r="L783" s="38"/>
    </row>
    <row r="784" ht="22.5" customHeight="1">
      <c r="A784" s="36" t="s">
        <v>2238</v>
      </c>
      <c r="B784" s="36" t="s">
        <v>2239</v>
      </c>
      <c r="C784" s="36" t="s">
        <v>1495</v>
      </c>
      <c r="D784" s="36" t="s">
        <v>1496</v>
      </c>
      <c r="E784" s="36" t="s">
        <v>287</v>
      </c>
      <c r="F784" s="36" t="s">
        <v>286</v>
      </c>
      <c r="G784" s="36" t="s">
        <v>411</v>
      </c>
      <c r="H784" s="37">
        <v>9.58</v>
      </c>
      <c r="I784" s="36" t="s">
        <v>1301</v>
      </c>
      <c r="J784" s="39" t="s">
        <v>286</v>
      </c>
      <c r="K784" s="38"/>
      <c r="L784" s="38"/>
    </row>
    <row r="785" ht="22.5" customHeight="1">
      <c r="A785" s="36" t="s">
        <v>2240</v>
      </c>
      <c r="B785" s="36" t="s">
        <v>2241</v>
      </c>
      <c r="C785" s="36" t="s">
        <v>1495</v>
      </c>
      <c r="D785" s="36" t="s">
        <v>1496</v>
      </c>
      <c r="E785" s="36" t="s">
        <v>287</v>
      </c>
      <c r="F785" s="36" t="s">
        <v>286</v>
      </c>
      <c r="G785" s="36" t="s">
        <v>411</v>
      </c>
      <c r="H785" s="37">
        <v>5.29</v>
      </c>
      <c r="I785" s="36" t="s">
        <v>1301</v>
      </c>
      <c r="J785" s="39" t="s">
        <v>286</v>
      </c>
      <c r="K785" s="38"/>
      <c r="L785" s="38"/>
    </row>
    <row r="786" ht="22.5" customHeight="1">
      <c r="A786" s="36" t="s">
        <v>2242</v>
      </c>
      <c r="B786" s="36" t="s">
        <v>2243</v>
      </c>
      <c r="C786" s="36" t="s">
        <v>1495</v>
      </c>
      <c r="D786" s="36" t="s">
        <v>1496</v>
      </c>
      <c r="E786" s="36" t="s">
        <v>287</v>
      </c>
      <c r="F786" s="36" t="s">
        <v>286</v>
      </c>
      <c r="G786" s="36" t="s">
        <v>411</v>
      </c>
      <c r="H786" s="37">
        <v>5.29</v>
      </c>
      <c r="I786" s="36" t="s">
        <v>1301</v>
      </c>
      <c r="J786" s="39" t="s">
        <v>286</v>
      </c>
      <c r="K786" s="38"/>
      <c r="L786" s="38"/>
    </row>
    <row r="787" ht="22.5" customHeight="1">
      <c r="A787" s="36" t="s">
        <v>2244</v>
      </c>
      <c r="B787" s="36" t="s">
        <v>2245</v>
      </c>
      <c r="C787" s="36" t="s">
        <v>1495</v>
      </c>
      <c r="D787" s="36" t="s">
        <v>1496</v>
      </c>
      <c r="E787" s="36" t="s">
        <v>287</v>
      </c>
      <c r="F787" s="36" t="s">
        <v>286</v>
      </c>
      <c r="G787" s="36" t="s">
        <v>411</v>
      </c>
      <c r="H787" s="37">
        <v>2.58</v>
      </c>
      <c r="I787" s="36" t="s">
        <v>1301</v>
      </c>
      <c r="J787" s="39" t="s">
        <v>286</v>
      </c>
      <c r="K787" s="38"/>
      <c r="L787" s="38"/>
    </row>
    <row r="788" ht="22.5" customHeight="1">
      <c r="A788" s="36" t="s">
        <v>2246</v>
      </c>
      <c r="B788" s="36" t="s">
        <v>2247</v>
      </c>
      <c r="C788" s="36" t="s">
        <v>1495</v>
      </c>
      <c r="D788" s="36" t="s">
        <v>1496</v>
      </c>
      <c r="E788" s="36" t="s">
        <v>287</v>
      </c>
      <c r="F788" s="36" t="s">
        <v>286</v>
      </c>
      <c r="G788" s="36" t="s">
        <v>411</v>
      </c>
      <c r="H788" s="37">
        <v>6.25</v>
      </c>
      <c r="I788" s="36" t="s">
        <v>1301</v>
      </c>
      <c r="J788" s="39" t="s">
        <v>286</v>
      </c>
      <c r="K788" s="38"/>
      <c r="L788" s="38"/>
    </row>
    <row r="789" ht="22.5" customHeight="1">
      <c r="A789" s="36" t="s">
        <v>2248</v>
      </c>
      <c r="B789" s="36" t="s">
        <v>2249</v>
      </c>
      <c r="C789" s="36" t="s">
        <v>1495</v>
      </c>
      <c r="D789" s="36" t="s">
        <v>1496</v>
      </c>
      <c r="E789" s="36" t="s">
        <v>287</v>
      </c>
      <c r="F789" s="36" t="s">
        <v>286</v>
      </c>
      <c r="G789" s="36" t="s">
        <v>411</v>
      </c>
      <c r="H789" s="37">
        <v>3.19</v>
      </c>
      <c r="I789" s="36" t="s">
        <v>1301</v>
      </c>
      <c r="J789" s="39" t="s">
        <v>286</v>
      </c>
      <c r="K789" s="38"/>
      <c r="L789" s="38"/>
    </row>
    <row r="790" ht="22.5" customHeight="1">
      <c r="A790" s="36" t="s">
        <v>2250</v>
      </c>
      <c r="B790" s="36" t="s">
        <v>2251</v>
      </c>
      <c r="C790" s="36" t="s">
        <v>1495</v>
      </c>
      <c r="D790" s="36" t="s">
        <v>1496</v>
      </c>
      <c r="E790" s="36" t="s">
        <v>287</v>
      </c>
      <c r="F790" s="36" t="s">
        <v>286</v>
      </c>
      <c r="G790" s="36" t="s">
        <v>411</v>
      </c>
      <c r="H790" s="37">
        <v>72.92</v>
      </c>
      <c r="I790" s="36" t="s">
        <v>1301</v>
      </c>
      <c r="J790" s="39" t="s">
        <v>286</v>
      </c>
      <c r="K790" s="38"/>
      <c r="L790" s="38"/>
    </row>
    <row r="791" ht="22.5" customHeight="1">
      <c r="A791" s="36" t="s">
        <v>2252</v>
      </c>
      <c r="B791" s="36" t="s">
        <v>2253</v>
      </c>
      <c r="C791" s="36" t="s">
        <v>1495</v>
      </c>
      <c r="D791" s="36" t="s">
        <v>1496</v>
      </c>
      <c r="E791" s="36" t="s">
        <v>287</v>
      </c>
      <c r="F791" s="36" t="s">
        <v>286</v>
      </c>
      <c r="G791" s="36" t="s">
        <v>411</v>
      </c>
      <c r="H791" s="37">
        <v>14.06</v>
      </c>
      <c r="I791" s="36" t="s">
        <v>1301</v>
      </c>
      <c r="J791" s="39" t="s">
        <v>286</v>
      </c>
      <c r="K791" s="38"/>
      <c r="L791" s="38"/>
    </row>
    <row r="792" ht="22.5" customHeight="1">
      <c r="A792" s="36" t="s">
        <v>2254</v>
      </c>
      <c r="B792" s="36" t="s">
        <v>2255</v>
      </c>
      <c r="C792" s="36" t="s">
        <v>1495</v>
      </c>
      <c r="D792" s="36" t="s">
        <v>1496</v>
      </c>
      <c r="E792" s="36" t="s">
        <v>287</v>
      </c>
      <c r="F792" s="36" t="s">
        <v>286</v>
      </c>
      <c r="G792" s="36" t="s">
        <v>411</v>
      </c>
      <c r="H792" s="37">
        <v>13.31</v>
      </c>
      <c r="I792" s="36" t="s">
        <v>1301</v>
      </c>
      <c r="J792" s="39" t="s">
        <v>286</v>
      </c>
      <c r="K792" s="38"/>
      <c r="L792" s="38"/>
    </row>
    <row r="793" ht="22.5" customHeight="1">
      <c r="A793" s="36" t="s">
        <v>2256</v>
      </c>
      <c r="B793" s="36" t="s">
        <v>2257</v>
      </c>
      <c r="C793" s="36" t="s">
        <v>1495</v>
      </c>
      <c r="D793" s="36" t="s">
        <v>1496</v>
      </c>
      <c r="E793" s="36" t="s">
        <v>287</v>
      </c>
      <c r="F793" s="36" t="s">
        <v>286</v>
      </c>
      <c r="G793" s="36" t="s">
        <v>411</v>
      </c>
      <c r="H793" s="37">
        <v>26.46</v>
      </c>
      <c r="I793" s="36" t="s">
        <v>1301</v>
      </c>
      <c r="J793" s="39" t="s">
        <v>286</v>
      </c>
      <c r="K793" s="38"/>
      <c r="L793" s="38"/>
    </row>
    <row r="794" ht="22.5" customHeight="1">
      <c r="A794" s="36" t="s">
        <v>2258</v>
      </c>
      <c r="B794" s="36" t="s">
        <v>2259</v>
      </c>
      <c r="C794" s="36" t="s">
        <v>1495</v>
      </c>
      <c r="D794" s="36" t="s">
        <v>1496</v>
      </c>
      <c r="E794" s="36" t="s">
        <v>287</v>
      </c>
      <c r="F794" s="36" t="s">
        <v>286</v>
      </c>
      <c r="G794" s="36" t="s">
        <v>411</v>
      </c>
      <c r="H794" s="37">
        <v>150.0</v>
      </c>
      <c r="I794" s="36" t="s">
        <v>1301</v>
      </c>
      <c r="J794" s="39" t="s">
        <v>286</v>
      </c>
      <c r="K794" s="38"/>
      <c r="L794" s="38"/>
    </row>
    <row r="795" ht="22.5" customHeight="1">
      <c r="A795" s="36" t="s">
        <v>2260</v>
      </c>
      <c r="B795" s="36" t="s">
        <v>2261</v>
      </c>
      <c r="C795" s="36" t="s">
        <v>1495</v>
      </c>
      <c r="D795" s="36" t="s">
        <v>1496</v>
      </c>
      <c r="E795" s="36" t="s">
        <v>287</v>
      </c>
      <c r="F795" s="36" t="s">
        <v>286</v>
      </c>
      <c r="G795" s="36" t="s">
        <v>411</v>
      </c>
      <c r="H795" s="37">
        <v>400.0</v>
      </c>
      <c r="I795" s="36" t="s">
        <v>1301</v>
      </c>
      <c r="J795" s="39" t="s">
        <v>286</v>
      </c>
      <c r="K795" s="38"/>
      <c r="L795" s="38"/>
    </row>
    <row r="796" ht="22.5" customHeight="1">
      <c r="A796" s="36" t="s">
        <v>2262</v>
      </c>
      <c r="B796" s="36" t="s">
        <v>2263</v>
      </c>
      <c r="C796" s="36" t="s">
        <v>1495</v>
      </c>
      <c r="D796" s="36" t="s">
        <v>1496</v>
      </c>
      <c r="E796" s="36" t="s">
        <v>287</v>
      </c>
      <c r="F796" s="36" t="s">
        <v>286</v>
      </c>
      <c r="G796" s="36" t="s">
        <v>411</v>
      </c>
      <c r="H796" s="37">
        <v>70.49</v>
      </c>
      <c r="I796" s="36" t="s">
        <v>1301</v>
      </c>
      <c r="J796" s="39" t="s">
        <v>1544</v>
      </c>
      <c r="K796" s="38"/>
      <c r="L796" s="38"/>
    </row>
    <row r="797" ht="22.5" customHeight="1">
      <c r="A797" s="36" t="s">
        <v>2264</v>
      </c>
      <c r="B797" s="36" t="s">
        <v>2265</v>
      </c>
      <c r="C797" s="36" t="s">
        <v>1495</v>
      </c>
      <c r="D797" s="36" t="s">
        <v>1496</v>
      </c>
      <c r="E797" s="36" t="s">
        <v>287</v>
      </c>
      <c r="F797" s="36" t="s">
        <v>286</v>
      </c>
      <c r="G797" s="36" t="s">
        <v>411</v>
      </c>
      <c r="H797" s="37">
        <v>62.83</v>
      </c>
      <c r="I797" s="36" t="s">
        <v>1301</v>
      </c>
      <c r="J797" s="39" t="s">
        <v>1544</v>
      </c>
      <c r="K797" s="38"/>
      <c r="L797" s="38"/>
    </row>
    <row r="798" ht="22.5" customHeight="1">
      <c r="A798" s="36" t="s">
        <v>2266</v>
      </c>
      <c r="B798" s="36" t="s">
        <v>2267</v>
      </c>
      <c r="C798" s="36" t="s">
        <v>1495</v>
      </c>
      <c r="D798" s="36" t="s">
        <v>1496</v>
      </c>
      <c r="E798" s="36" t="s">
        <v>287</v>
      </c>
      <c r="F798" s="36" t="s">
        <v>286</v>
      </c>
      <c r="G798" s="36" t="s">
        <v>411</v>
      </c>
      <c r="H798" s="37">
        <v>54.78</v>
      </c>
      <c r="I798" s="36" t="s">
        <v>1301</v>
      </c>
      <c r="J798" s="39" t="s">
        <v>1544</v>
      </c>
      <c r="K798" s="38"/>
      <c r="L798" s="38"/>
    </row>
    <row r="799" ht="22.5" customHeight="1">
      <c r="A799" s="36" t="s">
        <v>2268</v>
      </c>
      <c r="B799" s="36" t="s">
        <v>2269</v>
      </c>
      <c r="C799" s="36" t="s">
        <v>1495</v>
      </c>
      <c r="D799" s="36" t="s">
        <v>1496</v>
      </c>
      <c r="E799" s="36" t="s">
        <v>287</v>
      </c>
      <c r="F799" s="36" t="s">
        <v>286</v>
      </c>
      <c r="G799" s="36" t="s">
        <v>411</v>
      </c>
      <c r="H799" s="37">
        <v>79.75</v>
      </c>
      <c r="I799" s="36" t="s">
        <v>1301</v>
      </c>
      <c r="J799" s="39" t="s">
        <v>1518</v>
      </c>
      <c r="K799" s="38"/>
      <c r="L799" s="38"/>
    </row>
    <row r="800" ht="22.5" customHeight="1">
      <c r="A800" s="36" t="s">
        <v>2270</v>
      </c>
      <c r="B800" s="36" t="s">
        <v>2271</v>
      </c>
      <c r="C800" s="36" t="s">
        <v>1495</v>
      </c>
      <c r="D800" s="36" t="s">
        <v>1496</v>
      </c>
      <c r="E800" s="36" t="s">
        <v>287</v>
      </c>
      <c r="F800" s="36" t="s">
        <v>286</v>
      </c>
      <c r="G800" s="36" t="s">
        <v>411</v>
      </c>
      <c r="H800" s="37">
        <v>45.76</v>
      </c>
      <c r="I800" s="36" t="s">
        <v>1301</v>
      </c>
      <c r="J800" s="39" t="s">
        <v>1518</v>
      </c>
      <c r="K800" s="38"/>
      <c r="L800" s="38"/>
    </row>
    <row r="801" ht="22.5" customHeight="1">
      <c r="A801" s="36" t="s">
        <v>2272</v>
      </c>
      <c r="B801" s="36" t="s">
        <v>2273</v>
      </c>
      <c r="C801" s="36" t="s">
        <v>1495</v>
      </c>
      <c r="D801" s="36" t="s">
        <v>1496</v>
      </c>
      <c r="E801" s="36" t="s">
        <v>287</v>
      </c>
      <c r="F801" s="36" t="s">
        <v>286</v>
      </c>
      <c r="G801" s="36" t="s">
        <v>411</v>
      </c>
      <c r="H801" s="37">
        <v>10.58</v>
      </c>
      <c r="I801" s="36" t="s">
        <v>1301</v>
      </c>
      <c r="J801" s="39" t="s">
        <v>1518</v>
      </c>
      <c r="K801" s="38"/>
      <c r="L801" s="38"/>
    </row>
    <row r="802" ht="22.5" customHeight="1">
      <c r="A802" s="36" t="s">
        <v>2274</v>
      </c>
      <c r="B802" s="36" t="s">
        <v>2275</v>
      </c>
      <c r="C802" s="36" t="s">
        <v>1495</v>
      </c>
      <c r="D802" s="36" t="s">
        <v>1496</v>
      </c>
      <c r="E802" s="36" t="s">
        <v>287</v>
      </c>
      <c r="F802" s="36" t="s">
        <v>286</v>
      </c>
      <c r="G802" s="36" t="s">
        <v>411</v>
      </c>
      <c r="H802" s="37">
        <v>52.36</v>
      </c>
      <c r="I802" s="36" t="s">
        <v>1301</v>
      </c>
      <c r="J802" s="39" t="s">
        <v>1518</v>
      </c>
      <c r="K802" s="38"/>
      <c r="L802" s="38"/>
    </row>
    <row r="803" ht="22.5" customHeight="1">
      <c r="A803" s="36" t="s">
        <v>2276</v>
      </c>
      <c r="B803" s="36" t="s">
        <v>2277</v>
      </c>
      <c r="C803" s="36" t="s">
        <v>1495</v>
      </c>
      <c r="D803" s="36" t="s">
        <v>1496</v>
      </c>
      <c r="E803" s="36" t="s">
        <v>287</v>
      </c>
      <c r="F803" s="36" t="s">
        <v>286</v>
      </c>
      <c r="G803" s="36" t="s">
        <v>411</v>
      </c>
      <c r="H803" s="37">
        <v>64.44</v>
      </c>
      <c r="I803" s="36" t="s">
        <v>1301</v>
      </c>
      <c r="J803" s="39" t="s">
        <v>1518</v>
      </c>
      <c r="K803" s="38"/>
      <c r="L803" s="38"/>
    </row>
    <row r="804" ht="22.5" customHeight="1">
      <c r="A804" s="36" t="s">
        <v>2278</v>
      </c>
      <c r="B804" s="36" t="s">
        <v>2279</v>
      </c>
      <c r="C804" s="36" t="s">
        <v>1495</v>
      </c>
      <c r="D804" s="36" t="s">
        <v>1496</v>
      </c>
      <c r="E804" s="36" t="s">
        <v>287</v>
      </c>
      <c r="F804" s="36" t="s">
        <v>286</v>
      </c>
      <c r="G804" s="36" t="s">
        <v>411</v>
      </c>
      <c r="H804" s="37">
        <v>0.79</v>
      </c>
      <c r="I804" s="36" t="s">
        <v>1301</v>
      </c>
      <c r="J804" s="39" t="s">
        <v>2280</v>
      </c>
      <c r="K804" s="38"/>
      <c r="L804" s="38"/>
    </row>
    <row r="805" ht="22.5" customHeight="1">
      <c r="A805" s="36" t="s">
        <v>2281</v>
      </c>
      <c r="B805" s="36" t="s">
        <v>2282</v>
      </c>
      <c r="C805" s="36" t="s">
        <v>1495</v>
      </c>
      <c r="D805" s="36" t="s">
        <v>1496</v>
      </c>
      <c r="E805" s="36" t="s">
        <v>287</v>
      </c>
      <c r="F805" s="36" t="s">
        <v>286</v>
      </c>
      <c r="G805" s="36" t="s">
        <v>411</v>
      </c>
      <c r="H805" s="37">
        <v>0.66</v>
      </c>
      <c r="I805" s="36" t="s">
        <v>1301</v>
      </c>
      <c r="J805" s="39" t="s">
        <v>2280</v>
      </c>
      <c r="K805" s="38"/>
      <c r="L805" s="38"/>
    </row>
    <row r="806" ht="22.5" customHeight="1">
      <c r="A806" s="36" t="s">
        <v>2283</v>
      </c>
      <c r="B806" s="36" t="s">
        <v>2284</v>
      </c>
      <c r="C806" s="36" t="s">
        <v>1495</v>
      </c>
      <c r="D806" s="36" t="s">
        <v>1496</v>
      </c>
      <c r="E806" s="36" t="s">
        <v>287</v>
      </c>
      <c r="F806" s="36" t="s">
        <v>286</v>
      </c>
      <c r="G806" s="36" t="s">
        <v>411</v>
      </c>
      <c r="H806" s="37">
        <v>100.0</v>
      </c>
      <c r="I806" s="36" t="s">
        <v>1301</v>
      </c>
      <c r="J806" s="39" t="s">
        <v>286</v>
      </c>
      <c r="K806" s="38"/>
      <c r="L806" s="38"/>
    </row>
    <row r="807" ht="22.5" customHeight="1">
      <c r="A807" s="36" t="s">
        <v>2285</v>
      </c>
      <c r="B807" s="36" t="s">
        <v>2286</v>
      </c>
      <c r="C807" s="36" t="s">
        <v>1495</v>
      </c>
      <c r="D807" s="36" t="s">
        <v>1496</v>
      </c>
      <c r="E807" s="36" t="s">
        <v>287</v>
      </c>
      <c r="F807" s="36" t="s">
        <v>286</v>
      </c>
      <c r="G807" s="36" t="s">
        <v>411</v>
      </c>
      <c r="H807" s="37">
        <v>10.81</v>
      </c>
      <c r="I807" s="36" t="s">
        <v>1301</v>
      </c>
      <c r="J807" s="39" t="s">
        <v>2287</v>
      </c>
      <c r="K807" s="38"/>
      <c r="L807" s="38"/>
    </row>
    <row r="808" ht="22.5" customHeight="1">
      <c r="A808" s="36" t="s">
        <v>2288</v>
      </c>
      <c r="B808" s="36" t="s">
        <v>2289</v>
      </c>
      <c r="C808" s="36" t="s">
        <v>1495</v>
      </c>
      <c r="D808" s="36" t="s">
        <v>1496</v>
      </c>
      <c r="E808" s="36" t="s">
        <v>287</v>
      </c>
      <c r="F808" s="36" t="s">
        <v>286</v>
      </c>
      <c r="G808" s="36" t="s">
        <v>411</v>
      </c>
      <c r="H808" s="37">
        <v>3.39</v>
      </c>
      <c r="I808" s="36" t="s">
        <v>1301</v>
      </c>
      <c r="J808" s="39" t="s">
        <v>2077</v>
      </c>
      <c r="K808" s="38"/>
      <c r="L808" s="38"/>
    </row>
    <row r="809" ht="22.5" customHeight="1">
      <c r="A809" s="36" t="s">
        <v>2290</v>
      </c>
      <c r="B809" s="36" t="s">
        <v>2291</v>
      </c>
      <c r="C809" s="36" t="s">
        <v>1495</v>
      </c>
      <c r="D809" s="36" t="s">
        <v>1496</v>
      </c>
      <c r="E809" s="36" t="s">
        <v>287</v>
      </c>
      <c r="F809" s="36" t="s">
        <v>286</v>
      </c>
      <c r="G809" s="36" t="s">
        <v>411</v>
      </c>
      <c r="H809" s="37">
        <v>25.41</v>
      </c>
      <c r="I809" s="36" t="s">
        <v>1301</v>
      </c>
      <c r="J809" s="39" t="s">
        <v>2287</v>
      </c>
      <c r="K809" s="38"/>
      <c r="L809" s="38"/>
    </row>
    <row r="810" ht="22.5" customHeight="1">
      <c r="A810" s="36" t="s">
        <v>2292</v>
      </c>
      <c r="B810" s="36" t="s">
        <v>2293</v>
      </c>
      <c r="C810" s="36" t="s">
        <v>1495</v>
      </c>
      <c r="D810" s="36" t="s">
        <v>1496</v>
      </c>
      <c r="E810" s="36" t="s">
        <v>287</v>
      </c>
      <c r="F810" s="36" t="s">
        <v>286</v>
      </c>
      <c r="G810" s="36" t="s">
        <v>411</v>
      </c>
      <c r="H810" s="37">
        <v>4.81</v>
      </c>
      <c r="I810" s="36" t="s">
        <v>1301</v>
      </c>
      <c r="J810" s="39" t="s">
        <v>2077</v>
      </c>
      <c r="K810" s="38"/>
      <c r="L810" s="38"/>
    </row>
    <row r="811" ht="22.5" customHeight="1">
      <c r="A811" s="36" t="s">
        <v>2294</v>
      </c>
      <c r="B811" s="36" t="s">
        <v>2295</v>
      </c>
      <c r="C811" s="36" t="s">
        <v>1495</v>
      </c>
      <c r="D811" s="36" t="s">
        <v>1496</v>
      </c>
      <c r="E811" s="36" t="s">
        <v>287</v>
      </c>
      <c r="F811" s="36" t="s">
        <v>286</v>
      </c>
      <c r="G811" s="36" t="s">
        <v>411</v>
      </c>
      <c r="H811" s="37">
        <v>227.01</v>
      </c>
      <c r="I811" s="36" t="s">
        <v>1301</v>
      </c>
      <c r="J811" s="39" t="s">
        <v>2296</v>
      </c>
      <c r="K811" s="38"/>
      <c r="L811" s="38"/>
    </row>
    <row r="812" ht="22.5" customHeight="1">
      <c r="A812" s="36" t="s">
        <v>2297</v>
      </c>
      <c r="B812" s="36" t="s">
        <v>2298</v>
      </c>
      <c r="C812" s="36" t="s">
        <v>1495</v>
      </c>
      <c r="D812" s="36" t="s">
        <v>1496</v>
      </c>
      <c r="E812" s="36" t="s">
        <v>287</v>
      </c>
      <c r="F812" s="36" t="s">
        <v>286</v>
      </c>
      <c r="G812" s="36" t="s">
        <v>411</v>
      </c>
      <c r="H812" s="37">
        <v>8.89</v>
      </c>
      <c r="I812" s="36" t="s">
        <v>1301</v>
      </c>
      <c r="J812" s="39" t="s">
        <v>1541</v>
      </c>
      <c r="K812" s="38"/>
      <c r="L812" s="38"/>
    </row>
    <row r="813" ht="22.5" customHeight="1">
      <c r="A813" s="36" t="s">
        <v>2299</v>
      </c>
      <c r="B813" s="36" t="s">
        <v>2300</v>
      </c>
      <c r="C813" s="36" t="s">
        <v>1495</v>
      </c>
      <c r="D813" s="36" t="s">
        <v>1496</v>
      </c>
      <c r="E813" s="36" t="s">
        <v>287</v>
      </c>
      <c r="F813" s="36" t="s">
        <v>286</v>
      </c>
      <c r="G813" s="36" t="s">
        <v>411</v>
      </c>
      <c r="H813" s="37">
        <v>230.83</v>
      </c>
      <c r="I813" s="36" t="s">
        <v>1301</v>
      </c>
      <c r="J813" s="39" t="s">
        <v>2296</v>
      </c>
      <c r="K813" s="38"/>
      <c r="L813" s="38"/>
    </row>
    <row r="814" ht="22.5" customHeight="1">
      <c r="A814" s="36" t="s">
        <v>2301</v>
      </c>
      <c r="B814" s="36" t="s">
        <v>2302</v>
      </c>
      <c r="C814" s="36" t="s">
        <v>1495</v>
      </c>
      <c r="D814" s="36" t="s">
        <v>1496</v>
      </c>
      <c r="E814" s="36" t="s">
        <v>287</v>
      </c>
      <c r="F814" s="36" t="s">
        <v>286</v>
      </c>
      <c r="G814" s="36" t="s">
        <v>411</v>
      </c>
      <c r="H814" s="37">
        <v>12.71</v>
      </c>
      <c r="I814" s="36" t="s">
        <v>1301</v>
      </c>
      <c r="J814" s="39" t="s">
        <v>1541</v>
      </c>
      <c r="K814" s="38"/>
      <c r="L814" s="38"/>
    </row>
    <row r="815" ht="22.5" customHeight="1">
      <c r="A815" s="36" t="s">
        <v>2303</v>
      </c>
      <c r="B815" s="36" t="s">
        <v>2304</v>
      </c>
      <c r="C815" s="36" t="s">
        <v>1495</v>
      </c>
      <c r="D815" s="36" t="s">
        <v>1496</v>
      </c>
      <c r="E815" s="36" t="s">
        <v>287</v>
      </c>
      <c r="F815" s="36" t="s">
        <v>286</v>
      </c>
      <c r="G815" s="36" t="s">
        <v>411</v>
      </c>
      <c r="H815" s="37">
        <v>42.98</v>
      </c>
      <c r="I815" s="36" t="s">
        <v>1301</v>
      </c>
      <c r="J815" s="39" t="s">
        <v>2296</v>
      </c>
      <c r="K815" s="38"/>
      <c r="L815" s="38"/>
    </row>
    <row r="816" ht="22.5" customHeight="1">
      <c r="A816" s="36" t="s">
        <v>2305</v>
      </c>
      <c r="B816" s="36" t="s">
        <v>2306</v>
      </c>
      <c r="C816" s="36" t="s">
        <v>1495</v>
      </c>
      <c r="D816" s="36" t="s">
        <v>1496</v>
      </c>
      <c r="E816" s="36" t="s">
        <v>287</v>
      </c>
      <c r="F816" s="36" t="s">
        <v>286</v>
      </c>
      <c r="G816" s="36" t="s">
        <v>411</v>
      </c>
      <c r="H816" s="37">
        <v>5.9</v>
      </c>
      <c r="I816" s="36" t="s">
        <v>1301</v>
      </c>
      <c r="J816" s="39" t="s">
        <v>1541</v>
      </c>
      <c r="K816" s="38"/>
      <c r="L816" s="38"/>
    </row>
    <row r="817" ht="22.5" customHeight="1">
      <c r="A817" s="36" t="s">
        <v>2307</v>
      </c>
      <c r="B817" s="36" t="s">
        <v>2308</v>
      </c>
      <c r="C817" s="36" t="s">
        <v>1495</v>
      </c>
      <c r="D817" s="36" t="s">
        <v>1496</v>
      </c>
      <c r="E817" s="36" t="s">
        <v>287</v>
      </c>
      <c r="F817" s="36" t="s">
        <v>286</v>
      </c>
      <c r="G817" s="36" t="s">
        <v>411</v>
      </c>
      <c r="H817" s="37">
        <v>17.72</v>
      </c>
      <c r="I817" s="36" t="s">
        <v>1301</v>
      </c>
      <c r="J817" s="39" t="s">
        <v>1518</v>
      </c>
      <c r="K817" s="38"/>
      <c r="L817" s="38"/>
    </row>
    <row r="818" ht="22.5" customHeight="1">
      <c r="A818" s="36" t="s">
        <v>2309</v>
      </c>
      <c r="B818" s="36" t="s">
        <v>2310</v>
      </c>
      <c r="C818" s="36" t="s">
        <v>1495</v>
      </c>
      <c r="D818" s="36" t="s">
        <v>1496</v>
      </c>
      <c r="E818" s="36" t="s">
        <v>287</v>
      </c>
      <c r="F818" s="36" t="s">
        <v>286</v>
      </c>
      <c r="G818" s="36" t="s">
        <v>411</v>
      </c>
      <c r="H818" s="37">
        <v>24.91</v>
      </c>
      <c r="I818" s="36" t="s">
        <v>1301</v>
      </c>
      <c r="J818" s="39" t="s">
        <v>2311</v>
      </c>
      <c r="K818" s="38"/>
      <c r="L818" s="38"/>
    </row>
    <row r="819" ht="22.5" customHeight="1">
      <c r="A819" s="36" t="s">
        <v>2312</v>
      </c>
      <c r="B819" s="36" t="s">
        <v>2313</v>
      </c>
      <c r="C819" s="36" t="s">
        <v>1495</v>
      </c>
      <c r="D819" s="36" t="s">
        <v>1496</v>
      </c>
      <c r="E819" s="36" t="s">
        <v>287</v>
      </c>
      <c r="F819" s="36" t="s">
        <v>286</v>
      </c>
      <c r="G819" s="36" t="s">
        <v>411</v>
      </c>
      <c r="H819" s="37">
        <v>8.52</v>
      </c>
      <c r="I819" s="36" t="s">
        <v>1301</v>
      </c>
      <c r="J819" s="39" t="s">
        <v>2314</v>
      </c>
      <c r="K819" s="38"/>
      <c r="L819" s="38"/>
    </row>
    <row r="820" ht="22.5" customHeight="1">
      <c r="A820" s="36" t="s">
        <v>2315</v>
      </c>
      <c r="B820" s="36" t="s">
        <v>2316</v>
      </c>
      <c r="C820" s="36" t="s">
        <v>1495</v>
      </c>
      <c r="D820" s="36" t="s">
        <v>1496</v>
      </c>
      <c r="E820" s="36" t="s">
        <v>287</v>
      </c>
      <c r="F820" s="36" t="s">
        <v>286</v>
      </c>
      <c r="G820" s="36" t="s">
        <v>411</v>
      </c>
      <c r="H820" s="37">
        <v>25.01</v>
      </c>
      <c r="I820" s="36" t="s">
        <v>1301</v>
      </c>
      <c r="J820" s="39" t="s">
        <v>2311</v>
      </c>
      <c r="K820" s="38"/>
      <c r="L820" s="38"/>
    </row>
    <row r="821" ht="22.5" customHeight="1">
      <c r="A821" s="36" t="s">
        <v>2317</v>
      </c>
      <c r="B821" s="36" t="s">
        <v>2318</v>
      </c>
      <c r="C821" s="36" t="s">
        <v>1495</v>
      </c>
      <c r="D821" s="36" t="s">
        <v>1496</v>
      </c>
      <c r="E821" s="36" t="s">
        <v>287</v>
      </c>
      <c r="F821" s="36" t="s">
        <v>286</v>
      </c>
      <c r="G821" s="36" t="s">
        <v>411</v>
      </c>
      <c r="H821" s="37">
        <v>15.0</v>
      </c>
      <c r="I821" s="36" t="s">
        <v>1301</v>
      </c>
      <c r="J821" s="39" t="s">
        <v>286</v>
      </c>
      <c r="K821" s="38"/>
      <c r="L821" s="38"/>
    </row>
    <row r="822" ht="22.5" customHeight="1">
      <c r="A822" s="36" t="s">
        <v>2319</v>
      </c>
      <c r="B822" s="36" t="s">
        <v>2320</v>
      </c>
      <c r="C822" s="36" t="s">
        <v>1495</v>
      </c>
      <c r="D822" s="36" t="s">
        <v>1496</v>
      </c>
      <c r="E822" s="36" t="s">
        <v>287</v>
      </c>
      <c r="F822" s="36" t="s">
        <v>286</v>
      </c>
      <c r="G822" s="36" t="s">
        <v>411</v>
      </c>
      <c r="H822" s="37">
        <v>16.0</v>
      </c>
      <c r="I822" s="36" t="s">
        <v>1301</v>
      </c>
      <c r="J822" s="39" t="s">
        <v>286</v>
      </c>
      <c r="K822" s="38"/>
      <c r="L822" s="38"/>
    </row>
    <row r="823" ht="22.5" customHeight="1">
      <c r="A823" s="36" t="s">
        <v>2321</v>
      </c>
      <c r="B823" s="36" t="s">
        <v>2322</v>
      </c>
      <c r="C823" s="36" t="s">
        <v>1495</v>
      </c>
      <c r="D823" s="36" t="s">
        <v>1496</v>
      </c>
      <c r="E823" s="36" t="s">
        <v>287</v>
      </c>
      <c r="F823" s="36" t="s">
        <v>286</v>
      </c>
      <c r="G823" s="36" t="s">
        <v>411</v>
      </c>
      <c r="H823" s="37">
        <v>21.94</v>
      </c>
      <c r="I823" s="36" t="s">
        <v>1301</v>
      </c>
      <c r="J823" s="39" t="s">
        <v>286</v>
      </c>
      <c r="K823" s="38"/>
      <c r="L823" s="38"/>
    </row>
    <row r="824" ht="22.5" customHeight="1">
      <c r="A824" s="36" t="s">
        <v>2323</v>
      </c>
      <c r="B824" s="36" t="s">
        <v>2324</v>
      </c>
      <c r="C824" s="36" t="s">
        <v>1495</v>
      </c>
      <c r="D824" s="36" t="s">
        <v>1496</v>
      </c>
      <c r="E824" s="36" t="s">
        <v>287</v>
      </c>
      <c r="F824" s="36" t="s">
        <v>286</v>
      </c>
      <c r="G824" s="36" t="s">
        <v>411</v>
      </c>
      <c r="H824" s="37">
        <v>64.67</v>
      </c>
      <c r="I824" s="36" t="s">
        <v>1301</v>
      </c>
      <c r="J824" s="39" t="s">
        <v>1585</v>
      </c>
      <c r="K824" s="38"/>
      <c r="L824" s="38"/>
    </row>
    <row r="825" ht="22.5" customHeight="1">
      <c r="A825" s="36" t="s">
        <v>2325</v>
      </c>
      <c r="B825" s="36" t="s">
        <v>2326</v>
      </c>
      <c r="C825" s="36" t="s">
        <v>1495</v>
      </c>
      <c r="D825" s="36" t="s">
        <v>1496</v>
      </c>
      <c r="E825" s="36" t="s">
        <v>287</v>
      </c>
      <c r="F825" s="36" t="s">
        <v>286</v>
      </c>
      <c r="G825" s="36" t="s">
        <v>411</v>
      </c>
      <c r="H825" s="37">
        <v>4.79</v>
      </c>
      <c r="I825" s="36" t="s">
        <v>1301</v>
      </c>
      <c r="J825" s="39" t="s">
        <v>286</v>
      </c>
      <c r="K825" s="38"/>
      <c r="L825" s="38"/>
    </row>
    <row r="826" ht="22.5" customHeight="1">
      <c r="A826" s="36" t="s">
        <v>2327</v>
      </c>
      <c r="B826" s="36" t="s">
        <v>2328</v>
      </c>
      <c r="C826" s="36" t="s">
        <v>1495</v>
      </c>
      <c r="D826" s="36" t="s">
        <v>1496</v>
      </c>
      <c r="E826" s="36" t="s">
        <v>287</v>
      </c>
      <c r="F826" s="36" t="s">
        <v>286</v>
      </c>
      <c r="G826" s="36" t="s">
        <v>411</v>
      </c>
      <c r="H826" s="37">
        <v>3.7</v>
      </c>
      <c r="I826" s="36" t="s">
        <v>1301</v>
      </c>
      <c r="J826" s="39" t="s">
        <v>286</v>
      </c>
      <c r="K826" s="38"/>
      <c r="L826" s="38"/>
    </row>
    <row r="827" ht="22.5" customHeight="1">
      <c r="A827" s="36" t="s">
        <v>2329</v>
      </c>
      <c r="B827" s="36" t="s">
        <v>2330</v>
      </c>
      <c r="C827" s="36" t="s">
        <v>1495</v>
      </c>
      <c r="D827" s="36" t="s">
        <v>1496</v>
      </c>
      <c r="E827" s="36" t="s">
        <v>287</v>
      </c>
      <c r="F827" s="36" t="s">
        <v>286</v>
      </c>
      <c r="G827" s="36" t="s">
        <v>411</v>
      </c>
      <c r="H827" s="37">
        <v>14.25</v>
      </c>
      <c r="I827" s="36" t="s">
        <v>1301</v>
      </c>
      <c r="J827" s="39" t="s">
        <v>286</v>
      </c>
      <c r="K827" s="38"/>
      <c r="L827" s="38"/>
    </row>
    <row r="828" ht="22.5" customHeight="1">
      <c r="A828" s="36" t="s">
        <v>2331</v>
      </c>
      <c r="B828" s="36" t="s">
        <v>2332</v>
      </c>
      <c r="C828" s="36" t="s">
        <v>1495</v>
      </c>
      <c r="D828" s="36" t="s">
        <v>1496</v>
      </c>
      <c r="E828" s="36" t="s">
        <v>287</v>
      </c>
      <c r="F828" s="36" t="s">
        <v>286</v>
      </c>
      <c r="G828" s="36" t="s">
        <v>411</v>
      </c>
      <c r="H828" s="37">
        <v>10.25</v>
      </c>
      <c r="I828" s="36" t="s">
        <v>1301</v>
      </c>
      <c r="J828" s="39" t="s">
        <v>286</v>
      </c>
      <c r="K828" s="38"/>
      <c r="L828" s="38"/>
    </row>
    <row r="829" ht="22.5" customHeight="1">
      <c r="A829" s="36" t="s">
        <v>2333</v>
      </c>
      <c r="B829" s="36" t="s">
        <v>2334</v>
      </c>
      <c r="C829" s="36" t="s">
        <v>1495</v>
      </c>
      <c r="D829" s="36" t="s">
        <v>1496</v>
      </c>
      <c r="E829" s="36" t="s">
        <v>287</v>
      </c>
      <c r="F829" s="36" t="s">
        <v>286</v>
      </c>
      <c r="G829" s="36" t="s">
        <v>411</v>
      </c>
      <c r="H829" s="37">
        <v>100.0</v>
      </c>
      <c r="I829" s="36" t="s">
        <v>1301</v>
      </c>
      <c r="J829" s="39" t="s">
        <v>286</v>
      </c>
      <c r="K829" s="38"/>
      <c r="L829" s="38"/>
    </row>
    <row r="830" ht="22.5" customHeight="1">
      <c r="A830" s="36" t="s">
        <v>2335</v>
      </c>
      <c r="B830" s="36" t="s">
        <v>2336</v>
      </c>
      <c r="C830" s="36" t="s">
        <v>1495</v>
      </c>
      <c r="D830" s="36" t="s">
        <v>1496</v>
      </c>
      <c r="E830" s="36" t="s">
        <v>287</v>
      </c>
      <c r="F830" s="36" t="s">
        <v>286</v>
      </c>
      <c r="G830" s="36" t="s">
        <v>411</v>
      </c>
      <c r="H830" s="37">
        <v>108.77</v>
      </c>
      <c r="I830" s="36" t="s">
        <v>1301</v>
      </c>
      <c r="J830" s="39" t="s">
        <v>286</v>
      </c>
      <c r="K830" s="38"/>
      <c r="L830" s="38"/>
    </row>
    <row r="831" ht="22.5" customHeight="1">
      <c r="A831" s="36" t="s">
        <v>2337</v>
      </c>
      <c r="B831" s="36" t="s">
        <v>2338</v>
      </c>
      <c r="C831" s="36" t="s">
        <v>1495</v>
      </c>
      <c r="D831" s="36" t="s">
        <v>1496</v>
      </c>
      <c r="E831" s="36" t="s">
        <v>287</v>
      </c>
      <c r="F831" s="36" t="s">
        <v>286</v>
      </c>
      <c r="G831" s="36" t="s">
        <v>411</v>
      </c>
      <c r="H831" s="37">
        <v>6.53</v>
      </c>
      <c r="I831" s="36" t="s">
        <v>1301</v>
      </c>
      <c r="J831" s="39" t="s">
        <v>286</v>
      </c>
      <c r="K831" s="38"/>
      <c r="L831" s="38"/>
    </row>
    <row r="832" ht="22.5" customHeight="1">
      <c r="A832" s="36" t="s">
        <v>2339</v>
      </c>
      <c r="B832" s="36" t="s">
        <v>2340</v>
      </c>
      <c r="C832" s="36" t="s">
        <v>1495</v>
      </c>
      <c r="D832" s="36" t="s">
        <v>1496</v>
      </c>
      <c r="E832" s="36" t="s">
        <v>287</v>
      </c>
      <c r="F832" s="36" t="s">
        <v>286</v>
      </c>
      <c r="G832" s="36" t="s">
        <v>411</v>
      </c>
      <c r="H832" s="37">
        <v>69.28</v>
      </c>
      <c r="I832" s="36" t="s">
        <v>1301</v>
      </c>
      <c r="J832" s="39" t="s">
        <v>286</v>
      </c>
      <c r="K832" s="38"/>
      <c r="L832" s="38"/>
    </row>
    <row r="833" ht="22.5" customHeight="1">
      <c r="A833" s="36" t="s">
        <v>2341</v>
      </c>
      <c r="B833" s="36" t="s">
        <v>2342</v>
      </c>
      <c r="C833" s="36" t="s">
        <v>1495</v>
      </c>
      <c r="D833" s="36" t="s">
        <v>1496</v>
      </c>
      <c r="E833" s="36" t="s">
        <v>287</v>
      </c>
      <c r="F833" s="36" t="s">
        <v>286</v>
      </c>
      <c r="G833" s="36" t="s">
        <v>411</v>
      </c>
      <c r="H833" s="37">
        <v>4.64</v>
      </c>
      <c r="I833" s="36" t="s">
        <v>1301</v>
      </c>
      <c r="J833" s="39" t="s">
        <v>286</v>
      </c>
      <c r="K833" s="38"/>
      <c r="L833" s="38"/>
    </row>
    <row r="834" ht="22.5" customHeight="1">
      <c r="A834" s="36" t="s">
        <v>2343</v>
      </c>
      <c r="B834" s="36" t="s">
        <v>2344</v>
      </c>
      <c r="C834" s="36" t="s">
        <v>1495</v>
      </c>
      <c r="D834" s="36" t="s">
        <v>1496</v>
      </c>
      <c r="E834" s="36" t="s">
        <v>287</v>
      </c>
      <c r="F834" s="36" t="s">
        <v>286</v>
      </c>
      <c r="G834" s="36" t="s">
        <v>411</v>
      </c>
      <c r="H834" s="37">
        <v>24.83</v>
      </c>
      <c r="I834" s="36" t="s">
        <v>1301</v>
      </c>
      <c r="J834" s="39" t="s">
        <v>286</v>
      </c>
      <c r="K834" s="38"/>
      <c r="L834" s="38"/>
    </row>
    <row r="835" ht="22.5" customHeight="1">
      <c r="A835" s="36" t="s">
        <v>2345</v>
      </c>
      <c r="B835" s="36" t="s">
        <v>2346</v>
      </c>
      <c r="C835" s="36" t="s">
        <v>1495</v>
      </c>
      <c r="D835" s="36" t="s">
        <v>1496</v>
      </c>
      <c r="E835" s="36" t="s">
        <v>287</v>
      </c>
      <c r="F835" s="36" t="s">
        <v>286</v>
      </c>
      <c r="G835" s="36" t="s">
        <v>411</v>
      </c>
      <c r="H835" s="37">
        <v>14.48</v>
      </c>
      <c r="I835" s="36" t="s">
        <v>1301</v>
      </c>
      <c r="J835" s="39" t="s">
        <v>286</v>
      </c>
      <c r="K835" s="38"/>
      <c r="L835" s="38"/>
    </row>
    <row r="836" ht="22.5" customHeight="1">
      <c r="A836" s="36" t="s">
        <v>2347</v>
      </c>
      <c r="B836" s="36" t="s">
        <v>2348</v>
      </c>
      <c r="C836" s="36" t="s">
        <v>1495</v>
      </c>
      <c r="D836" s="36" t="s">
        <v>1496</v>
      </c>
      <c r="E836" s="36" t="s">
        <v>287</v>
      </c>
      <c r="F836" s="36" t="s">
        <v>286</v>
      </c>
      <c r="G836" s="36" t="s">
        <v>411</v>
      </c>
      <c r="H836" s="37">
        <v>24.1</v>
      </c>
      <c r="I836" s="36" t="s">
        <v>1301</v>
      </c>
      <c r="J836" s="39" t="s">
        <v>286</v>
      </c>
      <c r="K836" s="38"/>
      <c r="L836" s="38"/>
    </row>
    <row r="837" ht="22.5" customHeight="1">
      <c r="A837" s="36" t="s">
        <v>2349</v>
      </c>
      <c r="B837" s="36" t="s">
        <v>2350</v>
      </c>
      <c r="C837" s="36" t="s">
        <v>1495</v>
      </c>
      <c r="D837" s="36" t="s">
        <v>1496</v>
      </c>
      <c r="E837" s="36" t="s">
        <v>287</v>
      </c>
      <c r="F837" s="36" t="s">
        <v>286</v>
      </c>
      <c r="G837" s="36" t="s">
        <v>411</v>
      </c>
      <c r="H837" s="37">
        <v>3.63</v>
      </c>
      <c r="I837" s="36" t="s">
        <v>1301</v>
      </c>
      <c r="J837" s="39" t="s">
        <v>286</v>
      </c>
      <c r="K837" s="38"/>
      <c r="L837" s="38"/>
    </row>
    <row r="838" ht="22.5" customHeight="1">
      <c r="A838" s="36" t="s">
        <v>2351</v>
      </c>
      <c r="B838" s="36" t="s">
        <v>2352</v>
      </c>
      <c r="C838" s="36" t="s">
        <v>1495</v>
      </c>
      <c r="D838" s="36" t="s">
        <v>1496</v>
      </c>
      <c r="E838" s="36" t="s">
        <v>287</v>
      </c>
      <c r="F838" s="36" t="s">
        <v>286</v>
      </c>
      <c r="G838" s="36" t="s">
        <v>411</v>
      </c>
      <c r="H838" s="37">
        <v>62.5</v>
      </c>
      <c r="I838" s="36" t="s">
        <v>1301</v>
      </c>
      <c r="J838" s="39" t="s">
        <v>286</v>
      </c>
      <c r="K838" s="38"/>
      <c r="L838" s="38"/>
    </row>
    <row r="839" ht="22.5" customHeight="1">
      <c r="A839" s="36" t="s">
        <v>2353</v>
      </c>
      <c r="B839" s="36" t="s">
        <v>2354</v>
      </c>
      <c r="C839" s="36" t="s">
        <v>1495</v>
      </c>
      <c r="D839" s="36" t="s">
        <v>1496</v>
      </c>
      <c r="E839" s="36" t="s">
        <v>287</v>
      </c>
      <c r="F839" s="36" t="s">
        <v>286</v>
      </c>
      <c r="G839" s="36" t="s">
        <v>411</v>
      </c>
      <c r="H839" s="37">
        <v>54.98</v>
      </c>
      <c r="I839" s="36" t="s">
        <v>1301</v>
      </c>
      <c r="J839" s="39" t="s">
        <v>2355</v>
      </c>
      <c r="K839" s="38"/>
      <c r="L839" s="38"/>
    </row>
    <row r="840" ht="22.5" customHeight="1">
      <c r="A840" s="36" t="s">
        <v>2356</v>
      </c>
      <c r="B840" s="36" t="s">
        <v>2357</v>
      </c>
      <c r="C840" s="36" t="s">
        <v>1495</v>
      </c>
      <c r="D840" s="36" t="s">
        <v>1496</v>
      </c>
      <c r="E840" s="36" t="s">
        <v>287</v>
      </c>
      <c r="F840" s="36" t="s">
        <v>286</v>
      </c>
      <c r="G840" s="36" t="s">
        <v>411</v>
      </c>
      <c r="H840" s="37">
        <v>19.76</v>
      </c>
      <c r="I840" s="36" t="s">
        <v>1301</v>
      </c>
      <c r="J840" s="39" t="s">
        <v>2358</v>
      </c>
      <c r="K840" s="38"/>
      <c r="L840" s="38"/>
    </row>
    <row r="841" ht="22.5" customHeight="1">
      <c r="A841" s="36" t="s">
        <v>2359</v>
      </c>
      <c r="B841" s="36" t="s">
        <v>2360</v>
      </c>
      <c r="C841" s="36" t="s">
        <v>1495</v>
      </c>
      <c r="D841" s="36" t="s">
        <v>1496</v>
      </c>
      <c r="E841" s="36" t="s">
        <v>287</v>
      </c>
      <c r="F841" s="36" t="s">
        <v>286</v>
      </c>
      <c r="G841" s="36" t="s">
        <v>411</v>
      </c>
      <c r="H841" s="37">
        <v>37.07</v>
      </c>
      <c r="I841" s="36" t="s">
        <v>1301</v>
      </c>
      <c r="J841" s="39" t="s">
        <v>286</v>
      </c>
      <c r="K841" s="38"/>
      <c r="L841" s="38"/>
    </row>
    <row r="842" ht="22.5" customHeight="1">
      <c r="A842" s="36" t="s">
        <v>2361</v>
      </c>
      <c r="B842" s="36" t="s">
        <v>2362</v>
      </c>
      <c r="C842" s="36" t="s">
        <v>1495</v>
      </c>
      <c r="D842" s="36" t="s">
        <v>1496</v>
      </c>
      <c r="E842" s="36" t="s">
        <v>287</v>
      </c>
      <c r="F842" s="36" t="s">
        <v>286</v>
      </c>
      <c r="G842" s="36" t="s">
        <v>411</v>
      </c>
      <c r="H842" s="37">
        <v>192.97</v>
      </c>
      <c r="I842" s="36" t="s">
        <v>1301</v>
      </c>
      <c r="J842" s="39" t="s">
        <v>2363</v>
      </c>
      <c r="K842" s="38"/>
      <c r="L842" s="38"/>
    </row>
    <row r="843" ht="22.5" customHeight="1">
      <c r="A843" s="36" t="s">
        <v>2364</v>
      </c>
      <c r="B843" s="36" t="s">
        <v>2365</v>
      </c>
      <c r="C843" s="36" t="s">
        <v>1495</v>
      </c>
      <c r="D843" s="36" t="s">
        <v>1496</v>
      </c>
      <c r="E843" s="36" t="s">
        <v>287</v>
      </c>
      <c r="F843" s="36" t="s">
        <v>286</v>
      </c>
      <c r="G843" s="36" t="s">
        <v>411</v>
      </c>
      <c r="H843" s="37">
        <v>150.0</v>
      </c>
      <c r="I843" s="36" t="s">
        <v>1301</v>
      </c>
      <c r="J843" s="39" t="s">
        <v>286</v>
      </c>
      <c r="K843" s="38"/>
      <c r="L843" s="38"/>
    </row>
    <row r="844" ht="22.5" customHeight="1">
      <c r="A844" s="36" t="s">
        <v>2366</v>
      </c>
      <c r="B844" s="36" t="s">
        <v>2367</v>
      </c>
      <c r="C844" s="36" t="s">
        <v>1495</v>
      </c>
      <c r="D844" s="36" t="s">
        <v>1496</v>
      </c>
      <c r="E844" s="36" t="s">
        <v>287</v>
      </c>
      <c r="F844" s="36" t="s">
        <v>286</v>
      </c>
      <c r="G844" s="36" t="s">
        <v>411</v>
      </c>
      <c r="H844" s="37">
        <v>37.77</v>
      </c>
      <c r="I844" s="36" t="s">
        <v>1301</v>
      </c>
      <c r="J844" s="39" t="s">
        <v>286</v>
      </c>
      <c r="K844" s="38"/>
      <c r="L844" s="38"/>
    </row>
    <row r="845" ht="22.5" customHeight="1">
      <c r="A845" s="36" t="s">
        <v>2368</v>
      </c>
      <c r="B845" s="36" t="s">
        <v>2369</v>
      </c>
      <c r="C845" s="36" t="s">
        <v>1495</v>
      </c>
      <c r="D845" s="36" t="s">
        <v>1496</v>
      </c>
      <c r="E845" s="36" t="s">
        <v>287</v>
      </c>
      <c r="F845" s="36" t="s">
        <v>286</v>
      </c>
      <c r="G845" s="36" t="s">
        <v>411</v>
      </c>
      <c r="H845" s="37">
        <v>35.92</v>
      </c>
      <c r="I845" s="36" t="s">
        <v>1301</v>
      </c>
      <c r="J845" s="39" t="s">
        <v>286</v>
      </c>
      <c r="K845" s="38"/>
      <c r="L845" s="38"/>
    </row>
    <row r="846" ht="22.5" customHeight="1">
      <c r="A846" s="36" t="s">
        <v>2370</v>
      </c>
      <c r="B846" s="36" t="s">
        <v>2371</v>
      </c>
      <c r="C846" s="36" t="s">
        <v>1495</v>
      </c>
      <c r="D846" s="36" t="s">
        <v>1496</v>
      </c>
      <c r="E846" s="36" t="s">
        <v>287</v>
      </c>
      <c r="F846" s="36" t="s">
        <v>286</v>
      </c>
      <c r="G846" s="36" t="s">
        <v>411</v>
      </c>
      <c r="H846" s="37">
        <v>28.02</v>
      </c>
      <c r="I846" s="36" t="s">
        <v>1301</v>
      </c>
      <c r="J846" s="39" t="s">
        <v>286</v>
      </c>
      <c r="K846" s="38"/>
      <c r="L846" s="38"/>
    </row>
    <row r="847" ht="22.5" customHeight="1">
      <c r="A847" s="36" t="s">
        <v>2372</v>
      </c>
      <c r="B847" s="36" t="s">
        <v>2373</v>
      </c>
      <c r="C847" s="36" t="s">
        <v>1495</v>
      </c>
      <c r="D847" s="36" t="s">
        <v>1496</v>
      </c>
      <c r="E847" s="36" t="s">
        <v>287</v>
      </c>
      <c r="F847" s="36" t="s">
        <v>286</v>
      </c>
      <c r="G847" s="36" t="s">
        <v>411</v>
      </c>
      <c r="H847" s="37">
        <v>49.82</v>
      </c>
      <c r="I847" s="36" t="s">
        <v>1301</v>
      </c>
      <c r="J847" s="39" t="s">
        <v>2374</v>
      </c>
      <c r="K847" s="38"/>
      <c r="L847" s="38"/>
    </row>
    <row r="848" ht="22.5" customHeight="1">
      <c r="A848" s="36" t="s">
        <v>2375</v>
      </c>
      <c r="B848" s="36" t="s">
        <v>2376</v>
      </c>
      <c r="C848" s="36" t="s">
        <v>1495</v>
      </c>
      <c r="D848" s="36" t="s">
        <v>1496</v>
      </c>
      <c r="E848" s="36" t="s">
        <v>287</v>
      </c>
      <c r="F848" s="36" t="s">
        <v>286</v>
      </c>
      <c r="G848" s="36" t="s">
        <v>411</v>
      </c>
      <c r="H848" s="37">
        <v>721.92</v>
      </c>
      <c r="I848" s="36" t="s">
        <v>1301</v>
      </c>
      <c r="J848" s="39" t="s">
        <v>1770</v>
      </c>
      <c r="K848" s="38"/>
      <c r="L848" s="38"/>
    </row>
    <row r="849" ht="22.5" customHeight="1">
      <c r="A849" s="36" t="s">
        <v>2377</v>
      </c>
      <c r="B849" s="36" t="s">
        <v>2378</v>
      </c>
      <c r="C849" s="36" t="s">
        <v>1495</v>
      </c>
      <c r="D849" s="36" t="s">
        <v>1496</v>
      </c>
      <c r="E849" s="36" t="s">
        <v>287</v>
      </c>
      <c r="F849" s="36" t="s">
        <v>286</v>
      </c>
      <c r="G849" s="36" t="s">
        <v>411</v>
      </c>
      <c r="H849" s="37">
        <v>6.82</v>
      </c>
      <c r="I849" s="36" t="s">
        <v>1301</v>
      </c>
      <c r="J849" s="39" t="s">
        <v>286</v>
      </c>
      <c r="K849" s="38"/>
      <c r="L849" s="38"/>
    </row>
    <row r="850" ht="22.5" customHeight="1">
      <c r="A850" s="36" t="s">
        <v>2379</v>
      </c>
      <c r="B850" s="36" t="s">
        <v>2380</v>
      </c>
      <c r="C850" s="36" t="s">
        <v>1495</v>
      </c>
      <c r="D850" s="36" t="s">
        <v>1496</v>
      </c>
      <c r="E850" s="36" t="s">
        <v>287</v>
      </c>
      <c r="F850" s="36" t="s">
        <v>286</v>
      </c>
      <c r="G850" s="36" t="s">
        <v>411</v>
      </c>
      <c r="H850" s="37">
        <v>7.76</v>
      </c>
      <c r="I850" s="36" t="s">
        <v>1301</v>
      </c>
      <c r="J850" s="39" t="s">
        <v>286</v>
      </c>
      <c r="K850" s="38"/>
      <c r="L850" s="38"/>
    </row>
    <row r="851" ht="22.5" customHeight="1">
      <c r="A851" s="36" t="s">
        <v>2381</v>
      </c>
      <c r="B851" s="36" t="s">
        <v>2382</v>
      </c>
      <c r="C851" s="36" t="s">
        <v>1495</v>
      </c>
      <c r="D851" s="36" t="s">
        <v>1496</v>
      </c>
      <c r="E851" s="36" t="s">
        <v>287</v>
      </c>
      <c r="F851" s="36" t="s">
        <v>286</v>
      </c>
      <c r="G851" s="36" t="s">
        <v>411</v>
      </c>
      <c r="H851" s="37">
        <v>4.26</v>
      </c>
      <c r="I851" s="36" t="s">
        <v>1301</v>
      </c>
      <c r="J851" s="39" t="s">
        <v>286</v>
      </c>
      <c r="K851" s="38"/>
      <c r="L851" s="38"/>
    </row>
    <row r="852" ht="22.5" customHeight="1">
      <c r="A852" s="36" t="s">
        <v>2383</v>
      </c>
      <c r="B852" s="36" t="s">
        <v>2384</v>
      </c>
      <c r="C852" s="36" t="s">
        <v>1495</v>
      </c>
      <c r="D852" s="36" t="s">
        <v>1496</v>
      </c>
      <c r="E852" s="36" t="s">
        <v>287</v>
      </c>
      <c r="F852" s="36" t="s">
        <v>286</v>
      </c>
      <c r="G852" s="36" t="s">
        <v>411</v>
      </c>
      <c r="H852" s="37">
        <v>7.37</v>
      </c>
      <c r="I852" s="36" t="s">
        <v>1301</v>
      </c>
      <c r="J852" s="39" t="s">
        <v>286</v>
      </c>
      <c r="K852" s="38"/>
      <c r="L852" s="38"/>
    </row>
    <row r="853" ht="22.5" customHeight="1">
      <c r="A853" s="36" t="s">
        <v>2385</v>
      </c>
      <c r="B853" s="36" t="s">
        <v>2386</v>
      </c>
      <c r="C853" s="36" t="s">
        <v>1495</v>
      </c>
      <c r="D853" s="36" t="s">
        <v>1496</v>
      </c>
      <c r="E853" s="36" t="s">
        <v>287</v>
      </c>
      <c r="F853" s="36" t="s">
        <v>286</v>
      </c>
      <c r="G853" s="36" t="s">
        <v>411</v>
      </c>
      <c r="H853" s="37">
        <v>8.33</v>
      </c>
      <c r="I853" s="36" t="s">
        <v>1301</v>
      </c>
      <c r="J853" s="39" t="s">
        <v>286</v>
      </c>
      <c r="K853" s="38"/>
      <c r="L853" s="38"/>
    </row>
    <row r="854" ht="22.5" customHeight="1">
      <c r="A854" s="36" t="s">
        <v>2387</v>
      </c>
      <c r="B854" s="36" t="s">
        <v>2388</v>
      </c>
      <c r="C854" s="36" t="s">
        <v>1495</v>
      </c>
      <c r="D854" s="36" t="s">
        <v>1496</v>
      </c>
      <c r="E854" s="36" t="s">
        <v>287</v>
      </c>
      <c r="F854" s="36" t="s">
        <v>286</v>
      </c>
      <c r="G854" s="36" t="s">
        <v>411</v>
      </c>
      <c r="H854" s="37">
        <v>15.69</v>
      </c>
      <c r="I854" s="36" t="s">
        <v>1301</v>
      </c>
      <c r="J854" s="39" t="s">
        <v>286</v>
      </c>
      <c r="K854" s="38"/>
      <c r="L854" s="38"/>
    </row>
    <row r="855" ht="22.5" customHeight="1">
      <c r="A855" s="36" t="s">
        <v>2389</v>
      </c>
      <c r="B855" s="36" t="s">
        <v>2390</v>
      </c>
      <c r="C855" s="36" t="s">
        <v>1495</v>
      </c>
      <c r="D855" s="36" t="s">
        <v>1496</v>
      </c>
      <c r="E855" s="36" t="s">
        <v>287</v>
      </c>
      <c r="F855" s="36" t="s">
        <v>286</v>
      </c>
      <c r="G855" s="36" t="s">
        <v>411</v>
      </c>
      <c r="H855" s="37">
        <v>261.92</v>
      </c>
      <c r="I855" s="36" t="s">
        <v>1301</v>
      </c>
      <c r="J855" s="39" t="s">
        <v>1541</v>
      </c>
      <c r="K855" s="38"/>
      <c r="L855" s="38"/>
    </row>
    <row r="856" ht="22.5" customHeight="1">
      <c r="A856" s="36" t="s">
        <v>2391</v>
      </c>
      <c r="B856" s="36" t="s">
        <v>2392</v>
      </c>
      <c r="C856" s="36" t="s">
        <v>1495</v>
      </c>
      <c r="D856" s="36" t="s">
        <v>1496</v>
      </c>
      <c r="E856" s="36" t="s">
        <v>287</v>
      </c>
      <c r="F856" s="36" t="s">
        <v>286</v>
      </c>
      <c r="G856" s="36" t="s">
        <v>411</v>
      </c>
      <c r="H856" s="37">
        <v>3.03</v>
      </c>
      <c r="I856" s="36" t="s">
        <v>1301</v>
      </c>
      <c r="J856" s="39" t="s">
        <v>1604</v>
      </c>
      <c r="K856" s="38"/>
      <c r="L856" s="38"/>
    </row>
    <row r="857" ht="22.5" customHeight="1">
      <c r="A857" s="36" t="s">
        <v>2393</v>
      </c>
      <c r="B857" s="36" t="s">
        <v>2394</v>
      </c>
      <c r="C857" s="36" t="s">
        <v>1495</v>
      </c>
      <c r="D857" s="36" t="s">
        <v>1496</v>
      </c>
      <c r="E857" s="36" t="s">
        <v>287</v>
      </c>
      <c r="F857" s="36" t="s">
        <v>286</v>
      </c>
      <c r="G857" s="36" t="s">
        <v>411</v>
      </c>
      <c r="H857" s="37">
        <v>2.81</v>
      </c>
      <c r="I857" s="36" t="s">
        <v>1301</v>
      </c>
      <c r="J857" s="39" t="s">
        <v>1604</v>
      </c>
      <c r="K857" s="38"/>
      <c r="L857" s="38"/>
    </row>
    <row r="858" ht="22.5" customHeight="1">
      <c r="A858" s="36" t="s">
        <v>2395</v>
      </c>
      <c r="B858" s="36" t="s">
        <v>2396</v>
      </c>
      <c r="C858" s="36" t="s">
        <v>1495</v>
      </c>
      <c r="D858" s="36" t="s">
        <v>1496</v>
      </c>
      <c r="E858" s="36" t="s">
        <v>287</v>
      </c>
      <c r="F858" s="36" t="s">
        <v>286</v>
      </c>
      <c r="G858" s="36" t="s">
        <v>411</v>
      </c>
      <c r="H858" s="37">
        <v>2.29</v>
      </c>
      <c r="I858" s="36" t="s">
        <v>1301</v>
      </c>
      <c r="J858" s="39" t="s">
        <v>2397</v>
      </c>
      <c r="K858" s="38"/>
      <c r="L858" s="38"/>
    </row>
    <row r="859" ht="22.5" customHeight="1">
      <c r="A859" s="36" t="s">
        <v>2398</v>
      </c>
      <c r="B859" s="36" t="s">
        <v>2399</v>
      </c>
      <c r="C859" s="36" t="s">
        <v>1495</v>
      </c>
      <c r="D859" s="36" t="s">
        <v>1496</v>
      </c>
      <c r="E859" s="36" t="s">
        <v>287</v>
      </c>
      <c r="F859" s="36" t="s">
        <v>286</v>
      </c>
      <c r="G859" s="36" t="s">
        <v>411</v>
      </c>
      <c r="H859" s="37">
        <v>2.29</v>
      </c>
      <c r="I859" s="36" t="s">
        <v>1301</v>
      </c>
      <c r="J859" s="39" t="s">
        <v>2397</v>
      </c>
      <c r="K859" s="38"/>
      <c r="L859" s="38"/>
    </row>
    <row r="860" ht="22.5" customHeight="1">
      <c r="A860" s="36" t="s">
        <v>2400</v>
      </c>
      <c r="B860" s="36" t="s">
        <v>2401</v>
      </c>
      <c r="C860" s="36" t="s">
        <v>1495</v>
      </c>
      <c r="D860" s="36" t="s">
        <v>1496</v>
      </c>
      <c r="E860" s="36" t="s">
        <v>287</v>
      </c>
      <c r="F860" s="36" t="s">
        <v>286</v>
      </c>
      <c r="G860" s="36" t="s">
        <v>411</v>
      </c>
      <c r="H860" s="37">
        <v>6.37</v>
      </c>
      <c r="I860" s="36" t="s">
        <v>1301</v>
      </c>
      <c r="J860" s="39" t="s">
        <v>2402</v>
      </c>
      <c r="K860" s="38"/>
      <c r="L860" s="38"/>
    </row>
    <row r="861" ht="22.5" customHeight="1">
      <c r="A861" s="36" t="s">
        <v>2403</v>
      </c>
      <c r="B861" s="36" t="s">
        <v>2404</v>
      </c>
      <c r="C861" s="36" t="s">
        <v>1495</v>
      </c>
      <c r="D861" s="36" t="s">
        <v>1496</v>
      </c>
      <c r="E861" s="36" t="s">
        <v>287</v>
      </c>
      <c r="F861" s="36" t="s">
        <v>286</v>
      </c>
      <c r="G861" s="36" t="s">
        <v>411</v>
      </c>
      <c r="H861" s="37">
        <v>6.37</v>
      </c>
      <c r="I861" s="36" t="s">
        <v>1301</v>
      </c>
      <c r="J861" s="39" t="s">
        <v>2402</v>
      </c>
      <c r="K861" s="38"/>
      <c r="L861" s="38"/>
    </row>
    <row r="862" ht="22.5" customHeight="1">
      <c r="A862" s="36" t="s">
        <v>2405</v>
      </c>
      <c r="B862" s="36" t="s">
        <v>2406</v>
      </c>
      <c r="C862" s="36" t="s">
        <v>1495</v>
      </c>
      <c r="D862" s="36" t="s">
        <v>1496</v>
      </c>
      <c r="E862" s="36" t="s">
        <v>287</v>
      </c>
      <c r="F862" s="36" t="s">
        <v>286</v>
      </c>
      <c r="G862" s="36" t="s">
        <v>411</v>
      </c>
      <c r="H862" s="37">
        <v>41.85</v>
      </c>
      <c r="I862" s="36" t="s">
        <v>1301</v>
      </c>
      <c r="J862" s="39" t="s">
        <v>286</v>
      </c>
      <c r="K862" s="38"/>
      <c r="L862" s="38"/>
    </row>
    <row r="863" ht="22.5" customHeight="1">
      <c r="A863" s="36" t="s">
        <v>2407</v>
      </c>
      <c r="B863" s="36" t="s">
        <v>2408</v>
      </c>
      <c r="C863" s="36" t="s">
        <v>1495</v>
      </c>
      <c r="D863" s="36" t="s">
        <v>1496</v>
      </c>
      <c r="E863" s="36" t="s">
        <v>287</v>
      </c>
      <c r="F863" s="36" t="s">
        <v>286</v>
      </c>
      <c r="G863" s="36" t="s">
        <v>411</v>
      </c>
      <c r="H863" s="37">
        <v>1.39</v>
      </c>
      <c r="I863" s="36" t="s">
        <v>1301</v>
      </c>
      <c r="J863" s="39" t="s">
        <v>2409</v>
      </c>
      <c r="K863" s="38"/>
      <c r="L863" s="38"/>
    </row>
    <row r="864" ht="22.5" customHeight="1">
      <c r="A864" s="36" t="s">
        <v>2410</v>
      </c>
      <c r="B864" s="36" t="s">
        <v>2411</v>
      </c>
      <c r="C864" s="36" t="s">
        <v>1495</v>
      </c>
      <c r="D864" s="36" t="s">
        <v>1496</v>
      </c>
      <c r="E864" s="36" t="s">
        <v>287</v>
      </c>
      <c r="F864" s="36" t="s">
        <v>286</v>
      </c>
      <c r="G864" s="36" t="s">
        <v>411</v>
      </c>
      <c r="H864" s="37">
        <v>319.01</v>
      </c>
      <c r="I864" s="36" t="s">
        <v>1301</v>
      </c>
      <c r="J864" s="39" t="s">
        <v>2412</v>
      </c>
      <c r="K864" s="38"/>
      <c r="L864" s="38"/>
    </row>
    <row r="865" ht="22.5" customHeight="1">
      <c r="A865" s="36" t="s">
        <v>2413</v>
      </c>
      <c r="B865" s="36" t="s">
        <v>2414</v>
      </c>
      <c r="C865" s="36" t="s">
        <v>1495</v>
      </c>
      <c r="D865" s="36" t="s">
        <v>1496</v>
      </c>
      <c r="E865" s="36" t="s">
        <v>287</v>
      </c>
      <c r="F865" s="36" t="s">
        <v>286</v>
      </c>
      <c r="G865" s="36" t="s">
        <v>411</v>
      </c>
      <c r="H865" s="37">
        <v>15.42</v>
      </c>
      <c r="I865" s="36" t="s">
        <v>1301</v>
      </c>
      <c r="J865" s="39" t="s">
        <v>1941</v>
      </c>
      <c r="K865" s="38"/>
      <c r="L865" s="38"/>
    </row>
    <row r="866" ht="22.5" customHeight="1">
      <c r="A866" s="36" t="s">
        <v>2415</v>
      </c>
      <c r="B866" s="36" t="s">
        <v>2416</v>
      </c>
      <c r="C866" s="36" t="s">
        <v>1495</v>
      </c>
      <c r="D866" s="36" t="s">
        <v>1496</v>
      </c>
      <c r="E866" s="36" t="s">
        <v>287</v>
      </c>
      <c r="F866" s="36" t="s">
        <v>286</v>
      </c>
      <c r="G866" s="36" t="s">
        <v>411</v>
      </c>
      <c r="H866" s="37">
        <v>10.97</v>
      </c>
      <c r="I866" s="36" t="s">
        <v>1301</v>
      </c>
      <c r="J866" s="39" t="s">
        <v>1941</v>
      </c>
      <c r="K866" s="38"/>
      <c r="L866" s="38"/>
    </row>
    <row r="867" ht="22.5" customHeight="1">
      <c r="A867" s="36" t="s">
        <v>2417</v>
      </c>
      <c r="B867" s="36" t="s">
        <v>2418</v>
      </c>
      <c r="C867" s="36" t="s">
        <v>1495</v>
      </c>
      <c r="D867" s="36" t="s">
        <v>1496</v>
      </c>
      <c r="E867" s="36" t="s">
        <v>287</v>
      </c>
      <c r="F867" s="36" t="s">
        <v>286</v>
      </c>
      <c r="G867" s="36" t="s">
        <v>411</v>
      </c>
      <c r="H867" s="37">
        <v>4.18</v>
      </c>
      <c r="I867" s="36" t="s">
        <v>1301</v>
      </c>
      <c r="J867" s="39" t="s">
        <v>1941</v>
      </c>
      <c r="K867" s="38"/>
      <c r="L867" s="38"/>
    </row>
    <row r="868" ht="22.5" customHeight="1">
      <c r="A868" s="36" t="s">
        <v>2419</v>
      </c>
      <c r="B868" s="36" t="s">
        <v>2420</v>
      </c>
      <c r="C868" s="36" t="s">
        <v>1495</v>
      </c>
      <c r="D868" s="36" t="s">
        <v>1496</v>
      </c>
      <c r="E868" s="36" t="s">
        <v>287</v>
      </c>
      <c r="F868" s="36" t="s">
        <v>286</v>
      </c>
      <c r="G868" s="36" t="s">
        <v>411</v>
      </c>
      <c r="H868" s="37">
        <v>3.81</v>
      </c>
      <c r="I868" s="36" t="s">
        <v>1301</v>
      </c>
      <c r="J868" s="39" t="s">
        <v>1941</v>
      </c>
      <c r="K868" s="38"/>
      <c r="L868" s="38"/>
    </row>
    <row r="869" ht="22.5" customHeight="1">
      <c r="A869" s="36" t="s">
        <v>2421</v>
      </c>
      <c r="B869" s="36" t="s">
        <v>2422</v>
      </c>
      <c r="C869" s="36" t="s">
        <v>1495</v>
      </c>
      <c r="D869" s="36" t="s">
        <v>1496</v>
      </c>
      <c r="E869" s="36" t="s">
        <v>287</v>
      </c>
      <c r="F869" s="36" t="s">
        <v>286</v>
      </c>
      <c r="G869" s="36" t="s">
        <v>411</v>
      </c>
      <c r="H869" s="37">
        <v>70.49</v>
      </c>
      <c r="I869" s="36" t="s">
        <v>1301</v>
      </c>
      <c r="J869" s="39" t="s">
        <v>286</v>
      </c>
      <c r="K869" s="38"/>
      <c r="L869" s="38"/>
    </row>
    <row r="870" ht="22.5" customHeight="1">
      <c r="A870" s="36" t="s">
        <v>2423</v>
      </c>
      <c r="B870" s="36" t="s">
        <v>2424</v>
      </c>
      <c r="C870" s="36" t="s">
        <v>286</v>
      </c>
      <c r="D870" s="36" t="s">
        <v>286</v>
      </c>
      <c r="E870" s="36" t="s">
        <v>287</v>
      </c>
      <c r="F870" s="36" t="s">
        <v>286</v>
      </c>
      <c r="G870" s="36" t="s">
        <v>411</v>
      </c>
      <c r="H870" s="37">
        <v>35.83</v>
      </c>
      <c r="I870" s="36" t="s">
        <v>1301</v>
      </c>
      <c r="J870" s="39" t="s">
        <v>286</v>
      </c>
      <c r="K870" s="38"/>
      <c r="L870" s="38"/>
    </row>
    <row r="871" ht="22.5" customHeight="1">
      <c r="A871" s="36" t="s">
        <v>2425</v>
      </c>
      <c r="B871" s="36" t="s">
        <v>2426</v>
      </c>
      <c r="C871" s="36" t="s">
        <v>1495</v>
      </c>
      <c r="D871" s="36" t="s">
        <v>1496</v>
      </c>
      <c r="E871" s="36" t="s">
        <v>287</v>
      </c>
      <c r="F871" s="36" t="s">
        <v>286</v>
      </c>
      <c r="G871" s="36" t="s">
        <v>411</v>
      </c>
      <c r="H871" s="37">
        <v>38.92</v>
      </c>
      <c r="I871" s="36" t="s">
        <v>1301</v>
      </c>
      <c r="J871" s="39" t="s">
        <v>286</v>
      </c>
      <c r="K871" s="38"/>
      <c r="L871" s="38"/>
    </row>
    <row r="872" ht="22.5" customHeight="1">
      <c r="A872" s="36" t="s">
        <v>2427</v>
      </c>
      <c r="B872" s="36" t="s">
        <v>2428</v>
      </c>
      <c r="C872" s="36" t="s">
        <v>1495</v>
      </c>
      <c r="D872" s="36" t="s">
        <v>1496</v>
      </c>
      <c r="E872" s="36" t="s">
        <v>287</v>
      </c>
      <c r="F872" s="36" t="s">
        <v>286</v>
      </c>
      <c r="G872" s="36" t="s">
        <v>411</v>
      </c>
      <c r="H872" s="37">
        <v>250.0</v>
      </c>
      <c r="I872" s="36" t="s">
        <v>1301</v>
      </c>
      <c r="J872" s="39" t="s">
        <v>286</v>
      </c>
      <c r="K872" s="38"/>
      <c r="L872" s="38"/>
    </row>
    <row r="873" ht="22.5" customHeight="1">
      <c r="A873" s="36" t="s">
        <v>2429</v>
      </c>
      <c r="B873" s="36" t="s">
        <v>2430</v>
      </c>
      <c r="C873" s="36" t="s">
        <v>1495</v>
      </c>
      <c r="D873" s="36" t="s">
        <v>1496</v>
      </c>
      <c r="E873" s="36" t="s">
        <v>287</v>
      </c>
      <c r="F873" s="36" t="s">
        <v>286</v>
      </c>
      <c r="G873" s="36" t="s">
        <v>411</v>
      </c>
      <c r="H873" s="37">
        <v>60.26</v>
      </c>
      <c r="I873" s="36" t="s">
        <v>1301</v>
      </c>
      <c r="J873" s="39" t="s">
        <v>286</v>
      </c>
      <c r="K873" s="38"/>
      <c r="L873" s="38"/>
    </row>
    <row r="874" ht="22.5" customHeight="1">
      <c r="A874" s="36" t="s">
        <v>2431</v>
      </c>
      <c r="B874" s="36" t="s">
        <v>2432</v>
      </c>
      <c r="C874" s="36" t="s">
        <v>1495</v>
      </c>
      <c r="D874" s="36" t="s">
        <v>1496</v>
      </c>
      <c r="E874" s="36" t="s">
        <v>287</v>
      </c>
      <c r="F874" s="36" t="s">
        <v>286</v>
      </c>
      <c r="G874" s="36" t="s">
        <v>411</v>
      </c>
      <c r="H874" s="37">
        <v>10.33</v>
      </c>
      <c r="I874" s="36" t="s">
        <v>1301</v>
      </c>
      <c r="J874" s="39" t="s">
        <v>286</v>
      </c>
      <c r="K874" s="38"/>
      <c r="L874" s="38"/>
    </row>
    <row r="875" ht="22.5" customHeight="1">
      <c r="A875" s="36" t="s">
        <v>2433</v>
      </c>
      <c r="B875" s="36" t="s">
        <v>2434</v>
      </c>
      <c r="C875" s="36" t="s">
        <v>1495</v>
      </c>
      <c r="D875" s="36" t="s">
        <v>1496</v>
      </c>
      <c r="E875" s="36" t="s">
        <v>287</v>
      </c>
      <c r="F875" s="36" t="s">
        <v>286</v>
      </c>
      <c r="G875" s="36" t="s">
        <v>411</v>
      </c>
      <c r="H875" s="37">
        <v>5.58</v>
      </c>
      <c r="I875" s="36" t="s">
        <v>1301</v>
      </c>
      <c r="J875" s="39" t="s">
        <v>286</v>
      </c>
      <c r="K875" s="38"/>
      <c r="L875" s="38"/>
    </row>
    <row r="876" ht="22.5" customHeight="1">
      <c r="A876" s="36" t="s">
        <v>2435</v>
      </c>
      <c r="B876" s="36" t="s">
        <v>2436</v>
      </c>
      <c r="C876" s="36" t="s">
        <v>1495</v>
      </c>
      <c r="D876" s="36" t="s">
        <v>1496</v>
      </c>
      <c r="E876" s="36" t="s">
        <v>287</v>
      </c>
      <c r="F876" s="36" t="s">
        <v>286</v>
      </c>
      <c r="G876" s="36" t="s">
        <v>411</v>
      </c>
      <c r="H876" s="37">
        <v>2.83</v>
      </c>
      <c r="I876" s="36" t="s">
        <v>1301</v>
      </c>
      <c r="J876" s="39" t="s">
        <v>286</v>
      </c>
      <c r="K876" s="38"/>
      <c r="L876" s="38"/>
    </row>
    <row r="877" ht="22.5" customHeight="1">
      <c r="A877" s="36" t="s">
        <v>2437</v>
      </c>
      <c r="B877" s="36" t="s">
        <v>2438</v>
      </c>
      <c r="C877" s="36" t="s">
        <v>1495</v>
      </c>
      <c r="D877" s="36" t="s">
        <v>1496</v>
      </c>
      <c r="E877" s="36" t="s">
        <v>287</v>
      </c>
      <c r="F877" s="36" t="s">
        <v>286</v>
      </c>
      <c r="G877" s="36" t="s">
        <v>411</v>
      </c>
      <c r="H877" s="37">
        <v>43.74</v>
      </c>
      <c r="I877" s="36" t="s">
        <v>1301</v>
      </c>
      <c r="J877" s="39" t="s">
        <v>286</v>
      </c>
      <c r="K877" s="38"/>
      <c r="L877" s="38"/>
    </row>
    <row r="878" ht="22.5" customHeight="1">
      <c r="A878" s="36" t="s">
        <v>2439</v>
      </c>
      <c r="B878" s="36" t="s">
        <v>2440</v>
      </c>
      <c r="C878" s="36" t="s">
        <v>1495</v>
      </c>
      <c r="D878" s="36" t="s">
        <v>1496</v>
      </c>
      <c r="E878" s="36" t="s">
        <v>287</v>
      </c>
      <c r="F878" s="36" t="s">
        <v>286</v>
      </c>
      <c r="G878" s="36" t="s">
        <v>411</v>
      </c>
      <c r="H878" s="37">
        <v>27.77</v>
      </c>
      <c r="I878" s="36" t="s">
        <v>1301</v>
      </c>
      <c r="J878" s="39" t="s">
        <v>286</v>
      </c>
      <c r="K878" s="38"/>
      <c r="L878" s="38"/>
    </row>
    <row r="879" ht="22.5" customHeight="1">
      <c r="A879" s="36" t="s">
        <v>2441</v>
      </c>
      <c r="B879" s="36" t="s">
        <v>2442</v>
      </c>
      <c r="C879" s="36" t="s">
        <v>1495</v>
      </c>
      <c r="D879" s="36" t="s">
        <v>1496</v>
      </c>
      <c r="E879" s="36" t="s">
        <v>287</v>
      </c>
      <c r="F879" s="36" t="s">
        <v>286</v>
      </c>
      <c r="G879" s="36" t="s">
        <v>411</v>
      </c>
      <c r="H879" s="37">
        <v>10.33</v>
      </c>
      <c r="I879" s="36" t="s">
        <v>1301</v>
      </c>
      <c r="J879" s="39" t="s">
        <v>286</v>
      </c>
      <c r="K879" s="38"/>
      <c r="L879" s="38"/>
    </row>
    <row r="880" ht="22.5" customHeight="1">
      <c r="A880" s="36" t="s">
        <v>2443</v>
      </c>
      <c r="B880" s="36" t="s">
        <v>2444</v>
      </c>
      <c r="C880" s="36" t="s">
        <v>286</v>
      </c>
      <c r="D880" s="36" t="s">
        <v>286</v>
      </c>
      <c r="E880" s="36" t="s">
        <v>287</v>
      </c>
      <c r="F880" s="36" t="s">
        <v>286</v>
      </c>
      <c r="G880" s="36" t="s">
        <v>411</v>
      </c>
      <c r="H880" s="37">
        <v>5.58</v>
      </c>
      <c r="I880" s="36" t="s">
        <v>1301</v>
      </c>
      <c r="J880" s="39" t="s">
        <v>286</v>
      </c>
      <c r="K880" s="38"/>
      <c r="L880" s="38"/>
    </row>
    <row r="881" ht="22.5" customHeight="1">
      <c r="A881" s="36" t="s">
        <v>2445</v>
      </c>
      <c r="B881" s="36" t="s">
        <v>2446</v>
      </c>
      <c r="C881" s="36" t="s">
        <v>286</v>
      </c>
      <c r="D881" s="36" t="s">
        <v>286</v>
      </c>
      <c r="E881" s="36" t="s">
        <v>287</v>
      </c>
      <c r="F881" s="36" t="s">
        <v>286</v>
      </c>
      <c r="G881" s="36" t="s">
        <v>411</v>
      </c>
      <c r="H881" s="37">
        <v>2.83</v>
      </c>
      <c r="I881" s="36" t="s">
        <v>1301</v>
      </c>
      <c r="J881" s="39" t="s">
        <v>286</v>
      </c>
      <c r="K881" s="38"/>
      <c r="L881" s="38"/>
    </row>
    <row r="882" ht="22.5" customHeight="1">
      <c r="A882" s="36" t="s">
        <v>2447</v>
      </c>
      <c r="B882" s="36" t="s">
        <v>2448</v>
      </c>
      <c r="C882" s="36" t="s">
        <v>1495</v>
      </c>
      <c r="D882" s="36" t="s">
        <v>1496</v>
      </c>
      <c r="E882" s="36" t="s">
        <v>287</v>
      </c>
      <c r="F882" s="36" t="s">
        <v>286</v>
      </c>
      <c r="G882" s="36" t="s">
        <v>411</v>
      </c>
      <c r="H882" s="37">
        <v>5.58</v>
      </c>
      <c r="I882" s="36" t="s">
        <v>1301</v>
      </c>
      <c r="J882" s="39" t="s">
        <v>286</v>
      </c>
      <c r="K882" s="38"/>
      <c r="L882" s="38"/>
    </row>
    <row r="883" ht="22.5" customHeight="1">
      <c r="A883" s="36" t="s">
        <v>2449</v>
      </c>
      <c r="B883" s="36" t="s">
        <v>2450</v>
      </c>
      <c r="C883" s="36" t="s">
        <v>1495</v>
      </c>
      <c r="D883" s="36" t="s">
        <v>1496</v>
      </c>
      <c r="E883" s="36" t="s">
        <v>287</v>
      </c>
      <c r="F883" s="36" t="s">
        <v>286</v>
      </c>
      <c r="G883" s="36" t="s">
        <v>411</v>
      </c>
      <c r="H883" s="37">
        <v>22.0</v>
      </c>
      <c r="I883" s="36" t="s">
        <v>1301</v>
      </c>
      <c r="J883" s="39" t="s">
        <v>286</v>
      </c>
      <c r="K883" s="38"/>
      <c r="L883" s="38"/>
    </row>
    <row r="884" ht="22.5" customHeight="1">
      <c r="A884" s="36" t="s">
        <v>2451</v>
      </c>
      <c r="B884" s="36" t="s">
        <v>2452</v>
      </c>
      <c r="C884" s="36" t="s">
        <v>1495</v>
      </c>
      <c r="D884" s="36" t="s">
        <v>1496</v>
      </c>
      <c r="E884" s="36" t="s">
        <v>287</v>
      </c>
      <c r="F884" s="36" t="s">
        <v>286</v>
      </c>
      <c r="G884" s="36" t="s">
        <v>411</v>
      </c>
      <c r="H884" s="37">
        <v>62.5</v>
      </c>
      <c r="I884" s="36" t="s">
        <v>1301</v>
      </c>
      <c r="J884" s="39" t="s">
        <v>286</v>
      </c>
      <c r="K884" s="38"/>
      <c r="L884" s="38"/>
    </row>
    <row r="885" ht="22.5" customHeight="1">
      <c r="A885" s="36" t="s">
        <v>2453</v>
      </c>
      <c r="B885" s="36" t="s">
        <v>2454</v>
      </c>
      <c r="C885" s="36" t="s">
        <v>1495</v>
      </c>
      <c r="D885" s="36" t="s">
        <v>1496</v>
      </c>
      <c r="E885" s="36" t="s">
        <v>287</v>
      </c>
      <c r="F885" s="36" t="s">
        <v>286</v>
      </c>
      <c r="G885" s="36" t="s">
        <v>411</v>
      </c>
      <c r="H885" s="37">
        <v>24.79</v>
      </c>
      <c r="I885" s="36" t="s">
        <v>1301</v>
      </c>
      <c r="J885" s="39" t="s">
        <v>2455</v>
      </c>
      <c r="K885" s="38"/>
      <c r="L885" s="38"/>
    </row>
    <row r="886" ht="22.5" customHeight="1">
      <c r="A886" s="36" t="s">
        <v>2456</v>
      </c>
      <c r="B886" s="36" t="s">
        <v>2457</v>
      </c>
      <c r="C886" s="36" t="s">
        <v>286</v>
      </c>
      <c r="D886" s="36" t="s">
        <v>286</v>
      </c>
      <c r="E886" s="36" t="s">
        <v>287</v>
      </c>
      <c r="F886" s="36" t="s">
        <v>286</v>
      </c>
      <c r="G886" s="36" t="s">
        <v>411</v>
      </c>
      <c r="H886" s="37">
        <v>13.13</v>
      </c>
      <c r="I886" s="36" t="s">
        <v>1301</v>
      </c>
      <c r="J886" s="39" t="s">
        <v>2455</v>
      </c>
      <c r="K886" s="38"/>
      <c r="L886" s="38"/>
    </row>
    <row r="887" ht="22.5" customHeight="1">
      <c r="A887" s="36" t="s">
        <v>2458</v>
      </c>
      <c r="B887" s="36" t="s">
        <v>2459</v>
      </c>
      <c r="C887" s="36" t="s">
        <v>1495</v>
      </c>
      <c r="D887" s="36" t="s">
        <v>1496</v>
      </c>
      <c r="E887" s="36" t="s">
        <v>287</v>
      </c>
      <c r="F887" s="36" t="s">
        <v>286</v>
      </c>
      <c r="G887" s="36" t="s">
        <v>411</v>
      </c>
      <c r="H887" s="37">
        <v>21.79</v>
      </c>
      <c r="I887" s="36" t="s">
        <v>1301</v>
      </c>
      <c r="J887" s="39" t="s">
        <v>286</v>
      </c>
      <c r="K887" s="38"/>
      <c r="L887" s="38"/>
    </row>
    <row r="888" ht="22.5" customHeight="1">
      <c r="A888" s="36" t="s">
        <v>2460</v>
      </c>
      <c r="B888" s="36" t="s">
        <v>2461</v>
      </c>
      <c r="C888" s="36" t="s">
        <v>1495</v>
      </c>
      <c r="D888" s="36" t="s">
        <v>1496</v>
      </c>
      <c r="E888" s="36" t="s">
        <v>287</v>
      </c>
      <c r="F888" s="36" t="s">
        <v>286</v>
      </c>
      <c r="G888" s="36" t="s">
        <v>411</v>
      </c>
      <c r="H888" s="37">
        <v>21.79</v>
      </c>
      <c r="I888" s="36" t="s">
        <v>1301</v>
      </c>
      <c r="J888" s="39" t="s">
        <v>286</v>
      </c>
      <c r="K888" s="38"/>
      <c r="L888" s="38"/>
    </row>
    <row r="889" ht="22.5" customHeight="1">
      <c r="A889" s="36" t="s">
        <v>2462</v>
      </c>
      <c r="B889" s="36" t="s">
        <v>2463</v>
      </c>
      <c r="C889" s="36" t="s">
        <v>1495</v>
      </c>
      <c r="D889" s="36" t="s">
        <v>1496</v>
      </c>
      <c r="E889" s="36" t="s">
        <v>287</v>
      </c>
      <c r="F889" s="36" t="s">
        <v>286</v>
      </c>
      <c r="G889" s="36" t="s">
        <v>411</v>
      </c>
      <c r="H889" s="37">
        <v>59.89</v>
      </c>
      <c r="I889" s="36" t="s">
        <v>1301</v>
      </c>
      <c r="J889" s="39" t="s">
        <v>286</v>
      </c>
      <c r="K889" s="38"/>
      <c r="L889" s="38"/>
    </row>
    <row r="890" ht="22.5" customHeight="1">
      <c r="A890" s="36" t="s">
        <v>2464</v>
      </c>
      <c r="B890" s="36" t="s">
        <v>2465</v>
      </c>
      <c r="C890" s="36" t="s">
        <v>1495</v>
      </c>
      <c r="D890" s="36" t="s">
        <v>1496</v>
      </c>
      <c r="E890" s="36" t="s">
        <v>287</v>
      </c>
      <c r="F890" s="36" t="s">
        <v>286</v>
      </c>
      <c r="G890" s="36" t="s">
        <v>411</v>
      </c>
      <c r="H890" s="37">
        <v>1.0</v>
      </c>
      <c r="I890" s="36" t="s">
        <v>1301</v>
      </c>
      <c r="J890" s="39" t="s">
        <v>286</v>
      </c>
      <c r="K890" s="38"/>
      <c r="L890" s="38"/>
    </row>
    <row r="891" ht="22.5" customHeight="1">
      <c r="A891" s="36" t="s">
        <v>2466</v>
      </c>
      <c r="B891" s="36" t="s">
        <v>2467</v>
      </c>
      <c r="C891" s="36" t="s">
        <v>1495</v>
      </c>
      <c r="D891" s="36" t="s">
        <v>1496</v>
      </c>
      <c r="E891" s="36" t="s">
        <v>287</v>
      </c>
      <c r="F891" s="36" t="s">
        <v>286</v>
      </c>
      <c r="G891" s="36" t="s">
        <v>411</v>
      </c>
      <c r="H891" s="37">
        <v>0.7</v>
      </c>
      <c r="I891" s="36" t="s">
        <v>1301</v>
      </c>
      <c r="J891" s="39" t="s">
        <v>286</v>
      </c>
      <c r="K891" s="38"/>
      <c r="L891" s="38"/>
    </row>
    <row r="892" ht="22.5" customHeight="1">
      <c r="A892" s="36" t="s">
        <v>2468</v>
      </c>
      <c r="B892" s="36" t="s">
        <v>2469</v>
      </c>
      <c r="C892" s="36" t="s">
        <v>1495</v>
      </c>
      <c r="D892" s="36" t="s">
        <v>1496</v>
      </c>
      <c r="E892" s="36" t="s">
        <v>287</v>
      </c>
      <c r="F892" s="36" t="s">
        <v>286</v>
      </c>
      <c r="G892" s="36" t="s">
        <v>411</v>
      </c>
      <c r="H892" s="37">
        <v>0.28</v>
      </c>
      <c r="I892" s="36" t="s">
        <v>1301</v>
      </c>
      <c r="J892" s="39" t="s">
        <v>286</v>
      </c>
      <c r="K892" s="38"/>
      <c r="L892" s="38"/>
    </row>
    <row r="893" ht="22.5" customHeight="1">
      <c r="A893" s="36" t="s">
        <v>2470</v>
      </c>
      <c r="B893" s="36" t="s">
        <v>2471</v>
      </c>
      <c r="C893" s="36" t="s">
        <v>1495</v>
      </c>
      <c r="D893" s="36" t="s">
        <v>1496</v>
      </c>
      <c r="E893" s="36" t="s">
        <v>287</v>
      </c>
      <c r="F893" s="36" t="s">
        <v>286</v>
      </c>
      <c r="G893" s="36" t="s">
        <v>411</v>
      </c>
      <c r="H893" s="37">
        <v>31.5</v>
      </c>
      <c r="I893" s="36" t="s">
        <v>1301</v>
      </c>
      <c r="J893" s="39" t="s">
        <v>286</v>
      </c>
      <c r="K893" s="38"/>
      <c r="L893" s="38"/>
    </row>
    <row r="894" ht="22.5" customHeight="1">
      <c r="A894" s="36" t="s">
        <v>2472</v>
      </c>
      <c r="B894" s="36" t="s">
        <v>2473</v>
      </c>
      <c r="C894" s="36" t="s">
        <v>1495</v>
      </c>
      <c r="D894" s="36" t="s">
        <v>1496</v>
      </c>
      <c r="E894" s="36" t="s">
        <v>287</v>
      </c>
      <c r="F894" s="36" t="s">
        <v>286</v>
      </c>
      <c r="G894" s="36" t="s">
        <v>411</v>
      </c>
      <c r="H894" s="37">
        <v>1.23</v>
      </c>
      <c r="I894" s="36" t="s">
        <v>1301</v>
      </c>
      <c r="J894" s="39" t="s">
        <v>286</v>
      </c>
      <c r="K894" s="38"/>
      <c r="L894" s="38"/>
    </row>
    <row r="895" ht="22.5" customHeight="1">
      <c r="A895" s="36" t="s">
        <v>2474</v>
      </c>
      <c r="B895" s="36" t="s">
        <v>2475</v>
      </c>
      <c r="C895" s="36" t="s">
        <v>1495</v>
      </c>
      <c r="D895" s="36" t="s">
        <v>1496</v>
      </c>
      <c r="E895" s="36" t="s">
        <v>287</v>
      </c>
      <c r="F895" s="36" t="s">
        <v>286</v>
      </c>
      <c r="G895" s="36" t="s">
        <v>411</v>
      </c>
      <c r="H895" s="37">
        <v>1.23</v>
      </c>
      <c r="I895" s="36" t="s">
        <v>1301</v>
      </c>
      <c r="J895" s="39" t="s">
        <v>286</v>
      </c>
      <c r="K895" s="38"/>
      <c r="L895" s="38"/>
    </row>
    <row r="896" ht="22.5" customHeight="1">
      <c r="A896" s="36" t="s">
        <v>2476</v>
      </c>
      <c r="B896" s="36" t="s">
        <v>2477</v>
      </c>
      <c r="C896" s="36" t="s">
        <v>1495</v>
      </c>
      <c r="D896" s="36" t="s">
        <v>1496</v>
      </c>
      <c r="E896" s="36" t="s">
        <v>287</v>
      </c>
      <c r="F896" s="36" t="s">
        <v>286</v>
      </c>
      <c r="G896" s="36" t="s">
        <v>411</v>
      </c>
      <c r="H896" s="37">
        <v>2.66</v>
      </c>
      <c r="I896" s="36" t="s">
        <v>1301</v>
      </c>
      <c r="J896" s="39" t="s">
        <v>286</v>
      </c>
      <c r="K896" s="38"/>
      <c r="L896" s="38"/>
    </row>
    <row r="897" ht="22.5" customHeight="1">
      <c r="A897" s="36" t="s">
        <v>2478</v>
      </c>
      <c r="B897" s="36" t="s">
        <v>2479</v>
      </c>
      <c r="C897" s="36" t="s">
        <v>1495</v>
      </c>
      <c r="D897" s="36" t="s">
        <v>1496</v>
      </c>
      <c r="E897" s="36" t="s">
        <v>287</v>
      </c>
      <c r="F897" s="36" t="s">
        <v>286</v>
      </c>
      <c r="G897" s="36" t="s">
        <v>411</v>
      </c>
      <c r="H897" s="37">
        <v>0.85</v>
      </c>
      <c r="I897" s="36" t="s">
        <v>1301</v>
      </c>
      <c r="J897" s="39" t="s">
        <v>286</v>
      </c>
      <c r="K897" s="38"/>
      <c r="L897" s="38"/>
    </row>
    <row r="898" ht="22.5" customHeight="1">
      <c r="A898" s="36" t="s">
        <v>2480</v>
      </c>
      <c r="B898" s="36" t="s">
        <v>2481</v>
      </c>
      <c r="C898" s="36" t="s">
        <v>1495</v>
      </c>
      <c r="D898" s="36" t="s">
        <v>1496</v>
      </c>
      <c r="E898" s="36" t="s">
        <v>287</v>
      </c>
      <c r="F898" s="36" t="s">
        <v>286</v>
      </c>
      <c r="G898" s="36" t="s">
        <v>411</v>
      </c>
      <c r="H898" s="37">
        <v>0.69</v>
      </c>
      <c r="I898" s="36" t="s">
        <v>1301</v>
      </c>
      <c r="J898" s="39" t="s">
        <v>286</v>
      </c>
      <c r="K898" s="38"/>
      <c r="L898" s="38"/>
    </row>
    <row r="899" ht="22.5" customHeight="1">
      <c r="A899" s="36" t="s">
        <v>2482</v>
      </c>
      <c r="B899" s="36" t="s">
        <v>2483</v>
      </c>
      <c r="C899" s="36" t="s">
        <v>1495</v>
      </c>
      <c r="D899" s="36" t="s">
        <v>1496</v>
      </c>
      <c r="E899" s="36" t="s">
        <v>287</v>
      </c>
      <c r="F899" s="36" t="s">
        <v>286</v>
      </c>
      <c r="G899" s="36" t="s">
        <v>411</v>
      </c>
      <c r="H899" s="37">
        <v>0.35</v>
      </c>
      <c r="I899" s="36" t="s">
        <v>1301</v>
      </c>
      <c r="J899" s="39" t="s">
        <v>286</v>
      </c>
      <c r="K899" s="38"/>
      <c r="L899" s="38"/>
    </row>
    <row r="900" ht="22.5" customHeight="1">
      <c r="A900" s="36" t="s">
        <v>2484</v>
      </c>
      <c r="B900" s="36" t="s">
        <v>2485</v>
      </c>
      <c r="C900" s="36" t="s">
        <v>1495</v>
      </c>
      <c r="D900" s="36" t="s">
        <v>1496</v>
      </c>
      <c r="E900" s="36" t="s">
        <v>287</v>
      </c>
      <c r="F900" s="36" t="s">
        <v>286</v>
      </c>
      <c r="G900" s="36" t="s">
        <v>411</v>
      </c>
      <c r="H900" s="37">
        <v>5.4</v>
      </c>
      <c r="I900" s="36" t="s">
        <v>1301</v>
      </c>
      <c r="J900" s="39" t="s">
        <v>286</v>
      </c>
      <c r="K900" s="38"/>
      <c r="L900" s="38"/>
    </row>
    <row r="901" ht="22.5" customHeight="1">
      <c r="A901" s="36" t="s">
        <v>2486</v>
      </c>
      <c r="B901" s="36" t="s">
        <v>2487</v>
      </c>
      <c r="C901" s="36" t="s">
        <v>1495</v>
      </c>
      <c r="D901" s="36" t="s">
        <v>1496</v>
      </c>
      <c r="E901" s="36" t="s">
        <v>287</v>
      </c>
      <c r="F901" s="36" t="s">
        <v>286</v>
      </c>
      <c r="G901" s="36" t="s">
        <v>411</v>
      </c>
      <c r="H901" s="37">
        <v>0.39</v>
      </c>
      <c r="I901" s="36" t="s">
        <v>1301</v>
      </c>
      <c r="J901" s="39" t="s">
        <v>286</v>
      </c>
      <c r="K901" s="38"/>
      <c r="L901" s="38"/>
    </row>
    <row r="902" ht="22.5" customHeight="1">
      <c r="A902" s="36" t="s">
        <v>2488</v>
      </c>
      <c r="B902" s="36" t="s">
        <v>2489</v>
      </c>
      <c r="C902" s="36" t="s">
        <v>1495</v>
      </c>
      <c r="D902" s="36" t="s">
        <v>1496</v>
      </c>
      <c r="E902" s="36" t="s">
        <v>287</v>
      </c>
      <c r="F902" s="36" t="s">
        <v>286</v>
      </c>
      <c r="G902" s="36" t="s">
        <v>411</v>
      </c>
      <c r="H902" s="37">
        <v>2.05</v>
      </c>
      <c r="I902" s="36" t="s">
        <v>1301</v>
      </c>
      <c r="J902" s="39" t="s">
        <v>286</v>
      </c>
      <c r="K902" s="38"/>
      <c r="L902" s="38"/>
    </row>
    <row r="903" ht="22.5" customHeight="1">
      <c r="A903" s="36" t="s">
        <v>2490</v>
      </c>
      <c r="B903" s="36" t="s">
        <v>2491</v>
      </c>
      <c r="C903" s="36" t="s">
        <v>1495</v>
      </c>
      <c r="D903" s="36" t="s">
        <v>1496</v>
      </c>
      <c r="E903" s="36" t="s">
        <v>287</v>
      </c>
      <c r="F903" s="36" t="s">
        <v>286</v>
      </c>
      <c r="G903" s="36" t="s">
        <v>411</v>
      </c>
      <c r="H903" s="37">
        <v>3.07</v>
      </c>
      <c r="I903" s="36" t="s">
        <v>1301</v>
      </c>
      <c r="J903" s="39" t="s">
        <v>286</v>
      </c>
      <c r="K903" s="38"/>
      <c r="L903" s="38"/>
    </row>
    <row r="904" ht="22.5" customHeight="1">
      <c r="A904" s="36" t="s">
        <v>2492</v>
      </c>
      <c r="B904" s="36" t="s">
        <v>2493</v>
      </c>
      <c r="C904" s="36" t="s">
        <v>1495</v>
      </c>
      <c r="D904" s="36" t="s">
        <v>1496</v>
      </c>
      <c r="E904" s="36" t="s">
        <v>287</v>
      </c>
      <c r="F904" s="36" t="s">
        <v>286</v>
      </c>
      <c r="G904" s="36" t="s">
        <v>411</v>
      </c>
      <c r="H904" s="37">
        <v>0.32</v>
      </c>
      <c r="I904" s="36" t="s">
        <v>1301</v>
      </c>
      <c r="J904" s="39" t="s">
        <v>286</v>
      </c>
      <c r="K904" s="38"/>
      <c r="L904" s="38"/>
    </row>
    <row r="905" ht="22.5" customHeight="1">
      <c r="A905" s="36" t="s">
        <v>2494</v>
      </c>
      <c r="B905" s="36" t="s">
        <v>2495</v>
      </c>
      <c r="C905" s="36" t="s">
        <v>1495</v>
      </c>
      <c r="D905" s="36" t="s">
        <v>1496</v>
      </c>
      <c r="E905" s="36" t="s">
        <v>287</v>
      </c>
      <c r="F905" s="36" t="s">
        <v>286</v>
      </c>
      <c r="G905" s="36" t="s">
        <v>411</v>
      </c>
      <c r="H905" s="37">
        <v>3.2</v>
      </c>
      <c r="I905" s="36" t="s">
        <v>1301</v>
      </c>
      <c r="J905" s="39" t="s">
        <v>286</v>
      </c>
      <c r="K905" s="38"/>
      <c r="L905" s="38"/>
    </row>
    <row r="906" ht="22.5" customHeight="1">
      <c r="A906" s="36" t="s">
        <v>2496</v>
      </c>
      <c r="B906" s="36" t="s">
        <v>2497</v>
      </c>
      <c r="C906" s="36" t="s">
        <v>1495</v>
      </c>
      <c r="D906" s="36" t="s">
        <v>1496</v>
      </c>
      <c r="E906" s="36" t="s">
        <v>287</v>
      </c>
      <c r="F906" s="36" t="s">
        <v>286</v>
      </c>
      <c r="G906" s="36" t="s">
        <v>411</v>
      </c>
      <c r="H906" s="37">
        <v>0.16</v>
      </c>
      <c r="I906" s="36" t="s">
        <v>1301</v>
      </c>
      <c r="J906" s="39" t="s">
        <v>286</v>
      </c>
      <c r="K906" s="38"/>
      <c r="L906" s="38"/>
    </row>
    <row r="907" ht="22.5" customHeight="1">
      <c r="A907" s="36" t="s">
        <v>2498</v>
      </c>
      <c r="B907" s="36" t="s">
        <v>2499</v>
      </c>
      <c r="C907" s="36" t="s">
        <v>1495</v>
      </c>
      <c r="D907" s="36" t="s">
        <v>1496</v>
      </c>
      <c r="E907" s="36" t="s">
        <v>287</v>
      </c>
      <c r="F907" s="36" t="s">
        <v>286</v>
      </c>
      <c r="G907" s="36" t="s">
        <v>411</v>
      </c>
      <c r="H907" s="37">
        <v>2.59</v>
      </c>
      <c r="I907" s="36" t="s">
        <v>1301</v>
      </c>
      <c r="J907" s="39" t="s">
        <v>286</v>
      </c>
      <c r="K907" s="38"/>
      <c r="L907" s="38"/>
    </row>
    <row r="908" ht="22.5" customHeight="1">
      <c r="A908" s="36" t="s">
        <v>2500</v>
      </c>
      <c r="B908" s="36" t="s">
        <v>2501</v>
      </c>
      <c r="C908" s="36" t="s">
        <v>1495</v>
      </c>
      <c r="D908" s="36" t="s">
        <v>1496</v>
      </c>
      <c r="E908" s="36" t="s">
        <v>287</v>
      </c>
      <c r="F908" s="36" t="s">
        <v>286</v>
      </c>
      <c r="G908" s="36" t="s">
        <v>411</v>
      </c>
      <c r="H908" s="37">
        <v>1.93</v>
      </c>
      <c r="I908" s="36" t="s">
        <v>1301</v>
      </c>
      <c r="J908" s="39" t="s">
        <v>286</v>
      </c>
      <c r="K908" s="38"/>
      <c r="L908" s="38"/>
    </row>
    <row r="909" ht="22.5" customHeight="1">
      <c r="A909" s="36" t="s">
        <v>2502</v>
      </c>
      <c r="B909" s="36" t="s">
        <v>2503</v>
      </c>
      <c r="C909" s="36" t="s">
        <v>1495</v>
      </c>
      <c r="D909" s="36" t="s">
        <v>1496</v>
      </c>
      <c r="E909" s="36" t="s">
        <v>287</v>
      </c>
      <c r="F909" s="36" t="s">
        <v>286</v>
      </c>
      <c r="G909" s="36" t="s">
        <v>411</v>
      </c>
      <c r="H909" s="37">
        <v>4.6</v>
      </c>
      <c r="I909" s="36" t="s">
        <v>1301</v>
      </c>
      <c r="J909" s="39" t="s">
        <v>286</v>
      </c>
      <c r="K909" s="38"/>
      <c r="L909" s="38"/>
    </row>
    <row r="910" ht="22.5" customHeight="1">
      <c r="A910" s="36" t="s">
        <v>2504</v>
      </c>
      <c r="B910" s="36" t="s">
        <v>2505</v>
      </c>
      <c r="C910" s="36" t="s">
        <v>1495</v>
      </c>
      <c r="D910" s="36" t="s">
        <v>1496</v>
      </c>
      <c r="E910" s="36" t="s">
        <v>287</v>
      </c>
      <c r="F910" s="36" t="s">
        <v>286</v>
      </c>
      <c r="G910" s="36" t="s">
        <v>411</v>
      </c>
      <c r="H910" s="37">
        <v>5.02</v>
      </c>
      <c r="I910" s="36" t="s">
        <v>1301</v>
      </c>
      <c r="J910" s="39" t="s">
        <v>286</v>
      </c>
      <c r="K910" s="38"/>
      <c r="L910" s="38"/>
    </row>
    <row r="911" ht="22.5" customHeight="1">
      <c r="A911" s="36" t="s">
        <v>2506</v>
      </c>
      <c r="B911" s="36" t="s">
        <v>2507</v>
      </c>
      <c r="C911" s="36" t="s">
        <v>1495</v>
      </c>
      <c r="D911" s="36" t="s">
        <v>1496</v>
      </c>
      <c r="E911" s="36" t="s">
        <v>287</v>
      </c>
      <c r="F911" s="36" t="s">
        <v>286</v>
      </c>
      <c r="G911" s="36" t="s">
        <v>411</v>
      </c>
      <c r="H911" s="37">
        <v>2.7</v>
      </c>
      <c r="I911" s="36" t="s">
        <v>1301</v>
      </c>
      <c r="J911" s="39" t="s">
        <v>286</v>
      </c>
      <c r="K911" s="38"/>
      <c r="L911" s="38"/>
    </row>
    <row r="912" ht="22.5" customHeight="1">
      <c r="A912" s="36" t="s">
        <v>2508</v>
      </c>
      <c r="B912" s="36" t="s">
        <v>2509</v>
      </c>
      <c r="C912" s="36" t="s">
        <v>1495</v>
      </c>
      <c r="D912" s="36" t="s">
        <v>1496</v>
      </c>
      <c r="E912" s="36" t="s">
        <v>287</v>
      </c>
      <c r="F912" s="36" t="s">
        <v>286</v>
      </c>
      <c r="G912" s="36" t="s">
        <v>411</v>
      </c>
      <c r="H912" s="37">
        <v>2.77</v>
      </c>
      <c r="I912" s="36" t="s">
        <v>1301</v>
      </c>
      <c r="J912" s="39" t="s">
        <v>286</v>
      </c>
      <c r="K912" s="38"/>
      <c r="L912" s="38"/>
    </row>
    <row r="913" ht="22.5" customHeight="1">
      <c r="A913" s="36" t="s">
        <v>2510</v>
      </c>
      <c r="B913" s="36" t="s">
        <v>2511</v>
      </c>
      <c r="C913" s="36" t="s">
        <v>1495</v>
      </c>
      <c r="D913" s="36" t="s">
        <v>1496</v>
      </c>
      <c r="E913" s="36" t="s">
        <v>287</v>
      </c>
      <c r="F913" s="36" t="s">
        <v>286</v>
      </c>
      <c r="G913" s="36" t="s">
        <v>411</v>
      </c>
      <c r="H913" s="37">
        <v>1.17</v>
      </c>
      <c r="I913" s="36" t="s">
        <v>1301</v>
      </c>
      <c r="J913" s="39" t="s">
        <v>286</v>
      </c>
      <c r="K913" s="38"/>
      <c r="L913" s="38"/>
    </row>
    <row r="914" ht="22.5" customHeight="1">
      <c r="A914" s="36" t="s">
        <v>2512</v>
      </c>
      <c r="B914" s="36" t="s">
        <v>2513</v>
      </c>
      <c r="C914" s="36" t="s">
        <v>1495</v>
      </c>
      <c r="D914" s="36" t="s">
        <v>1496</v>
      </c>
      <c r="E914" s="36" t="s">
        <v>287</v>
      </c>
      <c r="F914" s="36" t="s">
        <v>286</v>
      </c>
      <c r="G914" s="36" t="s">
        <v>411</v>
      </c>
      <c r="H914" s="37">
        <v>1.04</v>
      </c>
      <c r="I914" s="36" t="s">
        <v>1301</v>
      </c>
      <c r="J914" s="39" t="s">
        <v>286</v>
      </c>
      <c r="K914" s="38"/>
      <c r="L914" s="38"/>
    </row>
    <row r="915" ht="22.5" customHeight="1">
      <c r="A915" s="36" t="s">
        <v>2514</v>
      </c>
      <c r="B915" s="36" t="s">
        <v>2515</v>
      </c>
      <c r="C915" s="36" t="s">
        <v>1495</v>
      </c>
      <c r="D915" s="36" t="s">
        <v>1496</v>
      </c>
      <c r="E915" s="36" t="s">
        <v>287</v>
      </c>
      <c r="F915" s="36" t="s">
        <v>286</v>
      </c>
      <c r="G915" s="36" t="s">
        <v>411</v>
      </c>
      <c r="H915" s="37">
        <v>3.4</v>
      </c>
      <c r="I915" s="36" t="s">
        <v>1301</v>
      </c>
      <c r="J915" s="39" t="s">
        <v>286</v>
      </c>
      <c r="K915" s="38"/>
      <c r="L915" s="38"/>
    </row>
    <row r="916" ht="22.5" customHeight="1">
      <c r="A916" s="36" t="s">
        <v>2516</v>
      </c>
      <c r="B916" s="36" t="s">
        <v>2517</v>
      </c>
      <c r="C916" s="36" t="s">
        <v>1495</v>
      </c>
      <c r="D916" s="36" t="s">
        <v>1496</v>
      </c>
      <c r="E916" s="36" t="s">
        <v>287</v>
      </c>
      <c r="F916" s="36" t="s">
        <v>286</v>
      </c>
      <c r="G916" s="36" t="s">
        <v>411</v>
      </c>
      <c r="H916" s="37">
        <v>2.34</v>
      </c>
      <c r="I916" s="36" t="s">
        <v>1301</v>
      </c>
      <c r="J916" s="39" t="s">
        <v>286</v>
      </c>
      <c r="K916" s="38"/>
      <c r="L916" s="38"/>
    </row>
    <row r="917" ht="22.5" customHeight="1">
      <c r="A917" s="36" t="s">
        <v>2518</v>
      </c>
      <c r="B917" s="36" t="s">
        <v>2519</v>
      </c>
      <c r="C917" s="36" t="s">
        <v>1495</v>
      </c>
      <c r="D917" s="36" t="s">
        <v>1496</v>
      </c>
      <c r="E917" s="36" t="s">
        <v>287</v>
      </c>
      <c r="F917" s="36" t="s">
        <v>286</v>
      </c>
      <c r="G917" s="36" t="s">
        <v>411</v>
      </c>
      <c r="H917" s="37">
        <v>1.02</v>
      </c>
      <c r="I917" s="36" t="s">
        <v>1301</v>
      </c>
      <c r="J917" s="39" t="s">
        <v>286</v>
      </c>
      <c r="K917" s="38"/>
      <c r="L917" s="38"/>
    </row>
    <row r="918" ht="22.5" customHeight="1">
      <c r="A918" s="36" t="s">
        <v>2520</v>
      </c>
      <c r="B918" s="36" t="s">
        <v>2521</v>
      </c>
      <c r="C918" s="36" t="s">
        <v>1495</v>
      </c>
      <c r="D918" s="36" t="s">
        <v>1496</v>
      </c>
      <c r="E918" s="36" t="s">
        <v>287</v>
      </c>
      <c r="F918" s="36" t="s">
        <v>286</v>
      </c>
      <c r="G918" s="36" t="s">
        <v>411</v>
      </c>
      <c r="H918" s="37">
        <v>83.61</v>
      </c>
      <c r="I918" s="36" t="s">
        <v>1301</v>
      </c>
      <c r="J918" s="39" t="s">
        <v>286</v>
      </c>
      <c r="K918" s="38"/>
      <c r="L918" s="38"/>
    </row>
    <row r="919" ht="22.5" customHeight="1">
      <c r="A919" s="36" t="s">
        <v>2522</v>
      </c>
      <c r="B919" s="36" t="s">
        <v>2523</v>
      </c>
      <c r="C919" s="36" t="s">
        <v>1495</v>
      </c>
      <c r="D919" s="36" t="s">
        <v>1496</v>
      </c>
      <c r="E919" s="36" t="s">
        <v>287</v>
      </c>
      <c r="F919" s="36" t="s">
        <v>286</v>
      </c>
      <c r="G919" s="36" t="s">
        <v>411</v>
      </c>
      <c r="H919" s="37">
        <v>23.38</v>
      </c>
      <c r="I919" s="36" t="s">
        <v>1301</v>
      </c>
      <c r="J919" s="39" t="s">
        <v>286</v>
      </c>
      <c r="K919" s="38"/>
      <c r="L919" s="38"/>
    </row>
    <row r="920" ht="22.5" customHeight="1">
      <c r="A920" s="36" t="s">
        <v>2524</v>
      </c>
      <c r="B920" s="36" t="s">
        <v>2525</v>
      </c>
      <c r="C920" s="36" t="s">
        <v>1495</v>
      </c>
      <c r="D920" s="36" t="s">
        <v>1496</v>
      </c>
      <c r="E920" s="36" t="s">
        <v>287</v>
      </c>
      <c r="F920" s="36" t="s">
        <v>286</v>
      </c>
      <c r="G920" s="36" t="s">
        <v>411</v>
      </c>
      <c r="H920" s="37">
        <v>42.63</v>
      </c>
      <c r="I920" s="36" t="s">
        <v>1301</v>
      </c>
      <c r="J920" s="39" t="s">
        <v>286</v>
      </c>
      <c r="K920" s="38"/>
      <c r="L920" s="38"/>
    </row>
    <row r="921" ht="22.5" customHeight="1">
      <c r="A921" s="36" t="s">
        <v>2526</v>
      </c>
      <c r="B921" s="36" t="s">
        <v>2527</v>
      </c>
      <c r="C921" s="36" t="s">
        <v>1495</v>
      </c>
      <c r="D921" s="36" t="s">
        <v>1496</v>
      </c>
      <c r="E921" s="36" t="s">
        <v>287</v>
      </c>
      <c r="F921" s="36" t="s">
        <v>286</v>
      </c>
      <c r="G921" s="36" t="s">
        <v>411</v>
      </c>
      <c r="H921" s="37">
        <v>10.73</v>
      </c>
      <c r="I921" s="36" t="s">
        <v>1301</v>
      </c>
      <c r="J921" s="39" t="s">
        <v>286</v>
      </c>
      <c r="K921" s="38"/>
      <c r="L921" s="38"/>
    </row>
    <row r="922" ht="22.5" customHeight="1">
      <c r="A922" s="36" t="s">
        <v>2528</v>
      </c>
      <c r="B922" s="36" t="s">
        <v>2529</v>
      </c>
      <c r="C922" s="36" t="s">
        <v>1495</v>
      </c>
      <c r="D922" s="36" t="s">
        <v>1496</v>
      </c>
      <c r="E922" s="36" t="s">
        <v>287</v>
      </c>
      <c r="F922" s="36" t="s">
        <v>286</v>
      </c>
      <c r="G922" s="36" t="s">
        <v>411</v>
      </c>
      <c r="H922" s="37">
        <v>10.36</v>
      </c>
      <c r="I922" s="36" t="s">
        <v>1301</v>
      </c>
      <c r="J922" s="39" t="s">
        <v>286</v>
      </c>
      <c r="K922" s="38"/>
      <c r="L922" s="38"/>
    </row>
    <row r="923" ht="22.5" customHeight="1">
      <c r="A923" s="36" t="s">
        <v>2530</v>
      </c>
      <c r="B923" s="36" t="s">
        <v>2531</v>
      </c>
      <c r="C923" s="36" t="s">
        <v>1495</v>
      </c>
      <c r="D923" s="36" t="s">
        <v>1496</v>
      </c>
      <c r="E923" s="36" t="s">
        <v>287</v>
      </c>
      <c r="F923" s="36" t="s">
        <v>286</v>
      </c>
      <c r="G923" s="36" t="s">
        <v>411</v>
      </c>
      <c r="H923" s="37">
        <v>4.71</v>
      </c>
      <c r="I923" s="36" t="s">
        <v>1301</v>
      </c>
      <c r="J923" s="39" t="s">
        <v>286</v>
      </c>
      <c r="K923" s="38"/>
      <c r="L923" s="38"/>
    </row>
    <row r="924" ht="22.5" customHeight="1">
      <c r="A924" s="36" t="s">
        <v>2532</v>
      </c>
      <c r="B924" s="36" t="s">
        <v>2533</v>
      </c>
      <c r="C924" s="36" t="s">
        <v>1495</v>
      </c>
      <c r="D924" s="36" t="s">
        <v>1496</v>
      </c>
      <c r="E924" s="36" t="s">
        <v>287</v>
      </c>
      <c r="F924" s="36" t="s">
        <v>286</v>
      </c>
      <c r="G924" s="36" t="s">
        <v>411</v>
      </c>
      <c r="H924" s="37">
        <v>5.13</v>
      </c>
      <c r="I924" s="36" t="s">
        <v>1301</v>
      </c>
      <c r="J924" s="39" t="s">
        <v>286</v>
      </c>
      <c r="K924" s="38"/>
      <c r="L924" s="38"/>
    </row>
    <row r="925" ht="22.5" customHeight="1">
      <c r="A925" s="36" t="s">
        <v>2534</v>
      </c>
      <c r="B925" s="36" t="s">
        <v>2535</v>
      </c>
      <c r="C925" s="36" t="s">
        <v>1495</v>
      </c>
      <c r="D925" s="36" t="s">
        <v>1496</v>
      </c>
      <c r="E925" s="36" t="s">
        <v>287</v>
      </c>
      <c r="F925" s="36" t="s">
        <v>286</v>
      </c>
      <c r="G925" s="36" t="s">
        <v>411</v>
      </c>
      <c r="H925" s="37">
        <v>97.83</v>
      </c>
      <c r="I925" s="36" t="s">
        <v>1301</v>
      </c>
      <c r="J925" s="39" t="s">
        <v>286</v>
      </c>
      <c r="K925" s="38"/>
      <c r="L925" s="38"/>
    </row>
    <row r="926" ht="22.5" customHeight="1">
      <c r="A926" s="36" t="s">
        <v>2536</v>
      </c>
      <c r="B926" s="36" t="s">
        <v>2537</v>
      </c>
      <c r="C926" s="36" t="s">
        <v>1495</v>
      </c>
      <c r="D926" s="36" t="s">
        <v>1496</v>
      </c>
      <c r="E926" s="36" t="s">
        <v>287</v>
      </c>
      <c r="F926" s="36" t="s">
        <v>286</v>
      </c>
      <c r="G926" s="36" t="s">
        <v>411</v>
      </c>
      <c r="H926" s="37">
        <v>5.73</v>
      </c>
      <c r="I926" s="36" t="s">
        <v>1301</v>
      </c>
      <c r="J926" s="39" t="s">
        <v>286</v>
      </c>
      <c r="K926" s="38"/>
      <c r="L926" s="38"/>
    </row>
    <row r="927" ht="22.5" customHeight="1">
      <c r="A927" s="36" t="s">
        <v>2538</v>
      </c>
      <c r="B927" s="36" t="s">
        <v>2539</v>
      </c>
      <c r="C927" s="36" t="s">
        <v>1495</v>
      </c>
      <c r="D927" s="36" t="s">
        <v>1496</v>
      </c>
      <c r="E927" s="36" t="s">
        <v>287</v>
      </c>
      <c r="F927" s="36" t="s">
        <v>286</v>
      </c>
      <c r="G927" s="36" t="s">
        <v>411</v>
      </c>
      <c r="H927" s="37">
        <v>1.55</v>
      </c>
      <c r="I927" s="36" t="s">
        <v>1301</v>
      </c>
      <c r="J927" s="39" t="s">
        <v>286</v>
      </c>
      <c r="K927" s="38"/>
      <c r="L927" s="38"/>
    </row>
    <row r="928" ht="22.5" customHeight="1">
      <c r="A928" s="36" t="s">
        <v>2540</v>
      </c>
      <c r="B928" s="36" t="s">
        <v>2541</v>
      </c>
      <c r="C928" s="36" t="s">
        <v>1495</v>
      </c>
      <c r="D928" s="36" t="s">
        <v>1496</v>
      </c>
      <c r="E928" s="36" t="s">
        <v>287</v>
      </c>
      <c r="F928" s="36" t="s">
        <v>286</v>
      </c>
      <c r="G928" s="36" t="s">
        <v>411</v>
      </c>
      <c r="H928" s="37">
        <v>1.55</v>
      </c>
      <c r="I928" s="36" t="s">
        <v>1301</v>
      </c>
      <c r="J928" s="39" t="s">
        <v>286</v>
      </c>
      <c r="K928" s="38"/>
      <c r="L928" s="38"/>
    </row>
    <row r="929" ht="22.5" customHeight="1">
      <c r="A929" s="36" t="s">
        <v>2542</v>
      </c>
      <c r="B929" s="36" t="s">
        <v>2543</v>
      </c>
      <c r="C929" s="36" t="s">
        <v>1495</v>
      </c>
      <c r="D929" s="36" t="s">
        <v>1496</v>
      </c>
      <c r="E929" s="36" t="s">
        <v>287</v>
      </c>
      <c r="F929" s="36" t="s">
        <v>286</v>
      </c>
      <c r="G929" s="36" t="s">
        <v>411</v>
      </c>
      <c r="H929" s="37">
        <v>1.02</v>
      </c>
      <c r="I929" s="36" t="s">
        <v>1301</v>
      </c>
      <c r="J929" s="39" t="s">
        <v>286</v>
      </c>
      <c r="K929" s="38"/>
      <c r="L929" s="38"/>
    </row>
    <row r="930" ht="22.5" customHeight="1">
      <c r="A930" s="36" t="s">
        <v>2544</v>
      </c>
      <c r="B930" s="36" t="s">
        <v>2545</v>
      </c>
      <c r="C930" s="36" t="s">
        <v>1495</v>
      </c>
      <c r="D930" s="36" t="s">
        <v>1496</v>
      </c>
      <c r="E930" s="36" t="s">
        <v>287</v>
      </c>
      <c r="F930" s="36" t="s">
        <v>286</v>
      </c>
      <c r="G930" s="36" t="s">
        <v>411</v>
      </c>
      <c r="H930" s="37">
        <v>1.02</v>
      </c>
      <c r="I930" s="36" t="s">
        <v>1301</v>
      </c>
      <c r="J930" s="39" t="s">
        <v>286</v>
      </c>
      <c r="K930" s="38"/>
      <c r="L930" s="38"/>
    </row>
    <row r="931" ht="22.5" customHeight="1">
      <c r="A931" s="36" t="s">
        <v>2546</v>
      </c>
      <c r="B931" s="36" t="s">
        <v>2547</v>
      </c>
      <c r="C931" s="36" t="s">
        <v>1495</v>
      </c>
      <c r="D931" s="36" t="s">
        <v>1496</v>
      </c>
      <c r="E931" s="36" t="s">
        <v>287</v>
      </c>
      <c r="F931" s="36" t="s">
        <v>286</v>
      </c>
      <c r="G931" s="36" t="s">
        <v>411</v>
      </c>
      <c r="H931" s="37">
        <v>0.59</v>
      </c>
      <c r="I931" s="36" t="s">
        <v>1301</v>
      </c>
      <c r="J931" s="39" t="s">
        <v>286</v>
      </c>
      <c r="K931" s="38"/>
      <c r="L931" s="38"/>
    </row>
    <row r="932" ht="22.5" customHeight="1">
      <c r="A932" s="36" t="s">
        <v>2548</v>
      </c>
      <c r="B932" s="36" t="s">
        <v>2549</v>
      </c>
      <c r="C932" s="36" t="s">
        <v>286</v>
      </c>
      <c r="D932" s="36" t="s">
        <v>286</v>
      </c>
      <c r="E932" s="36" t="s">
        <v>287</v>
      </c>
      <c r="F932" s="36" t="s">
        <v>286</v>
      </c>
      <c r="G932" s="36" t="s">
        <v>411</v>
      </c>
      <c r="H932" s="37">
        <v>0.0</v>
      </c>
      <c r="I932" s="36" t="s">
        <v>1301</v>
      </c>
      <c r="J932" s="39" t="s">
        <v>286</v>
      </c>
      <c r="K932" s="38"/>
      <c r="L932" s="38"/>
    </row>
    <row r="933" ht="22.5" customHeight="1">
      <c r="A933" s="36" t="s">
        <v>2550</v>
      </c>
      <c r="B933" s="36" t="s">
        <v>2551</v>
      </c>
      <c r="C933" s="36" t="s">
        <v>1495</v>
      </c>
      <c r="D933" s="36" t="s">
        <v>1496</v>
      </c>
      <c r="E933" s="36" t="s">
        <v>287</v>
      </c>
      <c r="F933" s="36" t="s">
        <v>286</v>
      </c>
      <c r="G933" s="36" t="s">
        <v>411</v>
      </c>
      <c r="H933" s="37">
        <v>0.0</v>
      </c>
      <c r="I933" s="36" t="s">
        <v>1301</v>
      </c>
      <c r="J933" s="39" t="s">
        <v>286</v>
      </c>
      <c r="K933" s="38"/>
      <c r="L933" s="38"/>
    </row>
    <row r="934" ht="22.5" customHeight="1">
      <c r="A934" s="36" t="s">
        <v>2552</v>
      </c>
      <c r="B934" s="36" t="s">
        <v>2553</v>
      </c>
      <c r="C934" s="36" t="s">
        <v>1867</v>
      </c>
      <c r="D934" s="36" t="s">
        <v>1868</v>
      </c>
      <c r="E934" s="36" t="s">
        <v>287</v>
      </c>
      <c r="F934" s="36" t="s">
        <v>286</v>
      </c>
      <c r="G934" s="36" t="s">
        <v>411</v>
      </c>
      <c r="H934" s="37">
        <v>0.0</v>
      </c>
      <c r="I934" s="36" t="s">
        <v>1301</v>
      </c>
      <c r="J934" s="39" t="s">
        <v>286</v>
      </c>
      <c r="K934" s="38"/>
      <c r="L934" s="38"/>
    </row>
    <row r="935" ht="22.5" customHeight="1">
      <c r="A935" s="36" t="s">
        <v>2554</v>
      </c>
      <c r="B935" s="36" t="s">
        <v>2555</v>
      </c>
      <c r="C935" s="36" t="s">
        <v>1495</v>
      </c>
      <c r="D935" s="36" t="s">
        <v>1496</v>
      </c>
      <c r="E935" s="36" t="s">
        <v>287</v>
      </c>
      <c r="F935" s="36" t="s">
        <v>286</v>
      </c>
      <c r="G935" s="36" t="s">
        <v>411</v>
      </c>
      <c r="H935" s="37">
        <v>0.84</v>
      </c>
      <c r="I935" s="36" t="s">
        <v>1301</v>
      </c>
      <c r="J935" s="39" t="s">
        <v>286</v>
      </c>
      <c r="K935" s="38"/>
      <c r="L935" s="38"/>
    </row>
    <row r="936" ht="22.5" customHeight="1">
      <c r="A936" s="36" t="s">
        <v>2556</v>
      </c>
      <c r="B936" s="36" t="s">
        <v>2557</v>
      </c>
      <c r="C936" s="36" t="s">
        <v>1495</v>
      </c>
      <c r="D936" s="36" t="s">
        <v>1496</v>
      </c>
      <c r="E936" s="36" t="s">
        <v>287</v>
      </c>
      <c r="F936" s="36" t="s">
        <v>286</v>
      </c>
      <c r="G936" s="36" t="s">
        <v>411</v>
      </c>
      <c r="H936" s="37">
        <v>1.09</v>
      </c>
      <c r="I936" s="36" t="s">
        <v>1301</v>
      </c>
      <c r="J936" s="39" t="s">
        <v>286</v>
      </c>
      <c r="K936" s="38"/>
      <c r="L936" s="38"/>
    </row>
    <row r="937" ht="22.5" customHeight="1">
      <c r="A937" s="36" t="s">
        <v>2558</v>
      </c>
      <c r="B937" s="36" t="s">
        <v>2559</v>
      </c>
      <c r="C937" s="36" t="s">
        <v>1495</v>
      </c>
      <c r="D937" s="36" t="s">
        <v>1496</v>
      </c>
      <c r="E937" s="36" t="s">
        <v>287</v>
      </c>
      <c r="F937" s="36" t="s">
        <v>286</v>
      </c>
      <c r="G937" s="36" t="s">
        <v>411</v>
      </c>
      <c r="H937" s="37">
        <v>32.64</v>
      </c>
      <c r="I937" s="36" t="s">
        <v>1301</v>
      </c>
      <c r="J937" s="39" t="s">
        <v>2374</v>
      </c>
      <c r="K937" s="38"/>
      <c r="L937" s="38"/>
    </row>
    <row r="938" ht="22.5" customHeight="1">
      <c r="A938" s="36" t="s">
        <v>2560</v>
      </c>
      <c r="B938" s="36" t="s">
        <v>2561</v>
      </c>
      <c r="C938" s="36" t="s">
        <v>1495</v>
      </c>
      <c r="D938" s="36" t="s">
        <v>1496</v>
      </c>
      <c r="E938" s="36" t="s">
        <v>287</v>
      </c>
      <c r="F938" s="36" t="s">
        <v>286</v>
      </c>
      <c r="G938" s="36" t="s">
        <v>411</v>
      </c>
      <c r="H938" s="37">
        <v>15.0</v>
      </c>
      <c r="I938" s="36" t="s">
        <v>1301</v>
      </c>
      <c r="J938" s="39" t="s">
        <v>286</v>
      </c>
      <c r="K938" s="38"/>
      <c r="L938" s="38"/>
    </row>
    <row r="939" ht="22.5" customHeight="1">
      <c r="A939" s="36" t="s">
        <v>2562</v>
      </c>
      <c r="B939" s="36" t="s">
        <v>2563</v>
      </c>
      <c r="C939" s="36" t="s">
        <v>1495</v>
      </c>
      <c r="D939" s="36" t="s">
        <v>1496</v>
      </c>
      <c r="E939" s="36" t="s">
        <v>287</v>
      </c>
      <c r="F939" s="36" t="s">
        <v>286</v>
      </c>
      <c r="G939" s="36" t="s">
        <v>411</v>
      </c>
      <c r="H939" s="37">
        <v>150.0</v>
      </c>
      <c r="I939" s="36" t="s">
        <v>1301</v>
      </c>
      <c r="J939" s="39" t="s">
        <v>286</v>
      </c>
      <c r="K939" s="38"/>
      <c r="L939" s="38"/>
    </row>
    <row r="940" ht="22.5" customHeight="1">
      <c r="A940" s="36" t="s">
        <v>2564</v>
      </c>
      <c r="B940" s="36" t="s">
        <v>2565</v>
      </c>
      <c r="C940" s="36" t="s">
        <v>1495</v>
      </c>
      <c r="D940" s="36" t="s">
        <v>1496</v>
      </c>
      <c r="E940" s="36" t="s">
        <v>287</v>
      </c>
      <c r="F940" s="36" t="s">
        <v>286</v>
      </c>
      <c r="G940" s="36" t="s">
        <v>411</v>
      </c>
      <c r="H940" s="37">
        <v>150.0</v>
      </c>
      <c r="I940" s="36" t="s">
        <v>1301</v>
      </c>
      <c r="J940" s="39" t="s">
        <v>286</v>
      </c>
      <c r="K940" s="38"/>
      <c r="L940" s="38"/>
    </row>
    <row r="941" ht="22.5" customHeight="1">
      <c r="A941" s="36" t="s">
        <v>2566</v>
      </c>
      <c r="B941" s="36" t="s">
        <v>2567</v>
      </c>
      <c r="C941" s="36" t="s">
        <v>1495</v>
      </c>
      <c r="D941" s="36" t="s">
        <v>1496</v>
      </c>
      <c r="E941" s="36" t="s">
        <v>287</v>
      </c>
      <c r="F941" s="36" t="s">
        <v>286</v>
      </c>
      <c r="G941" s="36" t="s">
        <v>411</v>
      </c>
      <c r="H941" s="37">
        <v>19.36</v>
      </c>
      <c r="I941" s="36" t="s">
        <v>1301</v>
      </c>
      <c r="J941" s="39" t="s">
        <v>286</v>
      </c>
      <c r="K941" s="38"/>
      <c r="L941" s="38"/>
    </row>
    <row r="942" ht="22.5" customHeight="1">
      <c r="A942" s="36" t="s">
        <v>2568</v>
      </c>
      <c r="B942" s="36" t="s">
        <v>2569</v>
      </c>
      <c r="C942" s="36" t="s">
        <v>1495</v>
      </c>
      <c r="D942" s="36" t="s">
        <v>1496</v>
      </c>
      <c r="E942" s="36" t="s">
        <v>287</v>
      </c>
      <c r="F942" s="36" t="s">
        <v>286</v>
      </c>
      <c r="G942" s="36" t="s">
        <v>411</v>
      </c>
      <c r="H942" s="37">
        <v>22.01</v>
      </c>
      <c r="I942" s="36" t="s">
        <v>1301</v>
      </c>
      <c r="J942" s="39" t="s">
        <v>286</v>
      </c>
      <c r="K942" s="38"/>
      <c r="L942" s="38"/>
    </row>
    <row r="943" ht="22.5" customHeight="1">
      <c r="A943" s="36" t="s">
        <v>2570</v>
      </c>
      <c r="B943" s="36" t="s">
        <v>2571</v>
      </c>
      <c r="C943" s="36" t="s">
        <v>1495</v>
      </c>
      <c r="D943" s="36" t="s">
        <v>1496</v>
      </c>
      <c r="E943" s="36" t="s">
        <v>287</v>
      </c>
      <c r="F943" s="36" t="s">
        <v>286</v>
      </c>
      <c r="G943" s="36" t="s">
        <v>411</v>
      </c>
      <c r="H943" s="37">
        <v>14.36</v>
      </c>
      <c r="I943" s="36" t="s">
        <v>1301</v>
      </c>
      <c r="J943" s="39" t="s">
        <v>286</v>
      </c>
      <c r="K943" s="38"/>
      <c r="L943" s="38"/>
    </row>
    <row r="944" ht="22.5" customHeight="1">
      <c r="A944" s="36" t="s">
        <v>2572</v>
      </c>
      <c r="B944" s="36" t="s">
        <v>2573</v>
      </c>
      <c r="C944" s="36" t="s">
        <v>1495</v>
      </c>
      <c r="D944" s="36" t="s">
        <v>1496</v>
      </c>
      <c r="E944" s="36" t="s">
        <v>287</v>
      </c>
      <c r="F944" s="36" t="s">
        <v>286</v>
      </c>
      <c r="G944" s="36" t="s">
        <v>411</v>
      </c>
      <c r="H944" s="37">
        <v>25.69</v>
      </c>
      <c r="I944" s="36" t="s">
        <v>1301</v>
      </c>
      <c r="J944" s="39" t="s">
        <v>286</v>
      </c>
      <c r="K944" s="38"/>
      <c r="L944" s="38"/>
    </row>
    <row r="945" ht="22.5" customHeight="1">
      <c r="A945" s="36" t="s">
        <v>2574</v>
      </c>
      <c r="B945" s="36" t="s">
        <v>2575</v>
      </c>
      <c r="C945" s="36" t="s">
        <v>1495</v>
      </c>
      <c r="D945" s="36" t="s">
        <v>1496</v>
      </c>
      <c r="E945" s="36" t="s">
        <v>287</v>
      </c>
      <c r="F945" s="36" t="s">
        <v>286</v>
      </c>
      <c r="G945" s="36" t="s">
        <v>411</v>
      </c>
      <c r="H945" s="37">
        <v>41.37</v>
      </c>
      <c r="I945" s="36" t="s">
        <v>1301</v>
      </c>
      <c r="J945" s="39" t="s">
        <v>286</v>
      </c>
      <c r="K945" s="38"/>
      <c r="L945" s="38"/>
    </row>
    <row r="946" ht="22.5" customHeight="1">
      <c r="A946" s="36" t="s">
        <v>2576</v>
      </c>
      <c r="B946" s="36" t="s">
        <v>2577</v>
      </c>
      <c r="C946" s="36" t="s">
        <v>1495</v>
      </c>
      <c r="D946" s="36" t="s">
        <v>1496</v>
      </c>
      <c r="E946" s="36" t="s">
        <v>287</v>
      </c>
      <c r="F946" s="36" t="s">
        <v>286</v>
      </c>
      <c r="G946" s="36" t="s">
        <v>411</v>
      </c>
      <c r="H946" s="37">
        <v>48.64</v>
      </c>
      <c r="I946" s="36" t="s">
        <v>1301</v>
      </c>
      <c r="J946" s="39" t="s">
        <v>286</v>
      </c>
      <c r="K946" s="38"/>
      <c r="L946" s="38"/>
    </row>
    <row r="947" ht="22.5" customHeight="1">
      <c r="A947" s="36" t="s">
        <v>2578</v>
      </c>
      <c r="B947" s="36" t="s">
        <v>2579</v>
      </c>
      <c r="C947" s="36" t="s">
        <v>1495</v>
      </c>
      <c r="D947" s="36" t="s">
        <v>1496</v>
      </c>
      <c r="E947" s="36" t="s">
        <v>287</v>
      </c>
      <c r="F947" s="36" t="s">
        <v>286</v>
      </c>
      <c r="G947" s="36" t="s">
        <v>411</v>
      </c>
      <c r="H947" s="37">
        <v>61.39</v>
      </c>
      <c r="I947" s="36" t="s">
        <v>1301</v>
      </c>
      <c r="J947" s="39" t="s">
        <v>286</v>
      </c>
      <c r="K947" s="38"/>
      <c r="L947" s="38"/>
    </row>
    <row r="948" ht="22.5" customHeight="1">
      <c r="A948" s="36" t="s">
        <v>2580</v>
      </c>
      <c r="B948" s="36" t="s">
        <v>2581</v>
      </c>
      <c r="C948" s="36" t="s">
        <v>1495</v>
      </c>
      <c r="D948" s="36" t="s">
        <v>1496</v>
      </c>
      <c r="E948" s="36" t="s">
        <v>287</v>
      </c>
      <c r="F948" s="36" t="s">
        <v>286</v>
      </c>
      <c r="G948" s="36" t="s">
        <v>411</v>
      </c>
      <c r="H948" s="37">
        <v>68.0</v>
      </c>
      <c r="I948" s="36" t="s">
        <v>1301</v>
      </c>
      <c r="J948" s="39" t="s">
        <v>286</v>
      </c>
      <c r="K948" s="38"/>
      <c r="L948" s="38"/>
    </row>
    <row r="949" ht="22.5" customHeight="1">
      <c r="A949" s="36" t="s">
        <v>2582</v>
      </c>
      <c r="B949" s="36" t="s">
        <v>2583</v>
      </c>
      <c r="C949" s="36" t="s">
        <v>1495</v>
      </c>
      <c r="D949" s="36" t="s">
        <v>1496</v>
      </c>
      <c r="E949" s="36" t="s">
        <v>287</v>
      </c>
      <c r="F949" s="36" t="s">
        <v>286</v>
      </c>
      <c r="G949" s="36" t="s">
        <v>411</v>
      </c>
      <c r="H949" s="37">
        <v>11.14</v>
      </c>
      <c r="I949" s="36" t="s">
        <v>1301</v>
      </c>
      <c r="J949" s="39" t="s">
        <v>286</v>
      </c>
      <c r="K949" s="38"/>
      <c r="L949" s="38"/>
    </row>
    <row r="950" ht="22.5" customHeight="1">
      <c r="A950" s="36" t="s">
        <v>2584</v>
      </c>
      <c r="B950" s="36" t="s">
        <v>2585</v>
      </c>
      <c r="C950" s="36" t="s">
        <v>1495</v>
      </c>
      <c r="D950" s="36" t="s">
        <v>1496</v>
      </c>
      <c r="E950" s="36" t="s">
        <v>287</v>
      </c>
      <c r="F950" s="36" t="s">
        <v>286</v>
      </c>
      <c r="G950" s="36" t="s">
        <v>411</v>
      </c>
      <c r="H950" s="37">
        <v>24.37</v>
      </c>
      <c r="I950" s="36" t="s">
        <v>1301</v>
      </c>
      <c r="J950" s="39" t="s">
        <v>286</v>
      </c>
      <c r="K950" s="38"/>
      <c r="L950" s="38"/>
    </row>
    <row r="951" ht="22.5" customHeight="1">
      <c r="A951" s="36" t="s">
        <v>2586</v>
      </c>
      <c r="B951" s="36" t="s">
        <v>2587</v>
      </c>
      <c r="C951" s="36" t="s">
        <v>286</v>
      </c>
      <c r="D951" s="36" t="s">
        <v>286</v>
      </c>
      <c r="E951" s="36" t="s">
        <v>287</v>
      </c>
      <c r="F951" s="36" t="s">
        <v>286</v>
      </c>
      <c r="G951" s="36" t="s">
        <v>411</v>
      </c>
      <c r="H951" s="37">
        <v>25.69</v>
      </c>
      <c r="I951" s="36" t="s">
        <v>1301</v>
      </c>
      <c r="J951" s="39" t="s">
        <v>286</v>
      </c>
      <c r="K951" s="38"/>
      <c r="L951" s="38"/>
    </row>
    <row r="952" ht="22.5" customHeight="1">
      <c r="A952" s="36" t="s">
        <v>2588</v>
      </c>
      <c r="B952" s="36" t="s">
        <v>2589</v>
      </c>
      <c r="C952" s="36" t="s">
        <v>1495</v>
      </c>
      <c r="D952" s="36" t="s">
        <v>1496</v>
      </c>
      <c r="E952" s="36" t="s">
        <v>287</v>
      </c>
      <c r="F952" s="36" t="s">
        <v>286</v>
      </c>
      <c r="G952" s="36" t="s">
        <v>411</v>
      </c>
      <c r="H952" s="37">
        <v>25.88</v>
      </c>
      <c r="I952" s="36" t="s">
        <v>1301</v>
      </c>
      <c r="J952" s="39" t="s">
        <v>286</v>
      </c>
      <c r="K952" s="38"/>
      <c r="L952" s="38"/>
    </row>
    <row r="953" ht="22.5" customHeight="1">
      <c r="A953" s="36" t="s">
        <v>2590</v>
      </c>
      <c r="B953" s="36" t="s">
        <v>2591</v>
      </c>
      <c r="C953" s="36" t="s">
        <v>1495</v>
      </c>
      <c r="D953" s="36" t="s">
        <v>1496</v>
      </c>
      <c r="E953" s="36" t="s">
        <v>287</v>
      </c>
      <c r="F953" s="36" t="s">
        <v>286</v>
      </c>
      <c r="G953" s="36" t="s">
        <v>411</v>
      </c>
      <c r="H953" s="37">
        <v>250.0</v>
      </c>
      <c r="I953" s="36" t="s">
        <v>1301</v>
      </c>
      <c r="J953" s="39" t="s">
        <v>286</v>
      </c>
      <c r="K953" s="38"/>
      <c r="L953" s="38"/>
    </row>
    <row r="954" ht="22.5" customHeight="1">
      <c r="A954" s="36" t="s">
        <v>2592</v>
      </c>
      <c r="B954" s="36" t="s">
        <v>2593</v>
      </c>
      <c r="C954" s="36" t="s">
        <v>1495</v>
      </c>
      <c r="D954" s="36" t="s">
        <v>1496</v>
      </c>
      <c r="E954" s="36" t="s">
        <v>287</v>
      </c>
      <c r="F954" s="36" t="s">
        <v>286</v>
      </c>
      <c r="G954" s="36" t="s">
        <v>411</v>
      </c>
      <c r="H954" s="37">
        <v>148.73</v>
      </c>
      <c r="I954" s="36" t="s">
        <v>1301</v>
      </c>
      <c r="J954" s="39" t="s">
        <v>286</v>
      </c>
      <c r="K954" s="38"/>
      <c r="L954" s="38"/>
    </row>
    <row r="955" ht="22.5" customHeight="1">
      <c r="A955" s="36" t="s">
        <v>2594</v>
      </c>
      <c r="B955" s="36" t="s">
        <v>2595</v>
      </c>
      <c r="C955" s="36" t="s">
        <v>1495</v>
      </c>
      <c r="D955" s="36" t="s">
        <v>1496</v>
      </c>
      <c r="E955" s="36" t="s">
        <v>287</v>
      </c>
      <c r="F955" s="36" t="s">
        <v>286</v>
      </c>
      <c r="G955" s="36" t="s">
        <v>411</v>
      </c>
      <c r="H955" s="37">
        <v>51.81</v>
      </c>
      <c r="I955" s="36" t="s">
        <v>1301</v>
      </c>
      <c r="J955" s="39" t="s">
        <v>286</v>
      </c>
      <c r="K955" s="38"/>
      <c r="L955" s="38"/>
    </row>
    <row r="956" ht="22.5" customHeight="1">
      <c r="A956" s="36" t="s">
        <v>2596</v>
      </c>
      <c r="B956" s="36" t="s">
        <v>2597</v>
      </c>
      <c r="C956" s="36" t="s">
        <v>1495</v>
      </c>
      <c r="D956" s="36" t="s">
        <v>1496</v>
      </c>
      <c r="E956" s="36" t="s">
        <v>287</v>
      </c>
      <c r="F956" s="36" t="s">
        <v>286</v>
      </c>
      <c r="G956" s="36" t="s">
        <v>411</v>
      </c>
      <c r="H956" s="37">
        <v>14.98</v>
      </c>
      <c r="I956" s="36" t="s">
        <v>1301</v>
      </c>
      <c r="J956" s="39" t="s">
        <v>286</v>
      </c>
      <c r="K956" s="38"/>
      <c r="L956" s="38"/>
    </row>
    <row r="957" ht="22.5" customHeight="1">
      <c r="A957" s="36" t="s">
        <v>2598</v>
      </c>
      <c r="B957" s="36" t="s">
        <v>2599</v>
      </c>
      <c r="C957" s="36" t="s">
        <v>1495</v>
      </c>
      <c r="D957" s="36" t="s">
        <v>1496</v>
      </c>
      <c r="E957" s="36" t="s">
        <v>287</v>
      </c>
      <c r="F957" s="36" t="s">
        <v>286</v>
      </c>
      <c r="G957" s="36" t="s">
        <v>411</v>
      </c>
      <c r="H957" s="37">
        <v>8.84</v>
      </c>
      <c r="I957" s="36" t="s">
        <v>1301</v>
      </c>
      <c r="J957" s="39" t="s">
        <v>286</v>
      </c>
      <c r="K957" s="38"/>
      <c r="L957" s="38"/>
    </row>
    <row r="958" ht="22.5" customHeight="1">
      <c r="A958" s="36" t="s">
        <v>2600</v>
      </c>
      <c r="B958" s="36" t="s">
        <v>2601</v>
      </c>
      <c r="C958" s="36" t="s">
        <v>1495</v>
      </c>
      <c r="D958" s="36" t="s">
        <v>1496</v>
      </c>
      <c r="E958" s="36" t="s">
        <v>287</v>
      </c>
      <c r="F958" s="36" t="s">
        <v>286</v>
      </c>
      <c r="G958" s="36" t="s">
        <v>411</v>
      </c>
      <c r="H958" s="37">
        <v>16.24</v>
      </c>
      <c r="I958" s="36" t="s">
        <v>1301</v>
      </c>
      <c r="J958" s="39" t="s">
        <v>286</v>
      </c>
      <c r="K958" s="38"/>
      <c r="L958" s="38"/>
    </row>
    <row r="959" ht="22.5" customHeight="1">
      <c r="A959" s="36" t="s">
        <v>2602</v>
      </c>
      <c r="B959" s="36" t="s">
        <v>2603</v>
      </c>
      <c r="C959" s="36" t="s">
        <v>1495</v>
      </c>
      <c r="D959" s="36" t="s">
        <v>1496</v>
      </c>
      <c r="E959" s="36" t="s">
        <v>287</v>
      </c>
      <c r="F959" s="36" t="s">
        <v>286</v>
      </c>
      <c r="G959" s="36" t="s">
        <v>411</v>
      </c>
      <c r="H959" s="37">
        <v>19.8</v>
      </c>
      <c r="I959" s="36" t="s">
        <v>1301</v>
      </c>
      <c r="J959" s="39" t="s">
        <v>286</v>
      </c>
      <c r="K959" s="38"/>
      <c r="L959" s="38"/>
    </row>
    <row r="960" ht="22.5" customHeight="1">
      <c r="A960" s="36" t="s">
        <v>2604</v>
      </c>
      <c r="B960" s="36" t="s">
        <v>2605</v>
      </c>
      <c r="C960" s="36" t="s">
        <v>1495</v>
      </c>
      <c r="D960" s="36" t="s">
        <v>1496</v>
      </c>
      <c r="E960" s="36" t="s">
        <v>287</v>
      </c>
      <c r="F960" s="36" t="s">
        <v>286</v>
      </c>
      <c r="G960" s="36" t="s">
        <v>411</v>
      </c>
      <c r="H960" s="37">
        <v>14.98</v>
      </c>
      <c r="I960" s="36" t="s">
        <v>1301</v>
      </c>
      <c r="J960" s="39" t="s">
        <v>286</v>
      </c>
      <c r="K960" s="38"/>
      <c r="L960" s="38"/>
    </row>
    <row r="961" ht="22.5" customHeight="1">
      <c r="A961" s="36" t="s">
        <v>2606</v>
      </c>
      <c r="B961" s="36" t="s">
        <v>2607</v>
      </c>
      <c r="C961" s="36" t="s">
        <v>1495</v>
      </c>
      <c r="D961" s="36" t="s">
        <v>1496</v>
      </c>
      <c r="E961" s="36" t="s">
        <v>287</v>
      </c>
      <c r="F961" s="36" t="s">
        <v>286</v>
      </c>
      <c r="G961" s="36" t="s">
        <v>411</v>
      </c>
      <c r="H961" s="37">
        <v>161.5</v>
      </c>
      <c r="I961" s="36" t="s">
        <v>1301</v>
      </c>
      <c r="J961" s="39" t="s">
        <v>286</v>
      </c>
      <c r="K961" s="38"/>
      <c r="L961" s="38"/>
    </row>
    <row r="962" ht="22.5" customHeight="1">
      <c r="A962" s="36" t="s">
        <v>2608</v>
      </c>
      <c r="B962" s="36" t="s">
        <v>2609</v>
      </c>
      <c r="C962" s="36" t="s">
        <v>1495</v>
      </c>
      <c r="D962" s="36" t="s">
        <v>1496</v>
      </c>
      <c r="E962" s="36" t="s">
        <v>287</v>
      </c>
      <c r="F962" s="36" t="s">
        <v>286</v>
      </c>
      <c r="G962" s="36" t="s">
        <v>411</v>
      </c>
      <c r="H962" s="37">
        <v>76.21</v>
      </c>
      <c r="I962" s="36" t="s">
        <v>1301</v>
      </c>
      <c r="J962" s="39" t="s">
        <v>286</v>
      </c>
      <c r="K962" s="38"/>
      <c r="L962" s="38"/>
    </row>
    <row r="963" ht="22.5" customHeight="1">
      <c r="A963" s="36" t="s">
        <v>2610</v>
      </c>
      <c r="B963" s="36" t="s">
        <v>2611</v>
      </c>
      <c r="C963" s="36" t="s">
        <v>1495</v>
      </c>
      <c r="D963" s="36" t="s">
        <v>1496</v>
      </c>
      <c r="E963" s="36" t="s">
        <v>287</v>
      </c>
      <c r="F963" s="36" t="s">
        <v>286</v>
      </c>
      <c r="G963" s="36" t="s">
        <v>411</v>
      </c>
      <c r="H963" s="37">
        <v>43.73</v>
      </c>
      <c r="I963" s="36" t="s">
        <v>1301</v>
      </c>
      <c r="J963" s="39" t="s">
        <v>286</v>
      </c>
      <c r="K963" s="38"/>
      <c r="L963" s="38"/>
    </row>
    <row r="964" ht="22.5" customHeight="1">
      <c r="A964" s="36" t="s">
        <v>2612</v>
      </c>
      <c r="B964" s="36" t="s">
        <v>2613</v>
      </c>
      <c r="C964" s="36" t="s">
        <v>1495</v>
      </c>
      <c r="D964" s="36" t="s">
        <v>1496</v>
      </c>
      <c r="E964" s="36" t="s">
        <v>287</v>
      </c>
      <c r="F964" s="36" t="s">
        <v>286</v>
      </c>
      <c r="G964" s="36" t="s">
        <v>411</v>
      </c>
      <c r="H964" s="37">
        <v>11.4</v>
      </c>
      <c r="I964" s="36" t="s">
        <v>1301</v>
      </c>
      <c r="J964" s="39" t="s">
        <v>286</v>
      </c>
      <c r="K964" s="38"/>
      <c r="L964" s="38"/>
    </row>
    <row r="965" ht="22.5" customHeight="1">
      <c r="A965" s="36" t="s">
        <v>2614</v>
      </c>
      <c r="B965" s="36" t="s">
        <v>2615</v>
      </c>
      <c r="C965" s="36" t="s">
        <v>1495</v>
      </c>
      <c r="D965" s="36" t="s">
        <v>1496</v>
      </c>
      <c r="E965" s="36" t="s">
        <v>287</v>
      </c>
      <c r="F965" s="36" t="s">
        <v>286</v>
      </c>
      <c r="G965" s="36" t="s">
        <v>411</v>
      </c>
      <c r="H965" s="37">
        <v>69.32</v>
      </c>
      <c r="I965" s="36" t="s">
        <v>1301</v>
      </c>
      <c r="J965" s="39" t="s">
        <v>286</v>
      </c>
      <c r="K965" s="38"/>
      <c r="L965" s="38"/>
    </row>
    <row r="966" ht="22.5" customHeight="1">
      <c r="A966" s="36" t="s">
        <v>2616</v>
      </c>
      <c r="B966" s="36" t="s">
        <v>2617</v>
      </c>
      <c r="C966" s="36" t="s">
        <v>1495</v>
      </c>
      <c r="D966" s="36" t="s">
        <v>1496</v>
      </c>
      <c r="E966" s="36" t="s">
        <v>287</v>
      </c>
      <c r="F966" s="36" t="s">
        <v>286</v>
      </c>
      <c r="G966" s="36" t="s">
        <v>411</v>
      </c>
      <c r="H966" s="37">
        <v>5.24</v>
      </c>
      <c r="I966" s="36" t="s">
        <v>1301</v>
      </c>
      <c r="J966" s="39" t="s">
        <v>286</v>
      </c>
      <c r="K966" s="38"/>
      <c r="L966" s="38"/>
    </row>
    <row r="967" ht="22.5" customHeight="1">
      <c r="A967" s="36" t="s">
        <v>2618</v>
      </c>
      <c r="B967" s="36" t="s">
        <v>2619</v>
      </c>
      <c r="C967" s="36" t="s">
        <v>1495</v>
      </c>
      <c r="D967" s="36" t="s">
        <v>1496</v>
      </c>
      <c r="E967" s="36" t="s">
        <v>287</v>
      </c>
      <c r="F967" s="36" t="s">
        <v>286</v>
      </c>
      <c r="G967" s="36" t="s">
        <v>411</v>
      </c>
      <c r="H967" s="37">
        <v>69.32</v>
      </c>
      <c r="I967" s="36" t="s">
        <v>1301</v>
      </c>
      <c r="J967" s="39" t="s">
        <v>286</v>
      </c>
      <c r="K967" s="38"/>
      <c r="L967" s="38"/>
    </row>
    <row r="968" ht="22.5" customHeight="1">
      <c r="A968" s="36" t="s">
        <v>2620</v>
      </c>
      <c r="B968" s="36" t="s">
        <v>2621</v>
      </c>
      <c r="C968" s="36" t="s">
        <v>1495</v>
      </c>
      <c r="D968" s="36" t="s">
        <v>1496</v>
      </c>
      <c r="E968" s="36" t="s">
        <v>287</v>
      </c>
      <c r="F968" s="36" t="s">
        <v>286</v>
      </c>
      <c r="G968" s="36" t="s">
        <v>411</v>
      </c>
      <c r="H968" s="37">
        <v>75.33</v>
      </c>
      <c r="I968" s="36" t="s">
        <v>1301</v>
      </c>
      <c r="J968" s="39" t="s">
        <v>286</v>
      </c>
      <c r="K968" s="38"/>
      <c r="L968" s="38"/>
    </row>
    <row r="969" ht="22.5" customHeight="1">
      <c r="A969" s="36" t="s">
        <v>2622</v>
      </c>
      <c r="B969" s="36" t="s">
        <v>2623</v>
      </c>
      <c r="C969" s="36" t="s">
        <v>1495</v>
      </c>
      <c r="D969" s="36" t="s">
        <v>1496</v>
      </c>
      <c r="E969" s="36" t="s">
        <v>287</v>
      </c>
      <c r="F969" s="36" t="s">
        <v>286</v>
      </c>
      <c r="G969" s="36" t="s">
        <v>411</v>
      </c>
      <c r="H969" s="37">
        <v>8.73</v>
      </c>
      <c r="I969" s="36" t="s">
        <v>1301</v>
      </c>
      <c r="J969" s="39" t="s">
        <v>286</v>
      </c>
      <c r="K969" s="38"/>
      <c r="L969" s="38"/>
    </row>
    <row r="970" ht="22.5" customHeight="1">
      <c r="A970" s="36" t="s">
        <v>2624</v>
      </c>
      <c r="B970" s="36" t="s">
        <v>2625</v>
      </c>
      <c r="C970" s="36" t="s">
        <v>1495</v>
      </c>
      <c r="D970" s="36" t="s">
        <v>1496</v>
      </c>
      <c r="E970" s="36" t="s">
        <v>287</v>
      </c>
      <c r="F970" s="36" t="s">
        <v>286</v>
      </c>
      <c r="G970" s="36" t="s">
        <v>411</v>
      </c>
      <c r="H970" s="37">
        <v>9.24</v>
      </c>
      <c r="I970" s="36" t="s">
        <v>1301</v>
      </c>
      <c r="J970" s="39" t="s">
        <v>286</v>
      </c>
      <c r="K970" s="38"/>
      <c r="L970" s="38"/>
    </row>
    <row r="971" ht="22.5" customHeight="1">
      <c r="A971" s="36" t="s">
        <v>2626</v>
      </c>
      <c r="B971" s="36" t="s">
        <v>2627</v>
      </c>
      <c r="C971" s="36" t="s">
        <v>1495</v>
      </c>
      <c r="D971" s="36" t="s">
        <v>1496</v>
      </c>
      <c r="E971" s="36" t="s">
        <v>287</v>
      </c>
      <c r="F971" s="36" t="s">
        <v>286</v>
      </c>
      <c r="G971" s="36" t="s">
        <v>411</v>
      </c>
      <c r="H971" s="37">
        <v>11.28</v>
      </c>
      <c r="I971" s="36" t="s">
        <v>1301</v>
      </c>
      <c r="J971" s="39" t="s">
        <v>286</v>
      </c>
      <c r="K971" s="38"/>
      <c r="L971" s="38"/>
    </row>
    <row r="972" ht="22.5" customHeight="1">
      <c r="A972" s="36" t="s">
        <v>2628</v>
      </c>
      <c r="B972" s="36" t="s">
        <v>2629</v>
      </c>
      <c r="C972" s="36" t="s">
        <v>1495</v>
      </c>
      <c r="D972" s="36" t="s">
        <v>1496</v>
      </c>
      <c r="E972" s="36" t="s">
        <v>287</v>
      </c>
      <c r="F972" s="36" t="s">
        <v>286</v>
      </c>
      <c r="G972" s="36" t="s">
        <v>411</v>
      </c>
      <c r="H972" s="37">
        <v>20.06</v>
      </c>
      <c r="I972" s="36" t="s">
        <v>1301</v>
      </c>
      <c r="J972" s="39" t="s">
        <v>286</v>
      </c>
      <c r="K972" s="38"/>
      <c r="L972" s="38"/>
    </row>
    <row r="973" ht="22.5" customHeight="1">
      <c r="A973" s="36" t="s">
        <v>2630</v>
      </c>
      <c r="B973" s="36" t="s">
        <v>2631</v>
      </c>
      <c r="C973" s="36" t="s">
        <v>1495</v>
      </c>
      <c r="D973" s="36" t="s">
        <v>1496</v>
      </c>
      <c r="E973" s="36" t="s">
        <v>287</v>
      </c>
      <c r="F973" s="36" t="s">
        <v>286</v>
      </c>
      <c r="G973" s="36" t="s">
        <v>411</v>
      </c>
      <c r="H973" s="37">
        <v>20.41</v>
      </c>
      <c r="I973" s="36" t="s">
        <v>1301</v>
      </c>
      <c r="J973" s="39" t="s">
        <v>286</v>
      </c>
      <c r="K973" s="38"/>
      <c r="L973" s="38"/>
    </row>
    <row r="974" ht="22.5" customHeight="1">
      <c r="A974" s="36" t="s">
        <v>2632</v>
      </c>
      <c r="B974" s="36" t="s">
        <v>2633</v>
      </c>
      <c r="C974" s="36" t="s">
        <v>1495</v>
      </c>
      <c r="D974" s="36" t="s">
        <v>1496</v>
      </c>
      <c r="E974" s="36" t="s">
        <v>287</v>
      </c>
      <c r="F974" s="36" t="s">
        <v>286</v>
      </c>
      <c r="G974" s="36" t="s">
        <v>411</v>
      </c>
      <c r="H974" s="37">
        <v>65.0</v>
      </c>
      <c r="I974" s="36" t="s">
        <v>1301</v>
      </c>
      <c r="J974" s="39" t="s">
        <v>286</v>
      </c>
      <c r="K974" s="38"/>
      <c r="L974" s="38"/>
    </row>
    <row r="975" ht="22.5" customHeight="1">
      <c r="A975" s="36" t="s">
        <v>2634</v>
      </c>
      <c r="B975" s="36" t="s">
        <v>2635</v>
      </c>
      <c r="C975" s="36" t="s">
        <v>1495</v>
      </c>
      <c r="D975" s="36" t="s">
        <v>1496</v>
      </c>
      <c r="E975" s="36" t="s">
        <v>287</v>
      </c>
      <c r="F975" s="36" t="s">
        <v>286</v>
      </c>
      <c r="G975" s="36" t="s">
        <v>411</v>
      </c>
      <c r="H975" s="37">
        <v>54.33</v>
      </c>
      <c r="I975" s="36" t="s">
        <v>1301</v>
      </c>
      <c r="J975" s="39" t="s">
        <v>286</v>
      </c>
      <c r="K975" s="38"/>
      <c r="L975" s="38"/>
    </row>
    <row r="976" ht="22.5" customHeight="1">
      <c r="A976" s="36" t="s">
        <v>2636</v>
      </c>
      <c r="B976" s="36" t="s">
        <v>2637</v>
      </c>
      <c r="C976" s="36" t="s">
        <v>1495</v>
      </c>
      <c r="D976" s="36" t="s">
        <v>1496</v>
      </c>
      <c r="E976" s="36" t="s">
        <v>287</v>
      </c>
      <c r="F976" s="36" t="s">
        <v>286</v>
      </c>
      <c r="G976" s="36" t="s">
        <v>411</v>
      </c>
      <c r="H976" s="37">
        <v>69.17</v>
      </c>
      <c r="I976" s="36" t="s">
        <v>1301</v>
      </c>
      <c r="J976" s="39" t="s">
        <v>286</v>
      </c>
      <c r="K976" s="38"/>
      <c r="L976" s="38"/>
    </row>
    <row r="977" ht="22.5" customHeight="1">
      <c r="A977" s="36" t="s">
        <v>2638</v>
      </c>
      <c r="B977" s="36" t="s">
        <v>2639</v>
      </c>
      <c r="C977" s="36" t="s">
        <v>1495</v>
      </c>
      <c r="D977" s="36" t="s">
        <v>1496</v>
      </c>
      <c r="E977" s="36" t="s">
        <v>287</v>
      </c>
      <c r="F977" s="36" t="s">
        <v>286</v>
      </c>
      <c r="G977" s="36" t="s">
        <v>411</v>
      </c>
      <c r="H977" s="37">
        <v>8.9</v>
      </c>
      <c r="I977" s="36" t="s">
        <v>1301</v>
      </c>
      <c r="J977" s="39" t="s">
        <v>286</v>
      </c>
      <c r="K977" s="38"/>
      <c r="L977" s="38"/>
    </row>
    <row r="978" ht="22.5" customHeight="1">
      <c r="A978" s="36" t="s">
        <v>2640</v>
      </c>
      <c r="B978" s="36" t="s">
        <v>2641</v>
      </c>
      <c r="C978" s="36" t="s">
        <v>1495</v>
      </c>
      <c r="D978" s="36" t="s">
        <v>1496</v>
      </c>
      <c r="E978" s="36" t="s">
        <v>287</v>
      </c>
      <c r="F978" s="36" t="s">
        <v>286</v>
      </c>
      <c r="G978" s="36" t="s">
        <v>411</v>
      </c>
      <c r="H978" s="37">
        <v>46.38</v>
      </c>
      <c r="I978" s="36" t="s">
        <v>1301</v>
      </c>
      <c r="J978" s="39" t="s">
        <v>286</v>
      </c>
      <c r="K978" s="38"/>
      <c r="L978" s="38"/>
    </row>
    <row r="979" ht="22.5" customHeight="1">
      <c r="A979" s="36" t="s">
        <v>2642</v>
      </c>
      <c r="B979" s="36" t="s">
        <v>2643</v>
      </c>
      <c r="C979" s="36" t="s">
        <v>1495</v>
      </c>
      <c r="D979" s="36" t="s">
        <v>1496</v>
      </c>
      <c r="E979" s="36" t="s">
        <v>287</v>
      </c>
      <c r="F979" s="36" t="s">
        <v>286</v>
      </c>
      <c r="G979" s="36" t="s">
        <v>411</v>
      </c>
      <c r="H979" s="37">
        <v>52.56</v>
      </c>
      <c r="I979" s="36" t="s">
        <v>1301</v>
      </c>
      <c r="J979" s="39" t="s">
        <v>286</v>
      </c>
      <c r="K979" s="38"/>
      <c r="L979" s="38"/>
    </row>
    <row r="980" ht="22.5" customHeight="1">
      <c r="A980" s="36" t="s">
        <v>2644</v>
      </c>
      <c r="B980" s="36" t="s">
        <v>2645</v>
      </c>
      <c r="C980" s="36" t="s">
        <v>1495</v>
      </c>
      <c r="D980" s="36" t="s">
        <v>1496</v>
      </c>
      <c r="E980" s="36" t="s">
        <v>287</v>
      </c>
      <c r="F980" s="36" t="s">
        <v>286</v>
      </c>
      <c r="G980" s="36" t="s">
        <v>411</v>
      </c>
      <c r="H980" s="37">
        <v>0.0</v>
      </c>
      <c r="I980" s="36" t="s">
        <v>1301</v>
      </c>
      <c r="J980" s="39" t="s">
        <v>286</v>
      </c>
      <c r="K980" s="38"/>
      <c r="L980" s="38"/>
    </row>
    <row r="981" ht="22.5" customHeight="1">
      <c r="A981" s="36" t="s">
        <v>2646</v>
      </c>
      <c r="B981" s="36" t="s">
        <v>2647</v>
      </c>
      <c r="C981" s="36" t="s">
        <v>1495</v>
      </c>
      <c r="D981" s="36" t="s">
        <v>1496</v>
      </c>
      <c r="E981" s="36" t="s">
        <v>287</v>
      </c>
      <c r="F981" s="36" t="s">
        <v>286</v>
      </c>
      <c r="G981" s="36" t="s">
        <v>411</v>
      </c>
      <c r="H981" s="37">
        <v>131.72</v>
      </c>
      <c r="I981" s="36" t="s">
        <v>1301</v>
      </c>
      <c r="J981" s="39" t="s">
        <v>286</v>
      </c>
      <c r="K981" s="38"/>
      <c r="L981" s="38"/>
    </row>
    <row r="982" ht="22.5" customHeight="1">
      <c r="A982" s="36" t="s">
        <v>2648</v>
      </c>
      <c r="B982" s="36" t="s">
        <v>2649</v>
      </c>
      <c r="C982" s="36" t="s">
        <v>1495</v>
      </c>
      <c r="D982" s="36" t="s">
        <v>1496</v>
      </c>
      <c r="E982" s="36" t="s">
        <v>287</v>
      </c>
      <c r="F982" s="36" t="s">
        <v>286</v>
      </c>
      <c r="G982" s="36" t="s">
        <v>411</v>
      </c>
      <c r="H982" s="37">
        <v>36.52</v>
      </c>
      <c r="I982" s="36" t="s">
        <v>1301</v>
      </c>
      <c r="J982" s="39" t="s">
        <v>286</v>
      </c>
      <c r="K982" s="38"/>
      <c r="L982" s="38"/>
    </row>
    <row r="983" ht="22.5" customHeight="1">
      <c r="A983" s="36" t="s">
        <v>2650</v>
      </c>
      <c r="B983" s="36" t="s">
        <v>2651</v>
      </c>
      <c r="C983" s="36" t="s">
        <v>1495</v>
      </c>
      <c r="D983" s="36" t="s">
        <v>1496</v>
      </c>
      <c r="E983" s="36" t="s">
        <v>287</v>
      </c>
      <c r="F983" s="36" t="s">
        <v>286</v>
      </c>
      <c r="G983" s="36" t="s">
        <v>411</v>
      </c>
      <c r="H983" s="37">
        <v>72.85</v>
      </c>
      <c r="I983" s="36" t="s">
        <v>1301</v>
      </c>
      <c r="J983" s="39" t="s">
        <v>286</v>
      </c>
      <c r="K983" s="38"/>
      <c r="L983" s="38"/>
    </row>
    <row r="984" ht="22.5" customHeight="1">
      <c r="A984" s="36" t="s">
        <v>2652</v>
      </c>
      <c r="B984" s="36" t="s">
        <v>2653</v>
      </c>
      <c r="C984" s="36" t="s">
        <v>1495</v>
      </c>
      <c r="D984" s="36" t="s">
        <v>1496</v>
      </c>
      <c r="E984" s="36" t="s">
        <v>287</v>
      </c>
      <c r="F984" s="36" t="s">
        <v>286</v>
      </c>
      <c r="G984" s="36" t="s">
        <v>411</v>
      </c>
      <c r="H984" s="37">
        <v>25.33</v>
      </c>
      <c r="I984" s="36" t="s">
        <v>1301</v>
      </c>
      <c r="J984" s="39" t="s">
        <v>286</v>
      </c>
      <c r="K984" s="38"/>
      <c r="L984" s="38"/>
    </row>
    <row r="985" ht="22.5" customHeight="1">
      <c r="A985" s="36" t="s">
        <v>2654</v>
      </c>
      <c r="B985" s="36" t="s">
        <v>2655</v>
      </c>
      <c r="C985" s="36" t="s">
        <v>1495</v>
      </c>
      <c r="D985" s="36" t="s">
        <v>1496</v>
      </c>
      <c r="E985" s="36" t="s">
        <v>287</v>
      </c>
      <c r="F985" s="36" t="s">
        <v>286</v>
      </c>
      <c r="G985" s="36" t="s">
        <v>411</v>
      </c>
      <c r="H985" s="37">
        <v>13.56</v>
      </c>
      <c r="I985" s="36" t="s">
        <v>1301</v>
      </c>
      <c r="J985" s="39" t="s">
        <v>286</v>
      </c>
      <c r="K985" s="38"/>
      <c r="L985" s="38"/>
    </row>
    <row r="986" ht="22.5" customHeight="1">
      <c r="A986" s="36" t="s">
        <v>2656</v>
      </c>
      <c r="B986" s="36" t="s">
        <v>2657</v>
      </c>
      <c r="C986" s="36" t="s">
        <v>1495</v>
      </c>
      <c r="D986" s="36" t="s">
        <v>1496</v>
      </c>
      <c r="E986" s="36" t="s">
        <v>287</v>
      </c>
      <c r="F986" s="36" t="s">
        <v>286</v>
      </c>
      <c r="G986" s="36" t="s">
        <v>411</v>
      </c>
      <c r="H986" s="37">
        <v>45.57</v>
      </c>
      <c r="I986" s="36" t="s">
        <v>1301</v>
      </c>
      <c r="J986" s="39" t="s">
        <v>286</v>
      </c>
      <c r="K986" s="38"/>
      <c r="L986" s="38"/>
    </row>
    <row r="987" ht="22.5" customHeight="1">
      <c r="A987" s="36" t="s">
        <v>2658</v>
      </c>
      <c r="B987" s="36" t="s">
        <v>2659</v>
      </c>
      <c r="C987" s="36" t="s">
        <v>1495</v>
      </c>
      <c r="D987" s="36" t="s">
        <v>1496</v>
      </c>
      <c r="E987" s="36" t="s">
        <v>287</v>
      </c>
      <c r="F987" s="36" t="s">
        <v>286</v>
      </c>
      <c r="G987" s="36" t="s">
        <v>411</v>
      </c>
      <c r="H987" s="37">
        <v>131.64</v>
      </c>
      <c r="I987" s="36" t="s">
        <v>1301</v>
      </c>
      <c r="J987" s="39" t="s">
        <v>286</v>
      </c>
      <c r="K987" s="38"/>
      <c r="L987" s="38"/>
    </row>
    <row r="988" ht="22.5" customHeight="1">
      <c r="A988" s="36" t="s">
        <v>2660</v>
      </c>
      <c r="B988" s="36" t="s">
        <v>2661</v>
      </c>
      <c r="C988" s="36" t="s">
        <v>1495</v>
      </c>
      <c r="D988" s="36" t="s">
        <v>1496</v>
      </c>
      <c r="E988" s="36" t="s">
        <v>287</v>
      </c>
      <c r="F988" s="36" t="s">
        <v>286</v>
      </c>
      <c r="G988" s="36" t="s">
        <v>411</v>
      </c>
      <c r="H988" s="37">
        <v>57.6</v>
      </c>
      <c r="I988" s="36" t="s">
        <v>1301</v>
      </c>
      <c r="J988" s="39" t="s">
        <v>286</v>
      </c>
      <c r="K988" s="38"/>
      <c r="L988" s="38"/>
    </row>
    <row r="989" ht="22.5" customHeight="1">
      <c r="A989" s="36" t="s">
        <v>2662</v>
      </c>
      <c r="B989" s="36" t="s">
        <v>2663</v>
      </c>
      <c r="C989" s="36" t="s">
        <v>1495</v>
      </c>
      <c r="D989" s="36" t="s">
        <v>1496</v>
      </c>
      <c r="E989" s="36" t="s">
        <v>287</v>
      </c>
      <c r="F989" s="36" t="s">
        <v>286</v>
      </c>
      <c r="G989" s="36" t="s">
        <v>411</v>
      </c>
      <c r="H989" s="37">
        <v>9.32</v>
      </c>
      <c r="I989" s="36" t="s">
        <v>1301</v>
      </c>
      <c r="J989" s="39" t="s">
        <v>286</v>
      </c>
      <c r="K989" s="38"/>
      <c r="L989" s="38"/>
    </row>
    <row r="990" ht="22.5" customHeight="1">
      <c r="A990" s="36" t="s">
        <v>2664</v>
      </c>
      <c r="B990" s="36" t="s">
        <v>2665</v>
      </c>
      <c r="C990" s="36" t="s">
        <v>1495</v>
      </c>
      <c r="D990" s="36" t="s">
        <v>1496</v>
      </c>
      <c r="E990" s="36" t="s">
        <v>287</v>
      </c>
      <c r="F990" s="36" t="s">
        <v>286</v>
      </c>
      <c r="G990" s="36" t="s">
        <v>411</v>
      </c>
      <c r="H990" s="37">
        <v>29.95</v>
      </c>
      <c r="I990" s="36" t="s">
        <v>1301</v>
      </c>
      <c r="J990" s="39" t="s">
        <v>286</v>
      </c>
      <c r="K990" s="38"/>
      <c r="L990" s="38"/>
    </row>
    <row r="991" ht="22.5" customHeight="1">
      <c r="A991" s="36" t="s">
        <v>2666</v>
      </c>
      <c r="B991" s="36" t="s">
        <v>2667</v>
      </c>
      <c r="C991" s="36" t="s">
        <v>1495</v>
      </c>
      <c r="D991" s="36" t="s">
        <v>1496</v>
      </c>
      <c r="E991" s="36" t="s">
        <v>287</v>
      </c>
      <c r="F991" s="36" t="s">
        <v>286</v>
      </c>
      <c r="G991" s="36" t="s">
        <v>411</v>
      </c>
      <c r="H991" s="37">
        <v>55.29</v>
      </c>
      <c r="I991" s="36" t="s">
        <v>1301</v>
      </c>
      <c r="J991" s="39" t="s">
        <v>286</v>
      </c>
      <c r="K991" s="38"/>
      <c r="L991" s="38"/>
    </row>
    <row r="992" ht="22.5" customHeight="1">
      <c r="A992" s="36" t="s">
        <v>2668</v>
      </c>
      <c r="B992" s="36" t="s">
        <v>2669</v>
      </c>
      <c r="C992" s="36" t="s">
        <v>1495</v>
      </c>
      <c r="D992" s="36" t="s">
        <v>1496</v>
      </c>
      <c r="E992" s="36" t="s">
        <v>287</v>
      </c>
      <c r="F992" s="36" t="s">
        <v>286</v>
      </c>
      <c r="G992" s="36" t="s">
        <v>411</v>
      </c>
      <c r="H992" s="37">
        <v>418.89</v>
      </c>
      <c r="I992" s="36" t="s">
        <v>1301</v>
      </c>
      <c r="J992" s="39" t="s">
        <v>286</v>
      </c>
      <c r="K992" s="38"/>
      <c r="L992" s="38"/>
    </row>
    <row r="993" ht="22.5" customHeight="1">
      <c r="A993" s="36" t="s">
        <v>2670</v>
      </c>
      <c r="B993" s="36" t="s">
        <v>2671</v>
      </c>
      <c r="C993" s="36" t="s">
        <v>1495</v>
      </c>
      <c r="D993" s="36" t="s">
        <v>1496</v>
      </c>
      <c r="E993" s="36" t="s">
        <v>287</v>
      </c>
      <c r="F993" s="36" t="s">
        <v>286</v>
      </c>
      <c r="G993" s="36" t="s">
        <v>411</v>
      </c>
      <c r="H993" s="37">
        <v>32.92</v>
      </c>
      <c r="I993" s="36" t="s">
        <v>1301</v>
      </c>
      <c r="J993" s="39" t="s">
        <v>286</v>
      </c>
      <c r="K993" s="38"/>
      <c r="L993" s="38"/>
    </row>
    <row r="994" ht="22.5" customHeight="1">
      <c r="A994" s="36" t="s">
        <v>2672</v>
      </c>
      <c r="B994" s="36" t="s">
        <v>2673</v>
      </c>
      <c r="C994" s="36" t="s">
        <v>1495</v>
      </c>
      <c r="D994" s="36" t="s">
        <v>1496</v>
      </c>
      <c r="E994" s="36" t="s">
        <v>287</v>
      </c>
      <c r="F994" s="36" t="s">
        <v>286</v>
      </c>
      <c r="G994" s="36" t="s">
        <v>411</v>
      </c>
      <c r="H994" s="37">
        <v>146.5</v>
      </c>
      <c r="I994" s="36" t="s">
        <v>1301</v>
      </c>
      <c r="J994" s="39" t="s">
        <v>286</v>
      </c>
      <c r="K994" s="38"/>
      <c r="L994" s="38"/>
    </row>
    <row r="995" ht="22.5" customHeight="1">
      <c r="A995" s="36" t="s">
        <v>2674</v>
      </c>
      <c r="B995" s="36" t="s">
        <v>2675</v>
      </c>
      <c r="C995" s="36" t="s">
        <v>1495</v>
      </c>
      <c r="D995" s="36" t="s">
        <v>1496</v>
      </c>
      <c r="E995" s="36" t="s">
        <v>287</v>
      </c>
      <c r="F995" s="36" t="s">
        <v>286</v>
      </c>
      <c r="G995" s="36" t="s">
        <v>411</v>
      </c>
      <c r="H995" s="37">
        <v>66.08</v>
      </c>
      <c r="I995" s="36" t="s">
        <v>1301</v>
      </c>
      <c r="J995" s="39" t="s">
        <v>286</v>
      </c>
      <c r="K995" s="38"/>
      <c r="L995" s="38"/>
    </row>
    <row r="996" ht="22.5" customHeight="1">
      <c r="A996" s="36" t="s">
        <v>2676</v>
      </c>
      <c r="B996" s="36" t="s">
        <v>2677</v>
      </c>
      <c r="C996" s="36" t="s">
        <v>1495</v>
      </c>
      <c r="D996" s="36" t="s">
        <v>1496</v>
      </c>
      <c r="E996" s="36" t="s">
        <v>287</v>
      </c>
      <c r="F996" s="36" t="s">
        <v>286</v>
      </c>
      <c r="G996" s="36" t="s">
        <v>411</v>
      </c>
      <c r="H996" s="37">
        <v>1.11</v>
      </c>
      <c r="I996" s="36" t="s">
        <v>1301</v>
      </c>
      <c r="J996" s="39" t="s">
        <v>286</v>
      </c>
      <c r="K996" s="38"/>
      <c r="L996" s="38"/>
    </row>
    <row r="997" ht="22.5" customHeight="1">
      <c r="A997" s="36" t="s">
        <v>2678</v>
      </c>
      <c r="B997" s="36" t="s">
        <v>2679</v>
      </c>
      <c r="C997" s="36" t="s">
        <v>1495</v>
      </c>
      <c r="D997" s="36" t="s">
        <v>1496</v>
      </c>
      <c r="E997" s="36" t="s">
        <v>287</v>
      </c>
      <c r="F997" s="36" t="s">
        <v>286</v>
      </c>
      <c r="G997" s="36" t="s">
        <v>411</v>
      </c>
      <c r="H997" s="37">
        <v>1.5</v>
      </c>
      <c r="I997" s="36" t="s">
        <v>1301</v>
      </c>
      <c r="J997" s="39" t="s">
        <v>286</v>
      </c>
      <c r="K997" s="38"/>
      <c r="L997" s="38"/>
    </row>
    <row r="998" ht="22.5" customHeight="1">
      <c r="A998" s="36" t="s">
        <v>2680</v>
      </c>
      <c r="B998" s="36" t="s">
        <v>2681</v>
      </c>
      <c r="C998" s="36" t="s">
        <v>1495</v>
      </c>
      <c r="D998" s="36" t="s">
        <v>1496</v>
      </c>
      <c r="E998" s="36" t="s">
        <v>287</v>
      </c>
      <c r="F998" s="36" t="s">
        <v>286</v>
      </c>
      <c r="G998" s="36" t="s">
        <v>411</v>
      </c>
      <c r="H998" s="37">
        <v>0.65</v>
      </c>
      <c r="I998" s="36" t="s">
        <v>1301</v>
      </c>
      <c r="J998" s="39" t="s">
        <v>286</v>
      </c>
      <c r="K998" s="38"/>
      <c r="L998" s="38"/>
    </row>
    <row r="999" ht="22.5" customHeight="1">
      <c r="A999" s="36" t="s">
        <v>2682</v>
      </c>
      <c r="B999" s="36" t="s">
        <v>2683</v>
      </c>
      <c r="C999" s="36" t="s">
        <v>1495</v>
      </c>
      <c r="D999" s="36" t="s">
        <v>1496</v>
      </c>
      <c r="E999" s="36" t="s">
        <v>287</v>
      </c>
      <c r="F999" s="36" t="s">
        <v>286</v>
      </c>
      <c r="G999" s="36" t="s">
        <v>411</v>
      </c>
      <c r="H999" s="37">
        <v>136.7</v>
      </c>
      <c r="I999" s="36" t="s">
        <v>1301</v>
      </c>
      <c r="J999" s="39" t="s">
        <v>286</v>
      </c>
      <c r="K999" s="38"/>
      <c r="L999" s="38"/>
    </row>
    <row r="1000" ht="22.5" customHeight="1">
      <c r="A1000" s="36" t="s">
        <v>2684</v>
      </c>
      <c r="B1000" s="36" t="s">
        <v>2685</v>
      </c>
      <c r="C1000" s="36" t="s">
        <v>1495</v>
      </c>
      <c r="D1000" s="36" t="s">
        <v>1496</v>
      </c>
      <c r="E1000" s="36" t="s">
        <v>287</v>
      </c>
      <c r="F1000" s="36" t="s">
        <v>286</v>
      </c>
      <c r="G1000" s="36" t="s">
        <v>411</v>
      </c>
      <c r="H1000" s="37">
        <v>143.69</v>
      </c>
      <c r="I1000" s="36" t="s">
        <v>1301</v>
      </c>
      <c r="J1000" s="39" t="s">
        <v>286</v>
      </c>
      <c r="K1000" s="38"/>
      <c r="L1000" s="38"/>
    </row>
    <row r="1001" ht="22.5" customHeight="1">
      <c r="A1001" s="36" t="s">
        <v>2686</v>
      </c>
      <c r="B1001" s="36" t="s">
        <v>2687</v>
      </c>
      <c r="C1001" s="36" t="s">
        <v>1495</v>
      </c>
      <c r="D1001" s="36" t="s">
        <v>1496</v>
      </c>
      <c r="E1001" s="36" t="s">
        <v>287</v>
      </c>
      <c r="F1001" s="36" t="s">
        <v>286</v>
      </c>
      <c r="G1001" s="36" t="s">
        <v>411</v>
      </c>
      <c r="H1001" s="37">
        <v>5.63</v>
      </c>
      <c r="I1001" s="36" t="s">
        <v>1301</v>
      </c>
      <c r="J1001" s="39" t="s">
        <v>286</v>
      </c>
      <c r="K1001" s="38"/>
      <c r="L1001" s="38"/>
    </row>
    <row r="1002" ht="22.5" customHeight="1">
      <c r="A1002" s="36" t="s">
        <v>2688</v>
      </c>
      <c r="B1002" s="36" t="s">
        <v>2689</v>
      </c>
      <c r="C1002" s="36" t="s">
        <v>1495</v>
      </c>
      <c r="D1002" s="36" t="s">
        <v>1496</v>
      </c>
      <c r="E1002" s="36" t="s">
        <v>287</v>
      </c>
      <c r="F1002" s="36" t="s">
        <v>286</v>
      </c>
      <c r="G1002" s="36" t="s">
        <v>411</v>
      </c>
      <c r="H1002" s="37">
        <v>17.09</v>
      </c>
      <c r="I1002" s="36" t="s">
        <v>1301</v>
      </c>
      <c r="J1002" s="39" t="s">
        <v>286</v>
      </c>
      <c r="K1002" s="38"/>
      <c r="L1002" s="38"/>
    </row>
    <row r="1003" ht="22.5" customHeight="1">
      <c r="A1003" s="36" t="s">
        <v>2690</v>
      </c>
      <c r="B1003" s="36" t="s">
        <v>2691</v>
      </c>
      <c r="C1003" s="36" t="s">
        <v>1495</v>
      </c>
      <c r="D1003" s="36" t="s">
        <v>1496</v>
      </c>
      <c r="E1003" s="36" t="s">
        <v>287</v>
      </c>
      <c r="F1003" s="36" t="s">
        <v>286</v>
      </c>
      <c r="G1003" s="36" t="s">
        <v>411</v>
      </c>
      <c r="H1003" s="37">
        <v>17.09</v>
      </c>
      <c r="I1003" s="36" t="s">
        <v>1301</v>
      </c>
      <c r="J1003" s="39" t="s">
        <v>286</v>
      </c>
      <c r="K1003" s="38"/>
      <c r="L1003" s="38"/>
    </row>
    <row r="1004" ht="22.5" customHeight="1">
      <c r="A1004" s="36" t="s">
        <v>2692</v>
      </c>
      <c r="B1004" s="36" t="s">
        <v>2693</v>
      </c>
      <c r="C1004" s="36" t="s">
        <v>1495</v>
      </c>
      <c r="D1004" s="36" t="s">
        <v>1496</v>
      </c>
      <c r="E1004" s="36" t="s">
        <v>287</v>
      </c>
      <c r="F1004" s="36" t="s">
        <v>286</v>
      </c>
      <c r="G1004" s="36" t="s">
        <v>411</v>
      </c>
      <c r="H1004" s="37">
        <v>1.56</v>
      </c>
      <c r="I1004" s="36" t="s">
        <v>1301</v>
      </c>
      <c r="J1004" s="39" t="s">
        <v>286</v>
      </c>
      <c r="K1004" s="38"/>
      <c r="L1004" s="38"/>
    </row>
    <row r="1005" ht="22.5" customHeight="1">
      <c r="A1005" s="36" t="s">
        <v>2694</v>
      </c>
      <c r="B1005" s="36" t="s">
        <v>2695</v>
      </c>
      <c r="C1005" s="36" t="s">
        <v>286</v>
      </c>
      <c r="D1005" s="36" t="s">
        <v>286</v>
      </c>
      <c r="E1005" s="36" t="s">
        <v>287</v>
      </c>
      <c r="F1005" s="36" t="s">
        <v>286</v>
      </c>
      <c r="G1005" s="36" t="s">
        <v>411</v>
      </c>
      <c r="H1005" s="37">
        <v>1.56</v>
      </c>
      <c r="I1005" s="36" t="s">
        <v>1301</v>
      </c>
      <c r="J1005" s="39" t="s">
        <v>286</v>
      </c>
      <c r="K1005" s="38"/>
      <c r="L1005" s="38"/>
    </row>
    <row r="1006" ht="22.5" customHeight="1">
      <c r="A1006" s="36" t="s">
        <v>2696</v>
      </c>
      <c r="B1006" s="36" t="s">
        <v>2697</v>
      </c>
      <c r="C1006" s="36" t="s">
        <v>1495</v>
      </c>
      <c r="D1006" s="36" t="s">
        <v>1496</v>
      </c>
      <c r="E1006" s="36" t="s">
        <v>287</v>
      </c>
      <c r="F1006" s="36" t="s">
        <v>286</v>
      </c>
      <c r="G1006" s="36" t="s">
        <v>411</v>
      </c>
      <c r="H1006" s="37">
        <v>0.68</v>
      </c>
      <c r="I1006" s="36" t="s">
        <v>1301</v>
      </c>
      <c r="J1006" s="39" t="s">
        <v>286</v>
      </c>
      <c r="K1006" s="38"/>
      <c r="L1006" s="38"/>
    </row>
    <row r="1007" ht="22.5" customHeight="1">
      <c r="A1007" s="36" t="s">
        <v>2698</v>
      </c>
      <c r="B1007" s="36" t="s">
        <v>2699</v>
      </c>
      <c r="C1007" s="36" t="s">
        <v>1495</v>
      </c>
      <c r="D1007" s="36" t="s">
        <v>1496</v>
      </c>
      <c r="E1007" s="36" t="s">
        <v>287</v>
      </c>
      <c r="F1007" s="36" t="s">
        <v>286</v>
      </c>
      <c r="G1007" s="36" t="s">
        <v>411</v>
      </c>
      <c r="H1007" s="37">
        <v>0.93</v>
      </c>
      <c r="I1007" s="36" t="s">
        <v>1301</v>
      </c>
      <c r="J1007" s="39" t="s">
        <v>286</v>
      </c>
      <c r="K1007" s="38"/>
      <c r="L1007" s="38"/>
    </row>
    <row r="1008" ht="22.5" customHeight="1">
      <c r="A1008" s="36" t="s">
        <v>2700</v>
      </c>
      <c r="B1008" s="36" t="s">
        <v>2701</v>
      </c>
      <c r="C1008" s="36" t="s">
        <v>1495</v>
      </c>
      <c r="D1008" s="36" t="s">
        <v>1496</v>
      </c>
      <c r="E1008" s="36" t="s">
        <v>287</v>
      </c>
      <c r="F1008" s="36" t="s">
        <v>286</v>
      </c>
      <c r="G1008" s="36" t="s">
        <v>411</v>
      </c>
      <c r="H1008" s="37">
        <v>41.06</v>
      </c>
      <c r="I1008" s="36" t="s">
        <v>1301</v>
      </c>
      <c r="J1008" s="39" t="s">
        <v>286</v>
      </c>
      <c r="K1008" s="38"/>
      <c r="L1008" s="38"/>
    </row>
    <row r="1009" ht="22.5" customHeight="1">
      <c r="A1009" s="36" t="s">
        <v>2702</v>
      </c>
      <c r="B1009" s="36" t="s">
        <v>2703</v>
      </c>
      <c r="C1009" s="36" t="s">
        <v>1495</v>
      </c>
      <c r="D1009" s="36" t="s">
        <v>1496</v>
      </c>
      <c r="E1009" s="36" t="s">
        <v>287</v>
      </c>
      <c r="F1009" s="36" t="s">
        <v>286</v>
      </c>
      <c r="G1009" s="36" t="s">
        <v>411</v>
      </c>
      <c r="H1009" s="37">
        <v>4.26</v>
      </c>
      <c r="I1009" s="36" t="s">
        <v>1301</v>
      </c>
      <c r="J1009" s="39" t="s">
        <v>286</v>
      </c>
      <c r="K1009" s="38"/>
      <c r="L1009" s="38"/>
    </row>
    <row r="1010" ht="22.5" customHeight="1">
      <c r="A1010" s="36" t="s">
        <v>2704</v>
      </c>
      <c r="B1010" s="36" t="s">
        <v>2705</v>
      </c>
      <c r="C1010" s="36" t="s">
        <v>1495</v>
      </c>
      <c r="D1010" s="36" t="s">
        <v>1496</v>
      </c>
      <c r="E1010" s="36" t="s">
        <v>287</v>
      </c>
      <c r="F1010" s="36" t="s">
        <v>286</v>
      </c>
      <c r="G1010" s="36" t="s">
        <v>411</v>
      </c>
      <c r="H1010" s="37">
        <v>19.5</v>
      </c>
      <c r="I1010" s="36" t="s">
        <v>1301</v>
      </c>
      <c r="J1010" s="39" t="s">
        <v>286</v>
      </c>
      <c r="K1010" s="38"/>
      <c r="L1010" s="38"/>
    </row>
    <row r="1011" ht="22.5" customHeight="1">
      <c r="A1011" s="36" t="s">
        <v>2706</v>
      </c>
      <c r="B1011" s="36" t="s">
        <v>2707</v>
      </c>
      <c r="C1011" s="36" t="s">
        <v>1495</v>
      </c>
      <c r="D1011" s="36" t="s">
        <v>1496</v>
      </c>
      <c r="E1011" s="36" t="s">
        <v>287</v>
      </c>
      <c r="F1011" s="36" t="s">
        <v>286</v>
      </c>
      <c r="G1011" s="36" t="s">
        <v>411</v>
      </c>
      <c r="H1011" s="37">
        <v>5.5</v>
      </c>
      <c r="I1011" s="36" t="s">
        <v>1301</v>
      </c>
      <c r="J1011" s="39" t="s">
        <v>286</v>
      </c>
      <c r="K1011" s="38"/>
      <c r="L1011" s="38"/>
    </row>
    <row r="1012" ht="22.5" customHeight="1">
      <c r="A1012" s="36" t="s">
        <v>2708</v>
      </c>
      <c r="B1012" s="36" t="s">
        <v>2709</v>
      </c>
      <c r="C1012" s="36" t="s">
        <v>1495</v>
      </c>
      <c r="D1012" s="36" t="s">
        <v>1496</v>
      </c>
      <c r="E1012" s="36" t="s">
        <v>287</v>
      </c>
      <c r="F1012" s="36" t="s">
        <v>286</v>
      </c>
      <c r="G1012" s="36" t="s">
        <v>411</v>
      </c>
      <c r="H1012" s="37">
        <v>12.09</v>
      </c>
      <c r="I1012" s="36" t="s">
        <v>1301</v>
      </c>
      <c r="J1012" s="39" t="s">
        <v>286</v>
      </c>
      <c r="K1012" s="38"/>
      <c r="L1012" s="38"/>
    </row>
    <row r="1013" ht="22.5" customHeight="1">
      <c r="A1013" s="36" t="s">
        <v>2710</v>
      </c>
      <c r="B1013" s="36" t="s">
        <v>2711</v>
      </c>
      <c r="C1013" s="36" t="s">
        <v>1495</v>
      </c>
      <c r="D1013" s="36" t="s">
        <v>1496</v>
      </c>
      <c r="E1013" s="36" t="s">
        <v>287</v>
      </c>
      <c r="F1013" s="36" t="s">
        <v>286</v>
      </c>
      <c r="G1013" s="36" t="s">
        <v>411</v>
      </c>
      <c r="H1013" s="37">
        <v>2.95</v>
      </c>
      <c r="I1013" s="36" t="s">
        <v>1301</v>
      </c>
      <c r="J1013" s="39" t="s">
        <v>286</v>
      </c>
      <c r="K1013" s="38"/>
      <c r="L1013" s="38"/>
    </row>
    <row r="1014" ht="22.5" customHeight="1">
      <c r="A1014" s="36" t="s">
        <v>2712</v>
      </c>
      <c r="B1014" s="36" t="s">
        <v>2713</v>
      </c>
      <c r="C1014" s="36" t="s">
        <v>1495</v>
      </c>
      <c r="D1014" s="36" t="s">
        <v>1496</v>
      </c>
      <c r="E1014" s="36" t="s">
        <v>287</v>
      </c>
      <c r="F1014" s="36" t="s">
        <v>286</v>
      </c>
      <c r="G1014" s="36" t="s">
        <v>411</v>
      </c>
      <c r="H1014" s="37">
        <v>1.73</v>
      </c>
      <c r="I1014" s="36" t="s">
        <v>1301</v>
      </c>
      <c r="J1014" s="39" t="s">
        <v>286</v>
      </c>
      <c r="K1014" s="38"/>
      <c r="L1014" s="38"/>
    </row>
    <row r="1015" ht="22.5" customHeight="1">
      <c r="A1015" s="36" t="s">
        <v>2714</v>
      </c>
      <c r="B1015" s="36" t="s">
        <v>2715</v>
      </c>
      <c r="C1015" s="36" t="s">
        <v>1495</v>
      </c>
      <c r="D1015" s="36" t="s">
        <v>1496</v>
      </c>
      <c r="E1015" s="36" t="s">
        <v>287</v>
      </c>
      <c r="F1015" s="36" t="s">
        <v>286</v>
      </c>
      <c r="G1015" s="36" t="s">
        <v>411</v>
      </c>
      <c r="H1015" s="37">
        <v>2.92</v>
      </c>
      <c r="I1015" s="36" t="s">
        <v>1301</v>
      </c>
      <c r="J1015" s="39" t="s">
        <v>286</v>
      </c>
      <c r="K1015" s="38"/>
      <c r="L1015" s="38"/>
    </row>
    <row r="1016" ht="22.5" customHeight="1">
      <c r="A1016" s="36" t="s">
        <v>2716</v>
      </c>
      <c r="B1016" s="36" t="s">
        <v>2717</v>
      </c>
      <c r="C1016" s="36" t="s">
        <v>1495</v>
      </c>
      <c r="D1016" s="36" t="s">
        <v>1496</v>
      </c>
      <c r="E1016" s="36" t="s">
        <v>287</v>
      </c>
      <c r="F1016" s="36" t="s">
        <v>286</v>
      </c>
      <c r="G1016" s="36" t="s">
        <v>411</v>
      </c>
      <c r="H1016" s="37">
        <v>1.55</v>
      </c>
      <c r="I1016" s="36" t="s">
        <v>1301</v>
      </c>
      <c r="J1016" s="39" t="s">
        <v>286</v>
      </c>
      <c r="K1016" s="38"/>
      <c r="L1016" s="38"/>
    </row>
    <row r="1017" ht="22.5" customHeight="1">
      <c r="A1017" s="36" t="s">
        <v>2718</v>
      </c>
      <c r="B1017" s="36" t="s">
        <v>2719</v>
      </c>
      <c r="C1017" s="36" t="s">
        <v>1495</v>
      </c>
      <c r="D1017" s="36" t="s">
        <v>1496</v>
      </c>
      <c r="E1017" s="36" t="s">
        <v>287</v>
      </c>
      <c r="F1017" s="36" t="s">
        <v>286</v>
      </c>
      <c r="G1017" s="36" t="s">
        <v>411</v>
      </c>
      <c r="H1017" s="37">
        <v>12.09</v>
      </c>
      <c r="I1017" s="36" t="s">
        <v>1301</v>
      </c>
      <c r="J1017" s="39" t="s">
        <v>286</v>
      </c>
      <c r="K1017" s="38"/>
      <c r="L1017" s="38"/>
    </row>
    <row r="1018" ht="22.5" customHeight="1">
      <c r="A1018" s="36" t="s">
        <v>2720</v>
      </c>
      <c r="B1018" s="36" t="s">
        <v>2721</v>
      </c>
      <c r="C1018" s="36" t="s">
        <v>1495</v>
      </c>
      <c r="D1018" s="36" t="s">
        <v>1496</v>
      </c>
      <c r="E1018" s="36" t="s">
        <v>287</v>
      </c>
      <c r="F1018" s="36" t="s">
        <v>286</v>
      </c>
      <c r="G1018" s="36" t="s">
        <v>411</v>
      </c>
      <c r="H1018" s="37">
        <v>9.0</v>
      </c>
      <c r="I1018" s="36" t="s">
        <v>1301</v>
      </c>
      <c r="J1018" s="39" t="s">
        <v>286</v>
      </c>
      <c r="K1018" s="38"/>
      <c r="L1018" s="38"/>
    </row>
    <row r="1019" ht="22.5" customHeight="1">
      <c r="A1019" s="36" t="s">
        <v>2722</v>
      </c>
      <c r="B1019" s="36" t="s">
        <v>2723</v>
      </c>
      <c r="C1019" s="36" t="s">
        <v>1495</v>
      </c>
      <c r="D1019" s="36" t="s">
        <v>1496</v>
      </c>
      <c r="E1019" s="36" t="s">
        <v>287</v>
      </c>
      <c r="F1019" s="36" t="s">
        <v>286</v>
      </c>
      <c r="G1019" s="36" t="s">
        <v>411</v>
      </c>
      <c r="H1019" s="37">
        <v>17.0</v>
      </c>
      <c r="I1019" s="36" t="s">
        <v>1301</v>
      </c>
      <c r="J1019" s="39" t="s">
        <v>286</v>
      </c>
      <c r="K1019" s="38"/>
      <c r="L1019" s="38"/>
    </row>
    <row r="1020" ht="22.5" customHeight="1">
      <c r="A1020" s="36" t="s">
        <v>2724</v>
      </c>
      <c r="B1020" s="36" t="s">
        <v>2725</v>
      </c>
      <c r="C1020" s="36" t="s">
        <v>1495</v>
      </c>
      <c r="D1020" s="36" t="s">
        <v>1496</v>
      </c>
      <c r="E1020" s="36" t="s">
        <v>287</v>
      </c>
      <c r="F1020" s="36" t="s">
        <v>286</v>
      </c>
      <c r="G1020" s="36" t="s">
        <v>411</v>
      </c>
      <c r="H1020" s="37">
        <v>1.83</v>
      </c>
      <c r="I1020" s="36" t="s">
        <v>1301</v>
      </c>
      <c r="J1020" s="39" t="s">
        <v>286</v>
      </c>
      <c r="K1020" s="38"/>
      <c r="L1020" s="38"/>
    </row>
    <row r="1021" ht="22.5" customHeight="1">
      <c r="A1021" s="36" t="s">
        <v>2726</v>
      </c>
      <c r="B1021" s="36" t="s">
        <v>2727</v>
      </c>
      <c r="C1021" s="36" t="s">
        <v>1495</v>
      </c>
      <c r="D1021" s="36" t="s">
        <v>1496</v>
      </c>
      <c r="E1021" s="36" t="s">
        <v>287</v>
      </c>
      <c r="F1021" s="36" t="s">
        <v>286</v>
      </c>
      <c r="G1021" s="36" t="s">
        <v>411</v>
      </c>
      <c r="H1021" s="37">
        <v>3.24</v>
      </c>
      <c r="I1021" s="36" t="s">
        <v>1301</v>
      </c>
      <c r="J1021" s="39" t="s">
        <v>286</v>
      </c>
      <c r="K1021" s="38"/>
      <c r="L1021" s="38"/>
    </row>
    <row r="1022" ht="22.5" customHeight="1">
      <c r="A1022" s="36" t="s">
        <v>2728</v>
      </c>
      <c r="B1022" s="36" t="s">
        <v>2729</v>
      </c>
      <c r="C1022" s="36" t="s">
        <v>1495</v>
      </c>
      <c r="D1022" s="36" t="s">
        <v>1496</v>
      </c>
      <c r="E1022" s="36" t="s">
        <v>287</v>
      </c>
      <c r="F1022" s="36" t="s">
        <v>286</v>
      </c>
      <c r="G1022" s="36" t="s">
        <v>411</v>
      </c>
      <c r="H1022" s="37">
        <v>206.83</v>
      </c>
      <c r="I1022" s="36" t="s">
        <v>1301</v>
      </c>
      <c r="J1022" s="39" t="s">
        <v>286</v>
      </c>
      <c r="K1022" s="38"/>
      <c r="L1022" s="38"/>
    </row>
    <row r="1023" ht="22.5" customHeight="1">
      <c r="A1023" s="36" t="s">
        <v>2730</v>
      </c>
      <c r="B1023" s="36" t="s">
        <v>2731</v>
      </c>
      <c r="C1023" s="36" t="s">
        <v>1495</v>
      </c>
      <c r="D1023" s="36" t="s">
        <v>1496</v>
      </c>
      <c r="E1023" s="36" t="s">
        <v>287</v>
      </c>
      <c r="F1023" s="36" t="s">
        <v>286</v>
      </c>
      <c r="G1023" s="36" t="s">
        <v>411</v>
      </c>
      <c r="H1023" s="37">
        <v>7.19</v>
      </c>
      <c r="I1023" s="36" t="s">
        <v>1301</v>
      </c>
      <c r="J1023" s="39" t="s">
        <v>286</v>
      </c>
      <c r="K1023" s="38"/>
      <c r="L1023" s="38"/>
    </row>
    <row r="1024" ht="22.5" customHeight="1">
      <c r="A1024" s="36" t="s">
        <v>2732</v>
      </c>
      <c r="B1024" s="36" t="s">
        <v>2733</v>
      </c>
      <c r="C1024" s="36" t="s">
        <v>1495</v>
      </c>
      <c r="D1024" s="36" t="s">
        <v>1496</v>
      </c>
      <c r="E1024" s="36" t="s">
        <v>287</v>
      </c>
      <c r="F1024" s="36" t="s">
        <v>286</v>
      </c>
      <c r="G1024" s="36" t="s">
        <v>411</v>
      </c>
      <c r="H1024" s="37">
        <v>6.33</v>
      </c>
      <c r="I1024" s="36" t="s">
        <v>1301</v>
      </c>
      <c r="J1024" s="39" t="s">
        <v>286</v>
      </c>
      <c r="K1024" s="38"/>
      <c r="L1024" s="38"/>
    </row>
    <row r="1025" ht="22.5" customHeight="1">
      <c r="A1025" s="36" t="s">
        <v>2734</v>
      </c>
      <c r="B1025" s="36" t="s">
        <v>2735</v>
      </c>
      <c r="C1025" s="36" t="s">
        <v>1495</v>
      </c>
      <c r="D1025" s="36" t="s">
        <v>1496</v>
      </c>
      <c r="E1025" s="36" t="s">
        <v>287</v>
      </c>
      <c r="F1025" s="36" t="s">
        <v>286</v>
      </c>
      <c r="G1025" s="36" t="s">
        <v>411</v>
      </c>
      <c r="H1025" s="37">
        <v>34.58</v>
      </c>
      <c r="I1025" s="36" t="s">
        <v>1301</v>
      </c>
      <c r="J1025" s="39" t="s">
        <v>286</v>
      </c>
      <c r="K1025" s="38"/>
      <c r="L1025" s="38"/>
    </row>
    <row r="1026" ht="22.5" customHeight="1">
      <c r="A1026" s="36" t="s">
        <v>2736</v>
      </c>
      <c r="B1026" s="36" t="s">
        <v>2737</v>
      </c>
      <c r="C1026" s="36" t="s">
        <v>1495</v>
      </c>
      <c r="D1026" s="36" t="s">
        <v>1496</v>
      </c>
      <c r="E1026" s="36" t="s">
        <v>287</v>
      </c>
      <c r="F1026" s="36" t="s">
        <v>286</v>
      </c>
      <c r="G1026" s="36" t="s">
        <v>411</v>
      </c>
      <c r="H1026" s="37">
        <v>84.42</v>
      </c>
      <c r="I1026" s="36" t="s">
        <v>1301</v>
      </c>
      <c r="J1026" s="39" t="s">
        <v>286</v>
      </c>
      <c r="K1026" s="38"/>
      <c r="L1026" s="38"/>
    </row>
    <row r="1027" ht="22.5" customHeight="1">
      <c r="A1027" s="36" t="s">
        <v>2738</v>
      </c>
      <c r="B1027" s="36" t="s">
        <v>2739</v>
      </c>
      <c r="C1027" s="36" t="s">
        <v>1495</v>
      </c>
      <c r="D1027" s="36" t="s">
        <v>1496</v>
      </c>
      <c r="E1027" s="36" t="s">
        <v>287</v>
      </c>
      <c r="F1027" s="36" t="s">
        <v>286</v>
      </c>
      <c r="G1027" s="36" t="s">
        <v>411</v>
      </c>
      <c r="H1027" s="37">
        <v>5.75</v>
      </c>
      <c r="I1027" s="36" t="s">
        <v>1301</v>
      </c>
      <c r="J1027" s="39" t="s">
        <v>286</v>
      </c>
      <c r="K1027" s="38"/>
      <c r="L1027" s="38"/>
    </row>
    <row r="1028" ht="22.5" customHeight="1">
      <c r="A1028" s="36" t="s">
        <v>2740</v>
      </c>
      <c r="B1028" s="36" t="s">
        <v>2741</v>
      </c>
      <c r="C1028" s="36" t="s">
        <v>1495</v>
      </c>
      <c r="D1028" s="36" t="s">
        <v>1496</v>
      </c>
      <c r="E1028" s="36" t="s">
        <v>287</v>
      </c>
      <c r="F1028" s="36" t="s">
        <v>286</v>
      </c>
      <c r="G1028" s="36" t="s">
        <v>411</v>
      </c>
      <c r="H1028" s="37">
        <v>18.25</v>
      </c>
      <c r="I1028" s="36" t="s">
        <v>1301</v>
      </c>
      <c r="J1028" s="39" t="s">
        <v>286</v>
      </c>
      <c r="K1028" s="38"/>
      <c r="L1028" s="38"/>
    </row>
    <row r="1029" ht="22.5" customHeight="1">
      <c r="A1029" s="36" t="s">
        <v>2742</v>
      </c>
      <c r="B1029" s="36" t="s">
        <v>2743</v>
      </c>
      <c r="C1029" s="36" t="s">
        <v>1495</v>
      </c>
      <c r="D1029" s="36" t="s">
        <v>1496</v>
      </c>
      <c r="E1029" s="36" t="s">
        <v>287</v>
      </c>
      <c r="F1029" s="36" t="s">
        <v>286</v>
      </c>
      <c r="G1029" s="36" t="s">
        <v>411</v>
      </c>
      <c r="H1029" s="37">
        <v>19.75</v>
      </c>
      <c r="I1029" s="36" t="s">
        <v>1301</v>
      </c>
      <c r="J1029" s="39" t="s">
        <v>286</v>
      </c>
      <c r="K1029" s="38"/>
      <c r="L1029" s="38"/>
    </row>
    <row r="1030" ht="22.5" customHeight="1">
      <c r="A1030" s="36" t="s">
        <v>2744</v>
      </c>
      <c r="B1030" s="36" t="s">
        <v>2745</v>
      </c>
      <c r="C1030" s="36" t="s">
        <v>1495</v>
      </c>
      <c r="D1030" s="36" t="s">
        <v>1496</v>
      </c>
      <c r="E1030" s="36" t="s">
        <v>287</v>
      </c>
      <c r="F1030" s="36" t="s">
        <v>286</v>
      </c>
      <c r="G1030" s="36" t="s">
        <v>411</v>
      </c>
      <c r="H1030" s="37">
        <v>24.67</v>
      </c>
      <c r="I1030" s="36" t="s">
        <v>1301</v>
      </c>
      <c r="J1030" s="39" t="s">
        <v>286</v>
      </c>
      <c r="K1030" s="38"/>
      <c r="L1030" s="38"/>
    </row>
    <row r="1031" ht="22.5" customHeight="1">
      <c r="A1031" s="36" t="s">
        <v>2746</v>
      </c>
      <c r="B1031" s="36" t="s">
        <v>2747</v>
      </c>
      <c r="C1031" s="36" t="s">
        <v>1495</v>
      </c>
      <c r="D1031" s="36" t="s">
        <v>1496</v>
      </c>
      <c r="E1031" s="36" t="s">
        <v>287</v>
      </c>
      <c r="F1031" s="36" t="s">
        <v>286</v>
      </c>
      <c r="G1031" s="36" t="s">
        <v>411</v>
      </c>
      <c r="H1031" s="37">
        <v>18.25</v>
      </c>
      <c r="I1031" s="36" t="s">
        <v>1301</v>
      </c>
      <c r="J1031" s="39" t="s">
        <v>286</v>
      </c>
      <c r="K1031" s="38"/>
      <c r="L1031" s="38"/>
    </row>
    <row r="1032" ht="22.5" customHeight="1">
      <c r="A1032" s="36" t="s">
        <v>2748</v>
      </c>
      <c r="B1032" s="36" t="s">
        <v>2749</v>
      </c>
      <c r="C1032" s="36" t="s">
        <v>1495</v>
      </c>
      <c r="D1032" s="36" t="s">
        <v>1496</v>
      </c>
      <c r="E1032" s="36" t="s">
        <v>287</v>
      </c>
      <c r="F1032" s="36" t="s">
        <v>286</v>
      </c>
      <c r="G1032" s="36" t="s">
        <v>411</v>
      </c>
      <c r="H1032" s="37">
        <v>19.42</v>
      </c>
      <c r="I1032" s="36" t="s">
        <v>1301</v>
      </c>
      <c r="J1032" s="39" t="s">
        <v>286</v>
      </c>
      <c r="K1032" s="38"/>
      <c r="L1032" s="38"/>
    </row>
    <row r="1033" ht="22.5" customHeight="1">
      <c r="A1033" s="36" t="s">
        <v>2750</v>
      </c>
      <c r="B1033" s="36" t="s">
        <v>2751</v>
      </c>
      <c r="C1033" s="36" t="s">
        <v>1495</v>
      </c>
      <c r="D1033" s="36" t="s">
        <v>1496</v>
      </c>
      <c r="E1033" s="36" t="s">
        <v>287</v>
      </c>
      <c r="F1033" s="36" t="s">
        <v>286</v>
      </c>
      <c r="G1033" s="36" t="s">
        <v>411</v>
      </c>
      <c r="H1033" s="37">
        <v>66.83</v>
      </c>
      <c r="I1033" s="36" t="s">
        <v>1301</v>
      </c>
      <c r="J1033" s="39" t="s">
        <v>286</v>
      </c>
      <c r="K1033" s="38"/>
      <c r="L1033" s="38"/>
    </row>
    <row r="1034" ht="22.5" customHeight="1">
      <c r="A1034" s="36" t="s">
        <v>2752</v>
      </c>
      <c r="B1034" s="36" t="s">
        <v>2753</v>
      </c>
      <c r="C1034" s="36" t="s">
        <v>1495</v>
      </c>
      <c r="D1034" s="36" t="s">
        <v>1496</v>
      </c>
      <c r="E1034" s="36" t="s">
        <v>287</v>
      </c>
      <c r="F1034" s="36" t="s">
        <v>286</v>
      </c>
      <c r="G1034" s="36" t="s">
        <v>411</v>
      </c>
      <c r="H1034" s="37">
        <v>15.0</v>
      </c>
      <c r="I1034" s="36" t="s">
        <v>1301</v>
      </c>
      <c r="J1034" s="39" t="s">
        <v>286</v>
      </c>
      <c r="K1034" s="38"/>
      <c r="L1034" s="38"/>
    </row>
    <row r="1035" ht="22.5" customHeight="1">
      <c r="A1035" s="36" t="s">
        <v>2754</v>
      </c>
      <c r="B1035" s="36" t="s">
        <v>2755</v>
      </c>
      <c r="C1035" s="36" t="s">
        <v>1495</v>
      </c>
      <c r="D1035" s="36" t="s">
        <v>1496</v>
      </c>
      <c r="E1035" s="36" t="s">
        <v>287</v>
      </c>
      <c r="F1035" s="36" t="s">
        <v>286</v>
      </c>
      <c r="G1035" s="36" t="s">
        <v>411</v>
      </c>
      <c r="H1035" s="37">
        <v>21.67</v>
      </c>
      <c r="I1035" s="36" t="s">
        <v>1301</v>
      </c>
      <c r="J1035" s="39" t="s">
        <v>286</v>
      </c>
      <c r="K1035" s="38"/>
      <c r="L1035" s="38"/>
    </row>
    <row r="1036" ht="22.5" customHeight="1">
      <c r="A1036" s="36" t="s">
        <v>2756</v>
      </c>
      <c r="B1036" s="36" t="s">
        <v>2757</v>
      </c>
      <c r="C1036" s="36" t="s">
        <v>1495</v>
      </c>
      <c r="D1036" s="36" t="s">
        <v>1496</v>
      </c>
      <c r="E1036" s="36" t="s">
        <v>287</v>
      </c>
      <c r="F1036" s="36" t="s">
        <v>286</v>
      </c>
      <c r="G1036" s="36" t="s">
        <v>411</v>
      </c>
      <c r="H1036" s="37">
        <v>90.0</v>
      </c>
      <c r="I1036" s="36" t="s">
        <v>1301</v>
      </c>
      <c r="J1036" s="39" t="s">
        <v>286</v>
      </c>
      <c r="K1036" s="38"/>
      <c r="L1036" s="38"/>
    </row>
    <row r="1037" ht="22.5" customHeight="1">
      <c r="A1037" s="36" t="s">
        <v>2758</v>
      </c>
      <c r="B1037" s="36" t="s">
        <v>2759</v>
      </c>
      <c r="C1037" s="36" t="s">
        <v>1495</v>
      </c>
      <c r="D1037" s="36" t="s">
        <v>1496</v>
      </c>
      <c r="E1037" s="36" t="s">
        <v>287</v>
      </c>
      <c r="F1037" s="36" t="s">
        <v>286</v>
      </c>
      <c r="G1037" s="36" t="s">
        <v>411</v>
      </c>
      <c r="H1037" s="37">
        <v>40.0</v>
      </c>
      <c r="I1037" s="36" t="s">
        <v>1301</v>
      </c>
      <c r="J1037" s="39" t="s">
        <v>286</v>
      </c>
      <c r="K1037" s="38"/>
      <c r="L1037" s="38"/>
    </row>
    <row r="1038" ht="22.5" customHeight="1">
      <c r="A1038" s="36" t="s">
        <v>2760</v>
      </c>
      <c r="B1038" s="36" t="s">
        <v>2761</v>
      </c>
      <c r="C1038" s="36" t="s">
        <v>1495</v>
      </c>
      <c r="D1038" s="36" t="s">
        <v>1496</v>
      </c>
      <c r="E1038" s="36" t="s">
        <v>287</v>
      </c>
      <c r="F1038" s="36" t="s">
        <v>286</v>
      </c>
      <c r="G1038" s="36" t="s">
        <v>411</v>
      </c>
      <c r="H1038" s="37">
        <v>6.0</v>
      </c>
      <c r="I1038" s="36" t="s">
        <v>1301</v>
      </c>
      <c r="J1038" s="39" t="s">
        <v>286</v>
      </c>
      <c r="K1038" s="38"/>
      <c r="L1038" s="38"/>
    </row>
    <row r="1039" ht="22.5" customHeight="1">
      <c r="A1039" s="36" t="s">
        <v>2762</v>
      </c>
      <c r="B1039" s="36" t="s">
        <v>2763</v>
      </c>
      <c r="C1039" s="36" t="s">
        <v>1495</v>
      </c>
      <c r="D1039" s="36" t="s">
        <v>1496</v>
      </c>
      <c r="E1039" s="36" t="s">
        <v>287</v>
      </c>
      <c r="F1039" s="36" t="s">
        <v>286</v>
      </c>
      <c r="G1039" s="36" t="s">
        <v>411</v>
      </c>
      <c r="H1039" s="37">
        <v>6.0</v>
      </c>
      <c r="I1039" s="36" t="s">
        <v>1301</v>
      </c>
      <c r="J1039" s="39" t="s">
        <v>286</v>
      </c>
      <c r="K1039" s="38"/>
      <c r="L1039" s="38"/>
    </row>
    <row r="1040" ht="22.5" customHeight="1">
      <c r="A1040" s="36" t="s">
        <v>2764</v>
      </c>
      <c r="B1040" s="36" t="s">
        <v>2765</v>
      </c>
      <c r="C1040" s="36" t="s">
        <v>1495</v>
      </c>
      <c r="D1040" s="36" t="s">
        <v>1496</v>
      </c>
      <c r="E1040" s="36" t="s">
        <v>287</v>
      </c>
      <c r="F1040" s="36" t="s">
        <v>286</v>
      </c>
      <c r="G1040" s="36" t="s">
        <v>411</v>
      </c>
      <c r="H1040" s="37">
        <v>23.0</v>
      </c>
      <c r="I1040" s="36" t="s">
        <v>1301</v>
      </c>
      <c r="J1040" s="39" t="s">
        <v>286</v>
      </c>
      <c r="K1040" s="38"/>
      <c r="L1040" s="38"/>
    </row>
    <row r="1041" ht="22.5" customHeight="1">
      <c r="A1041" s="36" t="s">
        <v>2766</v>
      </c>
      <c r="B1041" s="36" t="s">
        <v>2767</v>
      </c>
      <c r="C1041" s="36" t="s">
        <v>1495</v>
      </c>
      <c r="D1041" s="36" t="s">
        <v>1496</v>
      </c>
      <c r="E1041" s="36" t="s">
        <v>287</v>
      </c>
      <c r="F1041" s="36" t="s">
        <v>286</v>
      </c>
      <c r="G1041" s="36" t="s">
        <v>411</v>
      </c>
      <c r="H1041" s="37">
        <v>24.0</v>
      </c>
      <c r="I1041" s="36" t="s">
        <v>1301</v>
      </c>
      <c r="J1041" s="39" t="s">
        <v>286</v>
      </c>
      <c r="K1041" s="38"/>
      <c r="L1041" s="38"/>
    </row>
    <row r="1042" ht="22.5" customHeight="1">
      <c r="A1042" s="36" t="s">
        <v>2768</v>
      </c>
      <c r="B1042" s="36" t="s">
        <v>2769</v>
      </c>
      <c r="C1042" s="36" t="s">
        <v>1495</v>
      </c>
      <c r="D1042" s="36" t="s">
        <v>1496</v>
      </c>
      <c r="E1042" s="36" t="s">
        <v>287</v>
      </c>
      <c r="F1042" s="36" t="s">
        <v>286</v>
      </c>
      <c r="G1042" s="36" t="s">
        <v>411</v>
      </c>
      <c r="H1042" s="37">
        <v>24.0</v>
      </c>
      <c r="I1042" s="36" t="s">
        <v>1301</v>
      </c>
      <c r="J1042" s="39" t="s">
        <v>286</v>
      </c>
      <c r="K1042" s="38"/>
      <c r="L1042" s="38"/>
    </row>
    <row r="1043" ht="22.5" customHeight="1">
      <c r="A1043" s="36" t="s">
        <v>2770</v>
      </c>
      <c r="B1043" s="36" t="s">
        <v>2771</v>
      </c>
      <c r="C1043" s="36" t="s">
        <v>1495</v>
      </c>
      <c r="D1043" s="36" t="s">
        <v>1496</v>
      </c>
      <c r="E1043" s="36" t="s">
        <v>287</v>
      </c>
      <c r="F1043" s="36" t="s">
        <v>286</v>
      </c>
      <c r="G1043" s="36" t="s">
        <v>411</v>
      </c>
      <c r="H1043" s="37">
        <v>23.0</v>
      </c>
      <c r="I1043" s="36" t="s">
        <v>1301</v>
      </c>
      <c r="J1043" s="39" t="s">
        <v>286</v>
      </c>
      <c r="K1043" s="38"/>
      <c r="L1043" s="38"/>
    </row>
    <row r="1044" ht="22.5" customHeight="1">
      <c r="A1044" s="36" t="s">
        <v>2772</v>
      </c>
      <c r="B1044" s="36" t="s">
        <v>2773</v>
      </c>
      <c r="C1044" s="36" t="s">
        <v>1495</v>
      </c>
      <c r="D1044" s="36" t="s">
        <v>1496</v>
      </c>
      <c r="E1044" s="36" t="s">
        <v>287</v>
      </c>
      <c r="F1044" s="36" t="s">
        <v>286</v>
      </c>
      <c r="G1044" s="36" t="s">
        <v>411</v>
      </c>
      <c r="H1044" s="37">
        <v>0.0</v>
      </c>
      <c r="I1044" s="36" t="s">
        <v>1301</v>
      </c>
      <c r="J1044" s="39" t="s">
        <v>286</v>
      </c>
      <c r="K1044" s="38"/>
      <c r="L1044" s="38"/>
    </row>
    <row r="1045" ht="22.5" customHeight="1">
      <c r="A1045" s="36" t="s">
        <v>2774</v>
      </c>
      <c r="B1045" s="36" t="s">
        <v>2775</v>
      </c>
      <c r="C1045" s="36" t="s">
        <v>1495</v>
      </c>
      <c r="D1045" s="36" t="s">
        <v>1496</v>
      </c>
      <c r="E1045" s="36" t="s">
        <v>287</v>
      </c>
      <c r="F1045" s="36" t="s">
        <v>286</v>
      </c>
      <c r="G1045" s="36" t="s">
        <v>411</v>
      </c>
      <c r="H1045" s="37">
        <v>131.0</v>
      </c>
      <c r="I1045" s="36" t="s">
        <v>1301</v>
      </c>
      <c r="J1045" s="39" t="s">
        <v>286</v>
      </c>
      <c r="K1045" s="38"/>
      <c r="L1045" s="38"/>
    </row>
    <row r="1046" ht="22.5" customHeight="1">
      <c r="A1046" s="36" t="s">
        <v>2776</v>
      </c>
      <c r="B1046" s="36" t="s">
        <v>2777</v>
      </c>
      <c r="C1046" s="36" t="s">
        <v>286</v>
      </c>
      <c r="D1046" s="36" t="s">
        <v>286</v>
      </c>
      <c r="E1046" s="36" t="s">
        <v>287</v>
      </c>
      <c r="F1046" s="36" t="s">
        <v>286</v>
      </c>
      <c r="G1046" s="36" t="s">
        <v>411</v>
      </c>
      <c r="H1046" s="37">
        <v>5.89</v>
      </c>
      <c r="I1046" s="36" t="s">
        <v>333</v>
      </c>
      <c r="J1046" s="39" t="s">
        <v>286</v>
      </c>
      <c r="K1046" s="38"/>
      <c r="L1046" s="38"/>
    </row>
    <row r="1047" ht="22.5" customHeight="1">
      <c r="A1047" s="36" t="s">
        <v>2778</v>
      </c>
      <c r="B1047" s="36" t="s">
        <v>2779</v>
      </c>
      <c r="C1047" s="36" t="s">
        <v>286</v>
      </c>
      <c r="D1047" s="36" t="s">
        <v>286</v>
      </c>
      <c r="E1047" s="36" t="s">
        <v>287</v>
      </c>
      <c r="F1047" s="36" t="s">
        <v>286</v>
      </c>
      <c r="G1047" s="36" t="s">
        <v>411</v>
      </c>
      <c r="H1047" s="37">
        <v>3.19</v>
      </c>
      <c r="I1047" s="36" t="s">
        <v>1301</v>
      </c>
      <c r="J1047" s="39" t="s">
        <v>286</v>
      </c>
      <c r="K1047" s="38"/>
      <c r="L1047" s="38"/>
    </row>
    <row r="1048" ht="22.5" customHeight="1">
      <c r="A1048" s="36" t="s">
        <v>2780</v>
      </c>
      <c r="B1048" s="36" t="s">
        <v>2781</v>
      </c>
      <c r="C1048" s="36" t="s">
        <v>1495</v>
      </c>
      <c r="D1048" s="36" t="s">
        <v>1496</v>
      </c>
      <c r="E1048" s="36" t="s">
        <v>287</v>
      </c>
      <c r="F1048" s="36" t="s">
        <v>286</v>
      </c>
      <c r="G1048" s="36" t="s">
        <v>411</v>
      </c>
      <c r="H1048" s="37">
        <v>3.68</v>
      </c>
      <c r="I1048" s="36" t="s">
        <v>1301</v>
      </c>
      <c r="J1048" s="39" t="s">
        <v>286</v>
      </c>
      <c r="K1048" s="38"/>
      <c r="L1048" s="38"/>
    </row>
    <row r="1049" ht="22.5" customHeight="1">
      <c r="A1049" s="36" t="s">
        <v>2782</v>
      </c>
      <c r="B1049" s="36" t="s">
        <v>2783</v>
      </c>
      <c r="C1049" s="36" t="s">
        <v>1495</v>
      </c>
      <c r="D1049" s="36" t="s">
        <v>1496</v>
      </c>
      <c r="E1049" s="36" t="s">
        <v>287</v>
      </c>
      <c r="F1049" s="36" t="s">
        <v>286</v>
      </c>
      <c r="G1049" s="36" t="s">
        <v>411</v>
      </c>
      <c r="H1049" s="37">
        <v>32.92</v>
      </c>
      <c r="I1049" s="36" t="s">
        <v>1301</v>
      </c>
      <c r="J1049" s="39" t="s">
        <v>286</v>
      </c>
      <c r="K1049" s="38"/>
      <c r="L1049" s="38"/>
    </row>
    <row r="1050" ht="22.5" customHeight="1">
      <c r="A1050" s="36" t="s">
        <v>2784</v>
      </c>
      <c r="B1050" s="36" t="s">
        <v>2785</v>
      </c>
      <c r="C1050" s="36" t="s">
        <v>1495</v>
      </c>
      <c r="D1050" s="36" t="s">
        <v>1496</v>
      </c>
      <c r="E1050" s="36" t="s">
        <v>287</v>
      </c>
      <c r="F1050" s="36" t="s">
        <v>286</v>
      </c>
      <c r="G1050" s="36" t="s">
        <v>411</v>
      </c>
      <c r="H1050" s="37">
        <v>9.0</v>
      </c>
      <c r="I1050" s="36" t="s">
        <v>1301</v>
      </c>
      <c r="J1050" s="39" t="s">
        <v>286</v>
      </c>
      <c r="K1050" s="38"/>
      <c r="L1050" s="38"/>
    </row>
    <row r="1051" ht="22.5" customHeight="1">
      <c r="A1051" s="36" t="s">
        <v>2786</v>
      </c>
      <c r="B1051" s="36" t="s">
        <v>2787</v>
      </c>
      <c r="C1051" s="36" t="s">
        <v>286</v>
      </c>
      <c r="D1051" s="36" t="s">
        <v>286</v>
      </c>
      <c r="E1051" s="36" t="s">
        <v>287</v>
      </c>
      <c r="F1051" s="36" t="s">
        <v>286</v>
      </c>
      <c r="G1051" s="36" t="s">
        <v>411</v>
      </c>
      <c r="H1051" s="37">
        <v>15.53</v>
      </c>
      <c r="I1051" s="36" t="s">
        <v>1301</v>
      </c>
      <c r="J1051" s="39" t="s">
        <v>286</v>
      </c>
      <c r="K1051" s="38"/>
      <c r="L1051" s="38"/>
    </row>
    <row r="1052" ht="22.5" customHeight="1">
      <c r="A1052" s="36" t="s">
        <v>2788</v>
      </c>
      <c r="B1052" s="36" t="s">
        <v>2789</v>
      </c>
      <c r="C1052" s="36" t="s">
        <v>286</v>
      </c>
      <c r="D1052" s="36" t="s">
        <v>286</v>
      </c>
      <c r="E1052" s="36" t="s">
        <v>287</v>
      </c>
      <c r="F1052" s="36" t="s">
        <v>286</v>
      </c>
      <c r="G1052" s="36" t="s">
        <v>411</v>
      </c>
      <c r="H1052" s="37">
        <v>21.65</v>
      </c>
      <c r="I1052" s="36" t="s">
        <v>1301</v>
      </c>
      <c r="J1052" s="39" t="s">
        <v>286</v>
      </c>
      <c r="K1052" s="38"/>
      <c r="L1052" s="38"/>
    </row>
    <row r="1053" ht="22.5" customHeight="1">
      <c r="A1053" s="36" t="s">
        <v>2790</v>
      </c>
      <c r="B1053" s="36" t="s">
        <v>2791</v>
      </c>
      <c r="C1053" s="36" t="s">
        <v>286</v>
      </c>
      <c r="D1053" s="36" t="s">
        <v>286</v>
      </c>
      <c r="E1053" s="36" t="s">
        <v>287</v>
      </c>
      <c r="F1053" s="36" t="s">
        <v>286</v>
      </c>
      <c r="G1053" s="36" t="s">
        <v>411</v>
      </c>
      <c r="H1053" s="37">
        <v>21.94</v>
      </c>
      <c r="I1053" s="36" t="s">
        <v>1301</v>
      </c>
      <c r="J1053" s="39" t="s">
        <v>286</v>
      </c>
      <c r="K1053" s="38"/>
      <c r="L1053" s="38"/>
    </row>
    <row r="1054" ht="22.5" customHeight="1">
      <c r="A1054" s="36" t="s">
        <v>2792</v>
      </c>
      <c r="B1054" s="36" t="s">
        <v>2793</v>
      </c>
      <c r="C1054" s="36" t="s">
        <v>1495</v>
      </c>
      <c r="D1054" s="36" t="s">
        <v>1496</v>
      </c>
      <c r="E1054" s="36" t="s">
        <v>287</v>
      </c>
      <c r="F1054" s="36" t="s">
        <v>286</v>
      </c>
      <c r="G1054" s="36" t="s">
        <v>411</v>
      </c>
      <c r="H1054" s="37">
        <v>39.02</v>
      </c>
      <c r="I1054" s="36" t="s">
        <v>1301</v>
      </c>
      <c r="J1054" s="39" t="s">
        <v>286</v>
      </c>
      <c r="K1054" s="38"/>
      <c r="L1054" s="38"/>
    </row>
    <row r="1055" ht="22.5" customHeight="1">
      <c r="A1055" s="36" t="s">
        <v>2794</v>
      </c>
      <c r="B1055" s="36" t="s">
        <v>2795</v>
      </c>
      <c r="C1055" s="36" t="s">
        <v>1495</v>
      </c>
      <c r="D1055" s="36" t="s">
        <v>1496</v>
      </c>
      <c r="E1055" s="36" t="s">
        <v>287</v>
      </c>
      <c r="F1055" s="36" t="s">
        <v>286</v>
      </c>
      <c r="G1055" s="36" t="s">
        <v>411</v>
      </c>
      <c r="H1055" s="37">
        <v>12.68</v>
      </c>
      <c r="I1055" s="36" t="s">
        <v>1301</v>
      </c>
      <c r="J1055" s="39" t="s">
        <v>286</v>
      </c>
      <c r="K1055" s="38"/>
      <c r="L1055" s="38"/>
    </row>
    <row r="1056" ht="22.5" customHeight="1">
      <c r="A1056" s="36" t="s">
        <v>2796</v>
      </c>
      <c r="B1056" s="36" t="s">
        <v>2797</v>
      </c>
      <c r="C1056" s="36" t="s">
        <v>1495</v>
      </c>
      <c r="D1056" s="36" t="s">
        <v>1496</v>
      </c>
      <c r="E1056" s="36" t="s">
        <v>287</v>
      </c>
      <c r="F1056" s="36" t="s">
        <v>286</v>
      </c>
      <c r="G1056" s="36" t="s">
        <v>411</v>
      </c>
      <c r="H1056" s="37">
        <v>8.56</v>
      </c>
      <c r="I1056" s="36" t="s">
        <v>1301</v>
      </c>
      <c r="J1056" s="39" t="s">
        <v>286</v>
      </c>
      <c r="K1056" s="38"/>
      <c r="L1056" s="38"/>
    </row>
    <row r="1057" ht="22.5" customHeight="1">
      <c r="A1057" s="36" t="s">
        <v>2798</v>
      </c>
      <c r="B1057" s="36" t="s">
        <v>2799</v>
      </c>
      <c r="C1057" s="36" t="s">
        <v>1495</v>
      </c>
      <c r="D1057" s="36" t="s">
        <v>1496</v>
      </c>
      <c r="E1057" s="36" t="s">
        <v>287</v>
      </c>
      <c r="F1057" s="36" t="s">
        <v>286</v>
      </c>
      <c r="G1057" s="36" t="s">
        <v>411</v>
      </c>
      <c r="H1057" s="37">
        <v>38.4</v>
      </c>
      <c r="I1057" s="36" t="s">
        <v>1301</v>
      </c>
      <c r="J1057" s="39" t="s">
        <v>286</v>
      </c>
      <c r="K1057" s="38"/>
      <c r="L1057" s="38"/>
    </row>
    <row r="1058" ht="22.5" customHeight="1">
      <c r="A1058" s="36" t="s">
        <v>2800</v>
      </c>
      <c r="B1058" s="36" t="s">
        <v>2801</v>
      </c>
      <c r="C1058" s="36" t="s">
        <v>1495</v>
      </c>
      <c r="D1058" s="36" t="s">
        <v>1496</v>
      </c>
      <c r="E1058" s="36" t="s">
        <v>287</v>
      </c>
      <c r="F1058" s="36" t="s">
        <v>286</v>
      </c>
      <c r="G1058" s="36" t="s">
        <v>411</v>
      </c>
      <c r="H1058" s="37">
        <v>9.51</v>
      </c>
      <c r="I1058" s="36" t="s">
        <v>1301</v>
      </c>
      <c r="J1058" s="39" t="s">
        <v>286</v>
      </c>
      <c r="K1058" s="38"/>
      <c r="L1058" s="38"/>
    </row>
    <row r="1059" ht="22.5" customHeight="1">
      <c r="A1059" s="36" t="s">
        <v>2802</v>
      </c>
      <c r="B1059" s="36" t="s">
        <v>2803</v>
      </c>
      <c r="C1059" s="36" t="s">
        <v>1495</v>
      </c>
      <c r="D1059" s="36" t="s">
        <v>1496</v>
      </c>
      <c r="E1059" s="36" t="s">
        <v>287</v>
      </c>
      <c r="F1059" s="36" t="s">
        <v>286</v>
      </c>
      <c r="G1059" s="36" t="s">
        <v>411</v>
      </c>
      <c r="H1059" s="37">
        <v>7.05</v>
      </c>
      <c r="I1059" s="36" t="s">
        <v>1301</v>
      </c>
      <c r="J1059" s="39" t="s">
        <v>286</v>
      </c>
      <c r="K1059" s="38"/>
      <c r="L1059" s="38"/>
    </row>
    <row r="1060" ht="22.5" customHeight="1">
      <c r="A1060" s="36" t="s">
        <v>2804</v>
      </c>
      <c r="B1060" s="36" t="s">
        <v>2805</v>
      </c>
      <c r="C1060" s="36" t="s">
        <v>1495</v>
      </c>
      <c r="D1060" s="36" t="s">
        <v>1496</v>
      </c>
      <c r="E1060" s="36" t="s">
        <v>287</v>
      </c>
      <c r="F1060" s="36" t="s">
        <v>286</v>
      </c>
      <c r="G1060" s="36" t="s">
        <v>411</v>
      </c>
      <c r="H1060" s="37">
        <v>0.84</v>
      </c>
      <c r="I1060" s="36" t="s">
        <v>1301</v>
      </c>
      <c r="J1060" s="39" t="s">
        <v>286</v>
      </c>
      <c r="K1060" s="38"/>
      <c r="L1060" s="38"/>
    </row>
    <row r="1061" ht="22.5" customHeight="1">
      <c r="A1061" s="36" t="s">
        <v>2806</v>
      </c>
      <c r="B1061" s="36" t="s">
        <v>2807</v>
      </c>
      <c r="C1061" s="36" t="s">
        <v>1495</v>
      </c>
      <c r="D1061" s="36" t="s">
        <v>1496</v>
      </c>
      <c r="E1061" s="36" t="s">
        <v>287</v>
      </c>
      <c r="F1061" s="36" t="s">
        <v>286</v>
      </c>
      <c r="G1061" s="36" t="s">
        <v>411</v>
      </c>
      <c r="H1061" s="37">
        <v>0.72</v>
      </c>
      <c r="I1061" s="36" t="s">
        <v>1301</v>
      </c>
      <c r="J1061" s="39" t="s">
        <v>286</v>
      </c>
      <c r="K1061" s="38"/>
      <c r="L1061" s="38"/>
    </row>
    <row r="1062" ht="22.5" customHeight="1">
      <c r="A1062" s="36" t="s">
        <v>2808</v>
      </c>
      <c r="B1062" s="36" t="s">
        <v>2809</v>
      </c>
      <c r="C1062" s="36" t="s">
        <v>1495</v>
      </c>
      <c r="D1062" s="36" t="s">
        <v>1496</v>
      </c>
      <c r="E1062" s="36" t="s">
        <v>287</v>
      </c>
      <c r="F1062" s="36" t="s">
        <v>286</v>
      </c>
      <c r="G1062" s="36" t="s">
        <v>411</v>
      </c>
      <c r="H1062" s="37">
        <v>0.43</v>
      </c>
      <c r="I1062" s="36" t="s">
        <v>1301</v>
      </c>
      <c r="J1062" s="39" t="s">
        <v>286</v>
      </c>
      <c r="K1062" s="38"/>
      <c r="L1062" s="38"/>
    </row>
    <row r="1063" ht="22.5" customHeight="1">
      <c r="A1063" s="36" t="s">
        <v>2810</v>
      </c>
      <c r="B1063" s="36" t="s">
        <v>2811</v>
      </c>
      <c r="C1063" s="36" t="s">
        <v>1495</v>
      </c>
      <c r="D1063" s="36" t="s">
        <v>1496</v>
      </c>
      <c r="E1063" s="36" t="s">
        <v>287</v>
      </c>
      <c r="F1063" s="36" t="s">
        <v>286</v>
      </c>
      <c r="G1063" s="36" t="s">
        <v>411</v>
      </c>
      <c r="H1063" s="37">
        <v>0.39</v>
      </c>
      <c r="I1063" s="36" t="s">
        <v>1301</v>
      </c>
      <c r="J1063" s="39" t="s">
        <v>286</v>
      </c>
      <c r="K1063" s="38"/>
      <c r="L1063" s="38"/>
    </row>
    <row r="1064" ht="22.5" customHeight="1">
      <c r="A1064" s="36" t="s">
        <v>2812</v>
      </c>
      <c r="B1064" s="36" t="s">
        <v>2813</v>
      </c>
      <c r="C1064" s="36" t="s">
        <v>1495</v>
      </c>
      <c r="D1064" s="36" t="s">
        <v>1496</v>
      </c>
      <c r="E1064" s="36" t="s">
        <v>287</v>
      </c>
      <c r="F1064" s="36" t="s">
        <v>286</v>
      </c>
      <c r="G1064" s="36" t="s">
        <v>411</v>
      </c>
      <c r="H1064" s="37">
        <v>0.74</v>
      </c>
      <c r="I1064" s="36" t="s">
        <v>1301</v>
      </c>
      <c r="J1064" s="39" t="s">
        <v>286</v>
      </c>
      <c r="K1064" s="38"/>
      <c r="L1064" s="38"/>
    </row>
    <row r="1065" ht="22.5" customHeight="1">
      <c r="A1065" s="36" t="s">
        <v>2814</v>
      </c>
      <c r="B1065" s="36" t="s">
        <v>2815</v>
      </c>
      <c r="C1065" s="36" t="s">
        <v>1495</v>
      </c>
      <c r="D1065" s="36" t="s">
        <v>1496</v>
      </c>
      <c r="E1065" s="36" t="s">
        <v>287</v>
      </c>
      <c r="F1065" s="36" t="s">
        <v>286</v>
      </c>
      <c r="G1065" s="36" t="s">
        <v>411</v>
      </c>
      <c r="H1065" s="37">
        <v>0.21</v>
      </c>
      <c r="I1065" s="36" t="s">
        <v>1301</v>
      </c>
      <c r="J1065" s="39" t="s">
        <v>286</v>
      </c>
      <c r="K1065" s="38"/>
      <c r="L1065" s="38"/>
    </row>
    <row r="1066" ht="22.5" customHeight="1">
      <c r="A1066" s="36" t="s">
        <v>2816</v>
      </c>
      <c r="B1066" s="36" t="s">
        <v>2817</v>
      </c>
      <c r="C1066" s="36" t="s">
        <v>1495</v>
      </c>
      <c r="D1066" s="36" t="s">
        <v>1496</v>
      </c>
      <c r="E1066" s="36" t="s">
        <v>287</v>
      </c>
      <c r="F1066" s="36" t="s">
        <v>286</v>
      </c>
      <c r="G1066" s="36" t="s">
        <v>411</v>
      </c>
      <c r="H1066" s="37">
        <v>0.85</v>
      </c>
      <c r="I1066" s="36" t="s">
        <v>1301</v>
      </c>
      <c r="J1066" s="39" t="s">
        <v>286</v>
      </c>
      <c r="K1066" s="38"/>
      <c r="L1066" s="38"/>
    </row>
    <row r="1067" ht="22.5" customHeight="1">
      <c r="A1067" s="36" t="s">
        <v>2818</v>
      </c>
      <c r="B1067" s="36" t="s">
        <v>2819</v>
      </c>
      <c r="C1067" s="36" t="s">
        <v>1495</v>
      </c>
      <c r="D1067" s="36" t="s">
        <v>1496</v>
      </c>
      <c r="E1067" s="36" t="s">
        <v>287</v>
      </c>
      <c r="F1067" s="36" t="s">
        <v>286</v>
      </c>
      <c r="G1067" s="36" t="s">
        <v>411</v>
      </c>
      <c r="H1067" s="37">
        <v>0.77</v>
      </c>
      <c r="I1067" s="36" t="s">
        <v>1301</v>
      </c>
      <c r="J1067" s="39" t="s">
        <v>286</v>
      </c>
      <c r="K1067" s="38"/>
      <c r="L1067" s="38"/>
    </row>
    <row r="1068" ht="22.5" customHeight="1">
      <c r="A1068" s="36" t="s">
        <v>2820</v>
      </c>
      <c r="B1068" s="36" t="s">
        <v>2821</v>
      </c>
      <c r="C1068" s="36" t="s">
        <v>1495</v>
      </c>
      <c r="D1068" s="36" t="s">
        <v>1496</v>
      </c>
      <c r="E1068" s="36" t="s">
        <v>287</v>
      </c>
      <c r="F1068" s="36" t="s">
        <v>286</v>
      </c>
      <c r="G1068" s="36" t="s">
        <v>411</v>
      </c>
      <c r="H1068" s="37">
        <v>0.81</v>
      </c>
      <c r="I1068" s="36" t="s">
        <v>1301</v>
      </c>
      <c r="J1068" s="39" t="s">
        <v>286</v>
      </c>
      <c r="K1068" s="38"/>
      <c r="L1068" s="38"/>
    </row>
    <row r="1069" ht="22.5" customHeight="1">
      <c r="A1069" s="36" t="s">
        <v>2822</v>
      </c>
      <c r="B1069" s="36" t="s">
        <v>2823</v>
      </c>
      <c r="C1069" s="36" t="s">
        <v>1495</v>
      </c>
      <c r="D1069" s="36" t="s">
        <v>1496</v>
      </c>
      <c r="E1069" s="36" t="s">
        <v>287</v>
      </c>
      <c r="F1069" s="36" t="s">
        <v>286</v>
      </c>
      <c r="G1069" s="36" t="s">
        <v>411</v>
      </c>
      <c r="H1069" s="37">
        <v>0.85</v>
      </c>
      <c r="I1069" s="36" t="s">
        <v>1301</v>
      </c>
      <c r="J1069" s="39" t="s">
        <v>286</v>
      </c>
      <c r="K1069" s="38"/>
      <c r="L1069" s="38"/>
    </row>
    <row r="1070" ht="22.5" customHeight="1">
      <c r="A1070" s="36" t="s">
        <v>2824</v>
      </c>
      <c r="B1070" s="36" t="s">
        <v>2825</v>
      </c>
      <c r="C1070" s="36" t="s">
        <v>1495</v>
      </c>
      <c r="D1070" s="36" t="s">
        <v>1496</v>
      </c>
      <c r="E1070" s="36" t="s">
        <v>287</v>
      </c>
      <c r="F1070" s="36" t="s">
        <v>286</v>
      </c>
      <c r="G1070" s="36" t="s">
        <v>411</v>
      </c>
      <c r="H1070" s="37">
        <v>0.39</v>
      </c>
      <c r="I1070" s="36" t="s">
        <v>1301</v>
      </c>
      <c r="J1070" s="39" t="s">
        <v>286</v>
      </c>
      <c r="K1070" s="38"/>
      <c r="L1070" s="38"/>
    </row>
    <row r="1071" ht="22.5" customHeight="1">
      <c r="A1071" s="36" t="s">
        <v>2826</v>
      </c>
      <c r="B1071" s="36" t="s">
        <v>2827</v>
      </c>
      <c r="C1071" s="36" t="s">
        <v>1495</v>
      </c>
      <c r="D1071" s="36" t="s">
        <v>1496</v>
      </c>
      <c r="E1071" s="36" t="s">
        <v>287</v>
      </c>
      <c r="F1071" s="36" t="s">
        <v>286</v>
      </c>
      <c r="G1071" s="36" t="s">
        <v>411</v>
      </c>
      <c r="H1071" s="37">
        <v>1.88</v>
      </c>
      <c r="I1071" s="36" t="s">
        <v>1301</v>
      </c>
      <c r="J1071" s="39" t="s">
        <v>286</v>
      </c>
      <c r="K1071" s="38"/>
      <c r="L1071" s="38"/>
    </row>
    <row r="1072" ht="22.5" customHeight="1">
      <c r="A1072" s="36" t="s">
        <v>2828</v>
      </c>
      <c r="B1072" s="36" t="s">
        <v>2829</v>
      </c>
      <c r="C1072" s="36" t="s">
        <v>1495</v>
      </c>
      <c r="D1072" s="36" t="s">
        <v>1496</v>
      </c>
      <c r="E1072" s="36" t="s">
        <v>287</v>
      </c>
      <c r="F1072" s="36" t="s">
        <v>286</v>
      </c>
      <c r="G1072" s="36" t="s">
        <v>411</v>
      </c>
      <c r="H1072" s="37">
        <v>0.43</v>
      </c>
      <c r="I1072" s="36" t="s">
        <v>1301</v>
      </c>
      <c r="J1072" s="39" t="s">
        <v>286</v>
      </c>
      <c r="K1072" s="38"/>
      <c r="L1072" s="38"/>
    </row>
    <row r="1073" ht="22.5" customHeight="1">
      <c r="A1073" s="36" t="s">
        <v>2830</v>
      </c>
      <c r="B1073" s="36" t="s">
        <v>2831</v>
      </c>
      <c r="C1073" s="36" t="s">
        <v>1495</v>
      </c>
      <c r="D1073" s="36" t="s">
        <v>1496</v>
      </c>
      <c r="E1073" s="36" t="s">
        <v>287</v>
      </c>
      <c r="F1073" s="36" t="s">
        <v>286</v>
      </c>
      <c r="G1073" s="36" t="s">
        <v>411</v>
      </c>
      <c r="H1073" s="37">
        <v>5.1</v>
      </c>
      <c r="I1073" s="36" t="s">
        <v>1301</v>
      </c>
      <c r="J1073" s="39" t="s">
        <v>286</v>
      </c>
      <c r="K1073" s="38"/>
      <c r="L1073" s="38"/>
    </row>
    <row r="1074" ht="22.5" customHeight="1">
      <c r="A1074" s="36" t="s">
        <v>2832</v>
      </c>
      <c r="B1074" s="36" t="s">
        <v>2833</v>
      </c>
      <c r="C1074" s="36" t="s">
        <v>1495</v>
      </c>
      <c r="D1074" s="36" t="s">
        <v>1496</v>
      </c>
      <c r="E1074" s="36" t="s">
        <v>287</v>
      </c>
      <c r="F1074" s="36" t="s">
        <v>286</v>
      </c>
      <c r="G1074" s="36" t="s">
        <v>411</v>
      </c>
      <c r="H1074" s="37">
        <v>2.09</v>
      </c>
      <c r="I1074" s="36" t="s">
        <v>1301</v>
      </c>
      <c r="J1074" s="39" t="s">
        <v>286</v>
      </c>
      <c r="K1074" s="38"/>
      <c r="L1074" s="38"/>
    </row>
    <row r="1075" ht="22.5" customHeight="1">
      <c r="A1075" s="36" t="s">
        <v>2834</v>
      </c>
      <c r="B1075" s="36" t="s">
        <v>2835</v>
      </c>
      <c r="C1075" s="36" t="s">
        <v>286</v>
      </c>
      <c r="D1075" s="36" t="s">
        <v>286</v>
      </c>
      <c r="E1075" s="36" t="s">
        <v>287</v>
      </c>
      <c r="F1075" s="36" t="s">
        <v>286</v>
      </c>
      <c r="G1075" s="36" t="s">
        <v>300</v>
      </c>
      <c r="H1075" s="37">
        <v>7370.0</v>
      </c>
      <c r="I1075" s="36" t="s">
        <v>849</v>
      </c>
      <c r="J1075" s="39" t="s">
        <v>286</v>
      </c>
      <c r="K1075" s="38"/>
      <c r="L1075" s="38"/>
    </row>
    <row r="1076" ht="22.5" customHeight="1">
      <c r="A1076" s="36" t="s">
        <v>2836</v>
      </c>
      <c r="B1076" s="36" t="s">
        <v>2837</v>
      </c>
      <c r="C1076" s="36" t="s">
        <v>1495</v>
      </c>
      <c r="D1076" s="36" t="s">
        <v>1496</v>
      </c>
      <c r="E1076" s="36" t="s">
        <v>287</v>
      </c>
      <c r="F1076" s="36" t="s">
        <v>286</v>
      </c>
      <c r="G1076" s="36" t="s">
        <v>411</v>
      </c>
      <c r="H1076" s="37">
        <v>17.2</v>
      </c>
      <c r="I1076" s="36" t="s">
        <v>1301</v>
      </c>
      <c r="J1076" s="39" t="s">
        <v>286</v>
      </c>
      <c r="K1076" s="38"/>
      <c r="L1076" s="38"/>
    </row>
    <row r="1077" ht="22.5" customHeight="1">
      <c r="A1077" s="36" t="s">
        <v>2838</v>
      </c>
      <c r="B1077" s="36" t="s">
        <v>2839</v>
      </c>
      <c r="C1077" s="36" t="s">
        <v>1495</v>
      </c>
      <c r="D1077" s="36" t="s">
        <v>1496</v>
      </c>
      <c r="E1077" s="36" t="s">
        <v>287</v>
      </c>
      <c r="F1077" s="36" t="s">
        <v>286</v>
      </c>
      <c r="G1077" s="36" t="s">
        <v>411</v>
      </c>
      <c r="H1077" s="37">
        <v>8.19</v>
      </c>
      <c r="I1077" s="36" t="s">
        <v>1301</v>
      </c>
      <c r="J1077" s="39" t="s">
        <v>286</v>
      </c>
      <c r="K1077" s="38"/>
      <c r="L1077" s="38"/>
    </row>
    <row r="1078" ht="22.5" customHeight="1">
      <c r="A1078" s="36" t="s">
        <v>2840</v>
      </c>
      <c r="B1078" s="36" t="s">
        <v>2841</v>
      </c>
      <c r="C1078" s="36" t="s">
        <v>1495</v>
      </c>
      <c r="D1078" s="36" t="s">
        <v>1496</v>
      </c>
      <c r="E1078" s="36" t="s">
        <v>287</v>
      </c>
      <c r="F1078" s="36" t="s">
        <v>286</v>
      </c>
      <c r="G1078" s="36" t="s">
        <v>411</v>
      </c>
      <c r="H1078" s="37">
        <v>28.25</v>
      </c>
      <c r="I1078" s="36" t="s">
        <v>1301</v>
      </c>
      <c r="J1078" s="39" t="s">
        <v>286</v>
      </c>
      <c r="K1078" s="38"/>
      <c r="L1078" s="38"/>
    </row>
    <row r="1079" ht="22.5" customHeight="1">
      <c r="A1079" s="36" t="s">
        <v>2842</v>
      </c>
      <c r="B1079" s="36" t="s">
        <v>2843</v>
      </c>
      <c r="C1079" s="36" t="s">
        <v>1495</v>
      </c>
      <c r="D1079" s="36" t="s">
        <v>1496</v>
      </c>
      <c r="E1079" s="36" t="s">
        <v>287</v>
      </c>
      <c r="F1079" s="36" t="s">
        <v>286</v>
      </c>
      <c r="G1079" s="36" t="s">
        <v>411</v>
      </c>
      <c r="H1079" s="37">
        <v>9.62</v>
      </c>
      <c r="I1079" s="36" t="s">
        <v>1301</v>
      </c>
      <c r="J1079" s="39" t="s">
        <v>286</v>
      </c>
      <c r="K1079" s="38"/>
      <c r="L1079" s="38"/>
    </row>
    <row r="1080" ht="22.5" customHeight="1">
      <c r="A1080" s="36" t="s">
        <v>2844</v>
      </c>
      <c r="B1080" s="36" t="s">
        <v>2845</v>
      </c>
      <c r="C1080" s="36" t="s">
        <v>1495</v>
      </c>
      <c r="D1080" s="36" t="s">
        <v>1496</v>
      </c>
      <c r="E1080" s="36" t="s">
        <v>287</v>
      </c>
      <c r="F1080" s="36" t="s">
        <v>286</v>
      </c>
      <c r="G1080" s="36" t="s">
        <v>411</v>
      </c>
      <c r="H1080" s="37">
        <v>7.64</v>
      </c>
      <c r="I1080" s="36" t="s">
        <v>1301</v>
      </c>
      <c r="J1080" s="39" t="s">
        <v>286</v>
      </c>
      <c r="K1080" s="38"/>
      <c r="L1080" s="38"/>
    </row>
    <row r="1081" ht="22.5" customHeight="1">
      <c r="A1081" s="36" t="s">
        <v>2846</v>
      </c>
      <c r="B1081" s="36" t="s">
        <v>2847</v>
      </c>
      <c r="C1081" s="36" t="s">
        <v>1495</v>
      </c>
      <c r="D1081" s="36" t="s">
        <v>1496</v>
      </c>
      <c r="E1081" s="36" t="s">
        <v>287</v>
      </c>
      <c r="F1081" s="36" t="s">
        <v>286</v>
      </c>
      <c r="G1081" s="36" t="s">
        <v>411</v>
      </c>
      <c r="H1081" s="37">
        <v>8.44</v>
      </c>
      <c r="I1081" s="36" t="s">
        <v>1301</v>
      </c>
      <c r="J1081" s="39" t="s">
        <v>286</v>
      </c>
      <c r="K1081" s="38"/>
      <c r="L1081" s="38"/>
    </row>
    <row r="1082" ht="22.5" customHeight="1">
      <c r="A1082" s="36" t="s">
        <v>2848</v>
      </c>
      <c r="B1082" s="36" t="s">
        <v>2849</v>
      </c>
      <c r="C1082" s="36" t="s">
        <v>1495</v>
      </c>
      <c r="D1082" s="36" t="s">
        <v>1496</v>
      </c>
      <c r="E1082" s="36" t="s">
        <v>287</v>
      </c>
      <c r="F1082" s="36" t="s">
        <v>286</v>
      </c>
      <c r="G1082" s="36" t="s">
        <v>411</v>
      </c>
      <c r="H1082" s="37">
        <v>44.87</v>
      </c>
      <c r="I1082" s="36" t="s">
        <v>1301</v>
      </c>
      <c r="J1082" s="39" t="s">
        <v>286</v>
      </c>
      <c r="K1082" s="38"/>
      <c r="L1082" s="38"/>
    </row>
    <row r="1083" ht="22.5" customHeight="1">
      <c r="A1083" s="36" t="s">
        <v>2850</v>
      </c>
      <c r="B1083" s="36" t="s">
        <v>2851</v>
      </c>
      <c r="C1083" s="36" t="s">
        <v>1495</v>
      </c>
      <c r="D1083" s="36" t="s">
        <v>1496</v>
      </c>
      <c r="E1083" s="36" t="s">
        <v>287</v>
      </c>
      <c r="F1083" s="36" t="s">
        <v>286</v>
      </c>
      <c r="G1083" s="36" t="s">
        <v>411</v>
      </c>
      <c r="H1083" s="37">
        <v>22.92</v>
      </c>
      <c r="I1083" s="36" t="s">
        <v>1301</v>
      </c>
      <c r="J1083" s="39" t="s">
        <v>286</v>
      </c>
      <c r="K1083" s="38"/>
      <c r="L1083" s="38"/>
    </row>
    <row r="1084" ht="22.5" customHeight="1">
      <c r="A1084" s="36" t="s">
        <v>2852</v>
      </c>
      <c r="B1084" s="36" t="s">
        <v>2853</v>
      </c>
      <c r="C1084" s="36" t="s">
        <v>1495</v>
      </c>
      <c r="D1084" s="36" t="s">
        <v>1496</v>
      </c>
      <c r="E1084" s="36" t="s">
        <v>287</v>
      </c>
      <c r="F1084" s="36" t="s">
        <v>286</v>
      </c>
      <c r="G1084" s="36" t="s">
        <v>411</v>
      </c>
      <c r="H1084" s="37">
        <v>57.75</v>
      </c>
      <c r="I1084" s="36" t="s">
        <v>1301</v>
      </c>
      <c r="J1084" s="39" t="s">
        <v>286</v>
      </c>
      <c r="K1084" s="38"/>
      <c r="L1084" s="38"/>
    </row>
    <row r="1085" ht="22.5" customHeight="1">
      <c r="A1085" s="36" t="s">
        <v>2854</v>
      </c>
      <c r="B1085" s="36" t="s">
        <v>2855</v>
      </c>
      <c r="C1085" s="36" t="s">
        <v>1495</v>
      </c>
      <c r="D1085" s="36" t="s">
        <v>1496</v>
      </c>
      <c r="E1085" s="36" t="s">
        <v>287</v>
      </c>
      <c r="F1085" s="36" t="s">
        <v>286</v>
      </c>
      <c r="G1085" s="36" t="s">
        <v>411</v>
      </c>
      <c r="H1085" s="37">
        <v>52.75</v>
      </c>
      <c r="I1085" s="36" t="s">
        <v>1301</v>
      </c>
      <c r="J1085" s="39" t="s">
        <v>286</v>
      </c>
      <c r="K1085" s="38"/>
      <c r="L1085" s="38"/>
    </row>
    <row r="1086" ht="22.5" customHeight="1">
      <c r="A1086" s="36" t="s">
        <v>2856</v>
      </c>
      <c r="B1086" s="36" t="s">
        <v>2857</v>
      </c>
      <c r="C1086" s="36" t="s">
        <v>1495</v>
      </c>
      <c r="D1086" s="36" t="s">
        <v>1496</v>
      </c>
      <c r="E1086" s="36" t="s">
        <v>287</v>
      </c>
      <c r="F1086" s="36" t="s">
        <v>286</v>
      </c>
      <c r="G1086" s="36" t="s">
        <v>411</v>
      </c>
      <c r="H1086" s="37">
        <v>123.33</v>
      </c>
      <c r="I1086" s="36" t="s">
        <v>1301</v>
      </c>
      <c r="J1086" s="39" t="s">
        <v>286</v>
      </c>
      <c r="K1086" s="38"/>
      <c r="L1086" s="38"/>
    </row>
    <row r="1087" ht="22.5" customHeight="1">
      <c r="A1087" s="36" t="s">
        <v>2858</v>
      </c>
      <c r="B1087" s="36" t="s">
        <v>2859</v>
      </c>
      <c r="C1087" s="36" t="s">
        <v>1495</v>
      </c>
      <c r="D1087" s="36" t="s">
        <v>1496</v>
      </c>
      <c r="E1087" s="36" t="s">
        <v>287</v>
      </c>
      <c r="F1087" s="36" t="s">
        <v>286</v>
      </c>
      <c r="G1087" s="36" t="s">
        <v>411</v>
      </c>
      <c r="H1087" s="37">
        <v>33.0</v>
      </c>
      <c r="I1087" s="36" t="s">
        <v>1301</v>
      </c>
      <c r="J1087" s="39" t="s">
        <v>286</v>
      </c>
      <c r="K1087" s="38"/>
      <c r="L1087" s="38"/>
    </row>
    <row r="1088" ht="22.5" customHeight="1">
      <c r="A1088" s="36" t="s">
        <v>2860</v>
      </c>
      <c r="B1088" s="36" t="s">
        <v>2861</v>
      </c>
      <c r="C1088" s="36" t="s">
        <v>1495</v>
      </c>
      <c r="D1088" s="36" t="s">
        <v>1496</v>
      </c>
      <c r="E1088" s="36" t="s">
        <v>287</v>
      </c>
      <c r="F1088" s="36" t="s">
        <v>286</v>
      </c>
      <c r="G1088" s="36" t="s">
        <v>411</v>
      </c>
      <c r="H1088" s="37">
        <v>1.85</v>
      </c>
      <c r="I1088" s="36" t="s">
        <v>1301</v>
      </c>
      <c r="J1088" s="39" t="s">
        <v>286</v>
      </c>
      <c r="K1088" s="38"/>
      <c r="L1088" s="38"/>
    </row>
    <row r="1089" ht="22.5" customHeight="1">
      <c r="A1089" s="36" t="s">
        <v>2862</v>
      </c>
      <c r="B1089" s="36" t="s">
        <v>2863</v>
      </c>
      <c r="C1089" s="36" t="s">
        <v>1495</v>
      </c>
      <c r="D1089" s="36" t="s">
        <v>1496</v>
      </c>
      <c r="E1089" s="36" t="s">
        <v>287</v>
      </c>
      <c r="F1089" s="36" t="s">
        <v>286</v>
      </c>
      <c r="G1089" s="36" t="s">
        <v>411</v>
      </c>
      <c r="H1089" s="37">
        <v>51.0</v>
      </c>
      <c r="I1089" s="36" t="s">
        <v>1301</v>
      </c>
      <c r="J1089" s="39" t="s">
        <v>286</v>
      </c>
      <c r="K1089" s="38"/>
      <c r="L1089" s="38"/>
    </row>
    <row r="1090" ht="22.5" customHeight="1">
      <c r="A1090" s="36" t="s">
        <v>2864</v>
      </c>
      <c r="B1090" s="36" t="s">
        <v>2865</v>
      </c>
      <c r="C1090" s="36" t="s">
        <v>1495</v>
      </c>
      <c r="D1090" s="36" t="s">
        <v>1496</v>
      </c>
      <c r="E1090" s="36" t="s">
        <v>287</v>
      </c>
      <c r="F1090" s="36" t="s">
        <v>286</v>
      </c>
      <c r="G1090" s="36" t="s">
        <v>411</v>
      </c>
      <c r="H1090" s="37">
        <v>220.0</v>
      </c>
      <c r="I1090" s="36" t="s">
        <v>1301</v>
      </c>
      <c r="J1090" s="39" t="s">
        <v>286</v>
      </c>
      <c r="K1090" s="38"/>
      <c r="L1090" s="38"/>
    </row>
    <row r="1091" ht="22.5" customHeight="1">
      <c r="A1091" s="36" t="s">
        <v>2866</v>
      </c>
      <c r="B1091" s="36" t="s">
        <v>2867</v>
      </c>
      <c r="C1091" s="36" t="s">
        <v>1495</v>
      </c>
      <c r="D1091" s="36" t="s">
        <v>1496</v>
      </c>
      <c r="E1091" s="36" t="s">
        <v>287</v>
      </c>
      <c r="F1091" s="36" t="s">
        <v>286</v>
      </c>
      <c r="G1091" s="36" t="s">
        <v>411</v>
      </c>
      <c r="H1091" s="37">
        <v>250.0</v>
      </c>
      <c r="I1091" s="36" t="s">
        <v>1301</v>
      </c>
      <c r="J1091" s="39" t="s">
        <v>286</v>
      </c>
      <c r="K1091" s="38"/>
      <c r="L1091" s="38"/>
    </row>
    <row r="1092" ht="22.5" customHeight="1">
      <c r="A1092" s="36" t="s">
        <v>2868</v>
      </c>
      <c r="B1092" s="36" t="s">
        <v>2869</v>
      </c>
      <c r="C1092" s="36" t="s">
        <v>1495</v>
      </c>
      <c r="D1092" s="36" t="s">
        <v>1496</v>
      </c>
      <c r="E1092" s="36" t="s">
        <v>287</v>
      </c>
      <c r="F1092" s="36" t="s">
        <v>286</v>
      </c>
      <c r="G1092" s="36" t="s">
        <v>411</v>
      </c>
      <c r="H1092" s="37">
        <v>11.71</v>
      </c>
      <c r="I1092" s="36" t="s">
        <v>1301</v>
      </c>
      <c r="J1092" s="39" t="s">
        <v>286</v>
      </c>
      <c r="K1092" s="38"/>
      <c r="L1092" s="38"/>
    </row>
    <row r="1093" ht="22.5" customHeight="1">
      <c r="A1093" s="36" t="s">
        <v>2870</v>
      </c>
      <c r="B1093" s="36" t="s">
        <v>2871</v>
      </c>
      <c r="C1093" s="36" t="s">
        <v>1495</v>
      </c>
      <c r="D1093" s="36" t="s">
        <v>1496</v>
      </c>
      <c r="E1093" s="36" t="s">
        <v>287</v>
      </c>
      <c r="F1093" s="36" t="s">
        <v>286</v>
      </c>
      <c r="G1093" s="36" t="s">
        <v>411</v>
      </c>
      <c r="H1093" s="37">
        <v>12.24</v>
      </c>
      <c r="I1093" s="36" t="s">
        <v>1301</v>
      </c>
      <c r="J1093" s="39" t="s">
        <v>286</v>
      </c>
      <c r="K1093" s="38"/>
      <c r="L1093" s="38"/>
    </row>
    <row r="1094" ht="22.5" customHeight="1">
      <c r="A1094" s="36" t="s">
        <v>2872</v>
      </c>
      <c r="B1094" s="36" t="s">
        <v>2873</v>
      </c>
      <c r="C1094" s="36" t="s">
        <v>1495</v>
      </c>
      <c r="D1094" s="36" t="s">
        <v>1496</v>
      </c>
      <c r="E1094" s="36" t="s">
        <v>287</v>
      </c>
      <c r="F1094" s="36" t="s">
        <v>286</v>
      </c>
      <c r="G1094" s="36" t="s">
        <v>411</v>
      </c>
      <c r="H1094" s="37">
        <v>16.09</v>
      </c>
      <c r="I1094" s="36" t="s">
        <v>1301</v>
      </c>
      <c r="J1094" s="39" t="s">
        <v>286</v>
      </c>
      <c r="K1094" s="38"/>
      <c r="L1094" s="38"/>
    </row>
    <row r="1095" ht="22.5" customHeight="1">
      <c r="A1095" s="36" t="s">
        <v>2874</v>
      </c>
      <c r="B1095" s="36" t="s">
        <v>2875</v>
      </c>
      <c r="C1095" s="36" t="s">
        <v>1495</v>
      </c>
      <c r="D1095" s="36" t="s">
        <v>1496</v>
      </c>
      <c r="E1095" s="36" t="s">
        <v>287</v>
      </c>
      <c r="F1095" s="36" t="s">
        <v>286</v>
      </c>
      <c r="G1095" s="36" t="s">
        <v>411</v>
      </c>
      <c r="H1095" s="37">
        <v>18.26</v>
      </c>
      <c r="I1095" s="36" t="s">
        <v>1301</v>
      </c>
      <c r="J1095" s="39" t="s">
        <v>286</v>
      </c>
      <c r="K1095" s="38"/>
      <c r="L1095" s="38"/>
    </row>
    <row r="1096" ht="22.5" customHeight="1">
      <c r="A1096" s="36" t="s">
        <v>2876</v>
      </c>
      <c r="B1096" s="36" t="s">
        <v>2877</v>
      </c>
      <c r="C1096" s="36" t="s">
        <v>1495</v>
      </c>
      <c r="D1096" s="36" t="s">
        <v>1496</v>
      </c>
      <c r="E1096" s="36" t="s">
        <v>287</v>
      </c>
      <c r="F1096" s="36" t="s">
        <v>286</v>
      </c>
      <c r="G1096" s="36" t="s">
        <v>411</v>
      </c>
      <c r="H1096" s="37">
        <v>20.65</v>
      </c>
      <c r="I1096" s="36" t="s">
        <v>1301</v>
      </c>
      <c r="J1096" s="39" t="s">
        <v>286</v>
      </c>
      <c r="K1096" s="38"/>
      <c r="L1096" s="38"/>
    </row>
    <row r="1097" ht="22.5" customHeight="1">
      <c r="A1097" s="36" t="s">
        <v>2878</v>
      </c>
      <c r="B1097" s="36" t="s">
        <v>2879</v>
      </c>
      <c r="C1097" s="36" t="s">
        <v>1495</v>
      </c>
      <c r="D1097" s="36" t="s">
        <v>1496</v>
      </c>
      <c r="E1097" s="36" t="s">
        <v>287</v>
      </c>
      <c r="F1097" s="36" t="s">
        <v>286</v>
      </c>
      <c r="G1097" s="36" t="s">
        <v>411</v>
      </c>
      <c r="H1097" s="37">
        <v>15.96</v>
      </c>
      <c r="I1097" s="36" t="s">
        <v>1301</v>
      </c>
      <c r="J1097" s="39" t="s">
        <v>286</v>
      </c>
      <c r="K1097" s="38"/>
      <c r="L1097" s="38"/>
    </row>
    <row r="1098" ht="22.5" customHeight="1">
      <c r="A1098" s="36" t="s">
        <v>2880</v>
      </c>
      <c r="B1098" s="36" t="s">
        <v>2881</v>
      </c>
      <c r="C1098" s="36" t="s">
        <v>1495</v>
      </c>
      <c r="D1098" s="36" t="s">
        <v>1496</v>
      </c>
      <c r="E1098" s="36" t="s">
        <v>287</v>
      </c>
      <c r="F1098" s="36" t="s">
        <v>286</v>
      </c>
      <c r="G1098" s="36" t="s">
        <v>411</v>
      </c>
      <c r="H1098" s="37">
        <v>11.3</v>
      </c>
      <c r="I1098" s="36" t="s">
        <v>1301</v>
      </c>
      <c r="J1098" s="39" t="s">
        <v>286</v>
      </c>
      <c r="K1098" s="38"/>
      <c r="L1098" s="38"/>
    </row>
    <row r="1099" ht="22.5" customHeight="1">
      <c r="A1099" s="36" t="s">
        <v>2882</v>
      </c>
      <c r="B1099" s="36" t="s">
        <v>2883</v>
      </c>
      <c r="C1099" s="36" t="s">
        <v>1495</v>
      </c>
      <c r="D1099" s="36" t="s">
        <v>1496</v>
      </c>
      <c r="E1099" s="36" t="s">
        <v>287</v>
      </c>
      <c r="F1099" s="36" t="s">
        <v>286</v>
      </c>
      <c r="G1099" s="36" t="s">
        <v>411</v>
      </c>
      <c r="H1099" s="37">
        <v>36.62</v>
      </c>
      <c r="I1099" s="36" t="s">
        <v>1301</v>
      </c>
      <c r="J1099" s="39" t="s">
        <v>286</v>
      </c>
      <c r="K1099" s="38"/>
      <c r="L1099" s="38"/>
    </row>
    <row r="1100" ht="22.5" customHeight="1">
      <c r="A1100" s="36" t="s">
        <v>2884</v>
      </c>
      <c r="B1100" s="36" t="s">
        <v>2885</v>
      </c>
      <c r="C1100" s="36" t="s">
        <v>1495</v>
      </c>
      <c r="D1100" s="36" t="s">
        <v>1496</v>
      </c>
      <c r="E1100" s="36" t="s">
        <v>287</v>
      </c>
      <c r="F1100" s="36" t="s">
        <v>286</v>
      </c>
      <c r="G1100" s="36" t="s">
        <v>411</v>
      </c>
      <c r="H1100" s="37">
        <v>40.12</v>
      </c>
      <c r="I1100" s="36" t="s">
        <v>1301</v>
      </c>
      <c r="J1100" s="39" t="s">
        <v>286</v>
      </c>
      <c r="K1100" s="38"/>
      <c r="L1100" s="38"/>
    </row>
    <row r="1101" ht="22.5" customHeight="1">
      <c r="A1101" s="36" t="s">
        <v>2886</v>
      </c>
      <c r="B1101" s="36" t="s">
        <v>2887</v>
      </c>
      <c r="C1101" s="36" t="s">
        <v>1495</v>
      </c>
      <c r="D1101" s="36" t="s">
        <v>1496</v>
      </c>
      <c r="E1101" s="36" t="s">
        <v>287</v>
      </c>
      <c r="F1101" s="36" t="s">
        <v>286</v>
      </c>
      <c r="G1101" s="36" t="s">
        <v>411</v>
      </c>
      <c r="H1101" s="37">
        <v>37.45</v>
      </c>
      <c r="I1101" s="36" t="s">
        <v>1301</v>
      </c>
      <c r="J1101" s="39" t="s">
        <v>286</v>
      </c>
      <c r="K1101" s="38"/>
      <c r="L1101" s="38"/>
    </row>
    <row r="1102" ht="22.5" customHeight="1">
      <c r="A1102" s="36" t="s">
        <v>2888</v>
      </c>
      <c r="B1102" s="36" t="s">
        <v>2889</v>
      </c>
      <c r="C1102" s="36" t="s">
        <v>1495</v>
      </c>
      <c r="D1102" s="36" t="s">
        <v>1496</v>
      </c>
      <c r="E1102" s="36" t="s">
        <v>287</v>
      </c>
      <c r="F1102" s="36" t="s">
        <v>286</v>
      </c>
      <c r="G1102" s="36" t="s">
        <v>411</v>
      </c>
      <c r="H1102" s="37">
        <v>13.16</v>
      </c>
      <c r="I1102" s="36" t="s">
        <v>1301</v>
      </c>
      <c r="J1102" s="39" t="s">
        <v>286</v>
      </c>
      <c r="K1102" s="38"/>
      <c r="L1102" s="38"/>
    </row>
    <row r="1103" ht="22.5" customHeight="1">
      <c r="A1103" s="36" t="s">
        <v>2890</v>
      </c>
      <c r="B1103" s="36" t="s">
        <v>2891</v>
      </c>
      <c r="C1103" s="36" t="s">
        <v>1495</v>
      </c>
      <c r="D1103" s="36" t="s">
        <v>1496</v>
      </c>
      <c r="E1103" s="36" t="s">
        <v>287</v>
      </c>
      <c r="F1103" s="36" t="s">
        <v>286</v>
      </c>
      <c r="G1103" s="36" t="s">
        <v>411</v>
      </c>
      <c r="H1103" s="37">
        <v>19.33</v>
      </c>
      <c r="I1103" s="36" t="s">
        <v>1301</v>
      </c>
      <c r="J1103" s="39" t="s">
        <v>286</v>
      </c>
      <c r="K1103" s="38"/>
      <c r="L1103" s="38"/>
    </row>
    <row r="1104" ht="22.5" customHeight="1">
      <c r="A1104" s="36" t="s">
        <v>2892</v>
      </c>
      <c r="B1104" s="36" t="s">
        <v>2893</v>
      </c>
      <c r="C1104" s="36" t="s">
        <v>1495</v>
      </c>
      <c r="D1104" s="36" t="s">
        <v>1496</v>
      </c>
      <c r="E1104" s="36" t="s">
        <v>287</v>
      </c>
      <c r="F1104" s="36" t="s">
        <v>286</v>
      </c>
      <c r="G1104" s="36" t="s">
        <v>411</v>
      </c>
      <c r="H1104" s="37">
        <v>40.09</v>
      </c>
      <c r="I1104" s="36" t="s">
        <v>1301</v>
      </c>
      <c r="J1104" s="39" t="s">
        <v>286</v>
      </c>
      <c r="K1104" s="38"/>
      <c r="L1104" s="38"/>
    </row>
    <row r="1105" ht="22.5" customHeight="1">
      <c r="A1105" s="36" t="s">
        <v>2894</v>
      </c>
      <c r="B1105" s="36" t="s">
        <v>2895</v>
      </c>
      <c r="C1105" s="36" t="s">
        <v>1495</v>
      </c>
      <c r="D1105" s="36" t="s">
        <v>1496</v>
      </c>
      <c r="E1105" s="36" t="s">
        <v>287</v>
      </c>
      <c r="F1105" s="36" t="s">
        <v>286</v>
      </c>
      <c r="G1105" s="36" t="s">
        <v>411</v>
      </c>
      <c r="H1105" s="37">
        <v>44.0</v>
      </c>
      <c r="I1105" s="36" t="s">
        <v>1301</v>
      </c>
      <c r="J1105" s="39" t="s">
        <v>286</v>
      </c>
      <c r="K1105" s="38"/>
      <c r="L1105" s="38"/>
    </row>
    <row r="1106" ht="22.5" customHeight="1">
      <c r="A1106" s="36" t="s">
        <v>2896</v>
      </c>
      <c r="B1106" s="36" t="s">
        <v>2897</v>
      </c>
      <c r="C1106" s="36" t="s">
        <v>1495</v>
      </c>
      <c r="D1106" s="36" t="s">
        <v>1496</v>
      </c>
      <c r="E1106" s="36" t="s">
        <v>287</v>
      </c>
      <c r="F1106" s="36" t="s">
        <v>286</v>
      </c>
      <c r="G1106" s="36" t="s">
        <v>411</v>
      </c>
      <c r="H1106" s="37">
        <v>44.0</v>
      </c>
      <c r="I1106" s="36" t="s">
        <v>1301</v>
      </c>
      <c r="J1106" s="39" t="s">
        <v>286</v>
      </c>
      <c r="K1106" s="38"/>
      <c r="L1106" s="38"/>
    </row>
    <row r="1107" ht="22.5" customHeight="1">
      <c r="A1107" s="36" t="s">
        <v>2898</v>
      </c>
      <c r="B1107" s="36" t="s">
        <v>2899</v>
      </c>
      <c r="C1107" s="36" t="s">
        <v>1495</v>
      </c>
      <c r="D1107" s="36" t="s">
        <v>1496</v>
      </c>
      <c r="E1107" s="36" t="s">
        <v>287</v>
      </c>
      <c r="F1107" s="36" t="s">
        <v>286</v>
      </c>
      <c r="G1107" s="36" t="s">
        <v>411</v>
      </c>
      <c r="H1107" s="37">
        <v>40.0</v>
      </c>
      <c r="I1107" s="36" t="s">
        <v>1301</v>
      </c>
      <c r="J1107" s="39" t="s">
        <v>286</v>
      </c>
      <c r="K1107" s="38"/>
      <c r="L1107" s="38"/>
    </row>
    <row r="1108" ht="22.5" customHeight="1">
      <c r="A1108" s="36" t="s">
        <v>2900</v>
      </c>
      <c r="B1108" s="36" t="s">
        <v>2901</v>
      </c>
      <c r="C1108" s="36" t="s">
        <v>1495</v>
      </c>
      <c r="D1108" s="36" t="s">
        <v>1496</v>
      </c>
      <c r="E1108" s="36" t="s">
        <v>287</v>
      </c>
      <c r="F1108" s="36" t="s">
        <v>286</v>
      </c>
      <c r="G1108" s="36" t="s">
        <v>411</v>
      </c>
      <c r="H1108" s="37">
        <v>8.01</v>
      </c>
      <c r="I1108" s="36" t="s">
        <v>1301</v>
      </c>
      <c r="J1108" s="39" t="s">
        <v>286</v>
      </c>
      <c r="K1108" s="38"/>
      <c r="L1108" s="38"/>
    </row>
    <row r="1109" ht="22.5" customHeight="1">
      <c r="A1109" s="36" t="s">
        <v>2902</v>
      </c>
      <c r="B1109" s="36" t="s">
        <v>2903</v>
      </c>
      <c r="C1109" s="36" t="s">
        <v>1495</v>
      </c>
      <c r="D1109" s="36" t="s">
        <v>1496</v>
      </c>
      <c r="E1109" s="36" t="s">
        <v>287</v>
      </c>
      <c r="F1109" s="36" t="s">
        <v>286</v>
      </c>
      <c r="G1109" s="36" t="s">
        <v>411</v>
      </c>
      <c r="H1109" s="37">
        <v>6.22</v>
      </c>
      <c r="I1109" s="36" t="s">
        <v>1301</v>
      </c>
      <c r="J1109" s="39" t="s">
        <v>286</v>
      </c>
      <c r="K1109" s="38"/>
      <c r="L1109" s="38"/>
    </row>
    <row r="1110" ht="22.5" customHeight="1">
      <c r="A1110" s="36" t="s">
        <v>2904</v>
      </c>
      <c r="B1110" s="36" t="s">
        <v>2905</v>
      </c>
      <c r="C1110" s="36" t="s">
        <v>1495</v>
      </c>
      <c r="D1110" s="36" t="s">
        <v>1496</v>
      </c>
      <c r="E1110" s="36" t="s">
        <v>287</v>
      </c>
      <c r="F1110" s="36" t="s">
        <v>286</v>
      </c>
      <c r="G1110" s="36" t="s">
        <v>411</v>
      </c>
      <c r="H1110" s="37">
        <v>9.62</v>
      </c>
      <c r="I1110" s="36" t="s">
        <v>1301</v>
      </c>
      <c r="J1110" s="39" t="s">
        <v>286</v>
      </c>
      <c r="K1110" s="38"/>
      <c r="L1110" s="38"/>
    </row>
    <row r="1111" ht="22.5" customHeight="1">
      <c r="A1111" s="36" t="s">
        <v>2906</v>
      </c>
      <c r="B1111" s="36" t="s">
        <v>2907</v>
      </c>
      <c r="C1111" s="36" t="s">
        <v>1495</v>
      </c>
      <c r="D1111" s="36" t="s">
        <v>1496</v>
      </c>
      <c r="E1111" s="36" t="s">
        <v>287</v>
      </c>
      <c r="F1111" s="36" t="s">
        <v>286</v>
      </c>
      <c r="G1111" s="36" t="s">
        <v>411</v>
      </c>
      <c r="H1111" s="37">
        <v>145.22</v>
      </c>
      <c r="I1111" s="36" t="s">
        <v>1301</v>
      </c>
      <c r="J1111" s="39" t="s">
        <v>286</v>
      </c>
      <c r="K1111" s="38"/>
      <c r="L1111" s="38"/>
    </row>
    <row r="1112" ht="22.5" customHeight="1">
      <c r="A1112" s="36" t="s">
        <v>2908</v>
      </c>
      <c r="B1112" s="36" t="s">
        <v>2909</v>
      </c>
      <c r="C1112" s="36" t="s">
        <v>1495</v>
      </c>
      <c r="D1112" s="36" t="s">
        <v>1496</v>
      </c>
      <c r="E1112" s="36" t="s">
        <v>287</v>
      </c>
      <c r="F1112" s="36" t="s">
        <v>286</v>
      </c>
      <c r="G1112" s="36" t="s">
        <v>411</v>
      </c>
      <c r="H1112" s="37">
        <v>104.55</v>
      </c>
      <c r="I1112" s="36" t="s">
        <v>1301</v>
      </c>
      <c r="J1112" s="39" t="s">
        <v>286</v>
      </c>
      <c r="K1112" s="38"/>
      <c r="L1112" s="38"/>
    </row>
    <row r="1113" ht="22.5" customHeight="1">
      <c r="A1113" s="36" t="s">
        <v>2910</v>
      </c>
      <c r="B1113" s="36" t="s">
        <v>2911</v>
      </c>
      <c r="C1113" s="36" t="s">
        <v>1495</v>
      </c>
      <c r="D1113" s="36" t="s">
        <v>1496</v>
      </c>
      <c r="E1113" s="36" t="s">
        <v>287</v>
      </c>
      <c r="F1113" s="36" t="s">
        <v>286</v>
      </c>
      <c r="G1113" s="36" t="s">
        <v>411</v>
      </c>
      <c r="H1113" s="37">
        <v>71.92</v>
      </c>
      <c r="I1113" s="36" t="s">
        <v>1301</v>
      </c>
      <c r="J1113" s="39" t="s">
        <v>286</v>
      </c>
      <c r="K1113" s="38"/>
      <c r="L1113" s="38"/>
    </row>
    <row r="1114" ht="22.5" customHeight="1">
      <c r="A1114" s="36" t="s">
        <v>2912</v>
      </c>
      <c r="B1114" s="36" t="s">
        <v>2913</v>
      </c>
      <c r="C1114" s="36" t="s">
        <v>1495</v>
      </c>
      <c r="D1114" s="36" t="s">
        <v>1496</v>
      </c>
      <c r="E1114" s="36" t="s">
        <v>287</v>
      </c>
      <c r="F1114" s="36" t="s">
        <v>286</v>
      </c>
      <c r="G1114" s="36" t="s">
        <v>411</v>
      </c>
      <c r="H1114" s="37">
        <v>57.6</v>
      </c>
      <c r="I1114" s="36" t="s">
        <v>1301</v>
      </c>
      <c r="J1114" s="39" t="s">
        <v>286</v>
      </c>
      <c r="K1114" s="38"/>
      <c r="L1114" s="38"/>
    </row>
    <row r="1115" ht="22.5" customHeight="1">
      <c r="A1115" s="36" t="s">
        <v>2914</v>
      </c>
      <c r="B1115" s="36" t="s">
        <v>2915</v>
      </c>
      <c r="C1115" s="36" t="s">
        <v>1495</v>
      </c>
      <c r="D1115" s="36" t="s">
        <v>1496</v>
      </c>
      <c r="E1115" s="36" t="s">
        <v>287</v>
      </c>
      <c r="F1115" s="36" t="s">
        <v>286</v>
      </c>
      <c r="G1115" s="36" t="s">
        <v>411</v>
      </c>
      <c r="H1115" s="37">
        <v>23.21</v>
      </c>
      <c r="I1115" s="36" t="s">
        <v>1301</v>
      </c>
      <c r="J1115" s="39" t="s">
        <v>286</v>
      </c>
      <c r="K1115" s="38"/>
      <c r="L1115" s="38"/>
    </row>
    <row r="1116" ht="22.5" customHeight="1">
      <c r="A1116" s="36" t="s">
        <v>2916</v>
      </c>
      <c r="B1116" s="36" t="s">
        <v>2917</v>
      </c>
      <c r="C1116" s="36" t="s">
        <v>1495</v>
      </c>
      <c r="D1116" s="36" t="s">
        <v>1496</v>
      </c>
      <c r="E1116" s="36" t="s">
        <v>287</v>
      </c>
      <c r="F1116" s="36" t="s">
        <v>286</v>
      </c>
      <c r="G1116" s="36" t="s">
        <v>411</v>
      </c>
      <c r="H1116" s="37">
        <v>7.76</v>
      </c>
      <c r="I1116" s="36" t="s">
        <v>1301</v>
      </c>
      <c r="J1116" s="39" t="s">
        <v>286</v>
      </c>
      <c r="K1116" s="38"/>
      <c r="L1116" s="38"/>
    </row>
    <row r="1117" ht="22.5" customHeight="1">
      <c r="A1117" s="36" t="s">
        <v>2918</v>
      </c>
      <c r="B1117" s="36" t="s">
        <v>2919</v>
      </c>
      <c r="C1117" s="36" t="s">
        <v>1495</v>
      </c>
      <c r="D1117" s="36" t="s">
        <v>1496</v>
      </c>
      <c r="E1117" s="36" t="s">
        <v>287</v>
      </c>
      <c r="F1117" s="36" t="s">
        <v>286</v>
      </c>
      <c r="G1117" s="36" t="s">
        <v>411</v>
      </c>
      <c r="H1117" s="37">
        <v>8.9</v>
      </c>
      <c r="I1117" s="36" t="s">
        <v>1301</v>
      </c>
      <c r="J1117" s="39" t="s">
        <v>286</v>
      </c>
      <c r="K1117" s="38"/>
      <c r="L1117" s="38"/>
    </row>
    <row r="1118" ht="22.5" customHeight="1">
      <c r="A1118" s="36" t="s">
        <v>2920</v>
      </c>
      <c r="B1118" s="36" t="s">
        <v>2921</v>
      </c>
      <c r="C1118" s="36" t="s">
        <v>1495</v>
      </c>
      <c r="D1118" s="36" t="s">
        <v>1496</v>
      </c>
      <c r="E1118" s="36" t="s">
        <v>287</v>
      </c>
      <c r="F1118" s="36" t="s">
        <v>286</v>
      </c>
      <c r="G1118" s="36" t="s">
        <v>411</v>
      </c>
      <c r="H1118" s="37">
        <v>38.14</v>
      </c>
      <c r="I1118" s="36" t="s">
        <v>1301</v>
      </c>
      <c r="J1118" s="39" t="s">
        <v>286</v>
      </c>
      <c r="K1118" s="38"/>
      <c r="L1118" s="38"/>
    </row>
    <row r="1119" ht="22.5" customHeight="1">
      <c r="A1119" s="36" t="s">
        <v>2922</v>
      </c>
      <c r="B1119" s="36" t="s">
        <v>2923</v>
      </c>
      <c r="C1119" s="36" t="s">
        <v>1495</v>
      </c>
      <c r="D1119" s="36" t="s">
        <v>1496</v>
      </c>
      <c r="E1119" s="36" t="s">
        <v>287</v>
      </c>
      <c r="F1119" s="36" t="s">
        <v>286</v>
      </c>
      <c r="G1119" s="36" t="s">
        <v>411</v>
      </c>
      <c r="H1119" s="37">
        <v>11.71</v>
      </c>
      <c r="I1119" s="36" t="s">
        <v>1301</v>
      </c>
      <c r="J1119" s="39" t="s">
        <v>286</v>
      </c>
      <c r="K1119" s="38"/>
      <c r="L1119" s="38"/>
    </row>
    <row r="1120" ht="22.5" customHeight="1">
      <c r="A1120" s="36" t="s">
        <v>2924</v>
      </c>
      <c r="B1120" s="36" t="s">
        <v>2925</v>
      </c>
      <c r="C1120" s="36" t="s">
        <v>1495</v>
      </c>
      <c r="D1120" s="36" t="s">
        <v>1496</v>
      </c>
      <c r="E1120" s="36" t="s">
        <v>287</v>
      </c>
      <c r="F1120" s="36" t="s">
        <v>286</v>
      </c>
      <c r="G1120" s="36" t="s">
        <v>411</v>
      </c>
      <c r="H1120" s="37">
        <v>12.24</v>
      </c>
      <c r="I1120" s="36" t="s">
        <v>1301</v>
      </c>
      <c r="J1120" s="39" t="s">
        <v>286</v>
      </c>
      <c r="K1120" s="38"/>
      <c r="L1120" s="38"/>
    </row>
    <row r="1121" ht="22.5" customHeight="1">
      <c r="A1121" s="36" t="s">
        <v>2926</v>
      </c>
      <c r="B1121" s="36" t="s">
        <v>2927</v>
      </c>
      <c r="C1121" s="36" t="s">
        <v>1495</v>
      </c>
      <c r="D1121" s="36" t="s">
        <v>1496</v>
      </c>
      <c r="E1121" s="36" t="s">
        <v>287</v>
      </c>
      <c r="F1121" s="36" t="s">
        <v>286</v>
      </c>
      <c r="G1121" s="36" t="s">
        <v>411</v>
      </c>
      <c r="H1121" s="37">
        <v>11.03</v>
      </c>
      <c r="I1121" s="36" t="s">
        <v>1301</v>
      </c>
      <c r="J1121" s="39" t="s">
        <v>286</v>
      </c>
      <c r="K1121" s="38"/>
      <c r="L1121" s="38"/>
    </row>
    <row r="1122" ht="22.5" customHeight="1">
      <c r="A1122" s="36" t="s">
        <v>2928</v>
      </c>
      <c r="B1122" s="36" t="s">
        <v>2929</v>
      </c>
      <c r="C1122" s="36" t="s">
        <v>1495</v>
      </c>
      <c r="D1122" s="36" t="s">
        <v>1496</v>
      </c>
      <c r="E1122" s="36" t="s">
        <v>287</v>
      </c>
      <c r="F1122" s="36" t="s">
        <v>286</v>
      </c>
      <c r="G1122" s="36" t="s">
        <v>411</v>
      </c>
      <c r="H1122" s="37">
        <v>62.52</v>
      </c>
      <c r="I1122" s="36" t="s">
        <v>1301</v>
      </c>
      <c r="J1122" s="39" t="s">
        <v>286</v>
      </c>
      <c r="K1122" s="38"/>
      <c r="L1122" s="38"/>
    </row>
    <row r="1123" ht="22.5" customHeight="1">
      <c r="A1123" s="36" t="s">
        <v>2930</v>
      </c>
      <c r="B1123" s="36" t="s">
        <v>2931</v>
      </c>
      <c r="C1123" s="36" t="s">
        <v>1495</v>
      </c>
      <c r="D1123" s="36" t="s">
        <v>1496</v>
      </c>
      <c r="E1123" s="36" t="s">
        <v>287</v>
      </c>
      <c r="F1123" s="36" t="s">
        <v>286</v>
      </c>
      <c r="G1123" s="36" t="s">
        <v>411</v>
      </c>
      <c r="H1123" s="37">
        <v>75.0</v>
      </c>
      <c r="I1123" s="36" t="s">
        <v>1301</v>
      </c>
      <c r="J1123" s="39" t="s">
        <v>286</v>
      </c>
      <c r="K1123" s="38"/>
      <c r="L1123" s="38"/>
    </row>
    <row r="1124" ht="22.5" customHeight="1">
      <c r="A1124" s="36" t="s">
        <v>2932</v>
      </c>
      <c r="B1124" s="36" t="s">
        <v>2933</v>
      </c>
      <c r="C1124" s="36" t="s">
        <v>1495</v>
      </c>
      <c r="D1124" s="36" t="s">
        <v>1496</v>
      </c>
      <c r="E1124" s="36" t="s">
        <v>287</v>
      </c>
      <c r="F1124" s="36" t="s">
        <v>286</v>
      </c>
      <c r="G1124" s="36" t="s">
        <v>411</v>
      </c>
      <c r="H1124" s="37">
        <v>74.59</v>
      </c>
      <c r="I1124" s="36" t="s">
        <v>1301</v>
      </c>
      <c r="J1124" s="39" t="s">
        <v>286</v>
      </c>
      <c r="K1124" s="38"/>
      <c r="L1124" s="38"/>
    </row>
    <row r="1125" ht="22.5" customHeight="1">
      <c r="A1125" s="36" t="s">
        <v>2934</v>
      </c>
      <c r="B1125" s="36" t="s">
        <v>2935</v>
      </c>
      <c r="C1125" s="36" t="s">
        <v>1495</v>
      </c>
      <c r="D1125" s="36" t="s">
        <v>1496</v>
      </c>
      <c r="E1125" s="36" t="s">
        <v>287</v>
      </c>
      <c r="F1125" s="36" t="s">
        <v>286</v>
      </c>
      <c r="G1125" s="36" t="s">
        <v>411</v>
      </c>
      <c r="H1125" s="37">
        <v>74.42</v>
      </c>
      <c r="I1125" s="36" t="s">
        <v>1301</v>
      </c>
      <c r="J1125" s="39" t="s">
        <v>286</v>
      </c>
      <c r="K1125" s="38"/>
      <c r="L1125" s="38"/>
    </row>
    <row r="1126" ht="22.5" customHeight="1">
      <c r="A1126" s="36" t="s">
        <v>2936</v>
      </c>
      <c r="B1126" s="36" t="s">
        <v>2937</v>
      </c>
      <c r="C1126" s="36" t="s">
        <v>1495</v>
      </c>
      <c r="D1126" s="36" t="s">
        <v>1496</v>
      </c>
      <c r="E1126" s="36" t="s">
        <v>287</v>
      </c>
      <c r="F1126" s="36" t="s">
        <v>286</v>
      </c>
      <c r="G1126" s="36" t="s">
        <v>411</v>
      </c>
      <c r="H1126" s="37">
        <v>49.14</v>
      </c>
      <c r="I1126" s="36" t="s">
        <v>1301</v>
      </c>
      <c r="J1126" s="39" t="s">
        <v>286</v>
      </c>
      <c r="K1126" s="38"/>
      <c r="L1126" s="38"/>
    </row>
    <row r="1127" ht="22.5" customHeight="1">
      <c r="A1127" s="36" t="s">
        <v>2938</v>
      </c>
      <c r="B1127" s="36" t="s">
        <v>2939</v>
      </c>
      <c r="C1127" s="36" t="s">
        <v>1495</v>
      </c>
      <c r="D1127" s="36" t="s">
        <v>1496</v>
      </c>
      <c r="E1127" s="36" t="s">
        <v>287</v>
      </c>
      <c r="F1127" s="36" t="s">
        <v>286</v>
      </c>
      <c r="G1127" s="36" t="s">
        <v>411</v>
      </c>
      <c r="H1127" s="37">
        <v>34.37</v>
      </c>
      <c r="I1127" s="36" t="s">
        <v>1301</v>
      </c>
      <c r="J1127" s="39" t="s">
        <v>286</v>
      </c>
      <c r="K1127" s="38"/>
      <c r="L1127" s="38"/>
    </row>
    <row r="1128" ht="22.5" customHeight="1">
      <c r="A1128" s="36" t="s">
        <v>2940</v>
      </c>
      <c r="B1128" s="36" t="s">
        <v>2941</v>
      </c>
      <c r="C1128" s="36" t="s">
        <v>1495</v>
      </c>
      <c r="D1128" s="36" t="s">
        <v>1496</v>
      </c>
      <c r="E1128" s="36" t="s">
        <v>287</v>
      </c>
      <c r="F1128" s="36" t="s">
        <v>286</v>
      </c>
      <c r="G1128" s="36" t="s">
        <v>411</v>
      </c>
      <c r="H1128" s="37">
        <v>43.1</v>
      </c>
      <c r="I1128" s="36" t="s">
        <v>1301</v>
      </c>
      <c r="J1128" s="39" t="s">
        <v>286</v>
      </c>
      <c r="K1128" s="38"/>
      <c r="L1128" s="38"/>
    </row>
    <row r="1129" ht="22.5" customHeight="1">
      <c r="A1129" s="36" t="s">
        <v>2942</v>
      </c>
      <c r="B1129" s="36" t="s">
        <v>2943</v>
      </c>
      <c r="C1129" s="36" t="s">
        <v>1495</v>
      </c>
      <c r="D1129" s="36" t="s">
        <v>1496</v>
      </c>
      <c r="E1129" s="36" t="s">
        <v>287</v>
      </c>
      <c r="F1129" s="36" t="s">
        <v>286</v>
      </c>
      <c r="G1129" s="36" t="s">
        <v>411</v>
      </c>
      <c r="H1129" s="37">
        <v>22.22</v>
      </c>
      <c r="I1129" s="36" t="s">
        <v>1301</v>
      </c>
      <c r="J1129" s="39" t="s">
        <v>286</v>
      </c>
      <c r="K1129" s="38"/>
      <c r="L1129" s="38"/>
    </row>
    <row r="1130" ht="22.5" customHeight="1">
      <c r="A1130" s="36" t="s">
        <v>2944</v>
      </c>
      <c r="B1130" s="36" t="s">
        <v>2945</v>
      </c>
      <c r="C1130" s="36" t="s">
        <v>1495</v>
      </c>
      <c r="D1130" s="36" t="s">
        <v>1496</v>
      </c>
      <c r="E1130" s="36" t="s">
        <v>287</v>
      </c>
      <c r="F1130" s="36" t="s">
        <v>286</v>
      </c>
      <c r="G1130" s="36" t="s">
        <v>411</v>
      </c>
      <c r="H1130" s="37">
        <v>19.97</v>
      </c>
      <c r="I1130" s="36" t="s">
        <v>1301</v>
      </c>
      <c r="J1130" s="39" t="s">
        <v>286</v>
      </c>
      <c r="K1130" s="38"/>
      <c r="L1130" s="38"/>
    </row>
    <row r="1131" ht="22.5" customHeight="1">
      <c r="A1131" s="36" t="s">
        <v>2946</v>
      </c>
      <c r="B1131" s="36" t="s">
        <v>2947</v>
      </c>
      <c r="C1131" s="36" t="s">
        <v>1495</v>
      </c>
      <c r="D1131" s="36" t="s">
        <v>1496</v>
      </c>
      <c r="E1131" s="36" t="s">
        <v>287</v>
      </c>
      <c r="F1131" s="36" t="s">
        <v>286</v>
      </c>
      <c r="G1131" s="36" t="s">
        <v>411</v>
      </c>
      <c r="H1131" s="37">
        <v>22.06</v>
      </c>
      <c r="I1131" s="36" t="s">
        <v>1301</v>
      </c>
      <c r="J1131" s="39" t="s">
        <v>286</v>
      </c>
      <c r="K1131" s="38"/>
      <c r="L1131" s="38"/>
    </row>
    <row r="1132" ht="22.5" customHeight="1">
      <c r="A1132" s="36" t="s">
        <v>2948</v>
      </c>
      <c r="B1132" s="36" t="s">
        <v>2949</v>
      </c>
      <c r="C1132" s="36" t="s">
        <v>1495</v>
      </c>
      <c r="D1132" s="36" t="s">
        <v>1496</v>
      </c>
      <c r="E1132" s="36" t="s">
        <v>287</v>
      </c>
      <c r="F1132" s="36" t="s">
        <v>286</v>
      </c>
      <c r="G1132" s="36" t="s">
        <v>411</v>
      </c>
      <c r="H1132" s="37">
        <v>14.15</v>
      </c>
      <c r="I1132" s="36" t="s">
        <v>1301</v>
      </c>
      <c r="J1132" s="39" t="s">
        <v>286</v>
      </c>
      <c r="K1132" s="38"/>
      <c r="L1132" s="38"/>
    </row>
    <row r="1133" ht="22.5" customHeight="1">
      <c r="A1133" s="36" t="s">
        <v>2950</v>
      </c>
      <c r="B1133" s="36" t="s">
        <v>2951</v>
      </c>
      <c r="C1133" s="36" t="s">
        <v>1495</v>
      </c>
      <c r="D1133" s="36" t="s">
        <v>1496</v>
      </c>
      <c r="E1133" s="36" t="s">
        <v>287</v>
      </c>
      <c r="F1133" s="36" t="s">
        <v>286</v>
      </c>
      <c r="G1133" s="36" t="s">
        <v>411</v>
      </c>
      <c r="H1133" s="37">
        <v>18.43</v>
      </c>
      <c r="I1133" s="36" t="s">
        <v>1301</v>
      </c>
      <c r="J1133" s="39" t="s">
        <v>286</v>
      </c>
      <c r="K1133" s="38"/>
      <c r="L1133" s="38"/>
    </row>
    <row r="1134" ht="22.5" customHeight="1">
      <c r="A1134" s="36" t="s">
        <v>2952</v>
      </c>
      <c r="B1134" s="36" t="s">
        <v>2953</v>
      </c>
      <c r="C1134" s="36" t="s">
        <v>1495</v>
      </c>
      <c r="D1134" s="36" t="s">
        <v>1496</v>
      </c>
      <c r="E1134" s="36" t="s">
        <v>287</v>
      </c>
      <c r="F1134" s="36" t="s">
        <v>286</v>
      </c>
      <c r="G1134" s="36" t="s">
        <v>411</v>
      </c>
      <c r="H1134" s="37">
        <v>18.42</v>
      </c>
      <c r="I1134" s="36" t="s">
        <v>1301</v>
      </c>
      <c r="J1134" s="39" t="s">
        <v>286</v>
      </c>
      <c r="K1134" s="38"/>
      <c r="L1134" s="38"/>
    </row>
    <row r="1135" ht="22.5" customHeight="1">
      <c r="A1135" s="36" t="s">
        <v>2954</v>
      </c>
      <c r="B1135" s="36" t="s">
        <v>2955</v>
      </c>
      <c r="C1135" s="36" t="s">
        <v>1495</v>
      </c>
      <c r="D1135" s="36" t="s">
        <v>1496</v>
      </c>
      <c r="E1135" s="36" t="s">
        <v>287</v>
      </c>
      <c r="F1135" s="36" t="s">
        <v>286</v>
      </c>
      <c r="G1135" s="36" t="s">
        <v>411</v>
      </c>
      <c r="H1135" s="37">
        <v>19.61</v>
      </c>
      <c r="I1135" s="36" t="s">
        <v>1301</v>
      </c>
      <c r="J1135" s="39" t="s">
        <v>286</v>
      </c>
      <c r="K1135" s="38"/>
      <c r="L1135" s="38"/>
    </row>
    <row r="1136" ht="22.5" customHeight="1">
      <c r="A1136" s="36" t="s">
        <v>2956</v>
      </c>
      <c r="B1136" s="36" t="s">
        <v>2957</v>
      </c>
      <c r="C1136" s="36" t="s">
        <v>1495</v>
      </c>
      <c r="D1136" s="36" t="s">
        <v>1496</v>
      </c>
      <c r="E1136" s="36" t="s">
        <v>287</v>
      </c>
      <c r="F1136" s="36" t="s">
        <v>286</v>
      </c>
      <c r="G1136" s="36" t="s">
        <v>411</v>
      </c>
      <c r="H1136" s="37">
        <v>14.15</v>
      </c>
      <c r="I1136" s="36" t="s">
        <v>1301</v>
      </c>
      <c r="J1136" s="39" t="s">
        <v>286</v>
      </c>
      <c r="K1136" s="38"/>
      <c r="L1136" s="38"/>
    </row>
    <row r="1137" ht="22.5" customHeight="1">
      <c r="A1137" s="36" t="s">
        <v>2958</v>
      </c>
      <c r="B1137" s="36" t="s">
        <v>2959</v>
      </c>
      <c r="C1137" s="36" t="s">
        <v>1495</v>
      </c>
      <c r="D1137" s="36" t="s">
        <v>1496</v>
      </c>
      <c r="E1137" s="36" t="s">
        <v>287</v>
      </c>
      <c r="F1137" s="36" t="s">
        <v>286</v>
      </c>
      <c r="G1137" s="36" t="s">
        <v>411</v>
      </c>
      <c r="H1137" s="37">
        <v>19.91</v>
      </c>
      <c r="I1137" s="36" t="s">
        <v>1301</v>
      </c>
      <c r="J1137" s="39" t="s">
        <v>286</v>
      </c>
      <c r="K1137" s="38"/>
      <c r="L1137" s="38"/>
    </row>
    <row r="1138" ht="22.5" customHeight="1">
      <c r="A1138" s="36" t="s">
        <v>2960</v>
      </c>
      <c r="B1138" s="36" t="s">
        <v>2961</v>
      </c>
      <c r="C1138" s="36" t="s">
        <v>1495</v>
      </c>
      <c r="D1138" s="36" t="s">
        <v>1496</v>
      </c>
      <c r="E1138" s="36" t="s">
        <v>287</v>
      </c>
      <c r="F1138" s="36" t="s">
        <v>286</v>
      </c>
      <c r="G1138" s="36" t="s">
        <v>411</v>
      </c>
      <c r="H1138" s="37">
        <v>60.17</v>
      </c>
      <c r="I1138" s="36" t="s">
        <v>1301</v>
      </c>
      <c r="J1138" s="39" t="s">
        <v>286</v>
      </c>
      <c r="K1138" s="38"/>
      <c r="L1138" s="38"/>
    </row>
    <row r="1139" ht="22.5" customHeight="1">
      <c r="A1139" s="36" t="s">
        <v>2962</v>
      </c>
      <c r="B1139" s="36" t="s">
        <v>2963</v>
      </c>
      <c r="C1139" s="36" t="s">
        <v>1495</v>
      </c>
      <c r="D1139" s="36" t="s">
        <v>1496</v>
      </c>
      <c r="E1139" s="36" t="s">
        <v>287</v>
      </c>
      <c r="F1139" s="36" t="s">
        <v>286</v>
      </c>
      <c r="G1139" s="36" t="s">
        <v>411</v>
      </c>
      <c r="H1139" s="37">
        <v>106.13</v>
      </c>
      <c r="I1139" s="36" t="s">
        <v>1301</v>
      </c>
      <c r="J1139" s="39" t="s">
        <v>286</v>
      </c>
      <c r="K1139" s="38"/>
      <c r="L1139" s="38"/>
    </row>
    <row r="1140" ht="22.5" customHeight="1">
      <c r="A1140" s="36" t="s">
        <v>2964</v>
      </c>
      <c r="B1140" s="36" t="s">
        <v>2965</v>
      </c>
      <c r="C1140" s="36" t="s">
        <v>1495</v>
      </c>
      <c r="D1140" s="36" t="s">
        <v>1496</v>
      </c>
      <c r="E1140" s="36" t="s">
        <v>287</v>
      </c>
      <c r="F1140" s="36" t="s">
        <v>286</v>
      </c>
      <c r="G1140" s="36" t="s">
        <v>411</v>
      </c>
      <c r="H1140" s="37">
        <v>60.2</v>
      </c>
      <c r="I1140" s="36" t="s">
        <v>1301</v>
      </c>
      <c r="J1140" s="39" t="s">
        <v>286</v>
      </c>
      <c r="K1140" s="38"/>
      <c r="L1140" s="38"/>
    </row>
    <row r="1141" ht="22.5" customHeight="1">
      <c r="A1141" s="36" t="s">
        <v>2966</v>
      </c>
      <c r="B1141" s="36" t="s">
        <v>2967</v>
      </c>
      <c r="C1141" s="36" t="s">
        <v>1495</v>
      </c>
      <c r="D1141" s="36" t="s">
        <v>1496</v>
      </c>
      <c r="E1141" s="36" t="s">
        <v>287</v>
      </c>
      <c r="F1141" s="36" t="s">
        <v>286</v>
      </c>
      <c r="G1141" s="36" t="s">
        <v>411</v>
      </c>
      <c r="H1141" s="37">
        <v>18.07</v>
      </c>
      <c r="I1141" s="36" t="s">
        <v>1301</v>
      </c>
      <c r="J1141" s="39" t="s">
        <v>286</v>
      </c>
      <c r="K1141" s="38"/>
      <c r="L1141" s="38"/>
    </row>
    <row r="1142" ht="22.5" customHeight="1">
      <c r="A1142" s="36" t="s">
        <v>2968</v>
      </c>
      <c r="B1142" s="36" t="s">
        <v>2969</v>
      </c>
      <c r="C1142" s="36" t="s">
        <v>1495</v>
      </c>
      <c r="D1142" s="36" t="s">
        <v>1496</v>
      </c>
      <c r="E1142" s="36" t="s">
        <v>287</v>
      </c>
      <c r="F1142" s="36" t="s">
        <v>286</v>
      </c>
      <c r="G1142" s="36" t="s">
        <v>411</v>
      </c>
      <c r="H1142" s="37">
        <v>22.51</v>
      </c>
      <c r="I1142" s="36" t="s">
        <v>1301</v>
      </c>
      <c r="J1142" s="39" t="s">
        <v>286</v>
      </c>
      <c r="K1142" s="38"/>
      <c r="L1142" s="38"/>
    </row>
    <row r="1143" ht="22.5" customHeight="1">
      <c r="A1143" s="36" t="s">
        <v>2970</v>
      </c>
      <c r="B1143" s="36" t="s">
        <v>2971</v>
      </c>
      <c r="C1143" s="36" t="s">
        <v>1495</v>
      </c>
      <c r="D1143" s="36" t="s">
        <v>1496</v>
      </c>
      <c r="E1143" s="36" t="s">
        <v>287</v>
      </c>
      <c r="F1143" s="36" t="s">
        <v>286</v>
      </c>
      <c r="G1143" s="36" t="s">
        <v>411</v>
      </c>
      <c r="H1143" s="37">
        <v>13.29</v>
      </c>
      <c r="I1143" s="36" t="s">
        <v>1301</v>
      </c>
      <c r="J1143" s="39" t="s">
        <v>286</v>
      </c>
      <c r="K1143" s="38"/>
      <c r="L1143" s="38"/>
    </row>
    <row r="1144" ht="22.5" customHeight="1">
      <c r="A1144" s="36" t="s">
        <v>2972</v>
      </c>
      <c r="B1144" s="36" t="s">
        <v>2973</v>
      </c>
      <c r="C1144" s="36" t="s">
        <v>1495</v>
      </c>
      <c r="D1144" s="36" t="s">
        <v>1496</v>
      </c>
      <c r="E1144" s="36" t="s">
        <v>287</v>
      </c>
      <c r="F1144" s="36" t="s">
        <v>286</v>
      </c>
      <c r="G1144" s="36" t="s">
        <v>411</v>
      </c>
      <c r="H1144" s="37">
        <v>15.02</v>
      </c>
      <c r="I1144" s="36" t="s">
        <v>1301</v>
      </c>
      <c r="J1144" s="39" t="s">
        <v>286</v>
      </c>
      <c r="K1144" s="38"/>
      <c r="L1144" s="38"/>
    </row>
    <row r="1145" ht="22.5" customHeight="1">
      <c r="A1145" s="36" t="s">
        <v>2974</v>
      </c>
      <c r="B1145" s="36" t="s">
        <v>2975</v>
      </c>
      <c r="C1145" s="36" t="s">
        <v>1495</v>
      </c>
      <c r="D1145" s="36" t="s">
        <v>1496</v>
      </c>
      <c r="E1145" s="36" t="s">
        <v>287</v>
      </c>
      <c r="F1145" s="36" t="s">
        <v>286</v>
      </c>
      <c r="G1145" s="36" t="s">
        <v>411</v>
      </c>
      <c r="H1145" s="37">
        <v>11.27</v>
      </c>
      <c r="I1145" s="36" t="s">
        <v>1301</v>
      </c>
      <c r="J1145" s="39" t="s">
        <v>286</v>
      </c>
      <c r="K1145" s="38"/>
      <c r="L1145" s="38"/>
    </row>
    <row r="1146" ht="22.5" customHeight="1">
      <c r="A1146" s="36" t="s">
        <v>2976</v>
      </c>
      <c r="B1146" s="36" t="s">
        <v>2977</v>
      </c>
      <c r="C1146" s="36" t="s">
        <v>1495</v>
      </c>
      <c r="D1146" s="36" t="s">
        <v>1496</v>
      </c>
      <c r="E1146" s="36" t="s">
        <v>287</v>
      </c>
      <c r="F1146" s="36" t="s">
        <v>286</v>
      </c>
      <c r="G1146" s="36" t="s">
        <v>411</v>
      </c>
      <c r="H1146" s="37">
        <v>14.03</v>
      </c>
      <c r="I1146" s="36" t="s">
        <v>1301</v>
      </c>
      <c r="J1146" s="39" t="s">
        <v>286</v>
      </c>
      <c r="K1146" s="38"/>
      <c r="L1146" s="38"/>
    </row>
    <row r="1147" ht="22.5" customHeight="1">
      <c r="A1147" s="36" t="s">
        <v>2978</v>
      </c>
      <c r="B1147" s="36" t="s">
        <v>2979</v>
      </c>
      <c r="C1147" s="36" t="s">
        <v>1495</v>
      </c>
      <c r="D1147" s="36" t="s">
        <v>1496</v>
      </c>
      <c r="E1147" s="36" t="s">
        <v>287</v>
      </c>
      <c r="F1147" s="36" t="s">
        <v>286</v>
      </c>
      <c r="G1147" s="36" t="s">
        <v>411</v>
      </c>
      <c r="H1147" s="37">
        <v>11.72</v>
      </c>
      <c r="I1147" s="36" t="s">
        <v>1301</v>
      </c>
      <c r="J1147" s="39" t="s">
        <v>286</v>
      </c>
      <c r="K1147" s="38"/>
      <c r="L1147" s="38"/>
    </row>
    <row r="1148" ht="22.5" customHeight="1">
      <c r="A1148" s="36" t="s">
        <v>2980</v>
      </c>
      <c r="B1148" s="36" t="s">
        <v>2981</v>
      </c>
      <c r="C1148" s="36" t="s">
        <v>1495</v>
      </c>
      <c r="D1148" s="36" t="s">
        <v>1496</v>
      </c>
      <c r="E1148" s="36" t="s">
        <v>287</v>
      </c>
      <c r="F1148" s="36" t="s">
        <v>286</v>
      </c>
      <c r="G1148" s="36" t="s">
        <v>411</v>
      </c>
      <c r="H1148" s="37">
        <v>14.22</v>
      </c>
      <c r="I1148" s="36" t="s">
        <v>1301</v>
      </c>
      <c r="J1148" s="39" t="s">
        <v>286</v>
      </c>
      <c r="K1148" s="38"/>
      <c r="L1148" s="38"/>
    </row>
    <row r="1149" ht="22.5" customHeight="1">
      <c r="A1149" s="36" t="s">
        <v>2982</v>
      </c>
      <c r="B1149" s="36" t="s">
        <v>2983</v>
      </c>
      <c r="C1149" s="36" t="s">
        <v>1495</v>
      </c>
      <c r="D1149" s="36" t="s">
        <v>1496</v>
      </c>
      <c r="E1149" s="36" t="s">
        <v>287</v>
      </c>
      <c r="F1149" s="36" t="s">
        <v>286</v>
      </c>
      <c r="G1149" s="36" t="s">
        <v>411</v>
      </c>
      <c r="H1149" s="37">
        <v>10.46</v>
      </c>
      <c r="I1149" s="36" t="s">
        <v>1301</v>
      </c>
      <c r="J1149" s="39" t="s">
        <v>286</v>
      </c>
      <c r="K1149" s="38"/>
      <c r="L1149" s="38"/>
    </row>
    <row r="1150" ht="22.5" customHeight="1">
      <c r="A1150" s="36" t="s">
        <v>2984</v>
      </c>
      <c r="B1150" s="36" t="s">
        <v>2985</v>
      </c>
      <c r="C1150" s="36" t="s">
        <v>1495</v>
      </c>
      <c r="D1150" s="36" t="s">
        <v>1496</v>
      </c>
      <c r="E1150" s="36" t="s">
        <v>287</v>
      </c>
      <c r="F1150" s="36" t="s">
        <v>286</v>
      </c>
      <c r="G1150" s="36" t="s">
        <v>411</v>
      </c>
      <c r="H1150" s="37">
        <v>11.6</v>
      </c>
      <c r="I1150" s="36" t="s">
        <v>1301</v>
      </c>
      <c r="J1150" s="39" t="s">
        <v>286</v>
      </c>
      <c r="K1150" s="38"/>
      <c r="L1150" s="38"/>
    </row>
    <row r="1151" ht="22.5" customHeight="1">
      <c r="A1151" s="36" t="s">
        <v>2986</v>
      </c>
      <c r="B1151" s="36" t="s">
        <v>2987</v>
      </c>
      <c r="C1151" s="36" t="s">
        <v>1495</v>
      </c>
      <c r="D1151" s="36" t="s">
        <v>1496</v>
      </c>
      <c r="E1151" s="36" t="s">
        <v>287</v>
      </c>
      <c r="F1151" s="36" t="s">
        <v>286</v>
      </c>
      <c r="G1151" s="36" t="s">
        <v>411</v>
      </c>
      <c r="H1151" s="37">
        <v>13.04</v>
      </c>
      <c r="I1151" s="36" t="s">
        <v>1301</v>
      </c>
      <c r="J1151" s="39" t="s">
        <v>286</v>
      </c>
      <c r="K1151" s="38"/>
      <c r="L1151" s="38"/>
    </row>
    <row r="1152" ht="22.5" customHeight="1">
      <c r="A1152" s="36" t="s">
        <v>2988</v>
      </c>
      <c r="B1152" s="36" t="s">
        <v>2989</v>
      </c>
      <c r="C1152" s="36" t="s">
        <v>1495</v>
      </c>
      <c r="D1152" s="36" t="s">
        <v>1496</v>
      </c>
      <c r="E1152" s="36" t="s">
        <v>287</v>
      </c>
      <c r="F1152" s="36" t="s">
        <v>286</v>
      </c>
      <c r="G1152" s="36" t="s">
        <v>411</v>
      </c>
      <c r="H1152" s="37">
        <v>10.41</v>
      </c>
      <c r="I1152" s="36" t="s">
        <v>1301</v>
      </c>
      <c r="J1152" s="39" t="s">
        <v>286</v>
      </c>
      <c r="K1152" s="38"/>
      <c r="L1152" s="38"/>
    </row>
    <row r="1153" ht="22.5" customHeight="1">
      <c r="A1153" s="36" t="s">
        <v>2990</v>
      </c>
      <c r="B1153" s="36" t="s">
        <v>2991</v>
      </c>
      <c r="C1153" s="36" t="s">
        <v>1495</v>
      </c>
      <c r="D1153" s="36" t="s">
        <v>1496</v>
      </c>
      <c r="E1153" s="36" t="s">
        <v>287</v>
      </c>
      <c r="F1153" s="36" t="s">
        <v>286</v>
      </c>
      <c r="G1153" s="36" t="s">
        <v>411</v>
      </c>
      <c r="H1153" s="37">
        <v>17.43</v>
      </c>
      <c r="I1153" s="36" t="s">
        <v>1301</v>
      </c>
      <c r="J1153" s="39" t="s">
        <v>286</v>
      </c>
      <c r="K1153" s="38"/>
      <c r="L1153" s="38"/>
    </row>
    <row r="1154" ht="22.5" customHeight="1">
      <c r="A1154" s="36" t="s">
        <v>2992</v>
      </c>
      <c r="B1154" s="36" t="s">
        <v>2993</v>
      </c>
      <c r="C1154" s="36" t="s">
        <v>1495</v>
      </c>
      <c r="D1154" s="36" t="s">
        <v>1496</v>
      </c>
      <c r="E1154" s="36" t="s">
        <v>287</v>
      </c>
      <c r="F1154" s="36" t="s">
        <v>286</v>
      </c>
      <c r="G1154" s="36" t="s">
        <v>411</v>
      </c>
      <c r="H1154" s="37">
        <v>16.67</v>
      </c>
      <c r="I1154" s="36" t="s">
        <v>1301</v>
      </c>
      <c r="J1154" s="39" t="s">
        <v>286</v>
      </c>
      <c r="K1154" s="38"/>
      <c r="L1154" s="38"/>
    </row>
    <row r="1155" ht="22.5" customHeight="1">
      <c r="A1155" s="36" t="s">
        <v>2994</v>
      </c>
      <c r="B1155" s="36" t="s">
        <v>2995</v>
      </c>
      <c r="C1155" s="36" t="s">
        <v>1495</v>
      </c>
      <c r="D1155" s="36" t="s">
        <v>1496</v>
      </c>
      <c r="E1155" s="36" t="s">
        <v>287</v>
      </c>
      <c r="F1155" s="36" t="s">
        <v>286</v>
      </c>
      <c r="G1155" s="36" t="s">
        <v>411</v>
      </c>
      <c r="H1155" s="37">
        <v>16.97</v>
      </c>
      <c r="I1155" s="36" t="s">
        <v>1301</v>
      </c>
      <c r="J1155" s="39" t="s">
        <v>286</v>
      </c>
      <c r="K1155" s="38"/>
      <c r="L1155" s="38"/>
    </row>
    <row r="1156" ht="22.5" customHeight="1">
      <c r="A1156" s="36" t="s">
        <v>2996</v>
      </c>
      <c r="B1156" s="36" t="s">
        <v>2997</v>
      </c>
      <c r="C1156" s="36" t="s">
        <v>1495</v>
      </c>
      <c r="D1156" s="36" t="s">
        <v>1496</v>
      </c>
      <c r="E1156" s="36" t="s">
        <v>287</v>
      </c>
      <c r="F1156" s="36" t="s">
        <v>286</v>
      </c>
      <c r="G1156" s="36" t="s">
        <v>411</v>
      </c>
      <c r="H1156" s="37">
        <v>15.67</v>
      </c>
      <c r="I1156" s="36" t="s">
        <v>1301</v>
      </c>
      <c r="J1156" s="39" t="s">
        <v>286</v>
      </c>
      <c r="K1156" s="38"/>
      <c r="L1156" s="38"/>
    </row>
    <row r="1157" ht="22.5" customHeight="1">
      <c r="A1157" s="36" t="s">
        <v>2998</v>
      </c>
      <c r="B1157" s="36" t="s">
        <v>2999</v>
      </c>
      <c r="C1157" s="36" t="s">
        <v>1495</v>
      </c>
      <c r="D1157" s="36" t="s">
        <v>1496</v>
      </c>
      <c r="E1157" s="36" t="s">
        <v>287</v>
      </c>
      <c r="F1157" s="36" t="s">
        <v>286</v>
      </c>
      <c r="G1157" s="36" t="s">
        <v>411</v>
      </c>
      <c r="H1157" s="37">
        <v>14.06</v>
      </c>
      <c r="I1157" s="36" t="s">
        <v>1301</v>
      </c>
      <c r="J1157" s="39" t="s">
        <v>286</v>
      </c>
      <c r="K1157" s="38"/>
      <c r="L1157" s="38"/>
    </row>
    <row r="1158" ht="22.5" customHeight="1">
      <c r="A1158" s="36" t="s">
        <v>3000</v>
      </c>
      <c r="B1158" s="36" t="s">
        <v>3001</v>
      </c>
      <c r="C1158" s="36" t="s">
        <v>1495</v>
      </c>
      <c r="D1158" s="36" t="s">
        <v>1496</v>
      </c>
      <c r="E1158" s="36" t="s">
        <v>287</v>
      </c>
      <c r="F1158" s="36" t="s">
        <v>286</v>
      </c>
      <c r="G1158" s="36" t="s">
        <v>411</v>
      </c>
      <c r="H1158" s="37">
        <v>25.38</v>
      </c>
      <c r="I1158" s="36" t="s">
        <v>1301</v>
      </c>
      <c r="J1158" s="39" t="s">
        <v>286</v>
      </c>
      <c r="K1158" s="38"/>
      <c r="L1158" s="38"/>
    </row>
    <row r="1159" ht="22.5" customHeight="1">
      <c r="A1159" s="36" t="s">
        <v>3002</v>
      </c>
      <c r="B1159" s="36" t="s">
        <v>3003</v>
      </c>
      <c r="C1159" s="36" t="s">
        <v>1495</v>
      </c>
      <c r="D1159" s="36" t="s">
        <v>1496</v>
      </c>
      <c r="E1159" s="36" t="s">
        <v>287</v>
      </c>
      <c r="F1159" s="36" t="s">
        <v>286</v>
      </c>
      <c r="G1159" s="36" t="s">
        <v>411</v>
      </c>
      <c r="H1159" s="37">
        <v>150.1</v>
      </c>
      <c r="I1159" s="36" t="s">
        <v>1301</v>
      </c>
      <c r="J1159" s="39" t="s">
        <v>286</v>
      </c>
      <c r="K1159" s="38"/>
      <c r="L1159" s="38"/>
    </row>
    <row r="1160" ht="22.5" customHeight="1">
      <c r="A1160" s="36" t="s">
        <v>3004</v>
      </c>
      <c r="B1160" s="36" t="s">
        <v>3005</v>
      </c>
      <c r="C1160" s="36" t="s">
        <v>1495</v>
      </c>
      <c r="D1160" s="36" t="s">
        <v>1496</v>
      </c>
      <c r="E1160" s="36" t="s">
        <v>287</v>
      </c>
      <c r="F1160" s="36" t="s">
        <v>286</v>
      </c>
      <c r="G1160" s="36" t="s">
        <v>411</v>
      </c>
      <c r="H1160" s="37">
        <v>6.03</v>
      </c>
      <c r="I1160" s="36" t="s">
        <v>1301</v>
      </c>
      <c r="J1160" s="39" t="s">
        <v>286</v>
      </c>
      <c r="K1160" s="38"/>
      <c r="L1160" s="38"/>
    </row>
    <row r="1161" ht="22.5" customHeight="1">
      <c r="A1161" s="36" t="s">
        <v>3006</v>
      </c>
      <c r="B1161" s="36" t="s">
        <v>3007</v>
      </c>
      <c r="C1161" s="36" t="s">
        <v>1495</v>
      </c>
      <c r="D1161" s="36" t="s">
        <v>1496</v>
      </c>
      <c r="E1161" s="36" t="s">
        <v>287</v>
      </c>
      <c r="F1161" s="36" t="s">
        <v>286</v>
      </c>
      <c r="G1161" s="36" t="s">
        <v>411</v>
      </c>
      <c r="H1161" s="37">
        <v>41.65</v>
      </c>
      <c r="I1161" s="36" t="s">
        <v>1301</v>
      </c>
      <c r="J1161" s="39" t="s">
        <v>286</v>
      </c>
      <c r="K1161" s="38"/>
      <c r="L1161" s="38"/>
    </row>
    <row r="1162" ht="22.5" customHeight="1">
      <c r="A1162" s="36" t="s">
        <v>3008</v>
      </c>
      <c r="B1162" s="36" t="s">
        <v>3009</v>
      </c>
      <c r="C1162" s="36" t="s">
        <v>1495</v>
      </c>
      <c r="D1162" s="36" t="s">
        <v>1496</v>
      </c>
      <c r="E1162" s="36" t="s">
        <v>287</v>
      </c>
      <c r="F1162" s="36" t="s">
        <v>286</v>
      </c>
      <c r="G1162" s="36" t="s">
        <v>411</v>
      </c>
      <c r="H1162" s="37">
        <v>128.13</v>
      </c>
      <c r="I1162" s="36" t="s">
        <v>1301</v>
      </c>
      <c r="J1162" s="39" t="s">
        <v>286</v>
      </c>
      <c r="K1162" s="38"/>
      <c r="L1162" s="38"/>
    </row>
    <row r="1163" ht="22.5" customHeight="1">
      <c r="A1163" s="36" t="s">
        <v>3010</v>
      </c>
      <c r="B1163" s="36" t="s">
        <v>3011</v>
      </c>
      <c r="C1163" s="36" t="s">
        <v>1495</v>
      </c>
      <c r="D1163" s="36" t="s">
        <v>1496</v>
      </c>
      <c r="E1163" s="36" t="s">
        <v>287</v>
      </c>
      <c r="F1163" s="36" t="s">
        <v>286</v>
      </c>
      <c r="G1163" s="36" t="s">
        <v>411</v>
      </c>
      <c r="H1163" s="37">
        <v>14.26</v>
      </c>
      <c r="I1163" s="36" t="s">
        <v>1301</v>
      </c>
      <c r="J1163" s="39" t="s">
        <v>286</v>
      </c>
      <c r="K1163" s="38"/>
      <c r="L1163" s="38"/>
    </row>
    <row r="1164" ht="22.5" customHeight="1">
      <c r="A1164" s="36" t="s">
        <v>3012</v>
      </c>
      <c r="B1164" s="36" t="s">
        <v>3013</v>
      </c>
      <c r="C1164" s="36" t="s">
        <v>1495</v>
      </c>
      <c r="D1164" s="36" t="s">
        <v>1496</v>
      </c>
      <c r="E1164" s="36" t="s">
        <v>287</v>
      </c>
      <c r="F1164" s="36" t="s">
        <v>286</v>
      </c>
      <c r="G1164" s="36" t="s">
        <v>411</v>
      </c>
      <c r="H1164" s="37">
        <v>24.37</v>
      </c>
      <c r="I1164" s="36" t="s">
        <v>1301</v>
      </c>
      <c r="J1164" s="39" t="s">
        <v>286</v>
      </c>
      <c r="K1164" s="38"/>
      <c r="L1164" s="38"/>
    </row>
    <row r="1165" ht="22.5" customHeight="1">
      <c r="A1165" s="36" t="s">
        <v>3014</v>
      </c>
      <c r="B1165" s="36" t="s">
        <v>3015</v>
      </c>
      <c r="C1165" s="36" t="s">
        <v>1495</v>
      </c>
      <c r="D1165" s="36" t="s">
        <v>1496</v>
      </c>
      <c r="E1165" s="36" t="s">
        <v>287</v>
      </c>
      <c r="F1165" s="36" t="s">
        <v>286</v>
      </c>
      <c r="G1165" s="36" t="s">
        <v>411</v>
      </c>
      <c r="H1165" s="37">
        <v>45.95</v>
      </c>
      <c r="I1165" s="36" t="s">
        <v>1301</v>
      </c>
      <c r="J1165" s="39" t="s">
        <v>286</v>
      </c>
      <c r="K1165" s="38"/>
      <c r="L1165" s="38"/>
    </row>
    <row r="1166" ht="22.5" customHeight="1">
      <c r="A1166" s="36" t="s">
        <v>3016</v>
      </c>
      <c r="B1166" s="36" t="s">
        <v>3017</v>
      </c>
      <c r="C1166" s="36" t="s">
        <v>1495</v>
      </c>
      <c r="D1166" s="36" t="s">
        <v>1496</v>
      </c>
      <c r="E1166" s="36" t="s">
        <v>287</v>
      </c>
      <c r="F1166" s="36" t="s">
        <v>286</v>
      </c>
      <c r="G1166" s="36" t="s">
        <v>411</v>
      </c>
      <c r="H1166" s="37">
        <v>45.95</v>
      </c>
      <c r="I1166" s="36" t="s">
        <v>1301</v>
      </c>
      <c r="J1166" s="39" t="s">
        <v>286</v>
      </c>
      <c r="K1166" s="38"/>
      <c r="L1166" s="38"/>
    </row>
    <row r="1167" ht="22.5" customHeight="1">
      <c r="A1167" s="36" t="s">
        <v>3018</v>
      </c>
      <c r="B1167" s="36" t="s">
        <v>3019</v>
      </c>
      <c r="C1167" s="36" t="s">
        <v>1495</v>
      </c>
      <c r="D1167" s="36" t="s">
        <v>1496</v>
      </c>
      <c r="E1167" s="36" t="s">
        <v>287</v>
      </c>
      <c r="F1167" s="36" t="s">
        <v>286</v>
      </c>
      <c r="G1167" s="36" t="s">
        <v>411</v>
      </c>
      <c r="H1167" s="37">
        <v>7.81</v>
      </c>
      <c r="I1167" s="36" t="s">
        <v>1301</v>
      </c>
      <c r="J1167" s="39" t="s">
        <v>286</v>
      </c>
      <c r="K1167" s="38"/>
      <c r="L1167" s="38"/>
    </row>
    <row r="1168" ht="22.5" customHeight="1">
      <c r="A1168" s="36" t="s">
        <v>3020</v>
      </c>
      <c r="B1168" s="36" t="s">
        <v>3021</v>
      </c>
      <c r="C1168" s="36" t="s">
        <v>1495</v>
      </c>
      <c r="D1168" s="36" t="s">
        <v>1496</v>
      </c>
      <c r="E1168" s="36" t="s">
        <v>287</v>
      </c>
      <c r="F1168" s="36" t="s">
        <v>286</v>
      </c>
      <c r="G1168" s="36" t="s">
        <v>411</v>
      </c>
      <c r="H1168" s="37">
        <v>5.3</v>
      </c>
      <c r="I1168" s="36" t="s">
        <v>1301</v>
      </c>
      <c r="J1168" s="39" t="s">
        <v>286</v>
      </c>
      <c r="K1168" s="38"/>
      <c r="L1168" s="38"/>
    </row>
    <row r="1169" ht="22.5" customHeight="1">
      <c r="A1169" s="36" t="s">
        <v>3022</v>
      </c>
      <c r="B1169" s="36" t="s">
        <v>3023</v>
      </c>
      <c r="C1169" s="36" t="s">
        <v>1495</v>
      </c>
      <c r="D1169" s="36" t="s">
        <v>1496</v>
      </c>
      <c r="E1169" s="36" t="s">
        <v>287</v>
      </c>
      <c r="F1169" s="36" t="s">
        <v>286</v>
      </c>
      <c r="G1169" s="36" t="s">
        <v>411</v>
      </c>
      <c r="H1169" s="37">
        <v>35.42</v>
      </c>
      <c r="I1169" s="36" t="s">
        <v>1301</v>
      </c>
      <c r="J1169" s="39" t="s">
        <v>286</v>
      </c>
      <c r="K1169" s="38"/>
      <c r="L1169" s="38"/>
    </row>
    <row r="1170" ht="22.5" customHeight="1">
      <c r="A1170" s="36" t="s">
        <v>3024</v>
      </c>
      <c r="B1170" s="36" t="s">
        <v>3025</v>
      </c>
      <c r="C1170" s="36" t="s">
        <v>1495</v>
      </c>
      <c r="D1170" s="36" t="s">
        <v>1496</v>
      </c>
      <c r="E1170" s="36" t="s">
        <v>287</v>
      </c>
      <c r="F1170" s="36" t="s">
        <v>286</v>
      </c>
      <c r="G1170" s="36" t="s">
        <v>411</v>
      </c>
      <c r="H1170" s="37">
        <v>13.89</v>
      </c>
      <c r="I1170" s="36" t="s">
        <v>1301</v>
      </c>
      <c r="J1170" s="39" t="s">
        <v>286</v>
      </c>
      <c r="K1170" s="38"/>
      <c r="L1170" s="38"/>
    </row>
    <row r="1171" ht="22.5" customHeight="1">
      <c r="A1171" s="36" t="s">
        <v>3026</v>
      </c>
      <c r="B1171" s="36" t="s">
        <v>3027</v>
      </c>
      <c r="C1171" s="36" t="s">
        <v>1495</v>
      </c>
      <c r="D1171" s="36" t="s">
        <v>1496</v>
      </c>
      <c r="E1171" s="36" t="s">
        <v>287</v>
      </c>
      <c r="F1171" s="36" t="s">
        <v>286</v>
      </c>
      <c r="G1171" s="36" t="s">
        <v>411</v>
      </c>
      <c r="H1171" s="37">
        <v>13.19</v>
      </c>
      <c r="I1171" s="36" t="s">
        <v>1301</v>
      </c>
      <c r="J1171" s="39" t="s">
        <v>286</v>
      </c>
      <c r="K1171" s="38"/>
      <c r="L1171" s="38"/>
    </row>
    <row r="1172" ht="22.5" customHeight="1">
      <c r="A1172" s="36" t="s">
        <v>3028</v>
      </c>
      <c r="B1172" s="36" t="s">
        <v>3029</v>
      </c>
      <c r="C1172" s="36" t="s">
        <v>1495</v>
      </c>
      <c r="D1172" s="36" t="s">
        <v>1496</v>
      </c>
      <c r="E1172" s="36" t="s">
        <v>287</v>
      </c>
      <c r="F1172" s="36" t="s">
        <v>286</v>
      </c>
      <c r="G1172" s="36" t="s">
        <v>411</v>
      </c>
      <c r="H1172" s="37">
        <v>10.83</v>
      </c>
      <c r="I1172" s="36" t="s">
        <v>1301</v>
      </c>
      <c r="J1172" s="39" t="s">
        <v>286</v>
      </c>
      <c r="K1172" s="38"/>
      <c r="L1172" s="38"/>
    </row>
    <row r="1173" ht="22.5" customHeight="1">
      <c r="A1173" s="36" t="s">
        <v>3030</v>
      </c>
      <c r="B1173" s="36" t="s">
        <v>3031</v>
      </c>
      <c r="C1173" s="36" t="s">
        <v>1495</v>
      </c>
      <c r="D1173" s="36" t="s">
        <v>1496</v>
      </c>
      <c r="E1173" s="36" t="s">
        <v>287</v>
      </c>
      <c r="F1173" s="36" t="s">
        <v>286</v>
      </c>
      <c r="G1173" s="36" t="s">
        <v>411</v>
      </c>
      <c r="H1173" s="37">
        <v>27.08</v>
      </c>
      <c r="I1173" s="36" t="s">
        <v>1301</v>
      </c>
      <c r="J1173" s="39" t="s">
        <v>286</v>
      </c>
      <c r="K1173" s="38"/>
      <c r="L1173" s="38"/>
    </row>
    <row r="1174" ht="22.5" customHeight="1">
      <c r="A1174" s="36" t="s">
        <v>3032</v>
      </c>
      <c r="B1174" s="36" t="s">
        <v>3033</v>
      </c>
      <c r="C1174" s="36" t="s">
        <v>1495</v>
      </c>
      <c r="D1174" s="36" t="s">
        <v>1496</v>
      </c>
      <c r="E1174" s="36" t="s">
        <v>287</v>
      </c>
      <c r="F1174" s="36" t="s">
        <v>286</v>
      </c>
      <c r="G1174" s="36" t="s">
        <v>411</v>
      </c>
      <c r="H1174" s="37">
        <v>38.33</v>
      </c>
      <c r="I1174" s="36" t="s">
        <v>1301</v>
      </c>
      <c r="J1174" s="39" t="s">
        <v>286</v>
      </c>
      <c r="K1174" s="38"/>
      <c r="L1174" s="38"/>
    </row>
    <row r="1175" ht="22.5" customHeight="1">
      <c r="A1175" s="36" t="s">
        <v>3034</v>
      </c>
      <c r="B1175" s="36" t="s">
        <v>3035</v>
      </c>
      <c r="C1175" s="36" t="s">
        <v>1495</v>
      </c>
      <c r="D1175" s="36" t="s">
        <v>1496</v>
      </c>
      <c r="E1175" s="36" t="s">
        <v>287</v>
      </c>
      <c r="F1175" s="36" t="s">
        <v>286</v>
      </c>
      <c r="G1175" s="36" t="s">
        <v>411</v>
      </c>
      <c r="H1175" s="37">
        <v>22.5</v>
      </c>
      <c r="I1175" s="36" t="s">
        <v>1301</v>
      </c>
      <c r="J1175" s="39" t="s">
        <v>286</v>
      </c>
      <c r="K1175" s="38"/>
      <c r="L1175" s="38"/>
    </row>
    <row r="1176" ht="22.5" customHeight="1">
      <c r="A1176" s="36" t="s">
        <v>3036</v>
      </c>
      <c r="B1176" s="36" t="s">
        <v>3037</v>
      </c>
      <c r="C1176" s="36" t="s">
        <v>1495</v>
      </c>
      <c r="D1176" s="36" t="s">
        <v>1496</v>
      </c>
      <c r="E1176" s="36" t="s">
        <v>287</v>
      </c>
      <c r="F1176" s="36" t="s">
        <v>286</v>
      </c>
      <c r="G1176" s="36" t="s">
        <v>411</v>
      </c>
      <c r="H1176" s="37">
        <v>40.17</v>
      </c>
      <c r="I1176" s="36" t="s">
        <v>1301</v>
      </c>
      <c r="J1176" s="39" t="s">
        <v>286</v>
      </c>
      <c r="K1176" s="38"/>
      <c r="L1176" s="38"/>
    </row>
    <row r="1177" ht="22.5" customHeight="1">
      <c r="A1177" s="36" t="s">
        <v>3038</v>
      </c>
      <c r="B1177" s="36" t="s">
        <v>3039</v>
      </c>
      <c r="C1177" s="36" t="s">
        <v>1495</v>
      </c>
      <c r="D1177" s="36" t="s">
        <v>1496</v>
      </c>
      <c r="E1177" s="36" t="s">
        <v>287</v>
      </c>
      <c r="F1177" s="36" t="s">
        <v>286</v>
      </c>
      <c r="G1177" s="36" t="s">
        <v>411</v>
      </c>
      <c r="H1177" s="37">
        <v>32.3</v>
      </c>
      <c r="I1177" s="36" t="s">
        <v>1301</v>
      </c>
      <c r="J1177" s="39" t="s">
        <v>286</v>
      </c>
      <c r="K1177" s="38"/>
      <c r="L1177" s="38"/>
    </row>
    <row r="1178" ht="22.5" customHeight="1">
      <c r="A1178" s="36" t="s">
        <v>3040</v>
      </c>
      <c r="B1178" s="36" t="s">
        <v>3041</v>
      </c>
      <c r="C1178" s="36" t="s">
        <v>1495</v>
      </c>
      <c r="D1178" s="36" t="s">
        <v>1496</v>
      </c>
      <c r="E1178" s="36" t="s">
        <v>287</v>
      </c>
      <c r="F1178" s="36" t="s">
        <v>286</v>
      </c>
      <c r="G1178" s="36" t="s">
        <v>411</v>
      </c>
      <c r="H1178" s="37">
        <v>163.39</v>
      </c>
      <c r="I1178" s="36" t="s">
        <v>1301</v>
      </c>
      <c r="J1178" s="39" t="s">
        <v>286</v>
      </c>
      <c r="K1178" s="38"/>
      <c r="L1178" s="38"/>
    </row>
    <row r="1179" ht="22.5" customHeight="1">
      <c r="A1179" s="36" t="s">
        <v>3042</v>
      </c>
      <c r="B1179" s="36" t="s">
        <v>3043</v>
      </c>
      <c r="C1179" s="36" t="s">
        <v>1495</v>
      </c>
      <c r="D1179" s="36" t="s">
        <v>1496</v>
      </c>
      <c r="E1179" s="36" t="s">
        <v>287</v>
      </c>
      <c r="F1179" s="36" t="s">
        <v>286</v>
      </c>
      <c r="G1179" s="36" t="s">
        <v>411</v>
      </c>
      <c r="H1179" s="37">
        <v>26.52</v>
      </c>
      <c r="I1179" s="36" t="s">
        <v>1301</v>
      </c>
      <c r="J1179" s="39" t="s">
        <v>286</v>
      </c>
      <c r="K1179" s="38"/>
      <c r="L1179" s="38"/>
    </row>
    <row r="1180" ht="22.5" customHeight="1">
      <c r="A1180" s="36" t="s">
        <v>3044</v>
      </c>
      <c r="B1180" s="36" t="s">
        <v>3045</v>
      </c>
      <c r="C1180" s="36" t="s">
        <v>1495</v>
      </c>
      <c r="D1180" s="36" t="s">
        <v>1496</v>
      </c>
      <c r="E1180" s="36" t="s">
        <v>287</v>
      </c>
      <c r="F1180" s="36" t="s">
        <v>286</v>
      </c>
      <c r="G1180" s="36" t="s">
        <v>411</v>
      </c>
      <c r="H1180" s="37">
        <v>11.63</v>
      </c>
      <c r="I1180" s="36" t="s">
        <v>1301</v>
      </c>
      <c r="J1180" s="39" t="s">
        <v>286</v>
      </c>
      <c r="K1180" s="38"/>
      <c r="L1180" s="38"/>
    </row>
    <row r="1181" ht="22.5" customHeight="1">
      <c r="A1181" s="36" t="s">
        <v>3046</v>
      </c>
      <c r="B1181" s="36" t="s">
        <v>3047</v>
      </c>
      <c r="C1181" s="36" t="s">
        <v>1495</v>
      </c>
      <c r="D1181" s="36" t="s">
        <v>1496</v>
      </c>
      <c r="E1181" s="36" t="s">
        <v>287</v>
      </c>
      <c r="F1181" s="36" t="s">
        <v>286</v>
      </c>
      <c r="G1181" s="36" t="s">
        <v>411</v>
      </c>
      <c r="H1181" s="37">
        <v>35.0</v>
      </c>
      <c r="I1181" s="36" t="s">
        <v>1301</v>
      </c>
      <c r="J1181" s="39" t="s">
        <v>286</v>
      </c>
      <c r="K1181" s="38"/>
      <c r="L1181" s="38"/>
    </row>
    <row r="1182" ht="22.5" customHeight="1">
      <c r="A1182" s="36" t="s">
        <v>3048</v>
      </c>
      <c r="B1182" s="36" t="s">
        <v>3049</v>
      </c>
      <c r="C1182" s="36" t="s">
        <v>1495</v>
      </c>
      <c r="D1182" s="36" t="s">
        <v>1496</v>
      </c>
      <c r="E1182" s="36" t="s">
        <v>287</v>
      </c>
      <c r="F1182" s="36" t="s">
        <v>286</v>
      </c>
      <c r="G1182" s="36" t="s">
        <v>411</v>
      </c>
      <c r="H1182" s="37">
        <v>35.08</v>
      </c>
      <c r="I1182" s="36" t="s">
        <v>1301</v>
      </c>
      <c r="J1182" s="39" t="s">
        <v>286</v>
      </c>
      <c r="K1182" s="38"/>
      <c r="L1182" s="38"/>
    </row>
    <row r="1183" ht="22.5" customHeight="1">
      <c r="A1183" s="36" t="s">
        <v>3050</v>
      </c>
      <c r="B1183" s="36" t="s">
        <v>3051</v>
      </c>
      <c r="C1183" s="36" t="s">
        <v>1495</v>
      </c>
      <c r="D1183" s="36" t="s">
        <v>1496</v>
      </c>
      <c r="E1183" s="36" t="s">
        <v>287</v>
      </c>
      <c r="F1183" s="36" t="s">
        <v>286</v>
      </c>
      <c r="G1183" s="36" t="s">
        <v>411</v>
      </c>
      <c r="H1183" s="37">
        <v>25.42</v>
      </c>
      <c r="I1183" s="36" t="s">
        <v>1301</v>
      </c>
      <c r="J1183" s="39" t="s">
        <v>286</v>
      </c>
      <c r="K1183" s="38"/>
      <c r="L1183" s="38"/>
    </row>
    <row r="1184" ht="22.5" customHeight="1">
      <c r="A1184" s="36" t="s">
        <v>3052</v>
      </c>
      <c r="B1184" s="36" t="s">
        <v>3053</v>
      </c>
      <c r="C1184" s="36" t="s">
        <v>1495</v>
      </c>
      <c r="D1184" s="36" t="s">
        <v>1496</v>
      </c>
      <c r="E1184" s="36" t="s">
        <v>287</v>
      </c>
      <c r="F1184" s="36" t="s">
        <v>286</v>
      </c>
      <c r="G1184" s="36" t="s">
        <v>411</v>
      </c>
      <c r="H1184" s="37">
        <v>2.07</v>
      </c>
      <c r="I1184" s="36" t="s">
        <v>1301</v>
      </c>
      <c r="J1184" s="39" t="s">
        <v>286</v>
      </c>
      <c r="K1184" s="38"/>
      <c r="L1184" s="38"/>
    </row>
    <row r="1185" ht="22.5" customHeight="1">
      <c r="A1185" s="36" t="s">
        <v>3054</v>
      </c>
      <c r="B1185" s="36" t="s">
        <v>3055</v>
      </c>
      <c r="C1185" s="36" t="s">
        <v>1495</v>
      </c>
      <c r="D1185" s="36" t="s">
        <v>1496</v>
      </c>
      <c r="E1185" s="36" t="s">
        <v>287</v>
      </c>
      <c r="F1185" s="36" t="s">
        <v>286</v>
      </c>
      <c r="G1185" s="36" t="s">
        <v>411</v>
      </c>
      <c r="H1185" s="37">
        <v>11.82</v>
      </c>
      <c r="I1185" s="36" t="s">
        <v>1301</v>
      </c>
      <c r="J1185" s="39" t="s">
        <v>286</v>
      </c>
      <c r="K1185" s="38"/>
      <c r="L1185" s="38"/>
    </row>
    <row r="1186" ht="22.5" customHeight="1">
      <c r="A1186" s="36" t="s">
        <v>3056</v>
      </c>
      <c r="B1186" s="36" t="s">
        <v>3057</v>
      </c>
      <c r="C1186" s="36" t="s">
        <v>1495</v>
      </c>
      <c r="D1186" s="36" t="s">
        <v>1496</v>
      </c>
      <c r="E1186" s="36" t="s">
        <v>287</v>
      </c>
      <c r="F1186" s="36" t="s">
        <v>286</v>
      </c>
      <c r="G1186" s="36" t="s">
        <v>411</v>
      </c>
      <c r="H1186" s="37">
        <v>14.08</v>
      </c>
      <c r="I1186" s="36" t="s">
        <v>1301</v>
      </c>
      <c r="J1186" s="39" t="s">
        <v>286</v>
      </c>
      <c r="K1186" s="38"/>
      <c r="L1186" s="38"/>
    </row>
    <row r="1187" ht="22.5" customHeight="1">
      <c r="A1187" s="36" t="s">
        <v>3058</v>
      </c>
      <c r="B1187" s="36" t="s">
        <v>3059</v>
      </c>
      <c r="C1187" s="36" t="s">
        <v>1495</v>
      </c>
      <c r="D1187" s="36" t="s">
        <v>1496</v>
      </c>
      <c r="E1187" s="36" t="s">
        <v>287</v>
      </c>
      <c r="F1187" s="36" t="s">
        <v>286</v>
      </c>
      <c r="G1187" s="36" t="s">
        <v>411</v>
      </c>
      <c r="H1187" s="37">
        <v>31.34</v>
      </c>
      <c r="I1187" s="36" t="s">
        <v>1301</v>
      </c>
      <c r="J1187" s="39" t="s">
        <v>286</v>
      </c>
      <c r="K1187" s="38"/>
      <c r="L1187" s="38"/>
    </row>
    <row r="1188" ht="22.5" customHeight="1">
      <c r="A1188" s="36" t="s">
        <v>3060</v>
      </c>
      <c r="B1188" s="36" t="s">
        <v>3061</v>
      </c>
      <c r="C1188" s="36" t="s">
        <v>1495</v>
      </c>
      <c r="D1188" s="36" t="s">
        <v>1496</v>
      </c>
      <c r="E1188" s="36" t="s">
        <v>287</v>
      </c>
      <c r="F1188" s="36" t="s">
        <v>286</v>
      </c>
      <c r="G1188" s="36" t="s">
        <v>411</v>
      </c>
      <c r="H1188" s="37">
        <v>17.26</v>
      </c>
      <c r="I1188" s="36" t="s">
        <v>1301</v>
      </c>
      <c r="J1188" s="39" t="s">
        <v>286</v>
      </c>
      <c r="K1188" s="38"/>
      <c r="L1188" s="38"/>
    </row>
    <row r="1189" ht="22.5" customHeight="1">
      <c r="A1189" s="36" t="s">
        <v>3062</v>
      </c>
      <c r="B1189" s="36" t="s">
        <v>3063</v>
      </c>
      <c r="C1189" s="36" t="s">
        <v>1495</v>
      </c>
      <c r="D1189" s="36" t="s">
        <v>1496</v>
      </c>
      <c r="E1189" s="36" t="s">
        <v>287</v>
      </c>
      <c r="F1189" s="36" t="s">
        <v>286</v>
      </c>
      <c r="G1189" s="36" t="s">
        <v>411</v>
      </c>
      <c r="H1189" s="37">
        <v>22.0</v>
      </c>
      <c r="I1189" s="36" t="s">
        <v>1301</v>
      </c>
      <c r="J1189" s="39" t="s">
        <v>286</v>
      </c>
      <c r="K1189" s="38"/>
      <c r="L1189" s="38"/>
    </row>
    <row r="1190" ht="22.5" customHeight="1">
      <c r="A1190" s="36" t="s">
        <v>3064</v>
      </c>
      <c r="B1190" s="36" t="s">
        <v>3065</v>
      </c>
      <c r="C1190" s="36" t="s">
        <v>1495</v>
      </c>
      <c r="D1190" s="36" t="s">
        <v>1496</v>
      </c>
      <c r="E1190" s="36" t="s">
        <v>287</v>
      </c>
      <c r="F1190" s="36" t="s">
        <v>286</v>
      </c>
      <c r="G1190" s="36" t="s">
        <v>411</v>
      </c>
      <c r="H1190" s="37">
        <v>0.88</v>
      </c>
      <c r="I1190" s="36" t="s">
        <v>1301</v>
      </c>
      <c r="J1190" s="39" t="s">
        <v>286</v>
      </c>
      <c r="K1190" s="38"/>
      <c r="L1190" s="38"/>
    </row>
    <row r="1191" ht="22.5" customHeight="1">
      <c r="A1191" s="36" t="s">
        <v>3066</v>
      </c>
      <c r="B1191" s="36" t="s">
        <v>3067</v>
      </c>
      <c r="C1191" s="36" t="s">
        <v>1495</v>
      </c>
      <c r="D1191" s="36" t="s">
        <v>1496</v>
      </c>
      <c r="E1191" s="36" t="s">
        <v>287</v>
      </c>
      <c r="F1191" s="36" t="s">
        <v>286</v>
      </c>
      <c r="G1191" s="36" t="s">
        <v>411</v>
      </c>
      <c r="H1191" s="37">
        <v>57.5</v>
      </c>
      <c r="I1191" s="36" t="s">
        <v>1301</v>
      </c>
      <c r="J1191" s="39" t="s">
        <v>286</v>
      </c>
      <c r="K1191" s="38"/>
      <c r="L1191" s="38"/>
    </row>
    <row r="1192" ht="22.5" customHeight="1">
      <c r="A1192" s="36" t="s">
        <v>3068</v>
      </c>
      <c r="B1192" s="36" t="s">
        <v>3069</v>
      </c>
      <c r="C1192" s="36" t="s">
        <v>1495</v>
      </c>
      <c r="D1192" s="36" t="s">
        <v>1496</v>
      </c>
      <c r="E1192" s="36" t="s">
        <v>287</v>
      </c>
      <c r="F1192" s="36" t="s">
        <v>286</v>
      </c>
      <c r="G1192" s="36" t="s">
        <v>411</v>
      </c>
      <c r="H1192" s="37">
        <v>117.67</v>
      </c>
      <c r="I1192" s="36" t="s">
        <v>1301</v>
      </c>
      <c r="J1192" s="39" t="s">
        <v>286</v>
      </c>
      <c r="K1192" s="38"/>
      <c r="L1192" s="38"/>
    </row>
    <row r="1193" ht="22.5" customHeight="1">
      <c r="A1193" s="36" t="s">
        <v>3070</v>
      </c>
      <c r="B1193" s="36" t="s">
        <v>3071</v>
      </c>
      <c r="C1193" s="36" t="s">
        <v>1495</v>
      </c>
      <c r="D1193" s="36" t="s">
        <v>1496</v>
      </c>
      <c r="E1193" s="36" t="s">
        <v>287</v>
      </c>
      <c r="F1193" s="36" t="s">
        <v>286</v>
      </c>
      <c r="G1193" s="36" t="s">
        <v>411</v>
      </c>
      <c r="H1193" s="37">
        <v>92.37</v>
      </c>
      <c r="I1193" s="36" t="s">
        <v>1301</v>
      </c>
      <c r="J1193" s="39" t="s">
        <v>286</v>
      </c>
      <c r="K1193" s="38"/>
      <c r="L1193" s="38"/>
    </row>
    <row r="1194" ht="22.5" customHeight="1">
      <c r="A1194" s="36" t="s">
        <v>3072</v>
      </c>
      <c r="B1194" s="36" t="s">
        <v>3073</v>
      </c>
      <c r="C1194" s="36" t="s">
        <v>1495</v>
      </c>
      <c r="D1194" s="36" t="s">
        <v>1496</v>
      </c>
      <c r="E1194" s="36" t="s">
        <v>287</v>
      </c>
      <c r="F1194" s="36" t="s">
        <v>286</v>
      </c>
      <c r="G1194" s="36" t="s">
        <v>411</v>
      </c>
      <c r="H1194" s="37">
        <v>39.47</v>
      </c>
      <c r="I1194" s="36" t="s">
        <v>1301</v>
      </c>
      <c r="J1194" s="39" t="s">
        <v>286</v>
      </c>
      <c r="K1194" s="38"/>
      <c r="L1194" s="38"/>
    </row>
    <row r="1195" ht="22.5" customHeight="1">
      <c r="A1195" s="36" t="s">
        <v>3074</v>
      </c>
      <c r="B1195" s="36" t="s">
        <v>3075</v>
      </c>
      <c r="C1195" s="36" t="s">
        <v>1495</v>
      </c>
      <c r="D1195" s="36" t="s">
        <v>1496</v>
      </c>
      <c r="E1195" s="36" t="s">
        <v>287</v>
      </c>
      <c r="F1195" s="36" t="s">
        <v>286</v>
      </c>
      <c r="G1195" s="36" t="s">
        <v>411</v>
      </c>
      <c r="H1195" s="37">
        <v>1.11</v>
      </c>
      <c r="I1195" s="36" t="s">
        <v>1301</v>
      </c>
      <c r="J1195" s="39" t="s">
        <v>286</v>
      </c>
      <c r="K1195" s="38"/>
      <c r="L1195" s="38"/>
    </row>
    <row r="1196" ht="22.5" customHeight="1">
      <c r="A1196" s="36" t="s">
        <v>3076</v>
      </c>
      <c r="B1196" s="36" t="s">
        <v>3077</v>
      </c>
      <c r="C1196" s="36" t="s">
        <v>1495</v>
      </c>
      <c r="D1196" s="36" t="s">
        <v>1496</v>
      </c>
      <c r="E1196" s="36" t="s">
        <v>287</v>
      </c>
      <c r="F1196" s="36" t="s">
        <v>286</v>
      </c>
      <c r="G1196" s="36" t="s">
        <v>411</v>
      </c>
      <c r="H1196" s="37">
        <v>20.0</v>
      </c>
      <c r="I1196" s="36" t="s">
        <v>1301</v>
      </c>
      <c r="J1196" s="39" t="s">
        <v>286</v>
      </c>
      <c r="K1196" s="38"/>
      <c r="L1196" s="38"/>
    </row>
    <row r="1197" ht="22.5" customHeight="1">
      <c r="A1197" s="36" t="s">
        <v>3078</v>
      </c>
      <c r="B1197" s="36" t="s">
        <v>3079</v>
      </c>
      <c r="C1197" s="36" t="s">
        <v>1495</v>
      </c>
      <c r="D1197" s="36" t="s">
        <v>1496</v>
      </c>
      <c r="E1197" s="36" t="s">
        <v>287</v>
      </c>
      <c r="F1197" s="36" t="s">
        <v>286</v>
      </c>
      <c r="G1197" s="36" t="s">
        <v>411</v>
      </c>
      <c r="H1197" s="37">
        <v>37.98</v>
      </c>
      <c r="I1197" s="36" t="s">
        <v>1301</v>
      </c>
      <c r="J1197" s="39" t="s">
        <v>286</v>
      </c>
      <c r="K1197" s="38"/>
      <c r="L1197" s="38"/>
    </row>
    <row r="1198" ht="22.5" customHeight="1">
      <c r="A1198" s="36" t="s">
        <v>3080</v>
      </c>
      <c r="B1198" s="36" t="s">
        <v>3081</v>
      </c>
      <c r="C1198" s="36" t="s">
        <v>1495</v>
      </c>
      <c r="D1198" s="36" t="s">
        <v>1496</v>
      </c>
      <c r="E1198" s="36" t="s">
        <v>287</v>
      </c>
      <c r="F1198" s="36" t="s">
        <v>286</v>
      </c>
      <c r="G1198" s="36" t="s">
        <v>411</v>
      </c>
      <c r="H1198" s="37">
        <v>37.98</v>
      </c>
      <c r="I1198" s="36" t="s">
        <v>1301</v>
      </c>
      <c r="J1198" s="39" t="s">
        <v>286</v>
      </c>
      <c r="K1198" s="38"/>
      <c r="L1198" s="38"/>
    </row>
    <row r="1199" ht="22.5" customHeight="1">
      <c r="A1199" s="36" t="s">
        <v>3082</v>
      </c>
      <c r="B1199" s="36" t="s">
        <v>3083</v>
      </c>
      <c r="C1199" s="36" t="s">
        <v>1495</v>
      </c>
      <c r="D1199" s="36" t="s">
        <v>1496</v>
      </c>
      <c r="E1199" s="36" t="s">
        <v>287</v>
      </c>
      <c r="F1199" s="36" t="s">
        <v>286</v>
      </c>
      <c r="G1199" s="36" t="s">
        <v>411</v>
      </c>
      <c r="H1199" s="37">
        <v>8.48</v>
      </c>
      <c r="I1199" s="36" t="s">
        <v>1301</v>
      </c>
      <c r="J1199" s="39" t="s">
        <v>286</v>
      </c>
      <c r="K1199" s="38"/>
      <c r="L1199" s="38"/>
    </row>
    <row r="1200" ht="22.5" customHeight="1">
      <c r="A1200" s="36" t="s">
        <v>3084</v>
      </c>
      <c r="B1200" s="36" t="s">
        <v>3085</v>
      </c>
      <c r="C1200" s="36" t="s">
        <v>1495</v>
      </c>
      <c r="D1200" s="36" t="s">
        <v>1496</v>
      </c>
      <c r="E1200" s="36" t="s">
        <v>287</v>
      </c>
      <c r="F1200" s="36" t="s">
        <v>286</v>
      </c>
      <c r="G1200" s="36" t="s">
        <v>411</v>
      </c>
      <c r="H1200" s="37">
        <v>95.42</v>
      </c>
      <c r="I1200" s="36" t="s">
        <v>1301</v>
      </c>
      <c r="J1200" s="39" t="s">
        <v>286</v>
      </c>
      <c r="K1200" s="38"/>
      <c r="L1200" s="38"/>
    </row>
    <row r="1201" ht="22.5" customHeight="1">
      <c r="A1201" s="36" t="s">
        <v>3086</v>
      </c>
      <c r="B1201" s="36" t="s">
        <v>3087</v>
      </c>
      <c r="C1201" s="36" t="s">
        <v>1495</v>
      </c>
      <c r="D1201" s="36" t="s">
        <v>1496</v>
      </c>
      <c r="E1201" s="36" t="s">
        <v>287</v>
      </c>
      <c r="F1201" s="36" t="s">
        <v>286</v>
      </c>
      <c r="G1201" s="36" t="s">
        <v>411</v>
      </c>
      <c r="H1201" s="37">
        <v>15.0</v>
      </c>
      <c r="I1201" s="36" t="s">
        <v>1301</v>
      </c>
      <c r="J1201" s="39" t="s">
        <v>286</v>
      </c>
      <c r="K1201" s="38"/>
      <c r="L1201" s="38"/>
    </row>
    <row r="1202" ht="22.5" customHeight="1">
      <c r="A1202" s="36" t="s">
        <v>3088</v>
      </c>
      <c r="B1202" s="36" t="s">
        <v>3089</v>
      </c>
      <c r="C1202" s="36" t="s">
        <v>1495</v>
      </c>
      <c r="D1202" s="36" t="s">
        <v>1496</v>
      </c>
      <c r="E1202" s="36" t="s">
        <v>287</v>
      </c>
      <c r="F1202" s="36" t="s">
        <v>286</v>
      </c>
      <c r="G1202" s="36" t="s">
        <v>411</v>
      </c>
      <c r="H1202" s="37">
        <v>283.54</v>
      </c>
      <c r="I1202" s="36" t="s">
        <v>1301</v>
      </c>
      <c r="J1202" s="39" t="s">
        <v>286</v>
      </c>
      <c r="K1202" s="38"/>
      <c r="L1202" s="38"/>
    </row>
    <row r="1203" ht="22.5" customHeight="1">
      <c r="A1203" s="36" t="s">
        <v>3090</v>
      </c>
      <c r="B1203" s="36" t="s">
        <v>3091</v>
      </c>
      <c r="C1203" s="36" t="s">
        <v>1495</v>
      </c>
      <c r="D1203" s="36" t="s">
        <v>1496</v>
      </c>
      <c r="E1203" s="36" t="s">
        <v>287</v>
      </c>
      <c r="F1203" s="36" t="s">
        <v>286</v>
      </c>
      <c r="G1203" s="36" t="s">
        <v>411</v>
      </c>
      <c r="H1203" s="37">
        <v>4.68</v>
      </c>
      <c r="I1203" s="36" t="s">
        <v>1301</v>
      </c>
      <c r="J1203" s="39" t="s">
        <v>286</v>
      </c>
      <c r="K1203" s="38"/>
      <c r="L1203" s="38"/>
    </row>
    <row r="1204" ht="22.5" customHeight="1">
      <c r="A1204" s="36" t="s">
        <v>3092</v>
      </c>
      <c r="B1204" s="36" t="s">
        <v>3093</v>
      </c>
      <c r="C1204" s="36" t="s">
        <v>1495</v>
      </c>
      <c r="D1204" s="36" t="s">
        <v>1496</v>
      </c>
      <c r="E1204" s="36" t="s">
        <v>287</v>
      </c>
      <c r="F1204" s="36" t="s">
        <v>286</v>
      </c>
      <c r="G1204" s="36" t="s">
        <v>411</v>
      </c>
      <c r="H1204" s="37">
        <v>3.6</v>
      </c>
      <c r="I1204" s="36" t="s">
        <v>1301</v>
      </c>
      <c r="J1204" s="39" t="s">
        <v>286</v>
      </c>
      <c r="K1204" s="38"/>
      <c r="L1204" s="38"/>
    </row>
    <row r="1205" ht="22.5" customHeight="1">
      <c r="A1205" s="36" t="s">
        <v>3094</v>
      </c>
      <c r="B1205" s="36" t="s">
        <v>3095</v>
      </c>
      <c r="C1205" s="36" t="s">
        <v>1495</v>
      </c>
      <c r="D1205" s="36" t="s">
        <v>1496</v>
      </c>
      <c r="E1205" s="36" t="s">
        <v>287</v>
      </c>
      <c r="F1205" s="36" t="s">
        <v>286</v>
      </c>
      <c r="G1205" s="36" t="s">
        <v>411</v>
      </c>
      <c r="H1205" s="37">
        <v>22.06</v>
      </c>
      <c r="I1205" s="36" t="s">
        <v>1301</v>
      </c>
      <c r="J1205" s="39" t="s">
        <v>286</v>
      </c>
      <c r="K1205" s="38"/>
      <c r="L1205" s="38"/>
    </row>
    <row r="1206" ht="22.5" customHeight="1">
      <c r="A1206" s="36" t="s">
        <v>3096</v>
      </c>
      <c r="B1206" s="36" t="s">
        <v>3097</v>
      </c>
      <c r="C1206" s="36" t="s">
        <v>1495</v>
      </c>
      <c r="D1206" s="36" t="s">
        <v>1496</v>
      </c>
      <c r="E1206" s="36" t="s">
        <v>287</v>
      </c>
      <c r="F1206" s="36" t="s">
        <v>286</v>
      </c>
      <c r="G1206" s="36" t="s">
        <v>411</v>
      </c>
      <c r="H1206" s="37">
        <v>45.6</v>
      </c>
      <c r="I1206" s="36" t="s">
        <v>1301</v>
      </c>
      <c r="J1206" s="39" t="s">
        <v>286</v>
      </c>
      <c r="K1206" s="38"/>
      <c r="L1206" s="38"/>
    </row>
    <row r="1207" ht="22.5" customHeight="1">
      <c r="A1207" s="36" t="s">
        <v>3098</v>
      </c>
      <c r="B1207" s="36" t="s">
        <v>3099</v>
      </c>
      <c r="C1207" s="36" t="s">
        <v>1495</v>
      </c>
      <c r="D1207" s="36" t="s">
        <v>1496</v>
      </c>
      <c r="E1207" s="36" t="s">
        <v>287</v>
      </c>
      <c r="F1207" s="36" t="s">
        <v>286</v>
      </c>
      <c r="G1207" s="36" t="s">
        <v>411</v>
      </c>
      <c r="H1207" s="37">
        <v>9.84</v>
      </c>
      <c r="I1207" s="36" t="s">
        <v>1301</v>
      </c>
      <c r="J1207" s="39" t="s">
        <v>286</v>
      </c>
      <c r="K1207" s="38"/>
      <c r="L1207" s="38"/>
    </row>
    <row r="1208" ht="22.5" customHeight="1">
      <c r="A1208" s="36" t="s">
        <v>3100</v>
      </c>
      <c r="B1208" s="36" t="s">
        <v>3101</v>
      </c>
      <c r="C1208" s="36" t="s">
        <v>1495</v>
      </c>
      <c r="D1208" s="36" t="s">
        <v>1496</v>
      </c>
      <c r="E1208" s="36" t="s">
        <v>287</v>
      </c>
      <c r="F1208" s="36" t="s">
        <v>286</v>
      </c>
      <c r="G1208" s="36" t="s">
        <v>411</v>
      </c>
      <c r="H1208" s="37">
        <v>12.96</v>
      </c>
      <c r="I1208" s="36" t="s">
        <v>1301</v>
      </c>
      <c r="J1208" s="39" t="s">
        <v>286</v>
      </c>
      <c r="K1208" s="38"/>
      <c r="L1208" s="38"/>
    </row>
    <row r="1209" ht="22.5" customHeight="1">
      <c r="A1209" s="36" t="s">
        <v>3102</v>
      </c>
      <c r="B1209" s="36" t="s">
        <v>3103</v>
      </c>
      <c r="C1209" s="36" t="s">
        <v>1495</v>
      </c>
      <c r="D1209" s="36" t="s">
        <v>1496</v>
      </c>
      <c r="E1209" s="36" t="s">
        <v>287</v>
      </c>
      <c r="F1209" s="36" t="s">
        <v>286</v>
      </c>
      <c r="G1209" s="36" t="s">
        <v>411</v>
      </c>
      <c r="H1209" s="37">
        <v>12.96</v>
      </c>
      <c r="I1209" s="36" t="s">
        <v>1301</v>
      </c>
      <c r="J1209" s="39" t="s">
        <v>286</v>
      </c>
      <c r="K1209" s="38"/>
      <c r="L1209" s="38"/>
    </row>
    <row r="1210" ht="22.5" customHeight="1">
      <c r="A1210" s="36" t="s">
        <v>3104</v>
      </c>
      <c r="B1210" s="36" t="s">
        <v>3105</v>
      </c>
      <c r="C1210" s="36" t="s">
        <v>1495</v>
      </c>
      <c r="D1210" s="36" t="s">
        <v>1496</v>
      </c>
      <c r="E1210" s="36" t="s">
        <v>287</v>
      </c>
      <c r="F1210" s="36" t="s">
        <v>286</v>
      </c>
      <c r="G1210" s="36" t="s">
        <v>411</v>
      </c>
      <c r="H1210" s="37">
        <v>264.0</v>
      </c>
      <c r="I1210" s="36" t="s">
        <v>1301</v>
      </c>
      <c r="J1210" s="39" t="s">
        <v>286</v>
      </c>
      <c r="K1210" s="38"/>
      <c r="L1210" s="38"/>
    </row>
    <row r="1211" ht="22.5" customHeight="1">
      <c r="A1211" s="36" t="s">
        <v>3106</v>
      </c>
      <c r="B1211" s="36" t="s">
        <v>3107</v>
      </c>
      <c r="C1211" s="36" t="s">
        <v>1495</v>
      </c>
      <c r="D1211" s="36" t="s">
        <v>1496</v>
      </c>
      <c r="E1211" s="36" t="s">
        <v>287</v>
      </c>
      <c r="F1211" s="36" t="s">
        <v>286</v>
      </c>
      <c r="G1211" s="36" t="s">
        <v>411</v>
      </c>
      <c r="H1211" s="37">
        <v>814.17</v>
      </c>
      <c r="I1211" s="36" t="s">
        <v>1301</v>
      </c>
      <c r="J1211" s="39" t="s">
        <v>286</v>
      </c>
      <c r="K1211" s="38"/>
      <c r="L1211" s="38"/>
    </row>
    <row r="1212" ht="22.5" customHeight="1">
      <c r="A1212" s="36" t="s">
        <v>3108</v>
      </c>
      <c r="B1212" s="36" t="s">
        <v>3109</v>
      </c>
      <c r="C1212" s="36" t="s">
        <v>1495</v>
      </c>
      <c r="D1212" s="36" t="s">
        <v>1496</v>
      </c>
      <c r="E1212" s="36" t="s">
        <v>287</v>
      </c>
      <c r="F1212" s="36" t="s">
        <v>286</v>
      </c>
      <c r="G1212" s="36" t="s">
        <v>411</v>
      </c>
      <c r="H1212" s="37">
        <v>240.35</v>
      </c>
      <c r="I1212" s="36" t="s">
        <v>1301</v>
      </c>
      <c r="J1212" s="39" t="s">
        <v>286</v>
      </c>
      <c r="K1212" s="38"/>
      <c r="L1212" s="38"/>
    </row>
    <row r="1213" ht="22.5" customHeight="1">
      <c r="A1213" s="36" t="s">
        <v>3110</v>
      </c>
      <c r="B1213" s="36" t="s">
        <v>3111</v>
      </c>
      <c r="C1213" s="36" t="s">
        <v>1495</v>
      </c>
      <c r="D1213" s="36" t="s">
        <v>1496</v>
      </c>
      <c r="E1213" s="36" t="s">
        <v>287</v>
      </c>
      <c r="F1213" s="36" t="s">
        <v>286</v>
      </c>
      <c r="G1213" s="36" t="s">
        <v>411</v>
      </c>
      <c r="H1213" s="37">
        <v>620.0</v>
      </c>
      <c r="I1213" s="36" t="s">
        <v>1301</v>
      </c>
      <c r="J1213" s="39" t="s">
        <v>286</v>
      </c>
      <c r="K1213" s="38"/>
      <c r="L1213" s="38"/>
    </row>
    <row r="1214" ht="22.5" customHeight="1">
      <c r="A1214" s="36" t="s">
        <v>3112</v>
      </c>
      <c r="B1214" s="36" t="s">
        <v>3113</v>
      </c>
      <c r="C1214" s="36" t="s">
        <v>1495</v>
      </c>
      <c r="D1214" s="36" t="s">
        <v>1496</v>
      </c>
      <c r="E1214" s="36" t="s">
        <v>287</v>
      </c>
      <c r="F1214" s="36" t="s">
        <v>286</v>
      </c>
      <c r="G1214" s="36" t="s">
        <v>411</v>
      </c>
      <c r="H1214" s="37">
        <v>620.0</v>
      </c>
      <c r="I1214" s="36" t="s">
        <v>1301</v>
      </c>
      <c r="J1214" s="39" t="s">
        <v>286</v>
      </c>
      <c r="K1214" s="38"/>
      <c r="L1214" s="38"/>
    </row>
    <row r="1215" ht="22.5" customHeight="1">
      <c r="A1215" s="36" t="s">
        <v>3114</v>
      </c>
      <c r="B1215" s="36" t="s">
        <v>3115</v>
      </c>
      <c r="C1215" s="36" t="s">
        <v>1495</v>
      </c>
      <c r="D1215" s="36" t="s">
        <v>1496</v>
      </c>
      <c r="E1215" s="36" t="s">
        <v>287</v>
      </c>
      <c r="F1215" s="36" t="s">
        <v>286</v>
      </c>
      <c r="G1215" s="36" t="s">
        <v>411</v>
      </c>
      <c r="H1215" s="37">
        <v>92.85</v>
      </c>
      <c r="I1215" s="36" t="s">
        <v>1301</v>
      </c>
      <c r="J1215" s="39" t="s">
        <v>286</v>
      </c>
      <c r="K1215" s="38"/>
      <c r="L1215" s="38"/>
    </row>
    <row r="1216" ht="22.5" customHeight="1">
      <c r="A1216" s="36" t="s">
        <v>3116</v>
      </c>
      <c r="B1216" s="36" t="s">
        <v>3117</v>
      </c>
      <c r="C1216" s="36" t="s">
        <v>1495</v>
      </c>
      <c r="D1216" s="36" t="s">
        <v>1496</v>
      </c>
      <c r="E1216" s="36" t="s">
        <v>287</v>
      </c>
      <c r="F1216" s="36" t="s">
        <v>286</v>
      </c>
      <c r="G1216" s="36" t="s">
        <v>411</v>
      </c>
      <c r="H1216" s="37">
        <v>92.85</v>
      </c>
      <c r="I1216" s="36" t="s">
        <v>1301</v>
      </c>
      <c r="J1216" s="39" t="s">
        <v>286</v>
      </c>
      <c r="K1216" s="38"/>
      <c r="L1216" s="38"/>
    </row>
    <row r="1217" ht="22.5" customHeight="1">
      <c r="A1217" s="36" t="s">
        <v>3118</v>
      </c>
      <c r="B1217" s="36" t="s">
        <v>3119</v>
      </c>
      <c r="C1217" s="36" t="s">
        <v>1495</v>
      </c>
      <c r="D1217" s="36" t="s">
        <v>1496</v>
      </c>
      <c r="E1217" s="36" t="s">
        <v>287</v>
      </c>
      <c r="F1217" s="36" t="s">
        <v>286</v>
      </c>
      <c r="G1217" s="36" t="s">
        <v>411</v>
      </c>
      <c r="H1217" s="37">
        <v>704.26</v>
      </c>
      <c r="I1217" s="36" t="s">
        <v>1301</v>
      </c>
      <c r="J1217" s="39" t="s">
        <v>286</v>
      </c>
      <c r="K1217" s="38"/>
      <c r="L1217" s="38"/>
    </row>
    <row r="1218" ht="22.5" customHeight="1">
      <c r="A1218" s="36" t="s">
        <v>3120</v>
      </c>
      <c r="B1218" s="36" t="s">
        <v>3121</v>
      </c>
      <c r="C1218" s="36" t="s">
        <v>1495</v>
      </c>
      <c r="D1218" s="36" t="s">
        <v>1496</v>
      </c>
      <c r="E1218" s="36" t="s">
        <v>287</v>
      </c>
      <c r="F1218" s="36" t="s">
        <v>286</v>
      </c>
      <c r="G1218" s="36" t="s">
        <v>411</v>
      </c>
      <c r="H1218" s="37">
        <v>699.38</v>
      </c>
      <c r="I1218" s="36" t="s">
        <v>1301</v>
      </c>
      <c r="J1218" s="39" t="s">
        <v>286</v>
      </c>
      <c r="K1218" s="38"/>
      <c r="L1218" s="38"/>
    </row>
    <row r="1219" ht="22.5" customHeight="1">
      <c r="A1219" s="36" t="s">
        <v>3122</v>
      </c>
      <c r="B1219" s="36" t="s">
        <v>3123</v>
      </c>
      <c r="C1219" s="36" t="s">
        <v>1495</v>
      </c>
      <c r="D1219" s="36" t="s">
        <v>1496</v>
      </c>
      <c r="E1219" s="36" t="s">
        <v>287</v>
      </c>
      <c r="F1219" s="36" t="s">
        <v>286</v>
      </c>
      <c r="G1219" s="36" t="s">
        <v>411</v>
      </c>
      <c r="H1219" s="37">
        <v>300.0</v>
      </c>
      <c r="I1219" s="36" t="s">
        <v>1301</v>
      </c>
      <c r="J1219" s="39" t="s">
        <v>286</v>
      </c>
      <c r="K1219" s="38"/>
      <c r="L1219" s="38"/>
    </row>
    <row r="1220" ht="22.5" customHeight="1">
      <c r="A1220" s="36" t="s">
        <v>3124</v>
      </c>
      <c r="B1220" s="36" t="s">
        <v>3125</v>
      </c>
      <c r="C1220" s="36" t="s">
        <v>1495</v>
      </c>
      <c r="D1220" s="36" t="s">
        <v>1496</v>
      </c>
      <c r="E1220" s="36" t="s">
        <v>287</v>
      </c>
      <c r="F1220" s="36" t="s">
        <v>286</v>
      </c>
      <c r="G1220" s="36" t="s">
        <v>411</v>
      </c>
      <c r="H1220" s="37">
        <v>22.0</v>
      </c>
      <c r="I1220" s="36" t="s">
        <v>1301</v>
      </c>
      <c r="J1220" s="39" t="s">
        <v>286</v>
      </c>
      <c r="K1220" s="38"/>
      <c r="L1220" s="38"/>
    </row>
    <row r="1221" ht="22.5" customHeight="1">
      <c r="A1221" s="36" t="s">
        <v>3126</v>
      </c>
      <c r="B1221" s="36" t="s">
        <v>3127</v>
      </c>
      <c r="C1221" s="36" t="s">
        <v>1495</v>
      </c>
      <c r="D1221" s="36" t="s">
        <v>1496</v>
      </c>
      <c r="E1221" s="36" t="s">
        <v>287</v>
      </c>
      <c r="F1221" s="36" t="s">
        <v>286</v>
      </c>
      <c r="G1221" s="36" t="s">
        <v>411</v>
      </c>
      <c r="H1221" s="37">
        <v>28.72</v>
      </c>
      <c r="I1221" s="36" t="s">
        <v>1301</v>
      </c>
      <c r="J1221" s="39" t="s">
        <v>286</v>
      </c>
      <c r="K1221" s="38"/>
      <c r="L1221" s="38"/>
    </row>
    <row r="1222" ht="22.5" customHeight="1">
      <c r="A1222" s="36" t="s">
        <v>3128</v>
      </c>
      <c r="B1222" s="36" t="s">
        <v>3129</v>
      </c>
      <c r="C1222" s="36" t="s">
        <v>1495</v>
      </c>
      <c r="D1222" s="36" t="s">
        <v>1496</v>
      </c>
      <c r="E1222" s="36" t="s">
        <v>287</v>
      </c>
      <c r="F1222" s="36" t="s">
        <v>286</v>
      </c>
      <c r="G1222" s="36" t="s">
        <v>411</v>
      </c>
      <c r="H1222" s="37">
        <v>24.31</v>
      </c>
      <c r="I1222" s="36" t="s">
        <v>1301</v>
      </c>
      <c r="J1222" s="39" t="s">
        <v>286</v>
      </c>
      <c r="K1222" s="38"/>
      <c r="L1222" s="38"/>
    </row>
    <row r="1223" ht="22.5" customHeight="1">
      <c r="A1223" s="36" t="s">
        <v>3130</v>
      </c>
      <c r="B1223" s="36" t="s">
        <v>3131</v>
      </c>
      <c r="C1223" s="36" t="s">
        <v>1495</v>
      </c>
      <c r="D1223" s="36" t="s">
        <v>1496</v>
      </c>
      <c r="E1223" s="36" t="s">
        <v>287</v>
      </c>
      <c r="F1223" s="36" t="s">
        <v>286</v>
      </c>
      <c r="G1223" s="36" t="s">
        <v>411</v>
      </c>
      <c r="H1223" s="37">
        <v>16.83</v>
      </c>
      <c r="I1223" s="36" t="s">
        <v>1301</v>
      </c>
      <c r="J1223" s="39" t="s">
        <v>286</v>
      </c>
      <c r="K1223" s="38"/>
      <c r="L1223" s="38"/>
    </row>
    <row r="1224" ht="22.5" customHeight="1">
      <c r="A1224" s="36" t="s">
        <v>3132</v>
      </c>
      <c r="B1224" s="36" t="s">
        <v>3133</v>
      </c>
      <c r="C1224" s="36" t="s">
        <v>1495</v>
      </c>
      <c r="D1224" s="36" t="s">
        <v>1496</v>
      </c>
      <c r="E1224" s="36" t="s">
        <v>287</v>
      </c>
      <c r="F1224" s="36" t="s">
        <v>286</v>
      </c>
      <c r="G1224" s="36" t="s">
        <v>411</v>
      </c>
      <c r="H1224" s="37">
        <v>3.9</v>
      </c>
      <c r="I1224" s="36" t="s">
        <v>1301</v>
      </c>
      <c r="J1224" s="39" t="s">
        <v>286</v>
      </c>
      <c r="K1224" s="38"/>
      <c r="L1224" s="38"/>
    </row>
    <row r="1225" ht="22.5" customHeight="1">
      <c r="A1225" s="36" t="s">
        <v>3134</v>
      </c>
      <c r="B1225" s="36" t="s">
        <v>3135</v>
      </c>
      <c r="C1225" s="36" t="s">
        <v>1495</v>
      </c>
      <c r="D1225" s="36" t="s">
        <v>1496</v>
      </c>
      <c r="E1225" s="36" t="s">
        <v>287</v>
      </c>
      <c r="F1225" s="36" t="s">
        <v>286</v>
      </c>
      <c r="G1225" s="36" t="s">
        <v>411</v>
      </c>
      <c r="H1225" s="37">
        <v>13.51</v>
      </c>
      <c r="I1225" s="36" t="s">
        <v>1301</v>
      </c>
      <c r="J1225" s="39" t="s">
        <v>286</v>
      </c>
      <c r="K1225" s="38"/>
      <c r="L1225" s="38"/>
    </row>
    <row r="1226" ht="22.5" customHeight="1">
      <c r="A1226" s="36" t="s">
        <v>3136</v>
      </c>
      <c r="B1226" s="36" t="s">
        <v>3137</v>
      </c>
      <c r="C1226" s="36" t="s">
        <v>1495</v>
      </c>
      <c r="D1226" s="36" t="s">
        <v>1496</v>
      </c>
      <c r="E1226" s="36" t="s">
        <v>287</v>
      </c>
      <c r="F1226" s="36" t="s">
        <v>286</v>
      </c>
      <c r="G1226" s="36" t="s">
        <v>411</v>
      </c>
      <c r="H1226" s="37">
        <v>12.59</v>
      </c>
      <c r="I1226" s="36" t="s">
        <v>1301</v>
      </c>
      <c r="J1226" s="39" t="s">
        <v>286</v>
      </c>
      <c r="K1226" s="38"/>
      <c r="L1226" s="38"/>
    </row>
    <row r="1227" ht="22.5" customHeight="1">
      <c r="A1227" s="36" t="s">
        <v>3138</v>
      </c>
      <c r="B1227" s="36" t="s">
        <v>3139</v>
      </c>
      <c r="C1227" s="36" t="s">
        <v>1495</v>
      </c>
      <c r="D1227" s="36" t="s">
        <v>1496</v>
      </c>
      <c r="E1227" s="36" t="s">
        <v>287</v>
      </c>
      <c r="F1227" s="36" t="s">
        <v>286</v>
      </c>
      <c r="G1227" s="36" t="s">
        <v>411</v>
      </c>
      <c r="H1227" s="37">
        <v>14.23</v>
      </c>
      <c r="I1227" s="36" t="s">
        <v>1301</v>
      </c>
      <c r="J1227" s="39" t="s">
        <v>286</v>
      </c>
      <c r="K1227" s="38"/>
      <c r="L1227" s="38"/>
    </row>
    <row r="1228" ht="22.5" customHeight="1">
      <c r="A1228" s="36" t="s">
        <v>3140</v>
      </c>
      <c r="B1228" s="36" t="s">
        <v>3141</v>
      </c>
      <c r="C1228" s="36" t="s">
        <v>1495</v>
      </c>
      <c r="D1228" s="36" t="s">
        <v>1496</v>
      </c>
      <c r="E1228" s="36" t="s">
        <v>287</v>
      </c>
      <c r="F1228" s="36" t="s">
        <v>286</v>
      </c>
      <c r="G1228" s="36" t="s">
        <v>411</v>
      </c>
      <c r="H1228" s="37">
        <v>12.17</v>
      </c>
      <c r="I1228" s="36" t="s">
        <v>1301</v>
      </c>
      <c r="J1228" s="39" t="s">
        <v>286</v>
      </c>
      <c r="K1228" s="38"/>
      <c r="L1228" s="38"/>
    </row>
    <row r="1229" ht="22.5" customHeight="1">
      <c r="A1229" s="36" t="s">
        <v>3142</v>
      </c>
      <c r="B1229" s="36" t="s">
        <v>3143</v>
      </c>
      <c r="C1229" s="36" t="s">
        <v>1495</v>
      </c>
      <c r="D1229" s="36" t="s">
        <v>1496</v>
      </c>
      <c r="E1229" s="36" t="s">
        <v>287</v>
      </c>
      <c r="F1229" s="36" t="s">
        <v>286</v>
      </c>
      <c r="G1229" s="36" t="s">
        <v>411</v>
      </c>
      <c r="H1229" s="37">
        <v>15.01</v>
      </c>
      <c r="I1229" s="36" t="s">
        <v>1301</v>
      </c>
      <c r="J1229" s="39" t="s">
        <v>286</v>
      </c>
      <c r="K1229" s="38"/>
      <c r="L1229" s="38"/>
    </row>
    <row r="1230" ht="22.5" customHeight="1">
      <c r="A1230" s="36" t="s">
        <v>3144</v>
      </c>
      <c r="B1230" s="36" t="s">
        <v>3145</v>
      </c>
      <c r="C1230" s="36" t="s">
        <v>1495</v>
      </c>
      <c r="D1230" s="36" t="s">
        <v>1496</v>
      </c>
      <c r="E1230" s="36" t="s">
        <v>287</v>
      </c>
      <c r="F1230" s="36" t="s">
        <v>286</v>
      </c>
      <c r="G1230" s="36" t="s">
        <v>411</v>
      </c>
      <c r="H1230" s="37">
        <v>12.56</v>
      </c>
      <c r="I1230" s="36" t="s">
        <v>1301</v>
      </c>
      <c r="J1230" s="39" t="s">
        <v>286</v>
      </c>
      <c r="K1230" s="38"/>
      <c r="L1230" s="38"/>
    </row>
    <row r="1231" ht="22.5" customHeight="1">
      <c r="A1231" s="36" t="s">
        <v>3146</v>
      </c>
      <c r="B1231" s="36" t="s">
        <v>3147</v>
      </c>
      <c r="C1231" s="36" t="s">
        <v>1495</v>
      </c>
      <c r="D1231" s="36" t="s">
        <v>1496</v>
      </c>
      <c r="E1231" s="36" t="s">
        <v>287</v>
      </c>
      <c r="F1231" s="36" t="s">
        <v>286</v>
      </c>
      <c r="G1231" s="36" t="s">
        <v>411</v>
      </c>
      <c r="H1231" s="37">
        <v>28.79</v>
      </c>
      <c r="I1231" s="36" t="s">
        <v>1301</v>
      </c>
      <c r="J1231" s="39" t="s">
        <v>286</v>
      </c>
      <c r="K1231" s="38"/>
      <c r="L1231" s="38"/>
    </row>
    <row r="1232" ht="22.5" customHeight="1">
      <c r="A1232" s="36" t="s">
        <v>3148</v>
      </c>
      <c r="B1232" s="36" t="s">
        <v>3149</v>
      </c>
      <c r="C1232" s="36" t="s">
        <v>1495</v>
      </c>
      <c r="D1232" s="36" t="s">
        <v>1496</v>
      </c>
      <c r="E1232" s="36" t="s">
        <v>287</v>
      </c>
      <c r="F1232" s="36" t="s">
        <v>286</v>
      </c>
      <c r="G1232" s="36" t="s">
        <v>411</v>
      </c>
      <c r="H1232" s="37">
        <v>15.18</v>
      </c>
      <c r="I1232" s="36" t="s">
        <v>1301</v>
      </c>
      <c r="J1232" s="39" t="s">
        <v>286</v>
      </c>
      <c r="K1232" s="38"/>
      <c r="L1232" s="38"/>
    </row>
    <row r="1233" ht="22.5" customHeight="1">
      <c r="A1233" s="36" t="s">
        <v>3150</v>
      </c>
      <c r="B1233" s="36" t="s">
        <v>3151</v>
      </c>
      <c r="C1233" s="36" t="s">
        <v>1495</v>
      </c>
      <c r="D1233" s="36" t="s">
        <v>1496</v>
      </c>
      <c r="E1233" s="36" t="s">
        <v>287</v>
      </c>
      <c r="F1233" s="36" t="s">
        <v>286</v>
      </c>
      <c r="G1233" s="36" t="s">
        <v>411</v>
      </c>
      <c r="H1233" s="37">
        <v>28.79</v>
      </c>
      <c r="I1233" s="36" t="s">
        <v>1301</v>
      </c>
      <c r="J1233" s="39" t="s">
        <v>286</v>
      </c>
      <c r="K1233" s="38"/>
      <c r="L1233" s="38"/>
    </row>
    <row r="1234" ht="22.5" customHeight="1">
      <c r="A1234" s="36" t="s">
        <v>3152</v>
      </c>
      <c r="B1234" s="36" t="s">
        <v>3153</v>
      </c>
      <c r="C1234" s="36" t="s">
        <v>1495</v>
      </c>
      <c r="D1234" s="36" t="s">
        <v>1496</v>
      </c>
      <c r="E1234" s="36" t="s">
        <v>287</v>
      </c>
      <c r="F1234" s="36" t="s">
        <v>286</v>
      </c>
      <c r="G1234" s="36" t="s">
        <v>411</v>
      </c>
      <c r="H1234" s="37">
        <v>11.17</v>
      </c>
      <c r="I1234" s="36" t="s">
        <v>1301</v>
      </c>
      <c r="J1234" s="39" t="s">
        <v>286</v>
      </c>
      <c r="K1234" s="38"/>
      <c r="L1234" s="38"/>
    </row>
    <row r="1235" ht="22.5" customHeight="1">
      <c r="A1235" s="36" t="s">
        <v>3154</v>
      </c>
      <c r="B1235" s="36" t="s">
        <v>3155</v>
      </c>
      <c r="C1235" s="36" t="s">
        <v>1495</v>
      </c>
      <c r="D1235" s="36" t="s">
        <v>1496</v>
      </c>
      <c r="E1235" s="36" t="s">
        <v>287</v>
      </c>
      <c r="F1235" s="36" t="s">
        <v>286</v>
      </c>
      <c r="G1235" s="36" t="s">
        <v>411</v>
      </c>
      <c r="H1235" s="37">
        <v>15.83</v>
      </c>
      <c r="I1235" s="36" t="s">
        <v>1301</v>
      </c>
      <c r="J1235" s="39" t="s">
        <v>286</v>
      </c>
      <c r="K1235" s="38"/>
      <c r="L1235" s="38"/>
    </row>
    <row r="1236" ht="22.5" customHeight="1">
      <c r="A1236" s="36" t="s">
        <v>3156</v>
      </c>
      <c r="B1236" s="36" t="s">
        <v>3157</v>
      </c>
      <c r="C1236" s="36" t="s">
        <v>1495</v>
      </c>
      <c r="D1236" s="36" t="s">
        <v>1496</v>
      </c>
      <c r="E1236" s="36" t="s">
        <v>287</v>
      </c>
      <c r="F1236" s="36" t="s">
        <v>286</v>
      </c>
      <c r="G1236" s="36" t="s">
        <v>411</v>
      </c>
      <c r="H1236" s="37">
        <v>19.12</v>
      </c>
      <c r="I1236" s="36" t="s">
        <v>1301</v>
      </c>
      <c r="J1236" s="39" t="s">
        <v>286</v>
      </c>
      <c r="K1236" s="38"/>
      <c r="L1236" s="38"/>
    </row>
    <row r="1237" ht="22.5" customHeight="1">
      <c r="A1237" s="36" t="s">
        <v>3158</v>
      </c>
      <c r="B1237" s="36" t="s">
        <v>3159</v>
      </c>
      <c r="C1237" s="36" t="s">
        <v>1495</v>
      </c>
      <c r="D1237" s="36" t="s">
        <v>1496</v>
      </c>
      <c r="E1237" s="36" t="s">
        <v>287</v>
      </c>
      <c r="F1237" s="36" t="s">
        <v>286</v>
      </c>
      <c r="G1237" s="36" t="s">
        <v>411</v>
      </c>
      <c r="H1237" s="37">
        <v>5.63</v>
      </c>
      <c r="I1237" s="36" t="s">
        <v>1301</v>
      </c>
      <c r="J1237" s="39" t="s">
        <v>286</v>
      </c>
      <c r="K1237" s="38"/>
      <c r="L1237" s="38"/>
    </row>
    <row r="1238" ht="22.5" customHeight="1">
      <c r="A1238" s="36" t="s">
        <v>3160</v>
      </c>
      <c r="B1238" s="36" t="s">
        <v>3161</v>
      </c>
      <c r="C1238" s="36" t="s">
        <v>1495</v>
      </c>
      <c r="D1238" s="36" t="s">
        <v>1496</v>
      </c>
      <c r="E1238" s="36" t="s">
        <v>287</v>
      </c>
      <c r="F1238" s="36" t="s">
        <v>286</v>
      </c>
      <c r="G1238" s="36" t="s">
        <v>411</v>
      </c>
      <c r="H1238" s="37">
        <v>17.46</v>
      </c>
      <c r="I1238" s="36" t="s">
        <v>1301</v>
      </c>
      <c r="J1238" s="39" t="s">
        <v>286</v>
      </c>
      <c r="K1238" s="38"/>
      <c r="L1238" s="38"/>
    </row>
    <row r="1239" ht="22.5" customHeight="1">
      <c r="A1239" s="36" t="s">
        <v>3162</v>
      </c>
      <c r="B1239" s="36" t="s">
        <v>3163</v>
      </c>
      <c r="C1239" s="36" t="s">
        <v>1495</v>
      </c>
      <c r="D1239" s="36" t="s">
        <v>1496</v>
      </c>
      <c r="E1239" s="36" t="s">
        <v>287</v>
      </c>
      <c r="F1239" s="36" t="s">
        <v>286</v>
      </c>
      <c r="G1239" s="36" t="s">
        <v>411</v>
      </c>
      <c r="H1239" s="37">
        <v>3.2</v>
      </c>
      <c r="I1239" s="36" t="s">
        <v>1301</v>
      </c>
      <c r="J1239" s="39" t="s">
        <v>286</v>
      </c>
      <c r="K1239" s="38"/>
      <c r="L1239" s="38"/>
    </row>
    <row r="1240" ht="22.5" customHeight="1">
      <c r="A1240" s="36" t="s">
        <v>3164</v>
      </c>
      <c r="B1240" s="36" t="s">
        <v>3165</v>
      </c>
      <c r="C1240" s="36" t="s">
        <v>1495</v>
      </c>
      <c r="D1240" s="36" t="s">
        <v>1496</v>
      </c>
      <c r="E1240" s="36" t="s">
        <v>287</v>
      </c>
      <c r="F1240" s="36" t="s">
        <v>286</v>
      </c>
      <c r="G1240" s="36" t="s">
        <v>411</v>
      </c>
      <c r="H1240" s="37">
        <v>19.01</v>
      </c>
      <c r="I1240" s="36" t="s">
        <v>1301</v>
      </c>
      <c r="J1240" s="39" t="s">
        <v>286</v>
      </c>
      <c r="K1240" s="38"/>
      <c r="L1240" s="38"/>
    </row>
    <row r="1241" ht="22.5" customHeight="1">
      <c r="A1241" s="36" t="s">
        <v>3166</v>
      </c>
      <c r="B1241" s="36" t="s">
        <v>3167</v>
      </c>
      <c r="C1241" s="36" t="s">
        <v>1495</v>
      </c>
      <c r="D1241" s="36" t="s">
        <v>1496</v>
      </c>
      <c r="E1241" s="36" t="s">
        <v>287</v>
      </c>
      <c r="F1241" s="36" t="s">
        <v>286</v>
      </c>
      <c r="G1241" s="36" t="s">
        <v>411</v>
      </c>
      <c r="H1241" s="37">
        <v>5.63</v>
      </c>
      <c r="I1241" s="36" t="s">
        <v>1301</v>
      </c>
      <c r="J1241" s="39" t="s">
        <v>286</v>
      </c>
      <c r="K1241" s="38"/>
      <c r="L1241" s="38"/>
    </row>
    <row r="1242" ht="22.5" customHeight="1">
      <c r="A1242" s="36" t="s">
        <v>3168</v>
      </c>
      <c r="B1242" s="36" t="s">
        <v>3169</v>
      </c>
      <c r="C1242" s="36" t="s">
        <v>1495</v>
      </c>
      <c r="D1242" s="36" t="s">
        <v>1496</v>
      </c>
      <c r="E1242" s="36" t="s">
        <v>287</v>
      </c>
      <c r="F1242" s="36" t="s">
        <v>286</v>
      </c>
      <c r="G1242" s="36" t="s">
        <v>411</v>
      </c>
      <c r="H1242" s="37">
        <v>17.46</v>
      </c>
      <c r="I1242" s="36" t="s">
        <v>1301</v>
      </c>
      <c r="J1242" s="39" t="s">
        <v>286</v>
      </c>
      <c r="K1242" s="38"/>
      <c r="L1242" s="38"/>
    </row>
    <row r="1243" ht="22.5" customHeight="1">
      <c r="A1243" s="36" t="s">
        <v>3170</v>
      </c>
      <c r="B1243" s="36" t="s">
        <v>3171</v>
      </c>
      <c r="C1243" s="36" t="s">
        <v>1495</v>
      </c>
      <c r="D1243" s="36" t="s">
        <v>1496</v>
      </c>
      <c r="E1243" s="36" t="s">
        <v>287</v>
      </c>
      <c r="F1243" s="36" t="s">
        <v>286</v>
      </c>
      <c r="G1243" s="36" t="s">
        <v>411</v>
      </c>
      <c r="H1243" s="37">
        <v>16.41</v>
      </c>
      <c r="I1243" s="36" t="s">
        <v>1301</v>
      </c>
      <c r="J1243" s="39" t="s">
        <v>286</v>
      </c>
      <c r="K1243" s="38"/>
      <c r="L1243" s="38"/>
    </row>
    <row r="1244" ht="22.5" customHeight="1">
      <c r="A1244" s="36" t="s">
        <v>3172</v>
      </c>
      <c r="B1244" s="36" t="s">
        <v>3173</v>
      </c>
      <c r="C1244" s="36" t="s">
        <v>1495</v>
      </c>
      <c r="D1244" s="36" t="s">
        <v>1496</v>
      </c>
      <c r="E1244" s="36" t="s">
        <v>287</v>
      </c>
      <c r="F1244" s="36" t="s">
        <v>286</v>
      </c>
      <c r="G1244" s="36" t="s">
        <v>411</v>
      </c>
      <c r="H1244" s="37">
        <v>13.34</v>
      </c>
      <c r="I1244" s="36" t="s">
        <v>1301</v>
      </c>
      <c r="J1244" s="39" t="s">
        <v>286</v>
      </c>
      <c r="K1244" s="38"/>
      <c r="L1244" s="38"/>
    </row>
    <row r="1245" ht="22.5" customHeight="1">
      <c r="A1245" s="36" t="s">
        <v>3174</v>
      </c>
      <c r="B1245" s="36" t="s">
        <v>3175</v>
      </c>
      <c r="C1245" s="36" t="s">
        <v>1495</v>
      </c>
      <c r="D1245" s="36" t="s">
        <v>1496</v>
      </c>
      <c r="E1245" s="36" t="s">
        <v>287</v>
      </c>
      <c r="F1245" s="36" t="s">
        <v>286</v>
      </c>
      <c r="G1245" s="36" t="s">
        <v>411</v>
      </c>
      <c r="H1245" s="37">
        <v>8.91</v>
      </c>
      <c r="I1245" s="36" t="s">
        <v>1301</v>
      </c>
      <c r="J1245" s="39" t="s">
        <v>286</v>
      </c>
      <c r="K1245" s="38"/>
      <c r="L1245" s="38"/>
    </row>
    <row r="1246" ht="22.5" customHeight="1">
      <c r="A1246" s="36" t="s">
        <v>3176</v>
      </c>
      <c r="B1246" s="36" t="s">
        <v>3177</v>
      </c>
      <c r="C1246" s="36" t="s">
        <v>1495</v>
      </c>
      <c r="D1246" s="36" t="s">
        <v>1496</v>
      </c>
      <c r="E1246" s="36" t="s">
        <v>287</v>
      </c>
      <c r="F1246" s="36" t="s">
        <v>286</v>
      </c>
      <c r="G1246" s="36" t="s">
        <v>411</v>
      </c>
      <c r="H1246" s="37">
        <v>12.65</v>
      </c>
      <c r="I1246" s="36" t="s">
        <v>1301</v>
      </c>
      <c r="J1246" s="39" t="s">
        <v>286</v>
      </c>
      <c r="K1246" s="38"/>
      <c r="L1246" s="38"/>
    </row>
    <row r="1247" ht="22.5" customHeight="1">
      <c r="A1247" s="36" t="s">
        <v>3178</v>
      </c>
      <c r="B1247" s="36" t="s">
        <v>3179</v>
      </c>
      <c r="C1247" s="36" t="s">
        <v>1495</v>
      </c>
      <c r="D1247" s="36" t="s">
        <v>1496</v>
      </c>
      <c r="E1247" s="36" t="s">
        <v>287</v>
      </c>
      <c r="F1247" s="36" t="s">
        <v>286</v>
      </c>
      <c r="G1247" s="36" t="s">
        <v>411</v>
      </c>
      <c r="H1247" s="37">
        <v>11.25</v>
      </c>
      <c r="I1247" s="36" t="s">
        <v>1301</v>
      </c>
      <c r="J1247" s="39" t="s">
        <v>286</v>
      </c>
      <c r="K1247" s="38"/>
      <c r="L1247" s="38"/>
    </row>
    <row r="1248" ht="22.5" customHeight="1">
      <c r="A1248" s="36" t="s">
        <v>3180</v>
      </c>
      <c r="B1248" s="36" t="s">
        <v>3181</v>
      </c>
      <c r="C1248" s="36" t="s">
        <v>1495</v>
      </c>
      <c r="D1248" s="36" t="s">
        <v>1496</v>
      </c>
      <c r="E1248" s="36" t="s">
        <v>287</v>
      </c>
      <c r="F1248" s="36" t="s">
        <v>286</v>
      </c>
      <c r="G1248" s="36" t="s">
        <v>411</v>
      </c>
      <c r="H1248" s="37">
        <v>45.94</v>
      </c>
      <c r="I1248" s="36" t="s">
        <v>1301</v>
      </c>
      <c r="J1248" s="39" t="s">
        <v>286</v>
      </c>
      <c r="K1248" s="38"/>
      <c r="L1248" s="38"/>
    </row>
    <row r="1249" ht="22.5" customHeight="1">
      <c r="A1249" s="36" t="s">
        <v>3182</v>
      </c>
      <c r="B1249" s="36" t="s">
        <v>3183</v>
      </c>
      <c r="C1249" s="36" t="s">
        <v>1495</v>
      </c>
      <c r="D1249" s="36" t="s">
        <v>1496</v>
      </c>
      <c r="E1249" s="36" t="s">
        <v>287</v>
      </c>
      <c r="F1249" s="36" t="s">
        <v>286</v>
      </c>
      <c r="G1249" s="36" t="s">
        <v>411</v>
      </c>
      <c r="H1249" s="37">
        <v>3.82</v>
      </c>
      <c r="I1249" s="36" t="s">
        <v>1301</v>
      </c>
      <c r="J1249" s="39" t="s">
        <v>286</v>
      </c>
      <c r="K1249" s="38"/>
      <c r="L1249" s="38"/>
    </row>
    <row r="1250" ht="22.5" customHeight="1">
      <c r="A1250" s="36" t="s">
        <v>3184</v>
      </c>
      <c r="B1250" s="36" t="s">
        <v>3185</v>
      </c>
      <c r="C1250" s="36" t="s">
        <v>1495</v>
      </c>
      <c r="D1250" s="36" t="s">
        <v>1496</v>
      </c>
      <c r="E1250" s="36" t="s">
        <v>287</v>
      </c>
      <c r="F1250" s="36" t="s">
        <v>286</v>
      </c>
      <c r="G1250" s="36" t="s">
        <v>411</v>
      </c>
      <c r="H1250" s="37">
        <v>3.72</v>
      </c>
      <c r="I1250" s="36" t="s">
        <v>1301</v>
      </c>
      <c r="J1250" s="39" t="s">
        <v>286</v>
      </c>
      <c r="K1250" s="38"/>
      <c r="L1250" s="38"/>
    </row>
    <row r="1251" ht="22.5" customHeight="1">
      <c r="A1251" s="36" t="s">
        <v>3186</v>
      </c>
      <c r="B1251" s="36" t="s">
        <v>3187</v>
      </c>
      <c r="C1251" s="36" t="s">
        <v>1495</v>
      </c>
      <c r="D1251" s="36" t="s">
        <v>1496</v>
      </c>
      <c r="E1251" s="36" t="s">
        <v>287</v>
      </c>
      <c r="F1251" s="36" t="s">
        <v>286</v>
      </c>
      <c r="G1251" s="36" t="s">
        <v>411</v>
      </c>
      <c r="H1251" s="37">
        <v>5.16</v>
      </c>
      <c r="I1251" s="36" t="s">
        <v>1301</v>
      </c>
      <c r="J1251" s="39" t="s">
        <v>286</v>
      </c>
      <c r="K1251" s="38"/>
      <c r="L1251" s="38"/>
    </row>
    <row r="1252" ht="22.5" customHeight="1">
      <c r="A1252" s="36" t="s">
        <v>3188</v>
      </c>
      <c r="B1252" s="36" t="s">
        <v>3189</v>
      </c>
      <c r="C1252" s="36" t="s">
        <v>1495</v>
      </c>
      <c r="D1252" s="36" t="s">
        <v>1496</v>
      </c>
      <c r="E1252" s="36" t="s">
        <v>287</v>
      </c>
      <c r="F1252" s="36" t="s">
        <v>286</v>
      </c>
      <c r="G1252" s="36" t="s">
        <v>411</v>
      </c>
      <c r="H1252" s="37">
        <v>26.74</v>
      </c>
      <c r="I1252" s="36" t="s">
        <v>1301</v>
      </c>
      <c r="J1252" s="39" t="s">
        <v>286</v>
      </c>
      <c r="K1252" s="38"/>
      <c r="L1252" s="38"/>
    </row>
    <row r="1253" ht="22.5" customHeight="1">
      <c r="A1253" s="36" t="s">
        <v>3190</v>
      </c>
      <c r="B1253" s="36" t="s">
        <v>3191</v>
      </c>
      <c r="C1253" s="36" t="s">
        <v>1495</v>
      </c>
      <c r="D1253" s="36" t="s">
        <v>1496</v>
      </c>
      <c r="E1253" s="36" t="s">
        <v>287</v>
      </c>
      <c r="F1253" s="36" t="s">
        <v>286</v>
      </c>
      <c r="G1253" s="36" t="s">
        <v>411</v>
      </c>
      <c r="H1253" s="37">
        <v>15.78</v>
      </c>
      <c r="I1253" s="36" t="s">
        <v>1301</v>
      </c>
      <c r="J1253" s="39" t="s">
        <v>286</v>
      </c>
      <c r="K1253" s="38"/>
      <c r="L1253" s="38"/>
    </row>
    <row r="1254" ht="22.5" customHeight="1">
      <c r="A1254" s="36" t="s">
        <v>3192</v>
      </c>
      <c r="B1254" s="36" t="s">
        <v>3193</v>
      </c>
      <c r="C1254" s="36" t="s">
        <v>1495</v>
      </c>
      <c r="D1254" s="36" t="s">
        <v>1496</v>
      </c>
      <c r="E1254" s="36" t="s">
        <v>287</v>
      </c>
      <c r="F1254" s="36" t="s">
        <v>286</v>
      </c>
      <c r="G1254" s="36" t="s">
        <v>411</v>
      </c>
      <c r="H1254" s="37">
        <v>325.0</v>
      </c>
      <c r="I1254" s="36" t="s">
        <v>1301</v>
      </c>
      <c r="J1254" s="39" t="s">
        <v>286</v>
      </c>
      <c r="K1254" s="38"/>
      <c r="L1254" s="38"/>
    </row>
    <row r="1255" ht="22.5" customHeight="1">
      <c r="A1255" s="36" t="s">
        <v>3194</v>
      </c>
      <c r="B1255" s="36" t="s">
        <v>3195</v>
      </c>
      <c r="C1255" s="36" t="s">
        <v>1495</v>
      </c>
      <c r="D1255" s="36" t="s">
        <v>1496</v>
      </c>
      <c r="E1255" s="36" t="s">
        <v>287</v>
      </c>
      <c r="F1255" s="36" t="s">
        <v>286</v>
      </c>
      <c r="G1255" s="36" t="s">
        <v>307</v>
      </c>
      <c r="H1255" s="37">
        <v>8.07</v>
      </c>
      <c r="I1255" s="36" t="s">
        <v>1301</v>
      </c>
      <c r="J1255" s="39" t="s">
        <v>286</v>
      </c>
      <c r="K1255" s="38"/>
      <c r="L1255" s="38"/>
    </row>
    <row r="1256" ht="22.5" customHeight="1">
      <c r="A1256" s="36" t="s">
        <v>3196</v>
      </c>
      <c r="B1256" s="36" t="s">
        <v>3197</v>
      </c>
      <c r="C1256" s="36" t="s">
        <v>1495</v>
      </c>
      <c r="D1256" s="36" t="s">
        <v>1496</v>
      </c>
      <c r="E1256" s="36" t="s">
        <v>287</v>
      </c>
      <c r="F1256" s="36" t="s">
        <v>286</v>
      </c>
      <c r="G1256" s="36" t="s">
        <v>411</v>
      </c>
      <c r="H1256" s="37">
        <v>15.42</v>
      </c>
      <c r="I1256" s="36" t="s">
        <v>1301</v>
      </c>
      <c r="J1256" s="39" t="s">
        <v>286</v>
      </c>
      <c r="K1256" s="38"/>
      <c r="L1256" s="38"/>
    </row>
    <row r="1257" ht="22.5" customHeight="1">
      <c r="A1257" s="36" t="s">
        <v>3198</v>
      </c>
      <c r="B1257" s="36" t="s">
        <v>3199</v>
      </c>
      <c r="C1257" s="36" t="s">
        <v>1495</v>
      </c>
      <c r="D1257" s="36" t="s">
        <v>1496</v>
      </c>
      <c r="E1257" s="36" t="s">
        <v>287</v>
      </c>
      <c r="F1257" s="36" t="s">
        <v>286</v>
      </c>
      <c r="G1257" s="36" t="s">
        <v>411</v>
      </c>
      <c r="H1257" s="37">
        <v>28.25</v>
      </c>
      <c r="I1257" s="36" t="s">
        <v>1301</v>
      </c>
      <c r="J1257" s="39" t="s">
        <v>286</v>
      </c>
      <c r="K1257" s="38"/>
      <c r="L1257" s="38"/>
    </row>
    <row r="1258" ht="22.5" customHeight="1">
      <c r="A1258" s="36" t="s">
        <v>3200</v>
      </c>
      <c r="B1258" s="36" t="s">
        <v>3201</v>
      </c>
      <c r="C1258" s="36" t="s">
        <v>1495</v>
      </c>
      <c r="D1258" s="36" t="s">
        <v>1496</v>
      </c>
      <c r="E1258" s="36" t="s">
        <v>287</v>
      </c>
      <c r="F1258" s="36" t="s">
        <v>286</v>
      </c>
      <c r="G1258" s="36" t="s">
        <v>411</v>
      </c>
      <c r="H1258" s="37">
        <v>27.67</v>
      </c>
      <c r="I1258" s="36" t="s">
        <v>1301</v>
      </c>
      <c r="J1258" s="39" t="s">
        <v>286</v>
      </c>
      <c r="K1258" s="38"/>
      <c r="L1258" s="38"/>
    </row>
    <row r="1259" ht="22.5" customHeight="1">
      <c r="A1259" s="36" t="s">
        <v>3202</v>
      </c>
      <c r="B1259" s="36" t="s">
        <v>3203</v>
      </c>
      <c r="C1259" s="36" t="s">
        <v>1495</v>
      </c>
      <c r="D1259" s="36" t="s">
        <v>1496</v>
      </c>
      <c r="E1259" s="36" t="s">
        <v>287</v>
      </c>
      <c r="F1259" s="36" t="s">
        <v>286</v>
      </c>
      <c r="G1259" s="36" t="s">
        <v>411</v>
      </c>
      <c r="H1259" s="37">
        <v>15.0</v>
      </c>
      <c r="I1259" s="36" t="s">
        <v>1301</v>
      </c>
      <c r="J1259" s="39" t="s">
        <v>286</v>
      </c>
      <c r="K1259" s="38"/>
      <c r="L1259" s="38"/>
    </row>
    <row r="1260" ht="22.5" customHeight="1">
      <c r="A1260" s="36" t="s">
        <v>3204</v>
      </c>
      <c r="B1260" s="36" t="s">
        <v>3205</v>
      </c>
      <c r="C1260" s="36" t="s">
        <v>1495</v>
      </c>
      <c r="D1260" s="36" t="s">
        <v>1496</v>
      </c>
      <c r="E1260" s="36" t="s">
        <v>287</v>
      </c>
      <c r="F1260" s="36" t="s">
        <v>286</v>
      </c>
      <c r="G1260" s="36" t="s">
        <v>411</v>
      </c>
      <c r="H1260" s="37">
        <v>5.5</v>
      </c>
      <c r="I1260" s="36" t="s">
        <v>1301</v>
      </c>
      <c r="J1260" s="39" t="s">
        <v>286</v>
      </c>
      <c r="K1260" s="38"/>
      <c r="L1260" s="38"/>
    </row>
    <row r="1261" ht="22.5" customHeight="1">
      <c r="A1261" s="36" t="s">
        <v>3206</v>
      </c>
      <c r="B1261" s="36" t="s">
        <v>3207</v>
      </c>
      <c r="C1261" s="36" t="s">
        <v>1495</v>
      </c>
      <c r="D1261" s="36" t="s">
        <v>1496</v>
      </c>
      <c r="E1261" s="36" t="s">
        <v>287</v>
      </c>
      <c r="F1261" s="36" t="s">
        <v>286</v>
      </c>
      <c r="G1261" s="36" t="s">
        <v>411</v>
      </c>
      <c r="H1261" s="37">
        <v>15.42</v>
      </c>
      <c r="I1261" s="36" t="s">
        <v>1301</v>
      </c>
      <c r="J1261" s="39" t="s">
        <v>286</v>
      </c>
      <c r="K1261" s="38"/>
      <c r="L1261" s="38"/>
    </row>
    <row r="1262" ht="22.5" customHeight="1">
      <c r="A1262" s="36" t="s">
        <v>3208</v>
      </c>
      <c r="B1262" s="36" t="s">
        <v>3209</v>
      </c>
      <c r="C1262" s="36" t="s">
        <v>1495</v>
      </c>
      <c r="D1262" s="36" t="s">
        <v>1496</v>
      </c>
      <c r="E1262" s="36" t="s">
        <v>287</v>
      </c>
      <c r="F1262" s="36" t="s">
        <v>286</v>
      </c>
      <c r="G1262" s="36" t="s">
        <v>411</v>
      </c>
      <c r="H1262" s="37">
        <v>8.0</v>
      </c>
      <c r="I1262" s="36" t="s">
        <v>1301</v>
      </c>
      <c r="J1262" s="39" t="s">
        <v>286</v>
      </c>
      <c r="K1262" s="38"/>
      <c r="L1262" s="38"/>
    </row>
    <row r="1263" ht="22.5" customHeight="1">
      <c r="A1263" s="36" t="s">
        <v>3210</v>
      </c>
      <c r="B1263" s="36" t="s">
        <v>3211</v>
      </c>
      <c r="C1263" s="36" t="s">
        <v>1495</v>
      </c>
      <c r="D1263" s="36" t="s">
        <v>1496</v>
      </c>
      <c r="E1263" s="36" t="s">
        <v>287</v>
      </c>
      <c r="F1263" s="36" t="s">
        <v>286</v>
      </c>
      <c r="G1263" s="36" t="s">
        <v>411</v>
      </c>
      <c r="H1263" s="37">
        <v>390.0</v>
      </c>
      <c r="I1263" s="36" t="s">
        <v>1301</v>
      </c>
      <c r="J1263" s="39" t="s">
        <v>286</v>
      </c>
      <c r="K1263" s="38"/>
      <c r="L1263" s="38"/>
    </row>
    <row r="1264" ht="22.5" customHeight="1">
      <c r="A1264" s="36" t="s">
        <v>3212</v>
      </c>
      <c r="B1264" s="36" t="s">
        <v>3213</v>
      </c>
      <c r="C1264" s="36" t="s">
        <v>1495</v>
      </c>
      <c r="D1264" s="36" t="s">
        <v>1496</v>
      </c>
      <c r="E1264" s="36" t="s">
        <v>287</v>
      </c>
      <c r="F1264" s="36" t="s">
        <v>286</v>
      </c>
      <c r="G1264" s="36" t="s">
        <v>411</v>
      </c>
      <c r="H1264" s="37">
        <v>181.91</v>
      </c>
      <c r="I1264" s="36" t="s">
        <v>1301</v>
      </c>
      <c r="J1264" s="39" t="s">
        <v>286</v>
      </c>
      <c r="K1264" s="38"/>
      <c r="L1264" s="38"/>
    </row>
    <row r="1265" ht="22.5" customHeight="1">
      <c r="A1265" s="36" t="s">
        <v>3214</v>
      </c>
      <c r="B1265" s="36" t="s">
        <v>3215</v>
      </c>
      <c r="C1265" s="36" t="s">
        <v>1495</v>
      </c>
      <c r="D1265" s="36" t="s">
        <v>1496</v>
      </c>
      <c r="E1265" s="36" t="s">
        <v>287</v>
      </c>
      <c r="F1265" s="36" t="s">
        <v>286</v>
      </c>
      <c r="G1265" s="36" t="s">
        <v>411</v>
      </c>
      <c r="H1265" s="37">
        <v>550.0</v>
      </c>
      <c r="I1265" s="36" t="s">
        <v>1301</v>
      </c>
      <c r="J1265" s="39" t="s">
        <v>286</v>
      </c>
      <c r="K1265" s="38"/>
      <c r="L1265" s="38"/>
    </row>
    <row r="1266" ht="22.5" customHeight="1">
      <c r="A1266" s="36" t="s">
        <v>3216</v>
      </c>
      <c r="B1266" s="36" t="s">
        <v>3217</v>
      </c>
      <c r="C1266" s="36" t="s">
        <v>1495</v>
      </c>
      <c r="D1266" s="36" t="s">
        <v>1496</v>
      </c>
      <c r="E1266" s="36" t="s">
        <v>287</v>
      </c>
      <c r="F1266" s="36" t="s">
        <v>286</v>
      </c>
      <c r="G1266" s="36" t="s">
        <v>411</v>
      </c>
      <c r="H1266" s="37">
        <v>250.0</v>
      </c>
      <c r="I1266" s="36" t="s">
        <v>1301</v>
      </c>
      <c r="J1266" s="39" t="s">
        <v>286</v>
      </c>
      <c r="K1266" s="38"/>
      <c r="L1266" s="38"/>
    </row>
    <row r="1267" ht="22.5" customHeight="1">
      <c r="A1267" s="36" t="s">
        <v>3218</v>
      </c>
      <c r="B1267" s="36" t="s">
        <v>3219</v>
      </c>
      <c r="C1267" s="36" t="s">
        <v>1495</v>
      </c>
      <c r="D1267" s="36" t="s">
        <v>1496</v>
      </c>
      <c r="E1267" s="36" t="s">
        <v>287</v>
      </c>
      <c r="F1267" s="36" t="s">
        <v>286</v>
      </c>
      <c r="G1267" s="36" t="s">
        <v>411</v>
      </c>
      <c r="H1267" s="37">
        <v>17.94</v>
      </c>
      <c r="I1267" s="36" t="s">
        <v>1301</v>
      </c>
      <c r="J1267" s="39" t="s">
        <v>286</v>
      </c>
      <c r="K1267" s="38"/>
      <c r="L1267" s="38"/>
    </row>
    <row r="1268" ht="22.5" customHeight="1">
      <c r="A1268" s="36" t="s">
        <v>3220</v>
      </c>
      <c r="B1268" s="36" t="s">
        <v>3221</v>
      </c>
      <c r="C1268" s="36" t="s">
        <v>1495</v>
      </c>
      <c r="D1268" s="36" t="s">
        <v>1496</v>
      </c>
      <c r="E1268" s="36" t="s">
        <v>287</v>
      </c>
      <c r="F1268" s="36" t="s">
        <v>286</v>
      </c>
      <c r="G1268" s="36" t="s">
        <v>411</v>
      </c>
      <c r="H1268" s="37">
        <v>30.04</v>
      </c>
      <c r="I1268" s="36" t="s">
        <v>1301</v>
      </c>
      <c r="J1268" s="39" t="s">
        <v>286</v>
      </c>
      <c r="K1268" s="38"/>
      <c r="L1268" s="38"/>
    </row>
    <row r="1269" ht="22.5" customHeight="1">
      <c r="A1269" s="36" t="s">
        <v>3222</v>
      </c>
      <c r="B1269" s="36" t="s">
        <v>3223</v>
      </c>
      <c r="C1269" s="36" t="s">
        <v>1495</v>
      </c>
      <c r="D1269" s="36" t="s">
        <v>1496</v>
      </c>
      <c r="E1269" s="36" t="s">
        <v>287</v>
      </c>
      <c r="F1269" s="36" t="s">
        <v>286</v>
      </c>
      <c r="G1269" s="36" t="s">
        <v>411</v>
      </c>
      <c r="H1269" s="37">
        <v>82.81</v>
      </c>
      <c r="I1269" s="36" t="s">
        <v>1301</v>
      </c>
      <c r="J1269" s="39" t="s">
        <v>286</v>
      </c>
      <c r="K1269" s="38"/>
      <c r="L1269" s="38"/>
    </row>
    <row r="1270" ht="22.5" customHeight="1">
      <c r="A1270" s="36" t="s">
        <v>3224</v>
      </c>
      <c r="B1270" s="36" t="s">
        <v>3225</v>
      </c>
      <c r="C1270" s="36" t="s">
        <v>1495</v>
      </c>
      <c r="D1270" s="36" t="s">
        <v>1496</v>
      </c>
      <c r="E1270" s="36" t="s">
        <v>287</v>
      </c>
      <c r="F1270" s="36" t="s">
        <v>286</v>
      </c>
      <c r="G1270" s="36" t="s">
        <v>411</v>
      </c>
      <c r="H1270" s="37">
        <v>82.6</v>
      </c>
      <c r="I1270" s="36" t="s">
        <v>1301</v>
      </c>
      <c r="J1270" s="39" t="s">
        <v>286</v>
      </c>
      <c r="K1270" s="38"/>
      <c r="L1270" s="38"/>
    </row>
    <row r="1271" ht="22.5" customHeight="1">
      <c r="A1271" s="36" t="s">
        <v>3226</v>
      </c>
      <c r="B1271" s="36" t="s">
        <v>3227</v>
      </c>
      <c r="C1271" s="36" t="s">
        <v>1495</v>
      </c>
      <c r="D1271" s="36" t="s">
        <v>1496</v>
      </c>
      <c r="E1271" s="36" t="s">
        <v>287</v>
      </c>
      <c r="F1271" s="36" t="s">
        <v>286</v>
      </c>
      <c r="G1271" s="36" t="s">
        <v>411</v>
      </c>
      <c r="H1271" s="37">
        <v>71.18</v>
      </c>
      <c r="I1271" s="36" t="s">
        <v>1301</v>
      </c>
      <c r="J1271" s="39" t="s">
        <v>286</v>
      </c>
      <c r="K1271" s="38"/>
      <c r="L1271" s="38"/>
    </row>
    <row r="1272" ht="22.5" customHeight="1">
      <c r="A1272" s="36" t="s">
        <v>3228</v>
      </c>
      <c r="B1272" s="36" t="s">
        <v>3229</v>
      </c>
      <c r="C1272" s="36" t="s">
        <v>1495</v>
      </c>
      <c r="D1272" s="36" t="s">
        <v>1496</v>
      </c>
      <c r="E1272" s="36" t="s">
        <v>287</v>
      </c>
      <c r="F1272" s="36" t="s">
        <v>286</v>
      </c>
      <c r="G1272" s="36" t="s">
        <v>411</v>
      </c>
      <c r="H1272" s="37">
        <v>50.84</v>
      </c>
      <c r="I1272" s="36" t="s">
        <v>1301</v>
      </c>
      <c r="J1272" s="39" t="s">
        <v>286</v>
      </c>
      <c r="K1272" s="38"/>
      <c r="L1272" s="38"/>
    </row>
    <row r="1273" ht="22.5" customHeight="1">
      <c r="A1273" s="36" t="s">
        <v>3230</v>
      </c>
      <c r="B1273" s="36" t="s">
        <v>3231</v>
      </c>
      <c r="C1273" s="36" t="s">
        <v>1495</v>
      </c>
      <c r="D1273" s="36" t="s">
        <v>1496</v>
      </c>
      <c r="E1273" s="36" t="s">
        <v>287</v>
      </c>
      <c r="F1273" s="36" t="s">
        <v>286</v>
      </c>
      <c r="G1273" s="36" t="s">
        <v>411</v>
      </c>
      <c r="H1273" s="37">
        <v>50.84</v>
      </c>
      <c r="I1273" s="36" t="s">
        <v>1301</v>
      </c>
      <c r="J1273" s="39" t="s">
        <v>286</v>
      </c>
      <c r="K1273" s="38"/>
      <c r="L1273" s="38"/>
    </row>
    <row r="1274" ht="22.5" customHeight="1">
      <c r="A1274" s="36" t="s">
        <v>3232</v>
      </c>
      <c r="B1274" s="36" t="s">
        <v>3233</v>
      </c>
      <c r="C1274" s="36" t="s">
        <v>1495</v>
      </c>
      <c r="D1274" s="36" t="s">
        <v>1496</v>
      </c>
      <c r="E1274" s="36" t="s">
        <v>287</v>
      </c>
      <c r="F1274" s="36" t="s">
        <v>286</v>
      </c>
      <c r="G1274" s="36" t="s">
        <v>411</v>
      </c>
      <c r="H1274" s="37">
        <v>47.03</v>
      </c>
      <c r="I1274" s="36" t="s">
        <v>1301</v>
      </c>
      <c r="J1274" s="39" t="s">
        <v>286</v>
      </c>
      <c r="K1274" s="38"/>
      <c r="L1274" s="38"/>
    </row>
    <row r="1275" ht="22.5" customHeight="1">
      <c r="A1275" s="36" t="s">
        <v>3234</v>
      </c>
      <c r="B1275" s="36" t="s">
        <v>3235</v>
      </c>
      <c r="C1275" s="36" t="s">
        <v>1495</v>
      </c>
      <c r="D1275" s="36" t="s">
        <v>1496</v>
      </c>
      <c r="E1275" s="36" t="s">
        <v>287</v>
      </c>
      <c r="F1275" s="36" t="s">
        <v>286</v>
      </c>
      <c r="G1275" s="36" t="s">
        <v>411</v>
      </c>
      <c r="H1275" s="37">
        <v>34.1</v>
      </c>
      <c r="I1275" s="36" t="s">
        <v>1301</v>
      </c>
      <c r="J1275" s="39" t="s">
        <v>286</v>
      </c>
      <c r="K1275" s="38"/>
      <c r="L1275" s="38"/>
    </row>
    <row r="1276" ht="22.5" customHeight="1">
      <c r="A1276" s="36" t="s">
        <v>3236</v>
      </c>
      <c r="B1276" s="36" t="s">
        <v>3237</v>
      </c>
      <c r="C1276" s="36" t="s">
        <v>1495</v>
      </c>
      <c r="D1276" s="36" t="s">
        <v>1496</v>
      </c>
      <c r="E1276" s="36" t="s">
        <v>287</v>
      </c>
      <c r="F1276" s="36" t="s">
        <v>286</v>
      </c>
      <c r="G1276" s="36" t="s">
        <v>411</v>
      </c>
      <c r="H1276" s="37">
        <v>38.43</v>
      </c>
      <c r="I1276" s="36" t="s">
        <v>1301</v>
      </c>
      <c r="J1276" s="39" t="s">
        <v>286</v>
      </c>
      <c r="K1276" s="38"/>
      <c r="L1276" s="38"/>
    </row>
    <row r="1277" ht="22.5" customHeight="1">
      <c r="A1277" s="36" t="s">
        <v>3238</v>
      </c>
      <c r="B1277" s="36" t="s">
        <v>3239</v>
      </c>
      <c r="C1277" s="36" t="s">
        <v>1495</v>
      </c>
      <c r="D1277" s="36" t="s">
        <v>1496</v>
      </c>
      <c r="E1277" s="36" t="s">
        <v>287</v>
      </c>
      <c r="F1277" s="36" t="s">
        <v>286</v>
      </c>
      <c r="G1277" s="36" t="s">
        <v>411</v>
      </c>
      <c r="H1277" s="37">
        <v>36.37</v>
      </c>
      <c r="I1277" s="36" t="s">
        <v>1301</v>
      </c>
      <c r="J1277" s="39" t="s">
        <v>286</v>
      </c>
      <c r="K1277" s="38"/>
      <c r="L1277" s="38"/>
    </row>
    <row r="1278" ht="22.5" customHeight="1">
      <c r="A1278" s="36" t="s">
        <v>3240</v>
      </c>
      <c r="B1278" s="36" t="s">
        <v>3241</v>
      </c>
      <c r="C1278" s="36" t="s">
        <v>1495</v>
      </c>
      <c r="D1278" s="36" t="s">
        <v>1496</v>
      </c>
      <c r="E1278" s="36" t="s">
        <v>287</v>
      </c>
      <c r="F1278" s="36" t="s">
        <v>286</v>
      </c>
      <c r="G1278" s="36" t="s">
        <v>411</v>
      </c>
      <c r="H1278" s="37">
        <v>30.5</v>
      </c>
      <c r="I1278" s="36" t="s">
        <v>1301</v>
      </c>
      <c r="J1278" s="39" t="s">
        <v>286</v>
      </c>
      <c r="K1278" s="38"/>
      <c r="L1278" s="38"/>
    </row>
    <row r="1279" ht="22.5" customHeight="1">
      <c r="A1279" s="36" t="s">
        <v>3242</v>
      </c>
      <c r="B1279" s="36" t="s">
        <v>3243</v>
      </c>
      <c r="C1279" s="36" t="s">
        <v>1495</v>
      </c>
      <c r="D1279" s="36" t="s">
        <v>1496</v>
      </c>
      <c r="E1279" s="36" t="s">
        <v>287</v>
      </c>
      <c r="F1279" s="36" t="s">
        <v>286</v>
      </c>
      <c r="G1279" s="36" t="s">
        <v>411</v>
      </c>
      <c r="H1279" s="37">
        <v>60.25</v>
      </c>
      <c r="I1279" s="36" t="s">
        <v>1301</v>
      </c>
      <c r="J1279" s="39" t="s">
        <v>286</v>
      </c>
      <c r="K1279" s="38"/>
      <c r="L1279" s="38"/>
    </row>
    <row r="1280" ht="22.5" customHeight="1">
      <c r="A1280" s="36" t="s">
        <v>3244</v>
      </c>
      <c r="B1280" s="36" t="s">
        <v>3245</v>
      </c>
      <c r="C1280" s="36" t="s">
        <v>1495</v>
      </c>
      <c r="D1280" s="36" t="s">
        <v>1496</v>
      </c>
      <c r="E1280" s="36" t="s">
        <v>287</v>
      </c>
      <c r="F1280" s="36" t="s">
        <v>286</v>
      </c>
      <c r="G1280" s="36" t="s">
        <v>411</v>
      </c>
      <c r="H1280" s="37">
        <v>51.79</v>
      </c>
      <c r="I1280" s="36" t="s">
        <v>1301</v>
      </c>
      <c r="J1280" s="39" t="s">
        <v>286</v>
      </c>
      <c r="K1280" s="38"/>
      <c r="L1280" s="38"/>
    </row>
    <row r="1281" ht="22.5" customHeight="1">
      <c r="A1281" s="36" t="s">
        <v>3246</v>
      </c>
      <c r="B1281" s="36" t="s">
        <v>3247</v>
      </c>
      <c r="C1281" s="36" t="s">
        <v>1495</v>
      </c>
      <c r="D1281" s="36" t="s">
        <v>1496</v>
      </c>
      <c r="E1281" s="36" t="s">
        <v>287</v>
      </c>
      <c r="F1281" s="36" t="s">
        <v>286</v>
      </c>
      <c r="G1281" s="36" t="s">
        <v>411</v>
      </c>
      <c r="H1281" s="37">
        <v>56.02</v>
      </c>
      <c r="I1281" s="36" t="s">
        <v>1301</v>
      </c>
      <c r="J1281" s="39" t="s">
        <v>286</v>
      </c>
      <c r="K1281" s="38"/>
      <c r="L1281" s="38"/>
    </row>
    <row r="1282" ht="22.5" customHeight="1">
      <c r="A1282" s="36" t="s">
        <v>3248</v>
      </c>
      <c r="B1282" s="36" t="s">
        <v>3249</v>
      </c>
      <c r="C1282" s="36" t="s">
        <v>1495</v>
      </c>
      <c r="D1282" s="36" t="s">
        <v>1496</v>
      </c>
      <c r="E1282" s="36" t="s">
        <v>287</v>
      </c>
      <c r="F1282" s="36" t="s">
        <v>286</v>
      </c>
      <c r="G1282" s="36" t="s">
        <v>411</v>
      </c>
      <c r="H1282" s="37">
        <v>37.01</v>
      </c>
      <c r="I1282" s="36" t="s">
        <v>1301</v>
      </c>
      <c r="J1282" s="39" t="s">
        <v>286</v>
      </c>
      <c r="K1282" s="38"/>
      <c r="L1282" s="38"/>
    </row>
    <row r="1283" ht="22.5" customHeight="1">
      <c r="A1283" s="36" t="s">
        <v>3250</v>
      </c>
      <c r="B1283" s="36" t="s">
        <v>3251</v>
      </c>
      <c r="C1283" s="36" t="s">
        <v>1495</v>
      </c>
      <c r="D1283" s="36" t="s">
        <v>1496</v>
      </c>
      <c r="E1283" s="36" t="s">
        <v>287</v>
      </c>
      <c r="F1283" s="36" t="s">
        <v>286</v>
      </c>
      <c r="G1283" s="36" t="s">
        <v>411</v>
      </c>
      <c r="H1283" s="37">
        <v>34.95</v>
      </c>
      <c r="I1283" s="36" t="s">
        <v>1301</v>
      </c>
      <c r="J1283" s="39" t="s">
        <v>286</v>
      </c>
      <c r="K1283" s="38"/>
      <c r="L1283" s="38"/>
    </row>
    <row r="1284" ht="22.5" customHeight="1">
      <c r="A1284" s="36" t="s">
        <v>3252</v>
      </c>
      <c r="B1284" s="36" t="s">
        <v>3253</v>
      </c>
      <c r="C1284" s="36" t="s">
        <v>1495</v>
      </c>
      <c r="D1284" s="36" t="s">
        <v>1496</v>
      </c>
      <c r="E1284" s="36" t="s">
        <v>287</v>
      </c>
      <c r="F1284" s="36" t="s">
        <v>286</v>
      </c>
      <c r="G1284" s="36" t="s">
        <v>411</v>
      </c>
      <c r="H1284" s="37">
        <v>2.05</v>
      </c>
      <c r="I1284" s="36" t="s">
        <v>1301</v>
      </c>
      <c r="J1284" s="39" t="s">
        <v>286</v>
      </c>
      <c r="K1284" s="38"/>
      <c r="L1284" s="38"/>
    </row>
    <row r="1285" ht="22.5" customHeight="1">
      <c r="A1285" s="36" t="s">
        <v>3254</v>
      </c>
      <c r="B1285" s="36" t="s">
        <v>3255</v>
      </c>
      <c r="C1285" s="36" t="s">
        <v>1495</v>
      </c>
      <c r="D1285" s="36" t="s">
        <v>1496</v>
      </c>
      <c r="E1285" s="36" t="s">
        <v>287</v>
      </c>
      <c r="F1285" s="36" t="s">
        <v>286</v>
      </c>
      <c r="G1285" s="36" t="s">
        <v>411</v>
      </c>
      <c r="H1285" s="37">
        <v>1.65</v>
      </c>
      <c r="I1285" s="36" t="s">
        <v>1301</v>
      </c>
      <c r="J1285" s="39" t="s">
        <v>286</v>
      </c>
      <c r="K1285" s="38"/>
      <c r="L1285" s="38"/>
    </row>
    <row r="1286" ht="22.5" customHeight="1">
      <c r="A1286" s="36" t="s">
        <v>3256</v>
      </c>
      <c r="B1286" s="36" t="s">
        <v>3257</v>
      </c>
      <c r="C1286" s="36" t="s">
        <v>1495</v>
      </c>
      <c r="D1286" s="36" t="s">
        <v>1496</v>
      </c>
      <c r="E1286" s="36" t="s">
        <v>287</v>
      </c>
      <c r="F1286" s="36" t="s">
        <v>286</v>
      </c>
      <c r="G1286" s="36" t="s">
        <v>411</v>
      </c>
      <c r="H1286" s="37">
        <v>34.95</v>
      </c>
      <c r="I1286" s="36" t="s">
        <v>1301</v>
      </c>
      <c r="J1286" s="39" t="s">
        <v>286</v>
      </c>
      <c r="K1286" s="38"/>
      <c r="L1286" s="38"/>
    </row>
    <row r="1287" ht="22.5" customHeight="1">
      <c r="A1287" s="36" t="s">
        <v>3258</v>
      </c>
      <c r="B1287" s="36" t="s">
        <v>3259</v>
      </c>
      <c r="C1287" s="36" t="s">
        <v>1495</v>
      </c>
      <c r="D1287" s="36" t="s">
        <v>1496</v>
      </c>
      <c r="E1287" s="36" t="s">
        <v>287</v>
      </c>
      <c r="F1287" s="36" t="s">
        <v>286</v>
      </c>
      <c r="G1287" s="36" t="s">
        <v>411</v>
      </c>
      <c r="H1287" s="37">
        <v>37.01</v>
      </c>
      <c r="I1287" s="36" t="s">
        <v>1301</v>
      </c>
      <c r="J1287" s="39" t="s">
        <v>286</v>
      </c>
      <c r="K1287" s="38"/>
      <c r="L1287" s="38"/>
    </row>
    <row r="1288" ht="22.5" customHeight="1">
      <c r="A1288" s="36" t="s">
        <v>3260</v>
      </c>
      <c r="B1288" s="36" t="s">
        <v>3261</v>
      </c>
      <c r="C1288" s="36" t="s">
        <v>1495</v>
      </c>
      <c r="D1288" s="36" t="s">
        <v>1496</v>
      </c>
      <c r="E1288" s="36" t="s">
        <v>287</v>
      </c>
      <c r="F1288" s="36" t="s">
        <v>286</v>
      </c>
      <c r="G1288" s="36" t="s">
        <v>411</v>
      </c>
      <c r="H1288" s="37">
        <v>23.16</v>
      </c>
      <c r="I1288" s="36" t="s">
        <v>1301</v>
      </c>
      <c r="J1288" s="39" t="s">
        <v>286</v>
      </c>
      <c r="K1288" s="38"/>
      <c r="L1288" s="38"/>
    </row>
    <row r="1289" ht="22.5" customHeight="1">
      <c r="A1289" s="36" t="s">
        <v>3262</v>
      </c>
      <c r="B1289" s="36" t="s">
        <v>3263</v>
      </c>
      <c r="C1289" s="36" t="s">
        <v>1495</v>
      </c>
      <c r="D1289" s="36" t="s">
        <v>1496</v>
      </c>
      <c r="E1289" s="36" t="s">
        <v>287</v>
      </c>
      <c r="F1289" s="36" t="s">
        <v>286</v>
      </c>
      <c r="G1289" s="36" t="s">
        <v>411</v>
      </c>
      <c r="H1289" s="37">
        <v>21.83</v>
      </c>
      <c r="I1289" s="36" t="s">
        <v>1301</v>
      </c>
      <c r="J1289" s="39" t="s">
        <v>286</v>
      </c>
      <c r="K1289" s="38"/>
      <c r="L1289" s="38"/>
    </row>
    <row r="1290" ht="22.5" customHeight="1">
      <c r="A1290" s="36" t="s">
        <v>3264</v>
      </c>
      <c r="B1290" s="36" t="s">
        <v>3265</v>
      </c>
      <c r="C1290" s="36" t="s">
        <v>1495</v>
      </c>
      <c r="D1290" s="36" t="s">
        <v>1496</v>
      </c>
      <c r="E1290" s="36" t="s">
        <v>287</v>
      </c>
      <c r="F1290" s="36" t="s">
        <v>286</v>
      </c>
      <c r="G1290" s="36" t="s">
        <v>411</v>
      </c>
      <c r="H1290" s="37">
        <v>24.57</v>
      </c>
      <c r="I1290" s="36" t="s">
        <v>1301</v>
      </c>
      <c r="J1290" s="39" t="s">
        <v>286</v>
      </c>
      <c r="K1290" s="38"/>
      <c r="L1290" s="38"/>
    </row>
    <row r="1291" ht="22.5" customHeight="1">
      <c r="A1291" s="36" t="s">
        <v>3266</v>
      </c>
      <c r="B1291" s="36" t="s">
        <v>3267</v>
      </c>
      <c r="C1291" s="36" t="s">
        <v>1495</v>
      </c>
      <c r="D1291" s="36" t="s">
        <v>1496</v>
      </c>
      <c r="E1291" s="36" t="s">
        <v>287</v>
      </c>
      <c r="F1291" s="36" t="s">
        <v>286</v>
      </c>
      <c r="G1291" s="36" t="s">
        <v>411</v>
      </c>
      <c r="H1291" s="37">
        <v>23.16</v>
      </c>
      <c r="I1291" s="36" t="s">
        <v>1301</v>
      </c>
      <c r="J1291" s="39" t="s">
        <v>286</v>
      </c>
      <c r="K1291" s="38"/>
      <c r="L1291" s="38"/>
    </row>
    <row r="1292" ht="22.5" customHeight="1">
      <c r="A1292" s="36" t="s">
        <v>3268</v>
      </c>
      <c r="B1292" s="36" t="s">
        <v>3269</v>
      </c>
      <c r="C1292" s="36" t="s">
        <v>1495</v>
      </c>
      <c r="D1292" s="36" t="s">
        <v>1496</v>
      </c>
      <c r="E1292" s="36" t="s">
        <v>287</v>
      </c>
      <c r="F1292" s="36" t="s">
        <v>286</v>
      </c>
      <c r="G1292" s="36" t="s">
        <v>411</v>
      </c>
      <c r="H1292" s="37">
        <v>18.92</v>
      </c>
      <c r="I1292" s="36" t="s">
        <v>1301</v>
      </c>
      <c r="J1292" s="39" t="s">
        <v>286</v>
      </c>
      <c r="K1292" s="38"/>
      <c r="L1292" s="38"/>
    </row>
    <row r="1293" ht="22.5" customHeight="1">
      <c r="A1293" s="36" t="s">
        <v>3270</v>
      </c>
      <c r="B1293" s="36" t="s">
        <v>3271</v>
      </c>
      <c r="C1293" s="36" t="s">
        <v>1495</v>
      </c>
      <c r="D1293" s="36" t="s">
        <v>1496</v>
      </c>
      <c r="E1293" s="36" t="s">
        <v>287</v>
      </c>
      <c r="F1293" s="36" t="s">
        <v>286</v>
      </c>
      <c r="G1293" s="36" t="s">
        <v>411</v>
      </c>
      <c r="H1293" s="37">
        <v>23.46</v>
      </c>
      <c r="I1293" s="36" t="s">
        <v>1301</v>
      </c>
      <c r="J1293" s="39" t="s">
        <v>286</v>
      </c>
      <c r="K1293" s="38"/>
      <c r="L1293" s="38"/>
    </row>
    <row r="1294" ht="22.5" customHeight="1">
      <c r="A1294" s="36" t="s">
        <v>3272</v>
      </c>
      <c r="B1294" s="36" t="s">
        <v>3273</v>
      </c>
      <c r="C1294" s="36" t="s">
        <v>1495</v>
      </c>
      <c r="D1294" s="36" t="s">
        <v>1496</v>
      </c>
      <c r="E1294" s="36" t="s">
        <v>287</v>
      </c>
      <c r="F1294" s="36" t="s">
        <v>286</v>
      </c>
      <c r="G1294" s="36" t="s">
        <v>411</v>
      </c>
      <c r="H1294" s="37">
        <v>24.11</v>
      </c>
      <c r="I1294" s="36" t="s">
        <v>1301</v>
      </c>
      <c r="J1294" s="39" t="s">
        <v>286</v>
      </c>
      <c r="K1294" s="38"/>
      <c r="L1294" s="38"/>
    </row>
    <row r="1295" ht="22.5" customHeight="1">
      <c r="A1295" s="36" t="s">
        <v>3274</v>
      </c>
      <c r="B1295" s="36" t="s">
        <v>3275</v>
      </c>
      <c r="C1295" s="36" t="s">
        <v>1495</v>
      </c>
      <c r="D1295" s="36" t="s">
        <v>1496</v>
      </c>
      <c r="E1295" s="36" t="s">
        <v>287</v>
      </c>
      <c r="F1295" s="36" t="s">
        <v>286</v>
      </c>
      <c r="G1295" s="36" t="s">
        <v>411</v>
      </c>
      <c r="H1295" s="37">
        <v>23.54</v>
      </c>
      <c r="I1295" s="36" t="s">
        <v>1301</v>
      </c>
      <c r="J1295" s="39" t="s">
        <v>286</v>
      </c>
      <c r="K1295" s="38"/>
      <c r="L1295" s="38"/>
    </row>
    <row r="1296" ht="22.5" customHeight="1">
      <c r="A1296" s="36" t="s">
        <v>3276</v>
      </c>
      <c r="B1296" s="36" t="s">
        <v>3277</v>
      </c>
      <c r="C1296" s="36" t="s">
        <v>1495</v>
      </c>
      <c r="D1296" s="36" t="s">
        <v>1496</v>
      </c>
      <c r="E1296" s="36" t="s">
        <v>287</v>
      </c>
      <c r="F1296" s="36" t="s">
        <v>286</v>
      </c>
      <c r="G1296" s="36" t="s">
        <v>411</v>
      </c>
      <c r="H1296" s="37">
        <v>24.23</v>
      </c>
      <c r="I1296" s="36" t="s">
        <v>1301</v>
      </c>
      <c r="J1296" s="39" t="s">
        <v>286</v>
      </c>
      <c r="K1296" s="38"/>
      <c r="L1296" s="38"/>
    </row>
    <row r="1297" ht="22.5" customHeight="1">
      <c r="A1297" s="36" t="s">
        <v>3278</v>
      </c>
      <c r="B1297" s="36" t="s">
        <v>3279</v>
      </c>
      <c r="C1297" s="36" t="s">
        <v>1495</v>
      </c>
      <c r="D1297" s="36" t="s">
        <v>1496</v>
      </c>
      <c r="E1297" s="36" t="s">
        <v>287</v>
      </c>
      <c r="F1297" s="36" t="s">
        <v>286</v>
      </c>
      <c r="G1297" s="36" t="s">
        <v>411</v>
      </c>
      <c r="H1297" s="37">
        <v>32.91</v>
      </c>
      <c r="I1297" s="36" t="s">
        <v>1301</v>
      </c>
      <c r="J1297" s="39" t="s">
        <v>286</v>
      </c>
      <c r="K1297" s="38"/>
      <c r="L1297" s="38"/>
    </row>
    <row r="1298" ht="22.5" customHeight="1">
      <c r="A1298" s="36" t="s">
        <v>3280</v>
      </c>
      <c r="B1298" s="36" t="s">
        <v>3281</v>
      </c>
      <c r="C1298" s="36" t="s">
        <v>1495</v>
      </c>
      <c r="D1298" s="36" t="s">
        <v>1496</v>
      </c>
      <c r="E1298" s="36" t="s">
        <v>287</v>
      </c>
      <c r="F1298" s="36" t="s">
        <v>286</v>
      </c>
      <c r="G1298" s="36" t="s">
        <v>411</v>
      </c>
      <c r="H1298" s="37">
        <v>61.33</v>
      </c>
      <c r="I1298" s="36" t="s">
        <v>1301</v>
      </c>
      <c r="J1298" s="39" t="s">
        <v>286</v>
      </c>
      <c r="K1298" s="38"/>
      <c r="L1298" s="38"/>
    </row>
    <row r="1299" ht="22.5" customHeight="1">
      <c r="A1299" s="36" t="s">
        <v>3282</v>
      </c>
      <c r="B1299" s="36" t="s">
        <v>3283</v>
      </c>
      <c r="C1299" s="36" t="s">
        <v>1495</v>
      </c>
      <c r="D1299" s="36" t="s">
        <v>1496</v>
      </c>
      <c r="E1299" s="36" t="s">
        <v>287</v>
      </c>
      <c r="F1299" s="36" t="s">
        <v>286</v>
      </c>
      <c r="G1299" s="36" t="s">
        <v>411</v>
      </c>
      <c r="H1299" s="37">
        <v>126.22</v>
      </c>
      <c r="I1299" s="36" t="s">
        <v>1301</v>
      </c>
      <c r="J1299" s="39" t="s">
        <v>286</v>
      </c>
      <c r="K1299" s="38"/>
      <c r="L1299" s="38"/>
    </row>
    <row r="1300" ht="22.5" customHeight="1">
      <c r="A1300" s="36" t="s">
        <v>3284</v>
      </c>
      <c r="B1300" s="36" t="s">
        <v>3285</v>
      </c>
      <c r="C1300" s="36" t="s">
        <v>1495</v>
      </c>
      <c r="D1300" s="36" t="s">
        <v>1496</v>
      </c>
      <c r="E1300" s="36" t="s">
        <v>287</v>
      </c>
      <c r="F1300" s="36" t="s">
        <v>286</v>
      </c>
      <c r="G1300" s="36" t="s">
        <v>411</v>
      </c>
      <c r="H1300" s="37">
        <v>16.89</v>
      </c>
      <c r="I1300" s="36" t="s">
        <v>1301</v>
      </c>
      <c r="J1300" s="39" t="s">
        <v>286</v>
      </c>
      <c r="K1300" s="38"/>
      <c r="L1300" s="38"/>
    </row>
    <row r="1301" ht="22.5" customHeight="1">
      <c r="A1301" s="36" t="s">
        <v>3286</v>
      </c>
      <c r="B1301" s="36" t="s">
        <v>3287</v>
      </c>
      <c r="C1301" s="36" t="s">
        <v>1495</v>
      </c>
      <c r="D1301" s="36" t="s">
        <v>1496</v>
      </c>
      <c r="E1301" s="36" t="s">
        <v>287</v>
      </c>
      <c r="F1301" s="36" t="s">
        <v>286</v>
      </c>
      <c r="G1301" s="36" t="s">
        <v>411</v>
      </c>
      <c r="H1301" s="37">
        <v>115.0</v>
      </c>
      <c r="I1301" s="36" t="s">
        <v>1301</v>
      </c>
      <c r="J1301" s="39" t="s">
        <v>286</v>
      </c>
      <c r="K1301" s="38"/>
      <c r="L1301" s="38"/>
    </row>
    <row r="1302" ht="22.5" customHeight="1">
      <c r="A1302" s="36" t="s">
        <v>3288</v>
      </c>
      <c r="B1302" s="36" t="s">
        <v>3289</v>
      </c>
      <c r="C1302" s="36" t="s">
        <v>1495</v>
      </c>
      <c r="D1302" s="36" t="s">
        <v>1496</v>
      </c>
      <c r="E1302" s="36" t="s">
        <v>287</v>
      </c>
      <c r="F1302" s="36" t="s">
        <v>286</v>
      </c>
      <c r="G1302" s="36" t="s">
        <v>411</v>
      </c>
      <c r="H1302" s="37">
        <v>1.75</v>
      </c>
      <c r="I1302" s="36" t="s">
        <v>1301</v>
      </c>
      <c r="J1302" s="39" t="s">
        <v>286</v>
      </c>
      <c r="K1302" s="38"/>
      <c r="L1302" s="38"/>
    </row>
    <row r="1303" ht="22.5" customHeight="1">
      <c r="A1303" s="36" t="s">
        <v>3290</v>
      </c>
      <c r="B1303" s="36" t="s">
        <v>3291</v>
      </c>
      <c r="C1303" s="36" t="s">
        <v>1495</v>
      </c>
      <c r="D1303" s="36" t="s">
        <v>1496</v>
      </c>
      <c r="E1303" s="36" t="s">
        <v>287</v>
      </c>
      <c r="F1303" s="36" t="s">
        <v>286</v>
      </c>
      <c r="G1303" s="36" t="s">
        <v>411</v>
      </c>
      <c r="H1303" s="37">
        <v>16.04</v>
      </c>
      <c r="I1303" s="36" t="s">
        <v>1301</v>
      </c>
      <c r="J1303" s="39" t="s">
        <v>286</v>
      </c>
      <c r="K1303" s="38"/>
      <c r="L1303" s="38"/>
    </row>
    <row r="1304" ht="22.5" customHeight="1">
      <c r="A1304" s="36" t="s">
        <v>3292</v>
      </c>
      <c r="B1304" s="36" t="s">
        <v>3293</v>
      </c>
      <c r="C1304" s="36" t="s">
        <v>1495</v>
      </c>
      <c r="D1304" s="36" t="s">
        <v>1496</v>
      </c>
      <c r="E1304" s="36" t="s">
        <v>287</v>
      </c>
      <c r="F1304" s="36" t="s">
        <v>286</v>
      </c>
      <c r="G1304" s="36" t="s">
        <v>411</v>
      </c>
      <c r="H1304" s="37">
        <v>16.7</v>
      </c>
      <c r="I1304" s="36" t="s">
        <v>1301</v>
      </c>
      <c r="J1304" s="39" t="s">
        <v>286</v>
      </c>
      <c r="K1304" s="38"/>
      <c r="L1304" s="38"/>
    </row>
    <row r="1305" ht="22.5" customHeight="1">
      <c r="A1305" s="36" t="s">
        <v>3294</v>
      </c>
      <c r="B1305" s="36" t="s">
        <v>3295</v>
      </c>
      <c r="C1305" s="36" t="s">
        <v>1495</v>
      </c>
      <c r="D1305" s="36" t="s">
        <v>1496</v>
      </c>
      <c r="E1305" s="36" t="s">
        <v>287</v>
      </c>
      <c r="F1305" s="36" t="s">
        <v>286</v>
      </c>
      <c r="G1305" s="36" t="s">
        <v>411</v>
      </c>
      <c r="H1305" s="37">
        <v>259.53</v>
      </c>
      <c r="I1305" s="36" t="s">
        <v>1301</v>
      </c>
      <c r="J1305" s="39" t="s">
        <v>286</v>
      </c>
      <c r="K1305" s="38"/>
      <c r="L1305" s="38"/>
    </row>
    <row r="1306" ht="22.5" customHeight="1">
      <c r="A1306" s="36" t="s">
        <v>3296</v>
      </c>
      <c r="B1306" s="36" t="s">
        <v>3297</v>
      </c>
      <c r="C1306" s="36" t="s">
        <v>1495</v>
      </c>
      <c r="D1306" s="36" t="s">
        <v>1496</v>
      </c>
      <c r="E1306" s="36" t="s">
        <v>287</v>
      </c>
      <c r="F1306" s="36" t="s">
        <v>286</v>
      </c>
      <c r="G1306" s="36" t="s">
        <v>411</v>
      </c>
      <c r="H1306" s="37">
        <v>260.36</v>
      </c>
      <c r="I1306" s="36" t="s">
        <v>1301</v>
      </c>
      <c r="J1306" s="39" t="s">
        <v>286</v>
      </c>
      <c r="K1306" s="38"/>
      <c r="L1306" s="38"/>
    </row>
    <row r="1307" ht="22.5" customHeight="1">
      <c r="A1307" s="36" t="s">
        <v>3298</v>
      </c>
      <c r="B1307" s="36" t="s">
        <v>3299</v>
      </c>
      <c r="C1307" s="36" t="s">
        <v>1495</v>
      </c>
      <c r="D1307" s="36" t="s">
        <v>1496</v>
      </c>
      <c r="E1307" s="36" t="s">
        <v>287</v>
      </c>
      <c r="F1307" s="36" t="s">
        <v>286</v>
      </c>
      <c r="G1307" s="36" t="s">
        <v>411</v>
      </c>
      <c r="H1307" s="37">
        <v>262.94</v>
      </c>
      <c r="I1307" s="36" t="s">
        <v>1301</v>
      </c>
      <c r="J1307" s="39" t="s">
        <v>286</v>
      </c>
      <c r="K1307" s="38"/>
      <c r="L1307" s="38"/>
    </row>
    <row r="1308" ht="22.5" customHeight="1">
      <c r="A1308" s="36" t="s">
        <v>3300</v>
      </c>
      <c r="B1308" s="36" t="s">
        <v>3301</v>
      </c>
      <c r="C1308" s="36" t="s">
        <v>1495</v>
      </c>
      <c r="D1308" s="36" t="s">
        <v>1496</v>
      </c>
      <c r="E1308" s="36" t="s">
        <v>287</v>
      </c>
      <c r="F1308" s="36" t="s">
        <v>286</v>
      </c>
      <c r="G1308" s="36" t="s">
        <v>411</v>
      </c>
      <c r="H1308" s="37">
        <v>7.36</v>
      </c>
      <c r="I1308" s="36" t="s">
        <v>1301</v>
      </c>
      <c r="J1308" s="39" t="s">
        <v>286</v>
      </c>
      <c r="K1308" s="38"/>
      <c r="L1308" s="38"/>
    </row>
    <row r="1309" ht="22.5" customHeight="1">
      <c r="A1309" s="36" t="s">
        <v>3302</v>
      </c>
      <c r="B1309" s="36" t="s">
        <v>3303</v>
      </c>
      <c r="C1309" s="36" t="s">
        <v>1495</v>
      </c>
      <c r="D1309" s="36" t="s">
        <v>1496</v>
      </c>
      <c r="E1309" s="36" t="s">
        <v>287</v>
      </c>
      <c r="F1309" s="36" t="s">
        <v>286</v>
      </c>
      <c r="G1309" s="36" t="s">
        <v>411</v>
      </c>
      <c r="H1309" s="37">
        <v>7.94</v>
      </c>
      <c r="I1309" s="36" t="s">
        <v>1301</v>
      </c>
      <c r="J1309" s="39" t="s">
        <v>286</v>
      </c>
      <c r="K1309" s="38"/>
      <c r="L1309" s="38"/>
    </row>
    <row r="1310" ht="22.5" customHeight="1">
      <c r="A1310" s="36" t="s">
        <v>3304</v>
      </c>
      <c r="B1310" s="36" t="s">
        <v>3305</v>
      </c>
      <c r="C1310" s="36" t="s">
        <v>1495</v>
      </c>
      <c r="D1310" s="36" t="s">
        <v>1496</v>
      </c>
      <c r="E1310" s="36" t="s">
        <v>287</v>
      </c>
      <c r="F1310" s="36" t="s">
        <v>286</v>
      </c>
      <c r="G1310" s="36" t="s">
        <v>411</v>
      </c>
      <c r="H1310" s="37">
        <v>4.9</v>
      </c>
      <c r="I1310" s="36" t="s">
        <v>1301</v>
      </c>
      <c r="J1310" s="39" t="s">
        <v>286</v>
      </c>
      <c r="K1310" s="38"/>
      <c r="L1310" s="38"/>
    </row>
    <row r="1311" ht="22.5" customHeight="1">
      <c r="A1311" s="36" t="s">
        <v>3306</v>
      </c>
      <c r="B1311" s="36" t="s">
        <v>3307</v>
      </c>
      <c r="C1311" s="36" t="s">
        <v>1495</v>
      </c>
      <c r="D1311" s="36" t="s">
        <v>1496</v>
      </c>
      <c r="E1311" s="36" t="s">
        <v>287</v>
      </c>
      <c r="F1311" s="36" t="s">
        <v>286</v>
      </c>
      <c r="G1311" s="36" t="s">
        <v>411</v>
      </c>
      <c r="H1311" s="37">
        <v>5.07</v>
      </c>
      <c r="I1311" s="36" t="s">
        <v>1301</v>
      </c>
      <c r="J1311" s="39" t="s">
        <v>286</v>
      </c>
      <c r="K1311" s="38"/>
      <c r="L1311" s="38"/>
    </row>
    <row r="1312" ht="22.5" customHeight="1">
      <c r="A1312" s="36" t="s">
        <v>3308</v>
      </c>
      <c r="B1312" s="36" t="s">
        <v>3309</v>
      </c>
      <c r="C1312" s="36" t="s">
        <v>1495</v>
      </c>
      <c r="D1312" s="36" t="s">
        <v>1496</v>
      </c>
      <c r="E1312" s="36" t="s">
        <v>287</v>
      </c>
      <c r="F1312" s="36" t="s">
        <v>286</v>
      </c>
      <c r="G1312" s="36" t="s">
        <v>411</v>
      </c>
      <c r="H1312" s="37">
        <v>28.44</v>
      </c>
      <c r="I1312" s="36" t="s">
        <v>1301</v>
      </c>
      <c r="J1312" s="39" t="s">
        <v>286</v>
      </c>
      <c r="K1312" s="38"/>
      <c r="L1312" s="38"/>
    </row>
    <row r="1313" ht="22.5" customHeight="1">
      <c r="A1313" s="36" t="s">
        <v>3310</v>
      </c>
      <c r="B1313" s="36" t="s">
        <v>3311</v>
      </c>
      <c r="C1313" s="36" t="s">
        <v>1495</v>
      </c>
      <c r="D1313" s="36" t="s">
        <v>1496</v>
      </c>
      <c r="E1313" s="36" t="s">
        <v>287</v>
      </c>
      <c r="F1313" s="36" t="s">
        <v>286</v>
      </c>
      <c r="G1313" s="36" t="s">
        <v>411</v>
      </c>
      <c r="H1313" s="37">
        <v>60.42</v>
      </c>
      <c r="I1313" s="36" t="s">
        <v>1301</v>
      </c>
      <c r="J1313" s="39" t="s">
        <v>286</v>
      </c>
      <c r="K1313" s="38"/>
      <c r="L1313" s="38"/>
    </row>
    <row r="1314" ht="22.5" customHeight="1">
      <c r="A1314" s="36" t="s">
        <v>3312</v>
      </c>
      <c r="B1314" s="36" t="s">
        <v>3313</v>
      </c>
      <c r="C1314" s="36" t="s">
        <v>1495</v>
      </c>
      <c r="D1314" s="36" t="s">
        <v>1496</v>
      </c>
      <c r="E1314" s="36" t="s">
        <v>287</v>
      </c>
      <c r="F1314" s="36" t="s">
        <v>286</v>
      </c>
      <c r="G1314" s="36" t="s">
        <v>411</v>
      </c>
      <c r="H1314" s="37">
        <v>57.94</v>
      </c>
      <c r="I1314" s="36" t="s">
        <v>1301</v>
      </c>
      <c r="J1314" s="39" t="s">
        <v>286</v>
      </c>
      <c r="K1314" s="38"/>
      <c r="L1314" s="38"/>
    </row>
    <row r="1315" ht="22.5" customHeight="1">
      <c r="A1315" s="36" t="s">
        <v>3314</v>
      </c>
      <c r="B1315" s="36" t="s">
        <v>3315</v>
      </c>
      <c r="C1315" s="36" t="s">
        <v>1495</v>
      </c>
      <c r="D1315" s="36" t="s">
        <v>1496</v>
      </c>
      <c r="E1315" s="36" t="s">
        <v>287</v>
      </c>
      <c r="F1315" s="36" t="s">
        <v>286</v>
      </c>
      <c r="G1315" s="36" t="s">
        <v>411</v>
      </c>
      <c r="H1315" s="37">
        <v>38.07</v>
      </c>
      <c r="I1315" s="36" t="s">
        <v>1301</v>
      </c>
      <c r="J1315" s="39" t="s">
        <v>286</v>
      </c>
      <c r="K1315" s="38"/>
      <c r="L1315" s="38"/>
    </row>
    <row r="1316" ht="22.5" customHeight="1">
      <c r="A1316" s="36" t="s">
        <v>3316</v>
      </c>
      <c r="B1316" s="36" t="s">
        <v>3317</v>
      </c>
      <c r="C1316" s="36" t="s">
        <v>1495</v>
      </c>
      <c r="D1316" s="36" t="s">
        <v>1496</v>
      </c>
      <c r="E1316" s="36" t="s">
        <v>287</v>
      </c>
      <c r="F1316" s="36" t="s">
        <v>286</v>
      </c>
      <c r="G1316" s="36" t="s">
        <v>411</v>
      </c>
      <c r="H1316" s="37">
        <v>70.09</v>
      </c>
      <c r="I1316" s="36" t="s">
        <v>1301</v>
      </c>
      <c r="J1316" s="39" t="s">
        <v>286</v>
      </c>
      <c r="K1316" s="38"/>
      <c r="L1316" s="38"/>
    </row>
    <row r="1317" ht="22.5" customHeight="1">
      <c r="A1317" s="36" t="s">
        <v>3318</v>
      </c>
      <c r="B1317" s="36" t="s">
        <v>3319</v>
      </c>
      <c r="C1317" s="36" t="s">
        <v>1495</v>
      </c>
      <c r="D1317" s="36" t="s">
        <v>1496</v>
      </c>
      <c r="E1317" s="36" t="s">
        <v>287</v>
      </c>
      <c r="F1317" s="36" t="s">
        <v>286</v>
      </c>
      <c r="G1317" s="36" t="s">
        <v>411</v>
      </c>
      <c r="H1317" s="37">
        <v>23.36</v>
      </c>
      <c r="I1317" s="36" t="s">
        <v>1301</v>
      </c>
      <c r="J1317" s="39" t="s">
        <v>286</v>
      </c>
      <c r="K1317" s="38"/>
      <c r="L1317" s="38"/>
    </row>
    <row r="1318" ht="22.5" customHeight="1">
      <c r="A1318" s="36" t="s">
        <v>3320</v>
      </c>
      <c r="B1318" s="36" t="s">
        <v>3321</v>
      </c>
      <c r="C1318" s="36" t="s">
        <v>1495</v>
      </c>
      <c r="D1318" s="36" t="s">
        <v>1496</v>
      </c>
      <c r="E1318" s="36" t="s">
        <v>287</v>
      </c>
      <c r="F1318" s="36" t="s">
        <v>286</v>
      </c>
      <c r="G1318" s="36" t="s">
        <v>411</v>
      </c>
      <c r="H1318" s="37">
        <v>8.75</v>
      </c>
      <c r="I1318" s="36" t="s">
        <v>1301</v>
      </c>
      <c r="J1318" s="39" t="s">
        <v>286</v>
      </c>
      <c r="K1318" s="38"/>
      <c r="L1318" s="38"/>
    </row>
    <row r="1319" ht="22.5" customHeight="1">
      <c r="A1319" s="36" t="s">
        <v>3322</v>
      </c>
      <c r="B1319" s="36" t="s">
        <v>3323</v>
      </c>
      <c r="C1319" s="36" t="s">
        <v>1495</v>
      </c>
      <c r="D1319" s="36" t="s">
        <v>1496</v>
      </c>
      <c r="E1319" s="36" t="s">
        <v>287</v>
      </c>
      <c r="F1319" s="36" t="s">
        <v>286</v>
      </c>
      <c r="G1319" s="36" t="s">
        <v>411</v>
      </c>
      <c r="H1319" s="37">
        <v>168.67</v>
      </c>
      <c r="I1319" s="36" t="s">
        <v>1301</v>
      </c>
      <c r="J1319" s="39" t="s">
        <v>286</v>
      </c>
      <c r="K1319" s="38"/>
      <c r="L1319" s="38"/>
    </row>
    <row r="1320" ht="22.5" customHeight="1">
      <c r="A1320" s="36" t="s">
        <v>3324</v>
      </c>
      <c r="B1320" s="36" t="s">
        <v>3325</v>
      </c>
      <c r="C1320" s="36" t="s">
        <v>1495</v>
      </c>
      <c r="D1320" s="36" t="s">
        <v>1496</v>
      </c>
      <c r="E1320" s="36" t="s">
        <v>287</v>
      </c>
      <c r="F1320" s="36" t="s">
        <v>286</v>
      </c>
      <c r="G1320" s="36" t="s">
        <v>411</v>
      </c>
      <c r="H1320" s="37">
        <v>495.0</v>
      </c>
      <c r="I1320" s="36" t="s">
        <v>1301</v>
      </c>
      <c r="J1320" s="39" t="s">
        <v>286</v>
      </c>
      <c r="K1320" s="38"/>
      <c r="L1320" s="38"/>
    </row>
    <row r="1321" ht="22.5" customHeight="1">
      <c r="A1321" s="36" t="s">
        <v>3326</v>
      </c>
      <c r="B1321" s="36" t="s">
        <v>3327</v>
      </c>
      <c r="C1321" s="36" t="s">
        <v>1495</v>
      </c>
      <c r="D1321" s="36" t="s">
        <v>1496</v>
      </c>
      <c r="E1321" s="36" t="s">
        <v>287</v>
      </c>
      <c r="F1321" s="36" t="s">
        <v>286</v>
      </c>
      <c r="G1321" s="36" t="s">
        <v>411</v>
      </c>
      <c r="H1321" s="37">
        <v>11.08</v>
      </c>
      <c r="I1321" s="36" t="s">
        <v>1301</v>
      </c>
      <c r="J1321" s="39" t="s">
        <v>286</v>
      </c>
      <c r="K1321" s="38"/>
      <c r="L1321" s="38"/>
    </row>
    <row r="1322" ht="22.5" customHeight="1">
      <c r="A1322" s="36" t="s">
        <v>3328</v>
      </c>
      <c r="B1322" s="36" t="s">
        <v>3329</v>
      </c>
      <c r="C1322" s="36" t="s">
        <v>1495</v>
      </c>
      <c r="D1322" s="36" t="s">
        <v>1496</v>
      </c>
      <c r="E1322" s="36" t="s">
        <v>287</v>
      </c>
      <c r="F1322" s="36" t="s">
        <v>286</v>
      </c>
      <c r="G1322" s="36" t="s">
        <v>411</v>
      </c>
      <c r="H1322" s="37">
        <v>80.42</v>
      </c>
      <c r="I1322" s="36" t="s">
        <v>1301</v>
      </c>
      <c r="J1322" s="39" t="s">
        <v>286</v>
      </c>
      <c r="K1322" s="38"/>
      <c r="L1322" s="38"/>
    </row>
    <row r="1323" ht="22.5" customHeight="1">
      <c r="A1323" s="36" t="s">
        <v>3330</v>
      </c>
      <c r="B1323" s="36" t="s">
        <v>3331</v>
      </c>
      <c r="C1323" s="36" t="s">
        <v>1495</v>
      </c>
      <c r="D1323" s="36" t="s">
        <v>1496</v>
      </c>
      <c r="E1323" s="36" t="s">
        <v>287</v>
      </c>
      <c r="F1323" s="36" t="s">
        <v>286</v>
      </c>
      <c r="G1323" s="36" t="s">
        <v>411</v>
      </c>
      <c r="H1323" s="37">
        <v>118.33</v>
      </c>
      <c r="I1323" s="36" t="s">
        <v>1301</v>
      </c>
      <c r="J1323" s="39" t="s">
        <v>286</v>
      </c>
      <c r="K1323" s="38"/>
      <c r="L1323" s="38"/>
    </row>
    <row r="1324" ht="22.5" customHeight="1">
      <c r="A1324" s="36" t="s">
        <v>3332</v>
      </c>
      <c r="B1324" s="36" t="s">
        <v>3333</v>
      </c>
      <c r="C1324" s="36" t="s">
        <v>1495</v>
      </c>
      <c r="D1324" s="36" t="s">
        <v>1496</v>
      </c>
      <c r="E1324" s="36" t="s">
        <v>287</v>
      </c>
      <c r="F1324" s="36" t="s">
        <v>286</v>
      </c>
      <c r="G1324" s="36" t="s">
        <v>411</v>
      </c>
      <c r="H1324" s="37">
        <v>32.92</v>
      </c>
      <c r="I1324" s="36" t="s">
        <v>1301</v>
      </c>
      <c r="J1324" s="39" t="s">
        <v>286</v>
      </c>
      <c r="K1324" s="38"/>
      <c r="L1324" s="38"/>
    </row>
    <row r="1325" ht="22.5" customHeight="1">
      <c r="A1325" s="36" t="s">
        <v>3334</v>
      </c>
      <c r="B1325" s="36" t="s">
        <v>3335</v>
      </c>
      <c r="C1325" s="36" t="s">
        <v>1495</v>
      </c>
      <c r="D1325" s="36" t="s">
        <v>1496</v>
      </c>
      <c r="E1325" s="36" t="s">
        <v>287</v>
      </c>
      <c r="F1325" s="36" t="s">
        <v>286</v>
      </c>
      <c r="G1325" s="36" t="s">
        <v>411</v>
      </c>
      <c r="H1325" s="37">
        <v>24.17</v>
      </c>
      <c r="I1325" s="36" t="s">
        <v>1301</v>
      </c>
      <c r="J1325" s="39" t="s">
        <v>286</v>
      </c>
      <c r="K1325" s="38"/>
      <c r="L1325" s="38"/>
    </row>
    <row r="1326" ht="22.5" customHeight="1">
      <c r="A1326" s="36" t="s">
        <v>3336</v>
      </c>
      <c r="B1326" s="36" t="s">
        <v>3337</v>
      </c>
      <c r="C1326" s="36" t="s">
        <v>1495</v>
      </c>
      <c r="D1326" s="36" t="s">
        <v>1496</v>
      </c>
      <c r="E1326" s="36" t="s">
        <v>287</v>
      </c>
      <c r="F1326" s="36" t="s">
        <v>286</v>
      </c>
      <c r="G1326" s="36" t="s">
        <v>411</v>
      </c>
      <c r="H1326" s="37">
        <v>250.0</v>
      </c>
      <c r="I1326" s="36" t="s">
        <v>1301</v>
      </c>
      <c r="J1326" s="39" t="s">
        <v>286</v>
      </c>
      <c r="K1326" s="38"/>
      <c r="L1326" s="38"/>
    </row>
    <row r="1327" ht="22.5" customHeight="1">
      <c r="A1327" s="36" t="s">
        <v>3338</v>
      </c>
      <c r="B1327" s="36" t="s">
        <v>3339</v>
      </c>
      <c r="C1327" s="36" t="s">
        <v>1495</v>
      </c>
      <c r="D1327" s="36" t="s">
        <v>1496</v>
      </c>
      <c r="E1327" s="36" t="s">
        <v>287</v>
      </c>
      <c r="F1327" s="36" t="s">
        <v>286</v>
      </c>
      <c r="G1327" s="36" t="s">
        <v>411</v>
      </c>
      <c r="H1327" s="37">
        <v>0.0</v>
      </c>
      <c r="I1327" s="36" t="s">
        <v>1301</v>
      </c>
      <c r="J1327" s="39" t="s">
        <v>286</v>
      </c>
      <c r="K1327" s="38"/>
      <c r="L1327" s="38"/>
    </row>
    <row r="1328" ht="22.5" customHeight="1">
      <c r="A1328" s="36" t="s">
        <v>3340</v>
      </c>
      <c r="B1328" s="36" t="s">
        <v>3341</v>
      </c>
      <c r="C1328" s="36" t="s">
        <v>1495</v>
      </c>
      <c r="D1328" s="36" t="s">
        <v>1496</v>
      </c>
      <c r="E1328" s="36" t="s">
        <v>287</v>
      </c>
      <c r="F1328" s="36" t="s">
        <v>286</v>
      </c>
      <c r="G1328" s="36" t="s">
        <v>411</v>
      </c>
      <c r="H1328" s="37">
        <v>40.69</v>
      </c>
      <c r="I1328" s="36" t="s">
        <v>1301</v>
      </c>
      <c r="J1328" s="39" t="s">
        <v>286</v>
      </c>
      <c r="K1328" s="38"/>
      <c r="L1328" s="38"/>
    </row>
    <row r="1329" ht="22.5" customHeight="1">
      <c r="A1329" s="36" t="s">
        <v>3342</v>
      </c>
      <c r="B1329" s="36" t="s">
        <v>3343</v>
      </c>
      <c r="C1329" s="36" t="s">
        <v>1495</v>
      </c>
      <c r="D1329" s="36" t="s">
        <v>1496</v>
      </c>
      <c r="E1329" s="36" t="s">
        <v>287</v>
      </c>
      <c r="F1329" s="36" t="s">
        <v>286</v>
      </c>
      <c r="G1329" s="36" t="s">
        <v>411</v>
      </c>
      <c r="H1329" s="37">
        <v>7.54</v>
      </c>
      <c r="I1329" s="36" t="s">
        <v>1301</v>
      </c>
      <c r="J1329" s="39" t="s">
        <v>286</v>
      </c>
      <c r="K1329" s="38"/>
      <c r="L1329" s="38"/>
    </row>
    <row r="1330" ht="22.5" customHeight="1">
      <c r="A1330" s="36" t="s">
        <v>3344</v>
      </c>
      <c r="B1330" s="36" t="s">
        <v>3345</v>
      </c>
      <c r="C1330" s="36" t="s">
        <v>1495</v>
      </c>
      <c r="D1330" s="36" t="s">
        <v>1496</v>
      </c>
      <c r="E1330" s="36" t="s">
        <v>287</v>
      </c>
      <c r="F1330" s="36" t="s">
        <v>286</v>
      </c>
      <c r="G1330" s="36" t="s">
        <v>411</v>
      </c>
      <c r="H1330" s="37">
        <v>18.01</v>
      </c>
      <c r="I1330" s="36" t="s">
        <v>1301</v>
      </c>
      <c r="J1330" s="39" t="s">
        <v>286</v>
      </c>
      <c r="K1330" s="38"/>
      <c r="L1330" s="38"/>
    </row>
    <row r="1331" ht="22.5" customHeight="1">
      <c r="A1331" s="36" t="s">
        <v>3346</v>
      </c>
      <c r="B1331" s="36" t="s">
        <v>3347</v>
      </c>
      <c r="C1331" s="36" t="s">
        <v>1495</v>
      </c>
      <c r="D1331" s="36" t="s">
        <v>1496</v>
      </c>
      <c r="E1331" s="36" t="s">
        <v>287</v>
      </c>
      <c r="F1331" s="36" t="s">
        <v>286</v>
      </c>
      <c r="G1331" s="36" t="s">
        <v>411</v>
      </c>
      <c r="H1331" s="37">
        <v>495.0</v>
      </c>
      <c r="I1331" s="36" t="s">
        <v>1301</v>
      </c>
      <c r="J1331" s="39" t="s">
        <v>286</v>
      </c>
      <c r="K1331" s="38"/>
      <c r="L1331" s="38"/>
    </row>
    <row r="1332" ht="22.5" customHeight="1">
      <c r="A1332" s="36" t="s">
        <v>3348</v>
      </c>
      <c r="B1332" s="36" t="s">
        <v>3349</v>
      </c>
      <c r="C1332" s="36" t="s">
        <v>1495</v>
      </c>
      <c r="D1332" s="36" t="s">
        <v>1496</v>
      </c>
      <c r="E1332" s="36" t="s">
        <v>287</v>
      </c>
      <c r="F1332" s="36" t="s">
        <v>286</v>
      </c>
      <c r="G1332" s="36" t="s">
        <v>411</v>
      </c>
      <c r="H1332" s="37">
        <v>1550.0</v>
      </c>
      <c r="I1332" s="36" t="s">
        <v>1301</v>
      </c>
      <c r="J1332" s="39" t="s">
        <v>286</v>
      </c>
      <c r="K1332" s="38"/>
      <c r="L1332" s="38"/>
    </row>
    <row r="1333" ht="22.5" customHeight="1">
      <c r="A1333" s="36" t="s">
        <v>3350</v>
      </c>
      <c r="B1333" s="36" t="s">
        <v>3351</v>
      </c>
      <c r="C1333" s="36" t="s">
        <v>1495</v>
      </c>
      <c r="D1333" s="36" t="s">
        <v>1496</v>
      </c>
      <c r="E1333" s="36" t="s">
        <v>287</v>
      </c>
      <c r="F1333" s="36" t="s">
        <v>286</v>
      </c>
      <c r="G1333" s="36" t="s">
        <v>411</v>
      </c>
      <c r="H1333" s="37">
        <v>19.0</v>
      </c>
      <c r="I1333" s="36" t="s">
        <v>1301</v>
      </c>
      <c r="J1333" s="39" t="s">
        <v>286</v>
      </c>
      <c r="K1333" s="38"/>
      <c r="L1333" s="38"/>
    </row>
    <row r="1334" ht="22.5" customHeight="1">
      <c r="A1334" s="36" t="s">
        <v>3352</v>
      </c>
      <c r="B1334" s="36" t="s">
        <v>3353</v>
      </c>
      <c r="C1334" s="36" t="s">
        <v>1495</v>
      </c>
      <c r="D1334" s="36" t="s">
        <v>1496</v>
      </c>
      <c r="E1334" s="36" t="s">
        <v>287</v>
      </c>
      <c r="F1334" s="36" t="s">
        <v>286</v>
      </c>
      <c r="G1334" s="36" t="s">
        <v>411</v>
      </c>
      <c r="H1334" s="37">
        <v>30.0</v>
      </c>
      <c r="I1334" s="36" t="s">
        <v>1301</v>
      </c>
      <c r="J1334" s="39" t="s">
        <v>286</v>
      </c>
      <c r="K1334" s="38"/>
      <c r="L1334" s="38"/>
    </row>
    <row r="1335" ht="22.5" customHeight="1">
      <c r="A1335" s="36" t="s">
        <v>3354</v>
      </c>
      <c r="B1335" s="36" t="s">
        <v>3355</v>
      </c>
      <c r="C1335" s="36" t="s">
        <v>1495</v>
      </c>
      <c r="D1335" s="36" t="s">
        <v>1496</v>
      </c>
      <c r="E1335" s="36" t="s">
        <v>287</v>
      </c>
      <c r="F1335" s="36" t="s">
        <v>286</v>
      </c>
      <c r="G1335" s="36" t="s">
        <v>411</v>
      </c>
      <c r="H1335" s="37">
        <v>42.0</v>
      </c>
      <c r="I1335" s="36" t="s">
        <v>1301</v>
      </c>
      <c r="J1335" s="39" t="s">
        <v>286</v>
      </c>
      <c r="K1335" s="38"/>
      <c r="L1335" s="38"/>
    </row>
    <row r="1336" ht="22.5" customHeight="1">
      <c r="A1336" s="36" t="s">
        <v>3356</v>
      </c>
      <c r="B1336" s="36" t="s">
        <v>3357</v>
      </c>
      <c r="C1336" s="36" t="s">
        <v>1495</v>
      </c>
      <c r="D1336" s="36" t="s">
        <v>1496</v>
      </c>
      <c r="E1336" s="36" t="s">
        <v>287</v>
      </c>
      <c r="F1336" s="36" t="s">
        <v>286</v>
      </c>
      <c r="G1336" s="36" t="s">
        <v>411</v>
      </c>
      <c r="H1336" s="37">
        <v>48.92</v>
      </c>
      <c r="I1336" s="36" t="s">
        <v>1301</v>
      </c>
      <c r="J1336" s="39" t="s">
        <v>286</v>
      </c>
      <c r="K1336" s="38"/>
      <c r="L1336" s="38"/>
    </row>
    <row r="1337" ht="22.5" customHeight="1">
      <c r="A1337" s="36" t="s">
        <v>3358</v>
      </c>
      <c r="B1337" s="36" t="s">
        <v>3359</v>
      </c>
      <c r="C1337" s="36" t="s">
        <v>1495</v>
      </c>
      <c r="D1337" s="36" t="s">
        <v>1496</v>
      </c>
      <c r="E1337" s="36" t="s">
        <v>287</v>
      </c>
      <c r="F1337" s="36" t="s">
        <v>286</v>
      </c>
      <c r="G1337" s="36" t="s">
        <v>411</v>
      </c>
      <c r="H1337" s="37">
        <v>7.67</v>
      </c>
      <c r="I1337" s="36" t="s">
        <v>1301</v>
      </c>
      <c r="J1337" s="39" t="s">
        <v>286</v>
      </c>
      <c r="K1337" s="38"/>
      <c r="L1337" s="38"/>
    </row>
    <row r="1338" ht="22.5" customHeight="1">
      <c r="A1338" s="36" t="s">
        <v>3360</v>
      </c>
      <c r="B1338" s="36" t="s">
        <v>3361</v>
      </c>
      <c r="C1338" s="36" t="s">
        <v>1495</v>
      </c>
      <c r="D1338" s="36" t="s">
        <v>1496</v>
      </c>
      <c r="E1338" s="36" t="s">
        <v>287</v>
      </c>
      <c r="F1338" s="36" t="s">
        <v>286</v>
      </c>
      <c r="G1338" s="36" t="s">
        <v>411</v>
      </c>
      <c r="H1338" s="37">
        <v>6.51</v>
      </c>
      <c r="I1338" s="36" t="s">
        <v>1301</v>
      </c>
      <c r="J1338" s="39" t="s">
        <v>286</v>
      </c>
      <c r="K1338" s="38"/>
      <c r="L1338" s="38"/>
    </row>
    <row r="1339" ht="22.5" customHeight="1">
      <c r="A1339" s="36" t="s">
        <v>3362</v>
      </c>
      <c r="B1339" s="36" t="s">
        <v>3363</v>
      </c>
      <c r="C1339" s="36" t="s">
        <v>1495</v>
      </c>
      <c r="D1339" s="36" t="s">
        <v>1496</v>
      </c>
      <c r="E1339" s="36" t="s">
        <v>287</v>
      </c>
      <c r="F1339" s="36" t="s">
        <v>286</v>
      </c>
      <c r="G1339" s="36" t="s">
        <v>411</v>
      </c>
      <c r="H1339" s="37">
        <v>3.0</v>
      </c>
      <c r="I1339" s="36" t="s">
        <v>1301</v>
      </c>
      <c r="J1339" s="39" t="s">
        <v>286</v>
      </c>
      <c r="K1339" s="38"/>
      <c r="L1339" s="38"/>
    </row>
    <row r="1340" ht="22.5" customHeight="1">
      <c r="A1340" s="36" t="s">
        <v>3364</v>
      </c>
      <c r="B1340" s="36" t="s">
        <v>3365</v>
      </c>
      <c r="C1340" s="36" t="s">
        <v>1495</v>
      </c>
      <c r="D1340" s="36" t="s">
        <v>1496</v>
      </c>
      <c r="E1340" s="36" t="s">
        <v>287</v>
      </c>
      <c r="F1340" s="36" t="s">
        <v>286</v>
      </c>
      <c r="G1340" s="36" t="s">
        <v>411</v>
      </c>
      <c r="H1340" s="37">
        <v>35.25</v>
      </c>
      <c r="I1340" s="36" t="s">
        <v>1301</v>
      </c>
      <c r="J1340" s="39" t="s">
        <v>286</v>
      </c>
      <c r="K1340" s="38"/>
      <c r="L1340" s="38"/>
    </row>
    <row r="1341" ht="22.5" customHeight="1">
      <c r="A1341" s="36" t="s">
        <v>3366</v>
      </c>
      <c r="B1341" s="36" t="s">
        <v>3367</v>
      </c>
      <c r="C1341" s="36" t="s">
        <v>1495</v>
      </c>
      <c r="D1341" s="36" t="s">
        <v>1496</v>
      </c>
      <c r="E1341" s="36" t="s">
        <v>287</v>
      </c>
      <c r="F1341" s="36" t="s">
        <v>286</v>
      </c>
      <c r="G1341" s="36" t="s">
        <v>411</v>
      </c>
      <c r="H1341" s="37">
        <v>7.67</v>
      </c>
      <c r="I1341" s="36" t="s">
        <v>1301</v>
      </c>
      <c r="J1341" s="39" t="s">
        <v>286</v>
      </c>
      <c r="K1341" s="38"/>
      <c r="L1341" s="38"/>
    </row>
    <row r="1342" ht="22.5" customHeight="1">
      <c r="A1342" s="36" t="s">
        <v>3368</v>
      </c>
      <c r="B1342" s="36" t="s">
        <v>3369</v>
      </c>
      <c r="C1342" s="36" t="s">
        <v>1495</v>
      </c>
      <c r="D1342" s="36" t="s">
        <v>1496</v>
      </c>
      <c r="E1342" s="36" t="s">
        <v>287</v>
      </c>
      <c r="F1342" s="36" t="s">
        <v>286</v>
      </c>
      <c r="G1342" s="36" t="s">
        <v>411</v>
      </c>
      <c r="H1342" s="37">
        <v>6.51</v>
      </c>
      <c r="I1342" s="36" t="s">
        <v>1301</v>
      </c>
      <c r="J1342" s="39" t="s">
        <v>286</v>
      </c>
      <c r="K1342" s="38"/>
      <c r="L1342" s="38"/>
    </row>
    <row r="1343" ht="22.5" customHeight="1">
      <c r="A1343" s="36" t="s">
        <v>3370</v>
      </c>
      <c r="B1343" s="36" t="s">
        <v>3371</v>
      </c>
      <c r="C1343" s="36" t="s">
        <v>1495</v>
      </c>
      <c r="D1343" s="36" t="s">
        <v>1496</v>
      </c>
      <c r="E1343" s="36" t="s">
        <v>287</v>
      </c>
      <c r="F1343" s="36" t="s">
        <v>286</v>
      </c>
      <c r="G1343" s="36" t="s">
        <v>411</v>
      </c>
      <c r="H1343" s="37">
        <v>2.94</v>
      </c>
      <c r="I1343" s="36" t="s">
        <v>1301</v>
      </c>
      <c r="J1343" s="39" t="s">
        <v>286</v>
      </c>
      <c r="K1343" s="38"/>
      <c r="L1343" s="38"/>
    </row>
    <row r="1344" ht="22.5" customHeight="1">
      <c r="A1344" s="36" t="s">
        <v>3372</v>
      </c>
      <c r="B1344" s="36" t="s">
        <v>3373</v>
      </c>
      <c r="C1344" s="36" t="s">
        <v>1495</v>
      </c>
      <c r="D1344" s="36" t="s">
        <v>1496</v>
      </c>
      <c r="E1344" s="36" t="s">
        <v>287</v>
      </c>
      <c r="F1344" s="36" t="s">
        <v>286</v>
      </c>
      <c r="G1344" s="36" t="s">
        <v>411</v>
      </c>
      <c r="H1344" s="37">
        <v>16.67</v>
      </c>
      <c r="I1344" s="36" t="s">
        <v>1301</v>
      </c>
      <c r="J1344" s="39" t="s">
        <v>286</v>
      </c>
      <c r="K1344" s="38"/>
      <c r="L1344" s="38"/>
    </row>
    <row r="1345" ht="22.5" customHeight="1">
      <c r="A1345" s="36" t="s">
        <v>3374</v>
      </c>
      <c r="B1345" s="36" t="s">
        <v>3375</v>
      </c>
      <c r="C1345" s="36" t="s">
        <v>1495</v>
      </c>
      <c r="D1345" s="36" t="s">
        <v>1496</v>
      </c>
      <c r="E1345" s="36" t="s">
        <v>287</v>
      </c>
      <c r="F1345" s="36" t="s">
        <v>286</v>
      </c>
      <c r="G1345" s="36" t="s">
        <v>411</v>
      </c>
      <c r="H1345" s="37">
        <v>13.81</v>
      </c>
      <c r="I1345" s="36" t="s">
        <v>1301</v>
      </c>
      <c r="J1345" s="39" t="s">
        <v>286</v>
      </c>
      <c r="K1345" s="38"/>
      <c r="L1345" s="38"/>
    </row>
    <row r="1346" ht="22.5" customHeight="1">
      <c r="A1346" s="36" t="s">
        <v>3376</v>
      </c>
      <c r="B1346" s="36" t="s">
        <v>3377</v>
      </c>
      <c r="C1346" s="36" t="s">
        <v>1495</v>
      </c>
      <c r="D1346" s="36" t="s">
        <v>1496</v>
      </c>
      <c r="E1346" s="36" t="s">
        <v>287</v>
      </c>
      <c r="F1346" s="36" t="s">
        <v>286</v>
      </c>
      <c r="G1346" s="36" t="s">
        <v>411</v>
      </c>
      <c r="H1346" s="37">
        <v>26.25</v>
      </c>
      <c r="I1346" s="36" t="s">
        <v>1301</v>
      </c>
      <c r="J1346" s="39" t="s">
        <v>286</v>
      </c>
      <c r="K1346" s="38"/>
      <c r="L1346" s="38"/>
    </row>
    <row r="1347" ht="22.5" customHeight="1">
      <c r="A1347" s="36" t="s">
        <v>3378</v>
      </c>
      <c r="B1347" s="36" t="s">
        <v>3379</v>
      </c>
      <c r="C1347" s="36" t="s">
        <v>1495</v>
      </c>
      <c r="D1347" s="36" t="s">
        <v>1496</v>
      </c>
      <c r="E1347" s="36" t="s">
        <v>287</v>
      </c>
      <c r="F1347" s="36" t="s">
        <v>286</v>
      </c>
      <c r="G1347" s="36" t="s">
        <v>411</v>
      </c>
      <c r="H1347" s="37">
        <v>37.08</v>
      </c>
      <c r="I1347" s="36" t="s">
        <v>1301</v>
      </c>
      <c r="J1347" s="39" t="s">
        <v>286</v>
      </c>
      <c r="K1347" s="38"/>
      <c r="L1347" s="38"/>
    </row>
    <row r="1348" ht="22.5" customHeight="1">
      <c r="A1348" s="36" t="s">
        <v>3380</v>
      </c>
      <c r="B1348" s="36" t="s">
        <v>3381</v>
      </c>
      <c r="C1348" s="36" t="s">
        <v>1495</v>
      </c>
      <c r="D1348" s="36" t="s">
        <v>1496</v>
      </c>
      <c r="E1348" s="36" t="s">
        <v>287</v>
      </c>
      <c r="F1348" s="36" t="s">
        <v>286</v>
      </c>
      <c r="G1348" s="36" t="s">
        <v>411</v>
      </c>
      <c r="H1348" s="37">
        <v>21.07</v>
      </c>
      <c r="I1348" s="36" t="s">
        <v>1301</v>
      </c>
      <c r="J1348" s="39" t="s">
        <v>286</v>
      </c>
      <c r="K1348" s="38"/>
      <c r="L1348" s="38"/>
    </row>
    <row r="1349" ht="22.5" customHeight="1">
      <c r="A1349" s="36" t="s">
        <v>3382</v>
      </c>
      <c r="B1349" s="36" t="s">
        <v>3383</v>
      </c>
      <c r="C1349" s="36" t="s">
        <v>1495</v>
      </c>
      <c r="D1349" s="36" t="s">
        <v>1496</v>
      </c>
      <c r="E1349" s="36" t="s">
        <v>287</v>
      </c>
      <c r="F1349" s="36" t="s">
        <v>286</v>
      </c>
      <c r="G1349" s="36" t="s">
        <v>411</v>
      </c>
      <c r="H1349" s="37">
        <v>19.4</v>
      </c>
      <c r="I1349" s="36" t="s">
        <v>1301</v>
      </c>
      <c r="J1349" s="39" t="s">
        <v>286</v>
      </c>
      <c r="K1349" s="38"/>
      <c r="L1349" s="38"/>
    </row>
    <row r="1350" ht="22.5" customHeight="1">
      <c r="A1350" s="36" t="s">
        <v>3384</v>
      </c>
      <c r="B1350" s="36" t="s">
        <v>3385</v>
      </c>
      <c r="C1350" s="36" t="s">
        <v>1495</v>
      </c>
      <c r="D1350" s="36" t="s">
        <v>1496</v>
      </c>
      <c r="E1350" s="36" t="s">
        <v>287</v>
      </c>
      <c r="F1350" s="36" t="s">
        <v>286</v>
      </c>
      <c r="G1350" s="36" t="s">
        <v>411</v>
      </c>
      <c r="H1350" s="37">
        <v>42.5</v>
      </c>
      <c r="I1350" s="36" t="s">
        <v>1301</v>
      </c>
      <c r="J1350" s="39" t="s">
        <v>286</v>
      </c>
      <c r="K1350" s="38"/>
      <c r="L1350" s="38"/>
    </row>
    <row r="1351" ht="22.5" customHeight="1">
      <c r="A1351" s="36" t="s">
        <v>3386</v>
      </c>
      <c r="B1351" s="36" t="s">
        <v>3387</v>
      </c>
      <c r="C1351" s="36" t="s">
        <v>1495</v>
      </c>
      <c r="D1351" s="36" t="s">
        <v>1496</v>
      </c>
      <c r="E1351" s="36" t="s">
        <v>287</v>
      </c>
      <c r="F1351" s="36" t="s">
        <v>286</v>
      </c>
      <c r="G1351" s="36" t="s">
        <v>411</v>
      </c>
      <c r="H1351" s="37">
        <v>40.83</v>
      </c>
      <c r="I1351" s="36" t="s">
        <v>1301</v>
      </c>
      <c r="J1351" s="39" t="s">
        <v>286</v>
      </c>
      <c r="K1351" s="38"/>
      <c r="L1351" s="38"/>
    </row>
    <row r="1352" ht="22.5" customHeight="1">
      <c r="A1352" s="36" t="s">
        <v>3388</v>
      </c>
      <c r="B1352" s="36" t="s">
        <v>3389</v>
      </c>
      <c r="C1352" s="36" t="s">
        <v>1495</v>
      </c>
      <c r="D1352" s="36" t="s">
        <v>1496</v>
      </c>
      <c r="E1352" s="36" t="s">
        <v>287</v>
      </c>
      <c r="F1352" s="36" t="s">
        <v>286</v>
      </c>
      <c r="G1352" s="36" t="s">
        <v>411</v>
      </c>
      <c r="H1352" s="37">
        <v>30.0</v>
      </c>
      <c r="I1352" s="36" t="s">
        <v>1301</v>
      </c>
      <c r="J1352" s="39" t="s">
        <v>286</v>
      </c>
      <c r="K1352" s="38"/>
      <c r="L1352" s="38"/>
    </row>
    <row r="1353" ht="22.5" customHeight="1">
      <c r="A1353" s="36" t="s">
        <v>3390</v>
      </c>
      <c r="B1353" s="36" t="s">
        <v>3391</v>
      </c>
      <c r="C1353" s="36" t="s">
        <v>1495</v>
      </c>
      <c r="D1353" s="36" t="s">
        <v>1496</v>
      </c>
      <c r="E1353" s="36" t="s">
        <v>287</v>
      </c>
      <c r="F1353" s="36" t="s">
        <v>286</v>
      </c>
      <c r="G1353" s="36" t="s">
        <v>411</v>
      </c>
      <c r="H1353" s="37">
        <v>28.33</v>
      </c>
      <c r="I1353" s="36" t="s">
        <v>1301</v>
      </c>
      <c r="J1353" s="39" t="s">
        <v>286</v>
      </c>
      <c r="K1353" s="38"/>
      <c r="L1353" s="38"/>
    </row>
    <row r="1354" ht="22.5" customHeight="1">
      <c r="A1354" s="36" t="s">
        <v>3392</v>
      </c>
      <c r="B1354" s="36" t="s">
        <v>3393</v>
      </c>
      <c r="C1354" s="36" t="s">
        <v>1495</v>
      </c>
      <c r="D1354" s="36" t="s">
        <v>1496</v>
      </c>
      <c r="E1354" s="36" t="s">
        <v>287</v>
      </c>
      <c r="F1354" s="36" t="s">
        <v>286</v>
      </c>
      <c r="G1354" s="36" t="s">
        <v>411</v>
      </c>
      <c r="H1354" s="37">
        <v>28.33</v>
      </c>
      <c r="I1354" s="36" t="s">
        <v>1301</v>
      </c>
      <c r="J1354" s="39" t="s">
        <v>286</v>
      </c>
      <c r="K1354" s="38"/>
      <c r="L1354" s="38"/>
    </row>
    <row r="1355" ht="22.5" customHeight="1">
      <c r="A1355" s="36" t="s">
        <v>3394</v>
      </c>
      <c r="B1355" s="36" t="s">
        <v>3395</v>
      </c>
      <c r="C1355" s="36" t="s">
        <v>1495</v>
      </c>
      <c r="D1355" s="36" t="s">
        <v>1496</v>
      </c>
      <c r="E1355" s="36" t="s">
        <v>287</v>
      </c>
      <c r="F1355" s="36" t="s">
        <v>286</v>
      </c>
      <c r="G1355" s="36" t="s">
        <v>411</v>
      </c>
      <c r="H1355" s="37">
        <v>17.92</v>
      </c>
      <c r="I1355" s="36" t="s">
        <v>1301</v>
      </c>
      <c r="J1355" s="39" t="s">
        <v>286</v>
      </c>
      <c r="K1355" s="38"/>
      <c r="L1355" s="38"/>
    </row>
    <row r="1356" ht="22.5" customHeight="1">
      <c r="A1356" s="36" t="s">
        <v>3396</v>
      </c>
      <c r="B1356" s="36" t="s">
        <v>3397</v>
      </c>
      <c r="C1356" s="36" t="s">
        <v>1495</v>
      </c>
      <c r="D1356" s="36" t="s">
        <v>1496</v>
      </c>
      <c r="E1356" s="36" t="s">
        <v>287</v>
      </c>
      <c r="F1356" s="36" t="s">
        <v>286</v>
      </c>
      <c r="G1356" s="36" t="s">
        <v>411</v>
      </c>
      <c r="H1356" s="37">
        <v>28.33</v>
      </c>
      <c r="I1356" s="36" t="s">
        <v>1301</v>
      </c>
      <c r="J1356" s="39" t="s">
        <v>286</v>
      </c>
      <c r="K1356" s="38"/>
      <c r="L1356" s="38"/>
    </row>
    <row r="1357" ht="22.5" customHeight="1">
      <c r="A1357" s="36" t="s">
        <v>3398</v>
      </c>
      <c r="B1357" s="36" t="s">
        <v>3399</v>
      </c>
      <c r="C1357" s="36" t="s">
        <v>1495</v>
      </c>
      <c r="D1357" s="36" t="s">
        <v>1496</v>
      </c>
      <c r="E1357" s="36" t="s">
        <v>287</v>
      </c>
      <c r="F1357" s="36" t="s">
        <v>286</v>
      </c>
      <c r="G1357" s="36" t="s">
        <v>411</v>
      </c>
      <c r="H1357" s="37">
        <v>40.83</v>
      </c>
      <c r="I1357" s="36" t="s">
        <v>1301</v>
      </c>
      <c r="J1357" s="39" t="s">
        <v>286</v>
      </c>
      <c r="K1357" s="38"/>
      <c r="L1357" s="38"/>
    </row>
    <row r="1358" ht="22.5" customHeight="1">
      <c r="A1358" s="36" t="s">
        <v>3400</v>
      </c>
      <c r="B1358" s="36" t="s">
        <v>3401</v>
      </c>
      <c r="C1358" s="36" t="s">
        <v>1495</v>
      </c>
      <c r="D1358" s="36" t="s">
        <v>1496</v>
      </c>
      <c r="E1358" s="36" t="s">
        <v>287</v>
      </c>
      <c r="F1358" s="36" t="s">
        <v>286</v>
      </c>
      <c r="G1358" s="36" t="s">
        <v>411</v>
      </c>
      <c r="H1358" s="37">
        <v>3500.0</v>
      </c>
      <c r="I1358" s="36" t="s">
        <v>1301</v>
      </c>
      <c r="J1358" s="39" t="s">
        <v>286</v>
      </c>
      <c r="K1358" s="38"/>
      <c r="L1358" s="38"/>
    </row>
    <row r="1359" ht="22.5" customHeight="1">
      <c r="A1359" s="36" t="s">
        <v>3402</v>
      </c>
      <c r="B1359" s="36" t="s">
        <v>3403</v>
      </c>
      <c r="C1359" s="36" t="s">
        <v>1495</v>
      </c>
      <c r="D1359" s="36" t="s">
        <v>1496</v>
      </c>
      <c r="E1359" s="36" t="s">
        <v>287</v>
      </c>
      <c r="F1359" s="36" t="s">
        <v>286</v>
      </c>
      <c r="G1359" s="36" t="s">
        <v>411</v>
      </c>
      <c r="H1359" s="37">
        <v>3.125</v>
      </c>
      <c r="I1359" s="36" t="s">
        <v>1301</v>
      </c>
      <c r="J1359" s="39" t="s">
        <v>286</v>
      </c>
      <c r="K1359" s="38"/>
      <c r="L1359" s="38"/>
    </row>
    <row r="1360" ht="22.5" customHeight="1">
      <c r="A1360" s="36" t="s">
        <v>3404</v>
      </c>
      <c r="B1360" s="36" t="s">
        <v>3405</v>
      </c>
      <c r="C1360" s="36" t="s">
        <v>1495</v>
      </c>
      <c r="D1360" s="36" t="s">
        <v>1496</v>
      </c>
      <c r="E1360" s="36" t="s">
        <v>287</v>
      </c>
      <c r="F1360" s="36" t="s">
        <v>286</v>
      </c>
      <c r="G1360" s="36" t="s">
        <v>411</v>
      </c>
      <c r="H1360" s="37">
        <v>26.48</v>
      </c>
      <c r="I1360" s="36" t="s">
        <v>1301</v>
      </c>
      <c r="J1360" s="39" t="s">
        <v>286</v>
      </c>
      <c r="K1360" s="38"/>
      <c r="L1360" s="38"/>
    </row>
    <row r="1361" ht="22.5" customHeight="1">
      <c r="A1361" s="36" t="s">
        <v>3406</v>
      </c>
      <c r="B1361" s="36" t="s">
        <v>3407</v>
      </c>
      <c r="C1361" s="36" t="s">
        <v>1495</v>
      </c>
      <c r="D1361" s="36" t="s">
        <v>1496</v>
      </c>
      <c r="E1361" s="36" t="s">
        <v>287</v>
      </c>
      <c r="F1361" s="36" t="s">
        <v>286</v>
      </c>
      <c r="G1361" s="36" t="s">
        <v>411</v>
      </c>
      <c r="H1361" s="37">
        <v>49.78</v>
      </c>
      <c r="I1361" s="36" t="s">
        <v>1301</v>
      </c>
      <c r="J1361" s="39" t="s">
        <v>286</v>
      </c>
      <c r="K1361" s="38"/>
      <c r="L1361" s="38"/>
    </row>
    <row r="1362" ht="22.5" customHeight="1">
      <c r="A1362" s="36" t="s">
        <v>3408</v>
      </c>
      <c r="B1362" s="36" t="s">
        <v>3409</v>
      </c>
      <c r="C1362" s="36" t="s">
        <v>1495</v>
      </c>
      <c r="D1362" s="36" t="s">
        <v>1496</v>
      </c>
      <c r="E1362" s="36" t="s">
        <v>287</v>
      </c>
      <c r="F1362" s="36" t="s">
        <v>286</v>
      </c>
      <c r="G1362" s="36" t="s">
        <v>411</v>
      </c>
      <c r="H1362" s="37">
        <v>73.78</v>
      </c>
      <c r="I1362" s="36" t="s">
        <v>1301</v>
      </c>
      <c r="J1362" s="39" t="s">
        <v>286</v>
      </c>
      <c r="K1362" s="38"/>
      <c r="L1362" s="38"/>
    </row>
    <row r="1363" ht="22.5" customHeight="1">
      <c r="A1363" s="36" t="s">
        <v>3410</v>
      </c>
      <c r="B1363" s="36" t="s">
        <v>3411</v>
      </c>
      <c r="C1363" s="36" t="s">
        <v>1495</v>
      </c>
      <c r="D1363" s="36" t="s">
        <v>1496</v>
      </c>
      <c r="E1363" s="36" t="s">
        <v>287</v>
      </c>
      <c r="F1363" s="36" t="s">
        <v>286</v>
      </c>
      <c r="G1363" s="36" t="s">
        <v>411</v>
      </c>
      <c r="H1363" s="37">
        <v>93.33</v>
      </c>
      <c r="I1363" s="36" t="s">
        <v>1301</v>
      </c>
      <c r="J1363" s="39" t="s">
        <v>286</v>
      </c>
      <c r="K1363" s="38"/>
      <c r="L1363" s="38"/>
    </row>
    <row r="1364" ht="22.5" customHeight="1">
      <c r="A1364" s="36" t="s">
        <v>3412</v>
      </c>
      <c r="B1364" s="36" t="s">
        <v>3413</v>
      </c>
      <c r="C1364" s="36" t="s">
        <v>1495</v>
      </c>
      <c r="D1364" s="36" t="s">
        <v>1496</v>
      </c>
      <c r="E1364" s="36" t="s">
        <v>287</v>
      </c>
      <c r="F1364" s="36" t="s">
        <v>286</v>
      </c>
      <c r="G1364" s="36" t="s">
        <v>411</v>
      </c>
      <c r="H1364" s="37">
        <v>124.44</v>
      </c>
      <c r="I1364" s="36" t="s">
        <v>1301</v>
      </c>
      <c r="J1364" s="39" t="s">
        <v>286</v>
      </c>
      <c r="K1364" s="38"/>
      <c r="L1364" s="38"/>
    </row>
    <row r="1365" ht="22.5" customHeight="1">
      <c r="A1365" s="36" t="s">
        <v>3414</v>
      </c>
      <c r="B1365" s="36" t="s">
        <v>3415</v>
      </c>
      <c r="C1365" s="36" t="s">
        <v>1495</v>
      </c>
      <c r="D1365" s="36" t="s">
        <v>1496</v>
      </c>
      <c r="E1365" s="36" t="s">
        <v>287</v>
      </c>
      <c r="F1365" s="36" t="s">
        <v>286</v>
      </c>
      <c r="G1365" s="36" t="s">
        <v>411</v>
      </c>
      <c r="H1365" s="37">
        <v>206.83</v>
      </c>
      <c r="I1365" s="36" t="s">
        <v>1301</v>
      </c>
      <c r="J1365" s="39" t="s">
        <v>286</v>
      </c>
      <c r="K1365" s="38"/>
      <c r="L1365" s="38"/>
    </row>
    <row r="1366" ht="22.5" customHeight="1">
      <c r="A1366" s="36" t="s">
        <v>3416</v>
      </c>
      <c r="B1366" s="36" t="s">
        <v>3417</v>
      </c>
      <c r="C1366" s="36" t="s">
        <v>1495</v>
      </c>
      <c r="D1366" s="36" t="s">
        <v>1496</v>
      </c>
      <c r="E1366" s="36" t="s">
        <v>287</v>
      </c>
      <c r="F1366" s="36" t="s">
        <v>286</v>
      </c>
      <c r="G1366" s="36" t="s">
        <v>411</v>
      </c>
      <c r="H1366" s="37">
        <v>252.8</v>
      </c>
      <c r="I1366" s="36" t="s">
        <v>1301</v>
      </c>
      <c r="J1366" s="39" t="s">
        <v>286</v>
      </c>
      <c r="K1366" s="38"/>
      <c r="L1366" s="38"/>
    </row>
    <row r="1367" ht="22.5" customHeight="1">
      <c r="A1367" s="36" t="s">
        <v>3418</v>
      </c>
      <c r="B1367" s="36" t="s">
        <v>3419</v>
      </c>
      <c r="C1367" s="36" t="s">
        <v>1495</v>
      </c>
      <c r="D1367" s="36" t="s">
        <v>1496</v>
      </c>
      <c r="E1367" s="36" t="s">
        <v>287</v>
      </c>
      <c r="F1367" s="36" t="s">
        <v>286</v>
      </c>
      <c r="G1367" s="36" t="s">
        <v>411</v>
      </c>
      <c r="H1367" s="37">
        <v>144.17</v>
      </c>
      <c r="I1367" s="36" t="s">
        <v>1301</v>
      </c>
      <c r="J1367" s="39" t="s">
        <v>286</v>
      </c>
      <c r="K1367" s="38"/>
      <c r="L1367" s="38"/>
    </row>
    <row r="1368" ht="22.5" customHeight="1">
      <c r="A1368" s="36" t="s">
        <v>3420</v>
      </c>
      <c r="B1368" s="36" t="s">
        <v>3421</v>
      </c>
      <c r="C1368" s="36" t="s">
        <v>1495</v>
      </c>
      <c r="D1368" s="36" t="s">
        <v>1496</v>
      </c>
      <c r="E1368" s="36" t="s">
        <v>287</v>
      </c>
      <c r="F1368" s="36" t="s">
        <v>286</v>
      </c>
      <c r="G1368" s="36" t="s">
        <v>411</v>
      </c>
      <c r="H1368" s="37">
        <v>160.13</v>
      </c>
      <c r="I1368" s="36" t="s">
        <v>1301</v>
      </c>
      <c r="J1368" s="39" t="s">
        <v>286</v>
      </c>
      <c r="K1368" s="38"/>
      <c r="L1368" s="38"/>
    </row>
    <row r="1369" ht="22.5" customHeight="1">
      <c r="A1369" s="36" t="s">
        <v>3422</v>
      </c>
      <c r="B1369" s="36" t="s">
        <v>3423</v>
      </c>
      <c r="C1369" s="36" t="s">
        <v>1495</v>
      </c>
      <c r="D1369" s="36" t="s">
        <v>1496</v>
      </c>
      <c r="E1369" s="36" t="s">
        <v>287</v>
      </c>
      <c r="F1369" s="36" t="s">
        <v>286</v>
      </c>
      <c r="G1369" s="36" t="s">
        <v>411</v>
      </c>
      <c r="H1369" s="37">
        <v>144.17</v>
      </c>
      <c r="I1369" s="36" t="s">
        <v>1301</v>
      </c>
      <c r="J1369" s="39" t="s">
        <v>286</v>
      </c>
      <c r="K1369" s="38"/>
      <c r="L1369" s="38"/>
    </row>
    <row r="1370" ht="22.5" customHeight="1">
      <c r="A1370" s="36" t="s">
        <v>3424</v>
      </c>
      <c r="B1370" s="36" t="s">
        <v>3425</v>
      </c>
      <c r="C1370" s="36" t="s">
        <v>1495</v>
      </c>
      <c r="D1370" s="36" t="s">
        <v>1496</v>
      </c>
      <c r="E1370" s="36" t="s">
        <v>287</v>
      </c>
      <c r="F1370" s="36" t="s">
        <v>286</v>
      </c>
      <c r="G1370" s="36" t="s">
        <v>411</v>
      </c>
      <c r="H1370" s="37">
        <v>540.14</v>
      </c>
      <c r="I1370" s="36" t="s">
        <v>1301</v>
      </c>
      <c r="J1370" s="39" t="s">
        <v>286</v>
      </c>
      <c r="K1370" s="38"/>
      <c r="L1370" s="38"/>
    </row>
    <row r="1371" ht="22.5" customHeight="1">
      <c r="A1371" s="36" t="s">
        <v>3426</v>
      </c>
      <c r="B1371" s="36" t="s">
        <v>3427</v>
      </c>
      <c r="C1371" s="36" t="s">
        <v>1495</v>
      </c>
      <c r="D1371" s="36" t="s">
        <v>1496</v>
      </c>
      <c r="E1371" s="36" t="s">
        <v>287</v>
      </c>
      <c r="F1371" s="36" t="s">
        <v>286</v>
      </c>
      <c r="G1371" s="36" t="s">
        <v>411</v>
      </c>
      <c r="H1371" s="37">
        <v>5.35</v>
      </c>
      <c r="I1371" s="36" t="s">
        <v>1301</v>
      </c>
      <c r="J1371" s="39" t="s">
        <v>286</v>
      </c>
      <c r="K1371" s="38"/>
      <c r="L1371" s="38"/>
    </row>
    <row r="1372" ht="22.5" customHeight="1">
      <c r="A1372" s="36" t="s">
        <v>3428</v>
      </c>
      <c r="B1372" s="36" t="s">
        <v>3429</v>
      </c>
      <c r="C1372" s="36" t="s">
        <v>1495</v>
      </c>
      <c r="D1372" s="36" t="s">
        <v>1496</v>
      </c>
      <c r="E1372" s="36" t="s">
        <v>287</v>
      </c>
      <c r="F1372" s="36" t="s">
        <v>286</v>
      </c>
      <c r="G1372" s="36" t="s">
        <v>411</v>
      </c>
      <c r="H1372" s="37">
        <v>39.58</v>
      </c>
      <c r="I1372" s="36" t="s">
        <v>1301</v>
      </c>
      <c r="J1372" s="39" t="s">
        <v>286</v>
      </c>
      <c r="K1372" s="38"/>
      <c r="L1372" s="38"/>
    </row>
    <row r="1373" ht="22.5" customHeight="1">
      <c r="A1373" s="36" t="s">
        <v>3430</v>
      </c>
      <c r="B1373" s="36" t="s">
        <v>3431</v>
      </c>
      <c r="C1373" s="36" t="s">
        <v>1495</v>
      </c>
      <c r="D1373" s="36" t="s">
        <v>1496</v>
      </c>
      <c r="E1373" s="36" t="s">
        <v>287</v>
      </c>
      <c r="F1373" s="36" t="s">
        <v>286</v>
      </c>
      <c r="G1373" s="36" t="s">
        <v>411</v>
      </c>
      <c r="H1373" s="37">
        <v>33.0</v>
      </c>
      <c r="I1373" s="36" t="s">
        <v>1301</v>
      </c>
      <c r="J1373" s="39" t="s">
        <v>286</v>
      </c>
      <c r="K1373" s="38"/>
      <c r="L1373" s="38"/>
    </row>
    <row r="1374" ht="22.5" customHeight="1">
      <c r="A1374" s="36" t="s">
        <v>3432</v>
      </c>
      <c r="B1374" s="36" t="s">
        <v>3433</v>
      </c>
      <c r="C1374" s="36" t="s">
        <v>1495</v>
      </c>
      <c r="D1374" s="36" t="s">
        <v>1496</v>
      </c>
      <c r="E1374" s="36" t="s">
        <v>287</v>
      </c>
      <c r="F1374" s="36" t="s">
        <v>286</v>
      </c>
      <c r="G1374" s="36" t="s">
        <v>411</v>
      </c>
      <c r="H1374" s="37">
        <v>350.0</v>
      </c>
      <c r="I1374" s="36" t="s">
        <v>1301</v>
      </c>
      <c r="J1374" s="39" t="s">
        <v>286</v>
      </c>
      <c r="K1374" s="38"/>
      <c r="L1374" s="38"/>
    </row>
    <row r="1375" ht="22.5" customHeight="1">
      <c r="A1375" s="36" t="s">
        <v>3434</v>
      </c>
      <c r="B1375" s="36" t="s">
        <v>3435</v>
      </c>
      <c r="C1375" s="36" t="s">
        <v>1495</v>
      </c>
      <c r="D1375" s="36" t="s">
        <v>1496</v>
      </c>
      <c r="E1375" s="36" t="s">
        <v>287</v>
      </c>
      <c r="F1375" s="36" t="s">
        <v>286</v>
      </c>
      <c r="G1375" s="36" t="s">
        <v>411</v>
      </c>
      <c r="H1375" s="37">
        <v>249.84</v>
      </c>
      <c r="I1375" s="36" t="s">
        <v>1301</v>
      </c>
      <c r="J1375" s="39" t="s">
        <v>286</v>
      </c>
      <c r="K1375" s="38"/>
      <c r="L1375" s="38"/>
    </row>
    <row r="1376" ht="22.5" customHeight="1">
      <c r="A1376" s="36" t="s">
        <v>3436</v>
      </c>
      <c r="B1376" s="36" t="s">
        <v>3437</v>
      </c>
      <c r="C1376" s="36" t="s">
        <v>1495</v>
      </c>
      <c r="D1376" s="36" t="s">
        <v>1496</v>
      </c>
      <c r="E1376" s="36" t="s">
        <v>287</v>
      </c>
      <c r="F1376" s="36" t="s">
        <v>286</v>
      </c>
      <c r="G1376" s="36" t="s">
        <v>411</v>
      </c>
      <c r="H1376" s="37">
        <v>124.44</v>
      </c>
      <c r="I1376" s="36" t="s">
        <v>1301</v>
      </c>
      <c r="J1376" s="39" t="s">
        <v>286</v>
      </c>
      <c r="K1376" s="38"/>
      <c r="L1376" s="38"/>
    </row>
    <row r="1377" ht="22.5" customHeight="1">
      <c r="A1377" s="36" t="s">
        <v>3438</v>
      </c>
      <c r="B1377" s="36" t="s">
        <v>3439</v>
      </c>
      <c r="C1377" s="36" t="s">
        <v>1495</v>
      </c>
      <c r="D1377" s="36" t="s">
        <v>1496</v>
      </c>
      <c r="E1377" s="36" t="s">
        <v>287</v>
      </c>
      <c r="F1377" s="36" t="s">
        <v>286</v>
      </c>
      <c r="G1377" s="36" t="s">
        <v>411</v>
      </c>
      <c r="H1377" s="37">
        <v>3.07</v>
      </c>
      <c r="I1377" s="36" t="s">
        <v>1301</v>
      </c>
      <c r="J1377" s="39" t="s">
        <v>286</v>
      </c>
      <c r="K1377" s="38"/>
      <c r="L1377" s="38"/>
    </row>
    <row r="1378" ht="22.5" customHeight="1">
      <c r="A1378" s="36" t="s">
        <v>3440</v>
      </c>
      <c r="B1378" s="36" t="s">
        <v>3441</v>
      </c>
      <c r="C1378" s="36" t="s">
        <v>1495</v>
      </c>
      <c r="D1378" s="36" t="s">
        <v>1496</v>
      </c>
      <c r="E1378" s="36" t="s">
        <v>287</v>
      </c>
      <c r="F1378" s="36" t="s">
        <v>286</v>
      </c>
      <c r="G1378" s="36" t="s">
        <v>411</v>
      </c>
      <c r="H1378" s="37">
        <v>1.75</v>
      </c>
      <c r="I1378" s="36" t="s">
        <v>1301</v>
      </c>
      <c r="J1378" s="39" t="s">
        <v>286</v>
      </c>
      <c r="K1378" s="38"/>
      <c r="L1378" s="38"/>
    </row>
    <row r="1379" ht="22.5" customHeight="1">
      <c r="A1379" s="36" t="s">
        <v>3442</v>
      </c>
      <c r="B1379" s="36" t="s">
        <v>3443</v>
      </c>
      <c r="C1379" s="36" t="s">
        <v>1495</v>
      </c>
      <c r="D1379" s="36" t="s">
        <v>1496</v>
      </c>
      <c r="E1379" s="36" t="s">
        <v>287</v>
      </c>
      <c r="F1379" s="36" t="s">
        <v>286</v>
      </c>
      <c r="G1379" s="36" t="s">
        <v>411</v>
      </c>
      <c r="H1379" s="37">
        <v>277.93</v>
      </c>
      <c r="I1379" s="36" t="s">
        <v>1301</v>
      </c>
      <c r="J1379" s="39" t="s">
        <v>286</v>
      </c>
      <c r="K1379" s="38"/>
      <c r="L1379" s="38"/>
    </row>
    <row r="1380" ht="22.5" customHeight="1">
      <c r="A1380" s="36" t="s">
        <v>3444</v>
      </c>
      <c r="B1380" s="36" t="s">
        <v>3445</v>
      </c>
      <c r="C1380" s="36" t="s">
        <v>1495</v>
      </c>
      <c r="D1380" s="36" t="s">
        <v>1496</v>
      </c>
      <c r="E1380" s="36" t="s">
        <v>287</v>
      </c>
      <c r="F1380" s="36" t="s">
        <v>286</v>
      </c>
      <c r="G1380" s="36" t="s">
        <v>411</v>
      </c>
      <c r="H1380" s="37">
        <v>500.0</v>
      </c>
      <c r="I1380" s="36" t="s">
        <v>1301</v>
      </c>
      <c r="J1380" s="39" t="s">
        <v>286</v>
      </c>
      <c r="K1380" s="38"/>
      <c r="L1380" s="38"/>
    </row>
    <row r="1381" ht="22.5" customHeight="1">
      <c r="A1381" s="36" t="s">
        <v>3446</v>
      </c>
      <c r="B1381" s="36" t="s">
        <v>3447</v>
      </c>
      <c r="C1381" s="36" t="s">
        <v>1495</v>
      </c>
      <c r="D1381" s="36" t="s">
        <v>1496</v>
      </c>
      <c r="E1381" s="36" t="s">
        <v>287</v>
      </c>
      <c r="F1381" s="36" t="s">
        <v>286</v>
      </c>
      <c r="G1381" s="36" t="s">
        <v>411</v>
      </c>
      <c r="H1381" s="37">
        <v>9.0</v>
      </c>
      <c r="I1381" s="36" t="s">
        <v>1301</v>
      </c>
      <c r="J1381" s="39" t="s">
        <v>286</v>
      </c>
      <c r="K1381" s="38"/>
      <c r="L1381" s="38"/>
    </row>
    <row r="1382" ht="22.5" customHeight="1">
      <c r="A1382" s="36" t="s">
        <v>3448</v>
      </c>
      <c r="B1382" s="36" t="s">
        <v>3449</v>
      </c>
      <c r="C1382" s="36" t="s">
        <v>1495</v>
      </c>
      <c r="D1382" s="36" t="s">
        <v>1496</v>
      </c>
      <c r="E1382" s="36" t="s">
        <v>287</v>
      </c>
      <c r="F1382" s="36" t="s">
        <v>286</v>
      </c>
      <c r="G1382" s="36" t="s">
        <v>411</v>
      </c>
      <c r="H1382" s="37">
        <v>11.24</v>
      </c>
      <c r="I1382" s="36" t="s">
        <v>1301</v>
      </c>
      <c r="J1382" s="39" t="s">
        <v>286</v>
      </c>
      <c r="K1382" s="38"/>
      <c r="L1382" s="38"/>
    </row>
    <row r="1383" ht="22.5" customHeight="1">
      <c r="A1383" s="36" t="s">
        <v>3450</v>
      </c>
      <c r="B1383" s="36" t="s">
        <v>3451</v>
      </c>
      <c r="C1383" s="36" t="s">
        <v>1495</v>
      </c>
      <c r="D1383" s="36" t="s">
        <v>1496</v>
      </c>
      <c r="E1383" s="36" t="s">
        <v>287</v>
      </c>
      <c r="F1383" s="36" t="s">
        <v>286</v>
      </c>
      <c r="G1383" s="36" t="s">
        <v>411</v>
      </c>
      <c r="H1383" s="37">
        <v>13.78</v>
      </c>
      <c r="I1383" s="36" t="s">
        <v>1301</v>
      </c>
      <c r="J1383" s="39" t="s">
        <v>286</v>
      </c>
      <c r="K1383" s="38"/>
      <c r="L1383" s="38"/>
    </row>
    <row r="1384" ht="22.5" customHeight="1">
      <c r="A1384" s="36" t="s">
        <v>3452</v>
      </c>
      <c r="B1384" s="36" t="s">
        <v>3453</v>
      </c>
      <c r="C1384" s="36" t="s">
        <v>1495</v>
      </c>
      <c r="D1384" s="36" t="s">
        <v>1496</v>
      </c>
      <c r="E1384" s="36" t="s">
        <v>287</v>
      </c>
      <c r="F1384" s="36" t="s">
        <v>286</v>
      </c>
      <c r="G1384" s="36" t="s">
        <v>411</v>
      </c>
      <c r="H1384" s="37">
        <v>11.91</v>
      </c>
      <c r="I1384" s="36" t="s">
        <v>1301</v>
      </c>
      <c r="J1384" s="39" t="s">
        <v>286</v>
      </c>
      <c r="K1384" s="38"/>
      <c r="L1384" s="38"/>
    </row>
    <row r="1385" ht="22.5" customHeight="1">
      <c r="A1385" s="36" t="s">
        <v>3454</v>
      </c>
      <c r="B1385" s="36" t="s">
        <v>3455</v>
      </c>
      <c r="C1385" s="36" t="s">
        <v>1495</v>
      </c>
      <c r="D1385" s="36" t="s">
        <v>1496</v>
      </c>
      <c r="E1385" s="36" t="s">
        <v>287</v>
      </c>
      <c r="F1385" s="36" t="s">
        <v>286</v>
      </c>
      <c r="G1385" s="36" t="s">
        <v>411</v>
      </c>
      <c r="H1385" s="37">
        <v>10.25</v>
      </c>
      <c r="I1385" s="36" t="s">
        <v>1301</v>
      </c>
      <c r="J1385" s="39" t="s">
        <v>286</v>
      </c>
      <c r="K1385" s="38"/>
      <c r="L1385" s="38"/>
    </row>
    <row r="1386" ht="22.5" customHeight="1">
      <c r="A1386" s="36" t="s">
        <v>3456</v>
      </c>
      <c r="B1386" s="36" t="s">
        <v>3457</v>
      </c>
      <c r="C1386" s="36" t="s">
        <v>1495</v>
      </c>
      <c r="D1386" s="36" t="s">
        <v>1496</v>
      </c>
      <c r="E1386" s="36" t="s">
        <v>287</v>
      </c>
      <c r="F1386" s="36" t="s">
        <v>286</v>
      </c>
      <c r="G1386" s="36" t="s">
        <v>411</v>
      </c>
      <c r="H1386" s="37">
        <v>12.71</v>
      </c>
      <c r="I1386" s="36" t="s">
        <v>1301</v>
      </c>
      <c r="J1386" s="39" t="s">
        <v>286</v>
      </c>
      <c r="K1386" s="38"/>
      <c r="L1386" s="38"/>
    </row>
    <row r="1387" ht="22.5" customHeight="1">
      <c r="A1387" s="36" t="s">
        <v>3458</v>
      </c>
      <c r="B1387" s="36" t="s">
        <v>3459</v>
      </c>
      <c r="C1387" s="36" t="s">
        <v>1495</v>
      </c>
      <c r="D1387" s="36" t="s">
        <v>1496</v>
      </c>
      <c r="E1387" s="36" t="s">
        <v>287</v>
      </c>
      <c r="F1387" s="36" t="s">
        <v>286</v>
      </c>
      <c r="G1387" s="36" t="s">
        <v>411</v>
      </c>
      <c r="H1387" s="37">
        <v>15.59</v>
      </c>
      <c r="I1387" s="36" t="s">
        <v>1301</v>
      </c>
      <c r="J1387" s="39" t="s">
        <v>286</v>
      </c>
      <c r="K1387" s="38"/>
      <c r="L1387" s="38"/>
    </row>
    <row r="1388" ht="22.5" customHeight="1">
      <c r="A1388" s="36" t="s">
        <v>3460</v>
      </c>
      <c r="B1388" s="36" t="s">
        <v>3461</v>
      </c>
      <c r="C1388" s="36" t="s">
        <v>1495</v>
      </c>
      <c r="D1388" s="36" t="s">
        <v>1496</v>
      </c>
      <c r="E1388" s="36" t="s">
        <v>287</v>
      </c>
      <c r="F1388" s="36" t="s">
        <v>286</v>
      </c>
      <c r="G1388" s="36" t="s">
        <v>411</v>
      </c>
      <c r="H1388" s="37">
        <v>11.27</v>
      </c>
      <c r="I1388" s="36" t="s">
        <v>1301</v>
      </c>
      <c r="J1388" s="39" t="s">
        <v>286</v>
      </c>
      <c r="K1388" s="38"/>
      <c r="L1388" s="38"/>
    </row>
    <row r="1389" ht="22.5" customHeight="1">
      <c r="A1389" s="36" t="s">
        <v>3462</v>
      </c>
      <c r="B1389" s="36" t="s">
        <v>3463</v>
      </c>
      <c r="C1389" s="36" t="s">
        <v>1495</v>
      </c>
      <c r="D1389" s="36" t="s">
        <v>1496</v>
      </c>
      <c r="E1389" s="36" t="s">
        <v>287</v>
      </c>
      <c r="F1389" s="36" t="s">
        <v>286</v>
      </c>
      <c r="G1389" s="36" t="s">
        <v>411</v>
      </c>
      <c r="H1389" s="37">
        <v>23.76</v>
      </c>
      <c r="I1389" s="36" t="s">
        <v>1301</v>
      </c>
      <c r="J1389" s="39" t="s">
        <v>286</v>
      </c>
      <c r="K1389" s="38"/>
      <c r="L1389" s="38"/>
    </row>
    <row r="1390" ht="22.5" customHeight="1">
      <c r="A1390" s="36" t="s">
        <v>3464</v>
      </c>
      <c r="B1390" s="36" t="s">
        <v>3465</v>
      </c>
      <c r="C1390" s="36" t="s">
        <v>1495</v>
      </c>
      <c r="D1390" s="36" t="s">
        <v>1496</v>
      </c>
      <c r="E1390" s="36" t="s">
        <v>287</v>
      </c>
      <c r="F1390" s="36" t="s">
        <v>286</v>
      </c>
      <c r="G1390" s="36" t="s">
        <v>411</v>
      </c>
      <c r="H1390" s="37">
        <v>10.93</v>
      </c>
      <c r="I1390" s="36" t="s">
        <v>1301</v>
      </c>
      <c r="J1390" s="39" t="s">
        <v>286</v>
      </c>
      <c r="K1390" s="38"/>
      <c r="L1390" s="38"/>
    </row>
    <row r="1391" ht="22.5" customHeight="1">
      <c r="A1391" s="36" t="s">
        <v>3466</v>
      </c>
      <c r="B1391" s="36" t="s">
        <v>3467</v>
      </c>
      <c r="C1391" s="36" t="s">
        <v>1495</v>
      </c>
      <c r="D1391" s="36" t="s">
        <v>1496</v>
      </c>
      <c r="E1391" s="36" t="s">
        <v>287</v>
      </c>
      <c r="F1391" s="36" t="s">
        <v>286</v>
      </c>
      <c r="G1391" s="36" t="s">
        <v>411</v>
      </c>
      <c r="H1391" s="37">
        <v>10.93</v>
      </c>
      <c r="I1391" s="36" t="s">
        <v>1301</v>
      </c>
      <c r="J1391" s="39" t="s">
        <v>286</v>
      </c>
      <c r="K1391" s="38"/>
      <c r="L1391" s="38"/>
    </row>
    <row r="1392" ht="22.5" customHeight="1">
      <c r="A1392" s="36" t="s">
        <v>3468</v>
      </c>
      <c r="B1392" s="36" t="s">
        <v>3469</v>
      </c>
      <c r="C1392" s="36" t="s">
        <v>1495</v>
      </c>
      <c r="D1392" s="36" t="s">
        <v>1496</v>
      </c>
      <c r="E1392" s="36" t="s">
        <v>287</v>
      </c>
      <c r="F1392" s="36" t="s">
        <v>286</v>
      </c>
      <c r="G1392" s="36" t="s">
        <v>411</v>
      </c>
      <c r="H1392" s="37">
        <v>11.46</v>
      </c>
      <c r="I1392" s="36" t="s">
        <v>1301</v>
      </c>
      <c r="J1392" s="39" t="s">
        <v>286</v>
      </c>
      <c r="K1392" s="38"/>
      <c r="L1392" s="38"/>
    </row>
    <row r="1393" ht="22.5" customHeight="1">
      <c r="A1393" s="36" t="s">
        <v>3470</v>
      </c>
      <c r="B1393" s="36" t="s">
        <v>3471</v>
      </c>
      <c r="C1393" s="36" t="s">
        <v>1495</v>
      </c>
      <c r="D1393" s="36" t="s">
        <v>1496</v>
      </c>
      <c r="E1393" s="36" t="s">
        <v>287</v>
      </c>
      <c r="F1393" s="36" t="s">
        <v>286</v>
      </c>
      <c r="G1393" s="36" t="s">
        <v>411</v>
      </c>
      <c r="H1393" s="37">
        <v>90.38</v>
      </c>
      <c r="I1393" s="36" t="s">
        <v>1301</v>
      </c>
      <c r="J1393" s="39" t="s">
        <v>286</v>
      </c>
      <c r="K1393" s="38"/>
      <c r="L1393" s="38"/>
    </row>
    <row r="1394" ht="22.5" customHeight="1">
      <c r="A1394" s="36" t="s">
        <v>3472</v>
      </c>
      <c r="B1394" s="36" t="s">
        <v>3473</v>
      </c>
      <c r="C1394" s="36" t="s">
        <v>1495</v>
      </c>
      <c r="D1394" s="36" t="s">
        <v>1496</v>
      </c>
      <c r="E1394" s="36" t="s">
        <v>287</v>
      </c>
      <c r="F1394" s="36" t="s">
        <v>286</v>
      </c>
      <c r="G1394" s="36" t="s">
        <v>411</v>
      </c>
      <c r="H1394" s="37">
        <v>183.64</v>
      </c>
      <c r="I1394" s="36" t="s">
        <v>1301</v>
      </c>
      <c r="J1394" s="39" t="s">
        <v>286</v>
      </c>
      <c r="K1394" s="38"/>
      <c r="L1394" s="38"/>
    </row>
    <row r="1395" ht="22.5" customHeight="1">
      <c r="A1395" s="36" t="s">
        <v>3474</v>
      </c>
      <c r="B1395" s="36" t="s">
        <v>3475</v>
      </c>
      <c r="C1395" s="36" t="s">
        <v>1495</v>
      </c>
      <c r="D1395" s="36" t="s">
        <v>1496</v>
      </c>
      <c r="E1395" s="36" t="s">
        <v>287</v>
      </c>
      <c r="F1395" s="36" t="s">
        <v>286</v>
      </c>
      <c r="G1395" s="36" t="s">
        <v>411</v>
      </c>
      <c r="H1395" s="37">
        <v>86.72</v>
      </c>
      <c r="I1395" s="36" t="s">
        <v>1301</v>
      </c>
      <c r="J1395" s="39" t="s">
        <v>286</v>
      </c>
      <c r="K1395" s="38"/>
      <c r="L1395" s="38"/>
    </row>
    <row r="1396" ht="22.5" customHeight="1">
      <c r="A1396" s="36" t="s">
        <v>3476</v>
      </c>
      <c r="B1396" s="36" t="s">
        <v>3477</v>
      </c>
      <c r="C1396" s="36" t="s">
        <v>1495</v>
      </c>
      <c r="D1396" s="36" t="s">
        <v>1496</v>
      </c>
      <c r="E1396" s="36" t="s">
        <v>287</v>
      </c>
      <c r="F1396" s="36" t="s">
        <v>286</v>
      </c>
      <c r="G1396" s="36" t="s">
        <v>411</v>
      </c>
      <c r="H1396" s="37">
        <v>181.72</v>
      </c>
      <c r="I1396" s="36" t="s">
        <v>1301</v>
      </c>
      <c r="J1396" s="39" t="s">
        <v>286</v>
      </c>
      <c r="K1396" s="38"/>
      <c r="L1396" s="38"/>
    </row>
    <row r="1397" ht="22.5" customHeight="1">
      <c r="A1397" s="36" t="s">
        <v>3478</v>
      </c>
      <c r="B1397" s="36" t="s">
        <v>3479</v>
      </c>
      <c r="C1397" s="36" t="s">
        <v>1495</v>
      </c>
      <c r="D1397" s="36" t="s">
        <v>1496</v>
      </c>
      <c r="E1397" s="36" t="s">
        <v>287</v>
      </c>
      <c r="F1397" s="36" t="s">
        <v>286</v>
      </c>
      <c r="G1397" s="36" t="s">
        <v>411</v>
      </c>
      <c r="H1397" s="37">
        <v>360.0</v>
      </c>
      <c r="I1397" s="36" t="s">
        <v>1301</v>
      </c>
      <c r="J1397" s="39" t="s">
        <v>286</v>
      </c>
      <c r="K1397" s="38"/>
      <c r="L1397" s="38"/>
    </row>
    <row r="1398" ht="22.5" customHeight="1">
      <c r="A1398" s="36" t="s">
        <v>3480</v>
      </c>
      <c r="B1398" s="36" t="s">
        <v>3481</v>
      </c>
      <c r="C1398" s="36" t="s">
        <v>1495</v>
      </c>
      <c r="D1398" s="36" t="s">
        <v>1496</v>
      </c>
      <c r="E1398" s="36" t="s">
        <v>287</v>
      </c>
      <c r="F1398" s="36" t="s">
        <v>286</v>
      </c>
      <c r="G1398" s="36" t="s">
        <v>411</v>
      </c>
      <c r="H1398" s="37">
        <v>14.49</v>
      </c>
      <c r="I1398" s="36" t="s">
        <v>1301</v>
      </c>
      <c r="J1398" s="39" t="s">
        <v>286</v>
      </c>
      <c r="K1398" s="38"/>
      <c r="L1398" s="38"/>
    </row>
    <row r="1399" ht="22.5" customHeight="1">
      <c r="A1399" s="36" t="s">
        <v>3482</v>
      </c>
      <c r="B1399" s="36" t="s">
        <v>3483</v>
      </c>
      <c r="C1399" s="36" t="s">
        <v>1495</v>
      </c>
      <c r="D1399" s="36" t="s">
        <v>1496</v>
      </c>
      <c r="E1399" s="36" t="s">
        <v>287</v>
      </c>
      <c r="F1399" s="36" t="s">
        <v>286</v>
      </c>
      <c r="G1399" s="36" t="s">
        <v>411</v>
      </c>
      <c r="H1399" s="37">
        <v>9.88</v>
      </c>
      <c r="I1399" s="36" t="s">
        <v>1301</v>
      </c>
      <c r="J1399" s="39" t="s">
        <v>286</v>
      </c>
      <c r="K1399" s="38"/>
      <c r="L1399" s="38"/>
    </row>
    <row r="1400" ht="22.5" customHeight="1">
      <c r="A1400" s="36" t="s">
        <v>3484</v>
      </c>
      <c r="B1400" s="36" t="s">
        <v>3485</v>
      </c>
      <c r="C1400" s="36" t="s">
        <v>1495</v>
      </c>
      <c r="D1400" s="36" t="s">
        <v>1496</v>
      </c>
      <c r="E1400" s="36" t="s">
        <v>287</v>
      </c>
      <c r="F1400" s="36" t="s">
        <v>286</v>
      </c>
      <c r="G1400" s="36" t="s">
        <v>411</v>
      </c>
      <c r="H1400" s="37">
        <v>119.25</v>
      </c>
      <c r="I1400" s="36" t="s">
        <v>1301</v>
      </c>
      <c r="J1400" s="39" t="s">
        <v>286</v>
      </c>
      <c r="K1400" s="38"/>
      <c r="L1400" s="38"/>
    </row>
    <row r="1401" ht="22.5" customHeight="1">
      <c r="A1401" s="36" t="s">
        <v>3486</v>
      </c>
      <c r="B1401" s="36" t="s">
        <v>3487</v>
      </c>
      <c r="C1401" s="36" t="s">
        <v>1495</v>
      </c>
      <c r="D1401" s="36" t="s">
        <v>1496</v>
      </c>
      <c r="E1401" s="36" t="s">
        <v>287</v>
      </c>
      <c r="F1401" s="36" t="s">
        <v>286</v>
      </c>
      <c r="G1401" s="36" t="s">
        <v>411</v>
      </c>
      <c r="H1401" s="37">
        <v>23.35</v>
      </c>
      <c r="I1401" s="36" t="s">
        <v>1301</v>
      </c>
      <c r="J1401" s="39" t="s">
        <v>286</v>
      </c>
      <c r="K1401" s="38"/>
      <c r="L1401" s="38"/>
    </row>
    <row r="1402" ht="22.5" customHeight="1">
      <c r="A1402" s="36" t="s">
        <v>3488</v>
      </c>
      <c r="B1402" s="36" t="s">
        <v>3489</v>
      </c>
      <c r="C1402" s="36" t="s">
        <v>1495</v>
      </c>
      <c r="D1402" s="36" t="s">
        <v>1496</v>
      </c>
      <c r="E1402" s="36" t="s">
        <v>287</v>
      </c>
      <c r="F1402" s="36" t="s">
        <v>286</v>
      </c>
      <c r="G1402" s="36" t="s">
        <v>411</v>
      </c>
      <c r="H1402" s="37">
        <v>53.43</v>
      </c>
      <c r="I1402" s="36" t="s">
        <v>1301</v>
      </c>
      <c r="J1402" s="39" t="s">
        <v>286</v>
      </c>
      <c r="K1402" s="38"/>
      <c r="L1402" s="38"/>
    </row>
    <row r="1403" ht="22.5" customHeight="1">
      <c r="A1403" s="36" t="s">
        <v>3490</v>
      </c>
      <c r="B1403" s="36" t="s">
        <v>3491</v>
      </c>
      <c r="C1403" s="36" t="s">
        <v>1495</v>
      </c>
      <c r="D1403" s="36" t="s">
        <v>1496</v>
      </c>
      <c r="E1403" s="36" t="s">
        <v>287</v>
      </c>
      <c r="F1403" s="36" t="s">
        <v>286</v>
      </c>
      <c r="G1403" s="36" t="s">
        <v>411</v>
      </c>
      <c r="H1403" s="37">
        <v>3.47</v>
      </c>
      <c r="I1403" s="36" t="s">
        <v>1301</v>
      </c>
      <c r="J1403" s="39" t="s">
        <v>286</v>
      </c>
      <c r="K1403" s="38"/>
      <c r="L1403" s="38"/>
    </row>
    <row r="1404" ht="22.5" customHeight="1">
      <c r="A1404" s="36" t="s">
        <v>3492</v>
      </c>
      <c r="B1404" s="36" t="s">
        <v>3493</v>
      </c>
      <c r="C1404" s="36" t="s">
        <v>1495</v>
      </c>
      <c r="D1404" s="36" t="s">
        <v>1496</v>
      </c>
      <c r="E1404" s="36" t="s">
        <v>287</v>
      </c>
      <c r="F1404" s="36" t="s">
        <v>286</v>
      </c>
      <c r="G1404" s="36" t="s">
        <v>411</v>
      </c>
      <c r="H1404" s="37">
        <v>12.11</v>
      </c>
      <c r="I1404" s="36" t="s">
        <v>1301</v>
      </c>
      <c r="J1404" s="39" t="s">
        <v>286</v>
      </c>
      <c r="K1404" s="38"/>
      <c r="L1404" s="38"/>
    </row>
    <row r="1405" ht="22.5" customHeight="1">
      <c r="A1405" s="36" t="s">
        <v>3494</v>
      </c>
      <c r="B1405" s="36" t="s">
        <v>3495</v>
      </c>
      <c r="C1405" s="36" t="s">
        <v>1495</v>
      </c>
      <c r="D1405" s="36" t="s">
        <v>1496</v>
      </c>
      <c r="E1405" s="36" t="s">
        <v>287</v>
      </c>
      <c r="F1405" s="36" t="s">
        <v>286</v>
      </c>
      <c r="G1405" s="36" t="s">
        <v>411</v>
      </c>
      <c r="H1405" s="37">
        <v>33.6</v>
      </c>
      <c r="I1405" s="36" t="s">
        <v>1301</v>
      </c>
      <c r="J1405" s="39" t="s">
        <v>286</v>
      </c>
      <c r="K1405" s="38"/>
      <c r="L1405" s="38"/>
    </row>
    <row r="1406" ht="22.5" customHeight="1">
      <c r="A1406" s="36" t="s">
        <v>3496</v>
      </c>
      <c r="B1406" s="36" t="s">
        <v>3497</v>
      </c>
      <c r="C1406" s="36" t="s">
        <v>1495</v>
      </c>
      <c r="D1406" s="36" t="s">
        <v>1496</v>
      </c>
      <c r="E1406" s="36" t="s">
        <v>287</v>
      </c>
      <c r="F1406" s="36" t="s">
        <v>286</v>
      </c>
      <c r="G1406" s="36" t="s">
        <v>411</v>
      </c>
      <c r="H1406" s="37">
        <v>48.66</v>
      </c>
      <c r="I1406" s="36" t="s">
        <v>1301</v>
      </c>
      <c r="J1406" s="39" t="s">
        <v>286</v>
      </c>
      <c r="K1406" s="38"/>
      <c r="L1406" s="38"/>
    </row>
    <row r="1407" ht="22.5" customHeight="1">
      <c r="A1407" s="36" t="s">
        <v>3498</v>
      </c>
      <c r="B1407" s="36" t="s">
        <v>3499</v>
      </c>
      <c r="C1407" s="36" t="s">
        <v>1495</v>
      </c>
      <c r="D1407" s="36" t="s">
        <v>1496</v>
      </c>
      <c r="E1407" s="36" t="s">
        <v>287</v>
      </c>
      <c r="F1407" s="36" t="s">
        <v>286</v>
      </c>
      <c r="G1407" s="36" t="s">
        <v>411</v>
      </c>
      <c r="H1407" s="37">
        <v>40.65</v>
      </c>
      <c r="I1407" s="36" t="s">
        <v>1301</v>
      </c>
      <c r="J1407" s="39" t="s">
        <v>286</v>
      </c>
      <c r="K1407" s="38"/>
      <c r="L1407" s="38"/>
    </row>
    <row r="1408" ht="22.5" customHeight="1">
      <c r="A1408" s="36" t="s">
        <v>3500</v>
      </c>
      <c r="B1408" s="36" t="s">
        <v>3501</v>
      </c>
      <c r="C1408" s="36" t="s">
        <v>1495</v>
      </c>
      <c r="D1408" s="36" t="s">
        <v>1496</v>
      </c>
      <c r="E1408" s="36" t="s">
        <v>287</v>
      </c>
      <c r="F1408" s="36" t="s">
        <v>286</v>
      </c>
      <c r="G1408" s="36" t="s">
        <v>411</v>
      </c>
      <c r="H1408" s="37">
        <v>160.0</v>
      </c>
      <c r="I1408" s="36" t="s">
        <v>1301</v>
      </c>
      <c r="J1408" s="39" t="s">
        <v>286</v>
      </c>
      <c r="K1408" s="38"/>
      <c r="L1408" s="38"/>
    </row>
    <row r="1409" ht="22.5" customHeight="1">
      <c r="A1409" s="36" t="s">
        <v>3502</v>
      </c>
      <c r="B1409" s="36" t="s">
        <v>3503</v>
      </c>
      <c r="C1409" s="36" t="s">
        <v>1495</v>
      </c>
      <c r="D1409" s="36" t="s">
        <v>1496</v>
      </c>
      <c r="E1409" s="36" t="s">
        <v>287</v>
      </c>
      <c r="F1409" s="36" t="s">
        <v>286</v>
      </c>
      <c r="G1409" s="36" t="s">
        <v>411</v>
      </c>
      <c r="H1409" s="37">
        <v>73.33</v>
      </c>
      <c r="I1409" s="36" t="s">
        <v>1301</v>
      </c>
      <c r="J1409" s="39" t="s">
        <v>286</v>
      </c>
      <c r="K1409" s="38"/>
      <c r="L1409" s="38"/>
    </row>
    <row r="1410" ht="22.5" customHeight="1">
      <c r="A1410" s="36" t="s">
        <v>3504</v>
      </c>
      <c r="B1410" s="36" t="s">
        <v>3505</v>
      </c>
      <c r="C1410" s="36" t="s">
        <v>286</v>
      </c>
      <c r="D1410" s="36" t="s">
        <v>286</v>
      </c>
      <c r="E1410" s="36" t="s">
        <v>287</v>
      </c>
      <c r="F1410" s="36" t="s">
        <v>286</v>
      </c>
      <c r="G1410" s="36" t="s">
        <v>411</v>
      </c>
      <c r="H1410" s="37">
        <v>67.56</v>
      </c>
      <c r="I1410" s="36" t="s">
        <v>1301</v>
      </c>
      <c r="J1410" s="39" t="s">
        <v>286</v>
      </c>
      <c r="K1410" s="38"/>
      <c r="L1410" s="38"/>
    </row>
    <row r="1411" ht="22.5" customHeight="1">
      <c r="A1411" s="36" t="s">
        <v>3506</v>
      </c>
      <c r="B1411" s="36" t="s">
        <v>3507</v>
      </c>
      <c r="C1411" s="36" t="s">
        <v>1495</v>
      </c>
      <c r="D1411" s="36" t="s">
        <v>1496</v>
      </c>
      <c r="E1411" s="36" t="s">
        <v>287</v>
      </c>
      <c r="F1411" s="36" t="s">
        <v>286</v>
      </c>
      <c r="G1411" s="36" t="s">
        <v>411</v>
      </c>
      <c r="H1411" s="37">
        <v>603.0</v>
      </c>
      <c r="I1411" s="36" t="s">
        <v>1301</v>
      </c>
      <c r="J1411" s="39" t="s">
        <v>286</v>
      </c>
      <c r="K1411" s="38"/>
      <c r="L1411" s="38"/>
    </row>
    <row r="1412" ht="22.5" customHeight="1">
      <c r="A1412" s="36" t="s">
        <v>3508</v>
      </c>
      <c r="B1412" s="36" t="s">
        <v>3509</v>
      </c>
      <c r="C1412" s="36" t="s">
        <v>1495</v>
      </c>
      <c r="D1412" s="36" t="s">
        <v>1496</v>
      </c>
      <c r="E1412" s="36" t="s">
        <v>287</v>
      </c>
      <c r="F1412" s="36" t="s">
        <v>286</v>
      </c>
      <c r="G1412" s="36" t="s">
        <v>411</v>
      </c>
      <c r="H1412" s="37">
        <v>24.63</v>
      </c>
      <c r="I1412" s="36" t="s">
        <v>1301</v>
      </c>
      <c r="J1412" s="39" t="s">
        <v>286</v>
      </c>
      <c r="K1412" s="38"/>
      <c r="L1412" s="38"/>
    </row>
    <row r="1413" ht="22.5" customHeight="1">
      <c r="A1413" s="36" t="s">
        <v>3510</v>
      </c>
      <c r="B1413" s="36" t="s">
        <v>3511</v>
      </c>
      <c r="C1413" s="36" t="s">
        <v>1495</v>
      </c>
      <c r="D1413" s="36" t="s">
        <v>1496</v>
      </c>
      <c r="E1413" s="36" t="s">
        <v>287</v>
      </c>
      <c r="F1413" s="36" t="s">
        <v>286</v>
      </c>
      <c r="G1413" s="36" t="s">
        <v>411</v>
      </c>
      <c r="H1413" s="37">
        <v>17.34</v>
      </c>
      <c r="I1413" s="36" t="s">
        <v>1301</v>
      </c>
      <c r="J1413" s="39" t="s">
        <v>286</v>
      </c>
      <c r="K1413" s="38"/>
      <c r="L1413" s="38"/>
    </row>
    <row r="1414" ht="22.5" customHeight="1">
      <c r="A1414" s="36" t="s">
        <v>3512</v>
      </c>
      <c r="B1414" s="36" t="s">
        <v>3513</v>
      </c>
      <c r="C1414" s="36" t="s">
        <v>1495</v>
      </c>
      <c r="D1414" s="36" t="s">
        <v>1496</v>
      </c>
      <c r="E1414" s="36" t="s">
        <v>287</v>
      </c>
      <c r="F1414" s="36" t="s">
        <v>286</v>
      </c>
      <c r="G1414" s="36" t="s">
        <v>411</v>
      </c>
      <c r="H1414" s="37">
        <v>24.97</v>
      </c>
      <c r="I1414" s="36" t="s">
        <v>1301</v>
      </c>
      <c r="J1414" s="39" t="s">
        <v>286</v>
      </c>
      <c r="K1414" s="38"/>
      <c r="L1414" s="38"/>
    </row>
    <row r="1415" ht="22.5" customHeight="1">
      <c r="A1415" s="36" t="s">
        <v>3514</v>
      </c>
      <c r="B1415" s="36" t="s">
        <v>3515</v>
      </c>
      <c r="C1415" s="36" t="s">
        <v>1495</v>
      </c>
      <c r="D1415" s="36" t="s">
        <v>1496</v>
      </c>
      <c r="E1415" s="36" t="s">
        <v>287</v>
      </c>
      <c r="F1415" s="36" t="s">
        <v>286</v>
      </c>
      <c r="G1415" s="36" t="s">
        <v>411</v>
      </c>
      <c r="H1415" s="37">
        <v>250.0</v>
      </c>
      <c r="I1415" s="36" t="s">
        <v>1301</v>
      </c>
      <c r="J1415" s="39" t="s">
        <v>286</v>
      </c>
      <c r="K1415" s="38"/>
      <c r="L1415" s="38"/>
    </row>
    <row r="1416" ht="22.5" customHeight="1">
      <c r="A1416" s="36" t="s">
        <v>3516</v>
      </c>
      <c r="B1416" s="36" t="s">
        <v>3517</v>
      </c>
      <c r="C1416" s="36" t="s">
        <v>1495</v>
      </c>
      <c r="D1416" s="36" t="s">
        <v>1496</v>
      </c>
      <c r="E1416" s="36" t="s">
        <v>287</v>
      </c>
      <c r="F1416" s="36" t="s">
        <v>286</v>
      </c>
      <c r="G1416" s="36" t="s">
        <v>411</v>
      </c>
      <c r="H1416" s="37">
        <v>1800.0</v>
      </c>
      <c r="I1416" s="36" t="s">
        <v>1301</v>
      </c>
      <c r="J1416" s="39" t="s">
        <v>286</v>
      </c>
      <c r="K1416" s="38"/>
      <c r="L1416" s="38"/>
    </row>
    <row r="1417" ht="22.5" customHeight="1">
      <c r="A1417" s="36" t="s">
        <v>3518</v>
      </c>
      <c r="B1417" s="36" t="s">
        <v>3519</v>
      </c>
      <c r="C1417" s="36" t="s">
        <v>1495</v>
      </c>
      <c r="D1417" s="36" t="s">
        <v>1496</v>
      </c>
      <c r="E1417" s="36" t="s">
        <v>287</v>
      </c>
      <c r="F1417" s="36" t="s">
        <v>286</v>
      </c>
      <c r="G1417" s="36" t="s">
        <v>411</v>
      </c>
      <c r="H1417" s="37">
        <v>19.0</v>
      </c>
      <c r="I1417" s="36" t="s">
        <v>1301</v>
      </c>
      <c r="J1417" s="39" t="s">
        <v>286</v>
      </c>
      <c r="K1417" s="38"/>
      <c r="L1417" s="38"/>
    </row>
    <row r="1418" ht="22.5" customHeight="1">
      <c r="A1418" s="36" t="s">
        <v>3520</v>
      </c>
      <c r="B1418" s="36" t="s">
        <v>3521</v>
      </c>
      <c r="C1418" s="36" t="s">
        <v>1495</v>
      </c>
      <c r="D1418" s="36" t="s">
        <v>1496</v>
      </c>
      <c r="E1418" s="36" t="s">
        <v>287</v>
      </c>
      <c r="F1418" s="36" t="s">
        <v>286</v>
      </c>
      <c r="G1418" s="36" t="s">
        <v>411</v>
      </c>
      <c r="H1418" s="37">
        <v>22.0</v>
      </c>
      <c r="I1418" s="36" t="s">
        <v>1301</v>
      </c>
      <c r="J1418" s="39" t="s">
        <v>286</v>
      </c>
      <c r="K1418" s="38"/>
      <c r="L1418" s="38"/>
    </row>
    <row r="1419" ht="22.5" customHeight="1">
      <c r="A1419" s="36" t="s">
        <v>3522</v>
      </c>
      <c r="B1419" s="36" t="s">
        <v>3523</v>
      </c>
      <c r="C1419" s="36" t="s">
        <v>1495</v>
      </c>
      <c r="D1419" s="36" t="s">
        <v>1496</v>
      </c>
      <c r="E1419" s="36" t="s">
        <v>287</v>
      </c>
      <c r="F1419" s="36" t="s">
        <v>286</v>
      </c>
      <c r="G1419" s="36" t="s">
        <v>411</v>
      </c>
      <c r="H1419" s="37">
        <v>24.0</v>
      </c>
      <c r="I1419" s="36" t="s">
        <v>1301</v>
      </c>
      <c r="J1419" s="39" t="s">
        <v>286</v>
      </c>
      <c r="K1419" s="38"/>
      <c r="L1419" s="38"/>
    </row>
    <row r="1420" ht="22.5" customHeight="1">
      <c r="A1420" s="36" t="s">
        <v>3524</v>
      </c>
      <c r="B1420" s="36" t="s">
        <v>3525</v>
      </c>
      <c r="C1420" s="36" t="s">
        <v>1495</v>
      </c>
      <c r="D1420" s="36" t="s">
        <v>1496</v>
      </c>
      <c r="E1420" s="36" t="s">
        <v>287</v>
      </c>
      <c r="F1420" s="36" t="s">
        <v>286</v>
      </c>
      <c r="G1420" s="36" t="s">
        <v>411</v>
      </c>
      <c r="H1420" s="37">
        <v>36.67</v>
      </c>
      <c r="I1420" s="36" t="s">
        <v>1301</v>
      </c>
      <c r="J1420" s="39" t="s">
        <v>286</v>
      </c>
      <c r="K1420" s="38"/>
      <c r="L1420" s="38"/>
    </row>
    <row r="1421" ht="22.5" customHeight="1">
      <c r="A1421" s="36" t="s">
        <v>3526</v>
      </c>
      <c r="B1421" s="36" t="s">
        <v>3527</v>
      </c>
      <c r="C1421" s="36" t="s">
        <v>1495</v>
      </c>
      <c r="D1421" s="36" t="s">
        <v>1496</v>
      </c>
      <c r="E1421" s="36" t="s">
        <v>287</v>
      </c>
      <c r="F1421" s="36" t="s">
        <v>286</v>
      </c>
      <c r="G1421" s="36" t="s">
        <v>411</v>
      </c>
      <c r="H1421" s="37">
        <v>80.0</v>
      </c>
      <c r="I1421" s="36" t="s">
        <v>1301</v>
      </c>
      <c r="J1421" s="39" t="s">
        <v>286</v>
      </c>
      <c r="K1421" s="38"/>
      <c r="L1421" s="38"/>
    </row>
    <row r="1422" ht="22.5" customHeight="1">
      <c r="A1422" s="36" t="s">
        <v>3528</v>
      </c>
      <c r="B1422" s="36" t="s">
        <v>3529</v>
      </c>
      <c r="C1422" s="36" t="s">
        <v>1495</v>
      </c>
      <c r="D1422" s="36" t="s">
        <v>1496</v>
      </c>
      <c r="E1422" s="36" t="s">
        <v>287</v>
      </c>
      <c r="F1422" s="36" t="s">
        <v>286</v>
      </c>
      <c r="G1422" s="36" t="s">
        <v>411</v>
      </c>
      <c r="H1422" s="37">
        <v>26.67</v>
      </c>
      <c r="I1422" s="36" t="s">
        <v>1301</v>
      </c>
      <c r="J1422" s="39" t="s">
        <v>286</v>
      </c>
      <c r="K1422" s="38"/>
      <c r="L1422" s="38"/>
    </row>
    <row r="1423" ht="22.5" customHeight="1">
      <c r="A1423" s="36" t="s">
        <v>3530</v>
      </c>
      <c r="B1423" s="36" t="s">
        <v>3531</v>
      </c>
      <c r="C1423" s="36" t="s">
        <v>1495</v>
      </c>
      <c r="D1423" s="36" t="s">
        <v>1496</v>
      </c>
      <c r="E1423" s="36" t="s">
        <v>287</v>
      </c>
      <c r="F1423" s="36" t="s">
        <v>286</v>
      </c>
      <c r="G1423" s="36" t="s">
        <v>411</v>
      </c>
      <c r="H1423" s="37">
        <v>2.45</v>
      </c>
      <c r="I1423" s="36" t="s">
        <v>1301</v>
      </c>
      <c r="J1423" s="39" t="s">
        <v>286</v>
      </c>
      <c r="K1423" s="38"/>
      <c r="L1423" s="38"/>
    </row>
    <row r="1424" ht="22.5" customHeight="1">
      <c r="A1424" s="36" t="s">
        <v>3532</v>
      </c>
      <c r="B1424" s="36" t="s">
        <v>3533</v>
      </c>
      <c r="C1424" s="36" t="s">
        <v>1495</v>
      </c>
      <c r="D1424" s="36" t="s">
        <v>1496</v>
      </c>
      <c r="E1424" s="36" t="s">
        <v>287</v>
      </c>
      <c r="F1424" s="36" t="s">
        <v>286</v>
      </c>
      <c r="G1424" s="36" t="s">
        <v>411</v>
      </c>
      <c r="H1424" s="37">
        <v>99.92</v>
      </c>
      <c r="I1424" s="36" t="s">
        <v>1301</v>
      </c>
      <c r="J1424" s="39" t="s">
        <v>286</v>
      </c>
      <c r="K1424" s="38"/>
      <c r="L1424" s="38"/>
    </row>
    <row r="1425" ht="22.5" customHeight="1">
      <c r="A1425" s="36" t="s">
        <v>3534</v>
      </c>
      <c r="B1425" s="36" t="s">
        <v>3535</v>
      </c>
      <c r="C1425" s="36" t="s">
        <v>1495</v>
      </c>
      <c r="D1425" s="36" t="s">
        <v>1496</v>
      </c>
      <c r="E1425" s="36" t="s">
        <v>287</v>
      </c>
      <c r="F1425" s="36" t="s">
        <v>286</v>
      </c>
      <c r="G1425" s="36" t="s">
        <v>411</v>
      </c>
      <c r="H1425" s="37">
        <v>135.55</v>
      </c>
      <c r="I1425" s="36" t="s">
        <v>1301</v>
      </c>
      <c r="J1425" s="39" t="s">
        <v>286</v>
      </c>
      <c r="K1425" s="38"/>
      <c r="L1425" s="38"/>
    </row>
    <row r="1426" ht="22.5" customHeight="1">
      <c r="A1426" s="36" t="s">
        <v>3536</v>
      </c>
      <c r="B1426" s="36" t="s">
        <v>3537</v>
      </c>
      <c r="C1426" s="36" t="s">
        <v>1495</v>
      </c>
      <c r="D1426" s="36" t="s">
        <v>1496</v>
      </c>
      <c r="E1426" s="36" t="s">
        <v>287</v>
      </c>
      <c r="F1426" s="36" t="s">
        <v>286</v>
      </c>
      <c r="G1426" s="36" t="s">
        <v>411</v>
      </c>
      <c r="H1426" s="37">
        <v>31.54</v>
      </c>
      <c r="I1426" s="36" t="s">
        <v>1301</v>
      </c>
      <c r="J1426" s="39" t="s">
        <v>286</v>
      </c>
      <c r="K1426" s="38"/>
      <c r="L1426" s="38"/>
    </row>
    <row r="1427" ht="22.5" customHeight="1">
      <c r="A1427" s="36" t="s">
        <v>3538</v>
      </c>
      <c r="B1427" s="36" t="s">
        <v>3539</v>
      </c>
      <c r="C1427" s="36" t="s">
        <v>1495</v>
      </c>
      <c r="D1427" s="36" t="s">
        <v>1496</v>
      </c>
      <c r="E1427" s="36" t="s">
        <v>287</v>
      </c>
      <c r="F1427" s="36" t="s">
        <v>286</v>
      </c>
      <c r="G1427" s="36" t="s">
        <v>411</v>
      </c>
      <c r="H1427" s="37">
        <v>300.0</v>
      </c>
      <c r="I1427" s="36" t="s">
        <v>1301</v>
      </c>
      <c r="J1427" s="39" t="s">
        <v>286</v>
      </c>
      <c r="K1427" s="38"/>
      <c r="L1427" s="38"/>
    </row>
    <row r="1428" ht="22.5" customHeight="1">
      <c r="A1428" s="36" t="s">
        <v>3540</v>
      </c>
      <c r="B1428" s="36" t="s">
        <v>3541</v>
      </c>
      <c r="C1428" s="36" t="s">
        <v>1495</v>
      </c>
      <c r="D1428" s="36" t="s">
        <v>1496</v>
      </c>
      <c r="E1428" s="36" t="s">
        <v>287</v>
      </c>
      <c r="F1428" s="36" t="s">
        <v>286</v>
      </c>
      <c r="G1428" s="36" t="s">
        <v>411</v>
      </c>
      <c r="H1428" s="37">
        <v>62.69</v>
      </c>
      <c r="I1428" s="36" t="s">
        <v>1301</v>
      </c>
      <c r="J1428" s="39" t="s">
        <v>286</v>
      </c>
      <c r="K1428" s="38"/>
      <c r="L1428" s="38"/>
    </row>
    <row r="1429" ht="22.5" customHeight="1">
      <c r="A1429" s="36" t="s">
        <v>3542</v>
      </c>
      <c r="B1429" s="36" t="s">
        <v>3543</v>
      </c>
      <c r="C1429" s="36" t="s">
        <v>1495</v>
      </c>
      <c r="D1429" s="36" t="s">
        <v>1496</v>
      </c>
      <c r="E1429" s="36" t="s">
        <v>287</v>
      </c>
      <c r="F1429" s="36" t="s">
        <v>286</v>
      </c>
      <c r="G1429" s="36" t="s">
        <v>411</v>
      </c>
      <c r="H1429" s="37">
        <v>87.36</v>
      </c>
      <c r="I1429" s="36" t="s">
        <v>1301</v>
      </c>
      <c r="J1429" s="39" t="s">
        <v>286</v>
      </c>
      <c r="K1429" s="38"/>
      <c r="L1429" s="38"/>
    </row>
    <row r="1430" ht="22.5" customHeight="1">
      <c r="A1430" s="36" t="s">
        <v>3544</v>
      </c>
      <c r="B1430" s="36" t="s">
        <v>3545</v>
      </c>
      <c r="C1430" s="36" t="s">
        <v>1495</v>
      </c>
      <c r="D1430" s="36" t="s">
        <v>1496</v>
      </c>
      <c r="E1430" s="36" t="s">
        <v>287</v>
      </c>
      <c r="F1430" s="36" t="s">
        <v>286</v>
      </c>
      <c r="G1430" s="36" t="s">
        <v>411</v>
      </c>
      <c r="H1430" s="37">
        <v>152.11</v>
      </c>
      <c r="I1430" s="36" t="s">
        <v>1301</v>
      </c>
      <c r="J1430" s="39" t="s">
        <v>286</v>
      </c>
      <c r="K1430" s="38"/>
      <c r="L1430" s="38"/>
    </row>
    <row r="1431" ht="22.5" customHeight="1">
      <c r="A1431" s="36" t="s">
        <v>3546</v>
      </c>
      <c r="B1431" s="36" t="s">
        <v>3547</v>
      </c>
      <c r="C1431" s="36" t="s">
        <v>1495</v>
      </c>
      <c r="D1431" s="36" t="s">
        <v>1496</v>
      </c>
      <c r="E1431" s="36" t="s">
        <v>287</v>
      </c>
      <c r="F1431" s="36" t="s">
        <v>286</v>
      </c>
      <c r="G1431" s="36" t="s">
        <v>411</v>
      </c>
      <c r="H1431" s="37">
        <v>3.79</v>
      </c>
      <c r="I1431" s="36" t="s">
        <v>1301</v>
      </c>
      <c r="J1431" s="39" t="s">
        <v>286</v>
      </c>
      <c r="K1431" s="38"/>
      <c r="L1431" s="38"/>
    </row>
    <row r="1432" ht="22.5" customHeight="1">
      <c r="A1432" s="36" t="s">
        <v>3548</v>
      </c>
      <c r="B1432" s="36" t="s">
        <v>3549</v>
      </c>
      <c r="C1432" s="36" t="s">
        <v>1495</v>
      </c>
      <c r="D1432" s="36" t="s">
        <v>1496</v>
      </c>
      <c r="E1432" s="36" t="s">
        <v>287</v>
      </c>
      <c r="F1432" s="36" t="s">
        <v>286</v>
      </c>
      <c r="G1432" s="36" t="s">
        <v>411</v>
      </c>
      <c r="H1432" s="37">
        <v>7.25</v>
      </c>
      <c r="I1432" s="36" t="s">
        <v>1301</v>
      </c>
      <c r="J1432" s="39" t="s">
        <v>286</v>
      </c>
      <c r="K1432" s="38"/>
      <c r="L1432" s="38"/>
    </row>
    <row r="1433" ht="22.5" customHeight="1">
      <c r="A1433" s="36" t="s">
        <v>3550</v>
      </c>
      <c r="B1433" s="36" t="s">
        <v>3551</v>
      </c>
      <c r="C1433" s="36" t="s">
        <v>1495</v>
      </c>
      <c r="D1433" s="36" t="s">
        <v>1496</v>
      </c>
      <c r="E1433" s="36" t="s">
        <v>287</v>
      </c>
      <c r="F1433" s="36" t="s">
        <v>286</v>
      </c>
      <c r="G1433" s="36" t="s">
        <v>411</v>
      </c>
      <c r="H1433" s="37">
        <v>17.0</v>
      </c>
      <c r="I1433" s="36" t="s">
        <v>1301</v>
      </c>
      <c r="J1433" s="39" t="s">
        <v>286</v>
      </c>
      <c r="K1433" s="38"/>
      <c r="L1433" s="38"/>
    </row>
    <row r="1434" ht="22.5" customHeight="1">
      <c r="A1434" s="36" t="s">
        <v>3552</v>
      </c>
      <c r="B1434" s="36" t="s">
        <v>3553</v>
      </c>
      <c r="C1434" s="36" t="s">
        <v>1495</v>
      </c>
      <c r="D1434" s="36" t="s">
        <v>1496</v>
      </c>
      <c r="E1434" s="36" t="s">
        <v>287</v>
      </c>
      <c r="F1434" s="36" t="s">
        <v>286</v>
      </c>
      <c r="G1434" s="36" t="s">
        <v>411</v>
      </c>
      <c r="H1434" s="37">
        <v>37.42</v>
      </c>
      <c r="I1434" s="36" t="s">
        <v>1301</v>
      </c>
      <c r="J1434" s="39" t="s">
        <v>286</v>
      </c>
      <c r="K1434" s="38"/>
      <c r="L1434" s="38"/>
    </row>
    <row r="1435" ht="22.5" customHeight="1">
      <c r="A1435" s="36" t="s">
        <v>3554</v>
      </c>
      <c r="B1435" s="36" t="s">
        <v>3555</v>
      </c>
      <c r="C1435" s="36" t="s">
        <v>1495</v>
      </c>
      <c r="D1435" s="36" t="s">
        <v>1496</v>
      </c>
      <c r="E1435" s="36" t="s">
        <v>287</v>
      </c>
      <c r="F1435" s="36" t="s">
        <v>286</v>
      </c>
      <c r="G1435" s="36" t="s">
        <v>411</v>
      </c>
      <c r="H1435" s="37">
        <v>37.42</v>
      </c>
      <c r="I1435" s="36" t="s">
        <v>1301</v>
      </c>
      <c r="J1435" s="39" t="s">
        <v>286</v>
      </c>
      <c r="K1435" s="38"/>
      <c r="L1435" s="38"/>
    </row>
    <row r="1436" ht="22.5" customHeight="1">
      <c r="A1436" s="36" t="s">
        <v>3556</v>
      </c>
      <c r="B1436" s="36" t="s">
        <v>3557</v>
      </c>
      <c r="C1436" s="36" t="s">
        <v>1495</v>
      </c>
      <c r="D1436" s="36" t="s">
        <v>1496</v>
      </c>
      <c r="E1436" s="36" t="s">
        <v>287</v>
      </c>
      <c r="F1436" s="36" t="s">
        <v>286</v>
      </c>
      <c r="G1436" s="36" t="s">
        <v>411</v>
      </c>
      <c r="H1436" s="37">
        <v>51.17</v>
      </c>
      <c r="I1436" s="36" t="s">
        <v>1301</v>
      </c>
      <c r="J1436" s="39" t="s">
        <v>286</v>
      </c>
      <c r="K1436" s="38"/>
      <c r="L1436" s="38"/>
    </row>
    <row r="1437" ht="22.5" customHeight="1">
      <c r="A1437" s="36" t="s">
        <v>3558</v>
      </c>
      <c r="B1437" s="36" t="s">
        <v>3559</v>
      </c>
      <c r="C1437" s="36" t="s">
        <v>1495</v>
      </c>
      <c r="D1437" s="36" t="s">
        <v>1496</v>
      </c>
      <c r="E1437" s="36" t="s">
        <v>287</v>
      </c>
      <c r="F1437" s="36" t="s">
        <v>286</v>
      </c>
      <c r="G1437" s="36" t="s">
        <v>411</v>
      </c>
      <c r="H1437" s="37">
        <v>51.17</v>
      </c>
      <c r="I1437" s="36" t="s">
        <v>1301</v>
      </c>
      <c r="J1437" s="39" t="s">
        <v>286</v>
      </c>
      <c r="K1437" s="38"/>
      <c r="L1437" s="38"/>
    </row>
    <row r="1438" ht="22.5" customHeight="1">
      <c r="A1438" s="36" t="s">
        <v>3560</v>
      </c>
      <c r="B1438" s="36" t="s">
        <v>3561</v>
      </c>
      <c r="C1438" s="36" t="s">
        <v>1495</v>
      </c>
      <c r="D1438" s="36" t="s">
        <v>1496</v>
      </c>
      <c r="E1438" s="36" t="s">
        <v>287</v>
      </c>
      <c r="F1438" s="36" t="s">
        <v>286</v>
      </c>
      <c r="G1438" s="36" t="s">
        <v>411</v>
      </c>
      <c r="H1438" s="37">
        <v>33.42</v>
      </c>
      <c r="I1438" s="36" t="s">
        <v>1301</v>
      </c>
      <c r="J1438" s="39" t="s">
        <v>286</v>
      </c>
      <c r="K1438" s="38"/>
      <c r="L1438" s="38"/>
    </row>
    <row r="1439" ht="22.5" customHeight="1">
      <c r="A1439" s="36" t="s">
        <v>3562</v>
      </c>
      <c r="B1439" s="36" t="s">
        <v>3563</v>
      </c>
      <c r="C1439" s="36" t="s">
        <v>1495</v>
      </c>
      <c r="D1439" s="36" t="s">
        <v>1496</v>
      </c>
      <c r="E1439" s="36" t="s">
        <v>287</v>
      </c>
      <c r="F1439" s="36" t="s">
        <v>286</v>
      </c>
      <c r="G1439" s="36" t="s">
        <v>411</v>
      </c>
      <c r="H1439" s="37">
        <v>36.79</v>
      </c>
      <c r="I1439" s="36" t="s">
        <v>1301</v>
      </c>
      <c r="J1439" s="39" t="s">
        <v>286</v>
      </c>
      <c r="K1439" s="38"/>
      <c r="L1439" s="38"/>
    </row>
    <row r="1440" ht="22.5" customHeight="1">
      <c r="A1440" s="36" t="s">
        <v>3564</v>
      </c>
      <c r="B1440" s="36" t="s">
        <v>3565</v>
      </c>
      <c r="C1440" s="36" t="s">
        <v>1495</v>
      </c>
      <c r="D1440" s="36" t="s">
        <v>1496</v>
      </c>
      <c r="E1440" s="36" t="s">
        <v>287</v>
      </c>
      <c r="F1440" s="36" t="s">
        <v>286</v>
      </c>
      <c r="G1440" s="36" t="s">
        <v>411</v>
      </c>
      <c r="H1440" s="37">
        <v>2.84</v>
      </c>
      <c r="I1440" s="36" t="s">
        <v>1301</v>
      </c>
      <c r="J1440" s="39" t="s">
        <v>286</v>
      </c>
      <c r="K1440" s="38"/>
      <c r="L1440" s="38"/>
    </row>
    <row r="1441" ht="22.5" customHeight="1">
      <c r="A1441" s="36" t="s">
        <v>3566</v>
      </c>
      <c r="B1441" s="36" t="s">
        <v>3567</v>
      </c>
      <c r="C1441" s="36" t="s">
        <v>1495</v>
      </c>
      <c r="D1441" s="36" t="s">
        <v>1496</v>
      </c>
      <c r="E1441" s="36" t="s">
        <v>287</v>
      </c>
      <c r="F1441" s="36" t="s">
        <v>286</v>
      </c>
      <c r="G1441" s="36" t="s">
        <v>411</v>
      </c>
      <c r="H1441" s="37">
        <v>220.0</v>
      </c>
      <c r="I1441" s="36" t="s">
        <v>1301</v>
      </c>
      <c r="J1441" s="39" t="s">
        <v>286</v>
      </c>
      <c r="K1441" s="38"/>
      <c r="L1441" s="38"/>
    </row>
    <row r="1442" ht="22.5" customHeight="1">
      <c r="A1442" s="36" t="s">
        <v>3568</v>
      </c>
      <c r="B1442" s="36" t="s">
        <v>3569</v>
      </c>
      <c r="C1442" s="36" t="s">
        <v>1495</v>
      </c>
      <c r="D1442" s="36" t="s">
        <v>1496</v>
      </c>
      <c r="E1442" s="36" t="s">
        <v>287</v>
      </c>
      <c r="F1442" s="36" t="s">
        <v>286</v>
      </c>
      <c r="G1442" s="36" t="s">
        <v>411</v>
      </c>
      <c r="H1442" s="37">
        <v>250.0</v>
      </c>
      <c r="I1442" s="36" t="s">
        <v>1301</v>
      </c>
      <c r="J1442" s="39" t="s">
        <v>286</v>
      </c>
      <c r="K1442" s="38"/>
      <c r="L1442" s="38"/>
    </row>
    <row r="1443" ht="22.5" customHeight="1">
      <c r="A1443" s="36" t="s">
        <v>3570</v>
      </c>
      <c r="B1443" s="36" t="s">
        <v>3571</v>
      </c>
      <c r="C1443" s="36" t="s">
        <v>1495</v>
      </c>
      <c r="D1443" s="36" t="s">
        <v>1496</v>
      </c>
      <c r="E1443" s="36" t="s">
        <v>287</v>
      </c>
      <c r="F1443" s="36" t="s">
        <v>286</v>
      </c>
      <c r="G1443" s="36" t="s">
        <v>411</v>
      </c>
      <c r="H1443" s="37">
        <v>320.0</v>
      </c>
      <c r="I1443" s="36" t="s">
        <v>1301</v>
      </c>
      <c r="J1443" s="39" t="s">
        <v>286</v>
      </c>
      <c r="K1443" s="38"/>
      <c r="L1443" s="38"/>
    </row>
    <row r="1444" ht="22.5" customHeight="1">
      <c r="A1444" s="36" t="s">
        <v>3572</v>
      </c>
      <c r="B1444" s="36" t="s">
        <v>3573</v>
      </c>
      <c r="C1444" s="36" t="s">
        <v>1495</v>
      </c>
      <c r="D1444" s="36" t="s">
        <v>1496</v>
      </c>
      <c r="E1444" s="36" t="s">
        <v>287</v>
      </c>
      <c r="F1444" s="36" t="s">
        <v>286</v>
      </c>
      <c r="G1444" s="36" t="s">
        <v>411</v>
      </c>
      <c r="H1444" s="37">
        <v>600.0</v>
      </c>
      <c r="I1444" s="36" t="s">
        <v>1301</v>
      </c>
      <c r="J1444" s="39" t="s">
        <v>286</v>
      </c>
      <c r="K1444" s="38"/>
      <c r="L1444" s="38"/>
    </row>
    <row r="1445" ht="22.5" customHeight="1">
      <c r="A1445" s="36" t="s">
        <v>3574</v>
      </c>
      <c r="B1445" s="36" t="s">
        <v>3575</v>
      </c>
      <c r="C1445" s="36" t="s">
        <v>1495</v>
      </c>
      <c r="D1445" s="36" t="s">
        <v>1496</v>
      </c>
      <c r="E1445" s="36" t="s">
        <v>287</v>
      </c>
      <c r="F1445" s="36" t="s">
        <v>286</v>
      </c>
      <c r="G1445" s="36" t="s">
        <v>411</v>
      </c>
      <c r="H1445" s="37">
        <v>700.0</v>
      </c>
      <c r="I1445" s="36" t="s">
        <v>1301</v>
      </c>
      <c r="J1445" s="39" t="s">
        <v>286</v>
      </c>
      <c r="K1445" s="38"/>
      <c r="L1445" s="38"/>
    </row>
    <row r="1446" ht="22.5" customHeight="1">
      <c r="A1446" s="36" t="s">
        <v>3576</v>
      </c>
      <c r="B1446" s="36" t="s">
        <v>3577</v>
      </c>
      <c r="C1446" s="36" t="s">
        <v>1495</v>
      </c>
      <c r="D1446" s="36" t="s">
        <v>1496</v>
      </c>
      <c r="E1446" s="36" t="s">
        <v>287</v>
      </c>
      <c r="F1446" s="36" t="s">
        <v>286</v>
      </c>
      <c r="G1446" s="36" t="s">
        <v>411</v>
      </c>
      <c r="H1446" s="37">
        <v>56.0</v>
      </c>
      <c r="I1446" s="36" t="s">
        <v>1301</v>
      </c>
      <c r="J1446" s="39" t="s">
        <v>286</v>
      </c>
      <c r="K1446" s="38"/>
      <c r="L1446" s="38"/>
    </row>
    <row r="1447" ht="22.5" customHeight="1">
      <c r="A1447" s="36" t="s">
        <v>3578</v>
      </c>
      <c r="B1447" s="36" t="s">
        <v>3579</v>
      </c>
      <c r="C1447" s="36" t="s">
        <v>1495</v>
      </c>
      <c r="D1447" s="36" t="s">
        <v>1496</v>
      </c>
      <c r="E1447" s="36" t="s">
        <v>287</v>
      </c>
      <c r="F1447" s="36" t="s">
        <v>286</v>
      </c>
      <c r="G1447" s="36" t="s">
        <v>411</v>
      </c>
      <c r="H1447" s="37">
        <v>10.0</v>
      </c>
      <c r="I1447" s="36" t="s">
        <v>1301</v>
      </c>
      <c r="J1447" s="39" t="s">
        <v>286</v>
      </c>
      <c r="K1447" s="38"/>
      <c r="L1447" s="38"/>
    </row>
    <row r="1448" ht="22.5" customHeight="1">
      <c r="A1448" s="36" t="s">
        <v>3580</v>
      </c>
      <c r="B1448" s="36" t="s">
        <v>3581</v>
      </c>
      <c r="C1448" s="36" t="s">
        <v>1495</v>
      </c>
      <c r="D1448" s="36" t="s">
        <v>1496</v>
      </c>
      <c r="E1448" s="36" t="s">
        <v>287</v>
      </c>
      <c r="F1448" s="36" t="s">
        <v>286</v>
      </c>
      <c r="G1448" s="36" t="s">
        <v>411</v>
      </c>
      <c r="H1448" s="37">
        <v>12.67</v>
      </c>
      <c r="I1448" s="36" t="s">
        <v>1301</v>
      </c>
      <c r="J1448" s="39" t="s">
        <v>286</v>
      </c>
      <c r="K1448" s="38"/>
      <c r="L1448" s="38"/>
    </row>
    <row r="1449" ht="22.5" customHeight="1">
      <c r="A1449" s="36" t="s">
        <v>3582</v>
      </c>
      <c r="B1449" s="36" t="s">
        <v>3583</v>
      </c>
      <c r="C1449" s="36" t="s">
        <v>1495</v>
      </c>
      <c r="D1449" s="36" t="s">
        <v>1496</v>
      </c>
      <c r="E1449" s="36" t="s">
        <v>287</v>
      </c>
      <c r="F1449" s="36" t="s">
        <v>286</v>
      </c>
      <c r="G1449" s="36" t="s">
        <v>411</v>
      </c>
      <c r="H1449" s="37">
        <v>66.67</v>
      </c>
      <c r="I1449" s="36" t="s">
        <v>1301</v>
      </c>
      <c r="J1449" s="39" t="s">
        <v>286</v>
      </c>
      <c r="K1449" s="38"/>
      <c r="L1449" s="38"/>
    </row>
    <row r="1450" ht="22.5" customHeight="1">
      <c r="A1450" s="36" t="s">
        <v>3584</v>
      </c>
      <c r="B1450" s="36" t="s">
        <v>3585</v>
      </c>
      <c r="C1450" s="36" t="s">
        <v>1495</v>
      </c>
      <c r="D1450" s="36" t="s">
        <v>1496</v>
      </c>
      <c r="E1450" s="36" t="s">
        <v>287</v>
      </c>
      <c r="F1450" s="36" t="s">
        <v>286</v>
      </c>
      <c r="G1450" s="36" t="s">
        <v>411</v>
      </c>
      <c r="H1450" s="37">
        <v>39.56</v>
      </c>
      <c r="I1450" s="36" t="s">
        <v>1301</v>
      </c>
      <c r="J1450" s="39" t="s">
        <v>286</v>
      </c>
      <c r="K1450" s="38"/>
      <c r="L1450" s="38"/>
    </row>
    <row r="1451" ht="22.5" customHeight="1">
      <c r="A1451" s="36" t="s">
        <v>3586</v>
      </c>
      <c r="B1451" s="36" t="s">
        <v>3587</v>
      </c>
      <c r="C1451" s="36" t="s">
        <v>1495</v>
      </c>
      <c r="D1451" s="36" t="s">
        <v>1496</v>
      </c>
      <c r="E1451" s="36" t="s">
        <v>287</v>
      </c>
      <c r="F1451" s="36" t="s">
        <v>286</v>
      </c>
      <c r="G1451" s="36" t="s">
        <v>411</v>
      </c>
      <c r="H1451" s="37">
        <v>1.29</v>
      </c>
      <c r="I1451" s="36" t="s">
        <v>1301</v>
      </c>
      <c r="J1451" s="39" t="s">
        <v>286</v>
      </c>
      <c r="K1451" s="38"/>
      <c r="L1451" s="38"/>
    </row>
    <row r="1452" ht="22.5" customHeight="1">
      <c r="A1452" s="36" t="s">
        <v>3588</v>
      </c>
      <c r="B1452" s="36" t="s">
        <v>3589</v>
      </c>
      <c r="C1452" s="36" t="s">
        <v>1495</v>
      </c>
      <c r="D1452" s="36" t="s">
        <v>1496</v>
      </c>
      <c r="E1452" s="36" t="s">
        <v>287</v>
      </c>
      <c r="F1452" s="36" t="s">
        <v>286</v>
      </c>
      <c r="G1452" s="36" t="s">
        <v>411</v>
      </c>
      <c r="H1452" s="37">
        <v>14.22</v>
      </c>
      <c r="I1452" s="36" t="s">
        <v>1301</v>
      </c>
      <c r="J1452" s="39" t="s">
        <v>286</v>
      </c>
      <c r="K1452" s="38"/>
      <c r="L1452" s="38"/>
    </row>
    <row r="1453" ht="22.5" customHeight="1">
      <c r="A1453" s="36" t="s">
        <v>3590</v>
      </c>
      <c r="B1453" s="36" t="s">
        <v>3591</v>
      </c>
      <c r="C1453" s="36" t="s">
        <v>1495</v>
      </c>
      <c r="D1453" s="36" t="s">
        <v>1496</v>
      </c>
      <c r="E1453" s="36" t="s">
        <v>287</v>
      </c>
      <c r="F1453" s="36" t="s">
        <v>286</v>
      </c>
      <c r="G1453" s="36" t="s">
        <v>411</v>
      </c>
      <c r="H1453" s="37">
        <v>66.74</v>
      </c>
      <c r="I1453" s="36" t="s">
        <v>1301</v>
      </c>
      <c r="J1453" s="39" t="s">
        <v>286</v>
      </c>
      <c r="K1453" s="38"/>
      <c r="L1453" s="38"/>
    </row>
    <row r="1454" ht="22.5" customHeight="1">
      <c r="A1454" s="36" t="s">
        <v>3592</v>
      </c>
      <c r="B1454" s="36" t="s">
        <v>3593</v>
      </c>
      <c r="C1454" s="36" t="s">
        <v>1495</v>
      </c>
      <c r="D1454" s="36" t="s">
        <v>1496</v>
      </c>
      <c r="E1454" s="36" t="s">
        <v>287</v>
      </c>
      <c r="F1454" s="36" t="s">
        <v>286</v>
      </c>
      <c r="G1454" s="36" t="s">
        <v>411</v>
      </c>
      <c r="H1454" s="37">
        <v>4.2</v>
      </c>
      <c r="I1454" s="36" t="s">
        <v>1301</v>
      </c>
      <c r="J1454" s="39" t="s">
        <v>286</v>
      </c>
      <c r="K1454" s="38"/>
      <c r="L1454" s="38"/>
    </row>
    <row r="1455" ht="22.5" customHeight="1">
      <c r="A1455" s="36" t="s">
        <v>3594</v>
      </c>
      <c r="B1455" s="36" t="s">
        <v>3595</v>
      </c>
      <c r="C1455" s="36" t="s">
        <v>1495</v>
      </c>
      <c r="D1455" s="36" t="s">
        <v>1496</v>
      </c>
      <c r="E1455" s="36" t="s">
        <v>287</v>
      </c>
      <c r="F1455" s="36" t="s">
        <v>286</v>
      </c>
      <c r="G1455" s="36" t="s">
        <v>411</v>
      </c>
      <c r="H1455" s="37">
        <v>4.89</v>
      </c>
      <c r="I1455" s="36" t="s">
        <v>1301</v>
      </c>
      <c r="J1455" s="39" t="s">
        <v>286</v>
      </c>
      <c r="K1455" s="38"/>
      <c r="L1455" s="38"/>
    </row>
    <row r="1456" ht="22.5" customHeight="1">
      <c r="A1456" s="36" t="s">
        <v>3596</v>
      </c>
      <c r="B1456" s="36" t="s">
        <v>3597</v>
      </c>
      <c r="C1456" s="36" t="s">
        <v>1495</v>
      </c>
      <c r="D1456" s="36" t="s">
        <v>1496</v>
      </c>
      <c r="E1456" s="36" t="s">
        <v>287</v>
      </c>
      <c r="F1456" s="36" t="s">
        <v>286</v>
      </c>
      <c r="G1456" s="36" t="s">
        <v>411</v>
      </c>
      <c r="H1456" s="37">
        <v>5.34</v>
      </c>
      <c r="I1456" s="36" t="s">
        <v>1301</v>
      </c>
      <c r="J1456" s="39" t="s">
        <v>286</v>
      </c>
      <c r="K1456" s="38"/>
      <c r="L1456" s="38"/>
    </row>
    <row r="1457" ht="22.5" customHeight="1">
      <c r="A1457" s="36" t="s">
        <v>3598</v>
      </c>
      <c r="B1457" s="36" t="s">
        <v>3599</v>
      </c>
      <c r="C1457" s="36" t="s">
        <v>1495</v>
      </c>
      <c r="D1457" s="36" t="s">
        <v>1496</v>
      </c>
      <c r="E1457" s="36" t="s">
        <v>287</v>
      </c>
      <c r="F1457" s="36" t="s">
        <v>286</v>
      </c>
      <c r="G1457" s="36" t="s">
        <v>411</v>
      </c>
      <c r="H1457" s="37">
        <v>5.77</v>
      </c>
      <c r="I1457" s="36" t="s">
        <v>1301</v>
      </c>
      <c r="J1457" s="39" t="s">
        <v>286</v>
      </c>
      <c r="K1457" s="38"/>
      <c r="L1457" s="38"/>
    </row>
    <row r="1458" ht="22.5" customHeight="1">
      <c r="A1458" s="36" t="s">
        <v>3600</v>
      </c>
      <c r="B1458" s="36" t="s">
        <v>3601</v>
      </c>
      <c r="C1458" s="36" t="s">
        <v>1495</v>
      </c>
      <c r="D1458" s="36" t="s">
        <v>1496</v>
      </c>
      <c r="E1458" s="36" t="s">
        <v>287</v>
      </c>
      <c r="F1458" s="36" t="s">
        <v>286</v>
      </c>
      <c r="G1458" s="36" t="s">
        <v>411</v>
      </c>
      <c r="H1458" s="37">
        <v>19.81</v>
      </c>
      <c r="I1458" s="36" t="s">
        <v>1301</v>
      </c>
      <c r="J1458" s="39" t="s">
        <v>286</v>
      </c>
      <c r="K1458" s="38"/>
      <c r="L1458" s="38"/>
    </row>
    <row r="1459" ht="22.5" customHeight="1">
      <c r="A1459" s="36" t="s">
        <v>3602</v>
      </c>
      <c r="B1459" s="36" t="s">
        <v>3603</v>
      </c>
      <c r="C1459" s="36" t="s">
        <v>1495</v>
      </c>
      <c r="D1459" s="36" t="s">
        <v>1496</v>
      </c>
      <c r="E1459" s="36" t="s">
        <v>287</v>
      </c>
      <c r="F1459" s="36" t="s">
        <v>286</v>
      </c>
      <c r="G1459" s="36" t="s">
        <v>411</v>
      </c>
      <c r="H1459" s="37">
        <v>20.24</v>
      </c>
      <c r="I1459" s="36" t="s">
        <v>1301</v>
      </c>
      <c r="J1459" s="39" t="s">
        <v>286</v>
      </c>
      <c r="K1459" s="38"/>
      <c r="L1459" s="38"/>
    </row>
    <row r="1460" ht="22.5" customHeight="1">
      <c r="A1460" s="36" t="s">
        <v>3604</v>
      </c>
      <c r="B1460" s="36" t="s">
        <v>3605</v>
      </c>
      <c r="C1460" s="36" t="s">
        <v>1495</v>
      </c>
      <c r="D1460" s="36" t="s">
        <v>1496</v>
      </c>
      <c r="E1460" s="36" t="s">
        <v>287</v>
      </c>
      <c r="F1460" s="36" t="s">
        <v>286</v>
      </c>
      <c r="G1460" s="36" t="s">
        <v>411</v>
      </c>
      <c r="H1460" s="37">
        <v>35.31</v>
      </c>
      <c r="I1460" s="36" t="s">
        <v>1301</v>
      </c>
      <c r="J1460" s="39" t="s">
        <v>286</v>
      </c>
      <c r="K1460" s="38"/>
      <c r="L1460" s="38"/>
    </row>
    <row r="1461" ht="22.5" customHeight="1">
      <c r="A1461" s="36" t="s">
        <v>3606</v>
      </c>
      <c r="B1461" s="36" t="s">
        <v>3607</v>
      </c>
      <c r="C1461" s="36" t="s">
        <v>1495</v>
      </c>
      <c r="D1461" s="36" t="s">
        <v>1496</v>
      </c>
      <c r="E1461" s="36" t="s">
        <v>287</v>
      </c>
      <c r="F1461" s="36" t="s">
        <v>286</v>
      </c>
      <c r="G1461" s="36" t="s">
        <v>411</v>
      </c>
      <c r="H1461" s="37">
        <v>45.0</v>
      </c>
      <c r="I1461" s="36" t="s">
        <v>1301</v>
      </c>
      <c r="J1461" s="39" t="s">
        <v>286</v>
      </c>
      <c r="K1461" s="38"/>
      <c r="L1461" s="38"/>
    </row>
    <row r="1462" ht="22.5" customHeight="1">
      <c r="A1462" s="36" t="s">
        <v>3608</v>
      </c>
      <c r="B1462" s="36" t="s">
        <v>3609</v>
      </c>
      <c r="C1462" s="36" t="s">
        <v>1495</v>
      </c>
      <c r="D1462" s="36" t="s">
        <v>1496</v>
      </c>
      <c r="E1462" s="36" t="s">
        <v>287</v>
      </c>
      <c r="F1462" s="36" t="s">
        <v>286</v>
      </c>
      <c r="G1462" s="36" t="s">
        <v>411</v>
      </c>
      <c r="H1462" s="37">
        <v>20.6</v>
      </c>
      <c r="I1462" s="36" t="s">
        <v>1301</v>
      </c>
      <c r="J1462" s="39" t="s">
        <v>286</v>
      </c>
      <c r="K1462" s="38"/>
      <c r="L1462" s="38"/>
    </row>
    <row r="1463" ht="22.5" customHeight="1">
      <c r="A1463" s="36" t="s">
        <v>3610</v>
      </c>
      <c r="B1463" s="36" t="s">
        <v>3611</v>
      </c>
      <c r="C1463" s="36" t="s">
        <v>1495</v>
      </c>
      <c r="D1463" s="36" t="s">
        <v>1496</v>
      </c>
      <c r="E1463" s="36" t="s">
        <v>287</v>
      </c>
      <c r="F1463" s="36" t="s">
        <v>286</v>
      </c>
      <c r="G1463" s="36" t="s">
        <v>411</v>
      </c>
      <c r="H1463" s="37">
        <v>5.53</v>
      </c>
      <c r="I1463" s="36" t="s">
        <v>1301</v>
      </c>
      <c r="J1463" s="39" t="s">
        <v>286</v>
      </c>
      <c r="K1463" s="38"/>
      <c r="L1463" s="38"/>
    </row>
    <row r="1464" ht="22.5" customHeight="1">
      <c r="A1464" s="36" t="s">
        <v>3612</v>
      </c>
      <c r="B1464" s="36" t="s">
        <v>3613</v>
      </c>
      <c r="C1464" s="36" t="s">
        <v>1495</v>
      </c>
      <c r="D1464" s="36" t="s">
        <v>1496</v>
      </c>
      <c r="E1464" s="36" t="s">
        <v>287</v>
      </c>
      <c r="F1464" s="36" t="s">
        <v>286</v>
      </c>
      <c r="G1464" s="36" t="s">
        <v>411</v>
      </c>
      <c r="H1464" s="37">
        <v>66.71</v>
      </c>
      <c r="I1464" s="36" t="s">
        <v>1301</v>
      </c>
      <c r="J1464" s="39" t="s">
        <v>286</v>
      </c>
      <c r="K1464" s="38"/>
      <c r="L1464" s="38"/>
    </row>
    <row r="1465" ht="22.5" customHeight="1">
      <c r="A1465" s="36" t="s">
        <v>3614</v>
      </c>
      <c r="B1465" s="36" t="s">
        <v>3615</v>
      </c>
      <c r="C1465" s="36" t="s">
        <v>1495</v>
      </c>
      <c r="D1465" s="36" t="s">
        <v>1496</v>
      </c>
      <c r="E1465" s="36" t="s">
        <v>287</v>
      </c>
      <c r="F1465" s="36" t="s">
        <v>286</v>
      </c>
      <c r="G1465" s="36" t="s">
        <v>411</v>
      </c>
      <c r="H1465" s="37">
        <v>501.0</v>
      </c>
      <c r="I1465" s="36" t="s">
        <v>1301</v>
      </c>
      <c r="J1465" s="39" t="s">
        <v>286</v>
      </c>
      <c r="K1465" s="38"/>
      <c r="L1465" s="38"/>
    </row>
    <row r="1466" ht="22.5" customHeight="1">
      <c r="A1466" s="36" t="s">
        <v>3616</v>
      </c>
      <c r="B1466" s="36" t="s">
        <v>3617</v>
      </c>
      <c r="C1466" s="36" t="s">
        <v>1495</v>
      </c>
      <c r="D1466" s="36" t="s">
        <v>1496</v>
      </c>
      <c r="E1466" s="36" t="s">
        <v>287</v>
      </c>
      <c r="F1466" s="36" t="s">
        <v>286</v>
      </c>
      <c r="G1466" s="36" t="s">
        <v>411</v>
      </c>
      <c r="H1466" s="37">
        <v>20.33</v>
      </c>
      <c r="I1466" s="36" t="s">
        <v>1301</v>
      </c>
      <c r="J1466" s="39" t="s">
        <v>286</v>
      </c>
      <c r="K1466" s="38"/>
      <c r="L1466" s="38"/>
    </row>
    <row r="1467" ht="22.5" customHeight="1">
      <c r="A1467" s="36" t="s">
        <v>3618</v>
      </c>
      <c r="B1467" s="36" t="s">
        <v>3619</v>
      </c>
      <c r="C1467" s="36" t="s">
        <v>1495</v>
      </c>
      <c r="D1467" s="36" t="s">
        <v>1496</v>
      </c>
      <c r="E1467" s="36" t="s">
        <v>287</v>
      </c>
      <c r="F1467" s="36" t="s">
        <v>286</v>
      </c>
      <c r="G1467" s="36" t="s">
        <v>411</v>
      </c>
      <c r="H1467" s="37">
        <v>20.33</v>
      </c>
      <c r="I1467" s="36" t="s">
        <v>1301</v>
      </c>
      <c r="J1467" s="39" t="s">
        <v>286</v>
      </c>
      <c r="K1467" s="38"/>
      <c r="L1467" s="38"/>
    </row>
    <row r="1468" ht="22.5" customHeight="1">
      <c r="A1468" s="36" t="s">
        <v>3620</v>
      </c>
      <c r="B1468" s="36" t="s">
        <v>3621</v>
      </c>
      <c r="C1468" s="36" t="s">
        <v>1495</v>
      </c>
      <c r="D1468" s="36" t="s">
        <v>1496</v>
      </c>
      <c r="E1468" s="36" t="s">
        <v>287</v>
      </c>
      <c r="F1468" s="36" t="s">
        <v>286</v>
      </c>
      <c r="G1468" s="36" t="s">
        <v>411</v>
      </c>
      <c r="H1468" s="37">
        <v>20.04</v>
      </c>
      <c r="I1468" s="36" t="s">
        <v>1301</v>
      </c>
      <c r="J1468" s="39" t="s">
        <v>286</v>
      </c>
      <c r="K1468" s="38"/>
      <c r="L1468" s="38"/>
    </row>
    <row r="1469" ht="22.5" customHeight="1">
      <c r="A1469" s="36" t="s">
        <v>3622</v>
      </c>
      <c r="B1469" s="36" t="s">
        <v>3623</v>
      </c>
      <c r="C1469" s="36" t="s">
        <v>1495</v>
      </c>
      <c r="D1469" s="36" t="s">
        <v>1496</v>
      </c>
      <c r="E1469" s="36" t="s">
        <v>287</v>
      </c>
      <c r="F1469" s="36" t="s">
        <v>286</v>
      </c>
      <c r="G1469" s="36" t="s">
        <v>411</v>
      </c>
      <c r="H1469" s="37">
        <v>8.59</v>
      </c>
      <c r="I1469" s="36" t="s">
        <v>1301</v>
      </c>
      <c r="J1469" s="39" t="s">
        <v>286</v>
      </c>
      <c r="K1469" s="38"/>
      <c r="L1469" s="38"/>
    </row>
    <row r="1470" ht="22.5" customHeight="1">
      <c r="A1470" s="36" t="s">
        <v>3624</v>
      </c>
      <c r="B1470" s="36" t="s">
        <v>3625</v>
      </c>
      <c r="C1470" s="36" t="s">
        <v>1495</v>
      </c>
      <c r="D1470" s="36" t="s">
        <v>1496</v>
      </c>
      <c r="E1470" s="36" t="s">
        <v>287</v>
      </c>
      <c r="F1470" s="36" t="s">
        <v>286</v>
      </c>
      <c r="G1470" s="36" t="s">
        <v>411</v>
      </c>
      <c r="H1470" s="37">
        <v>150.9</v>
      </c>
      <c r="I1470" s="36" t="s">
        <v>1301</v>
      </c>
      <c r="J1470" s="39" t="s">
        <v>286</v>
      </c>
      <c r="K1470" s="38"/>
      <c r="L1470" s="38"/>
    </row>
    <row r="1471" ht="22.5" customHeight="1">
      <c r="A1471" s="36" t="s">
        <v>3626</v>
      </c>
      <c r="B1471" s="36" t="s">
        <v>3627</v>
      </c>
      <c r="C1471" s="36" t="s">
        <v>1495</v>
      </c>
      <c r="D1471" s="36" t="s">
        <v>1496</v>
      </c>
      <c r="E1471" s="36" t="s">
        <v>287</v>
      </c>
      <c r="F1471" s="36" t="s">
        <v>286</v>
      </c>
      <c r="G1471" s="36" t="s">
        <v>411</v>
      </c>
      <c r="H1471" s="37">
        <v>5.42</v>
      </c>
      <c r="I1471" s="36" t="s">
        <v>1301</v>
      </c>
      <c r="J1471" s="39" t="s">
        <v>286</v>
      </c>
      <c r="K1471" s="38"/>
      <c r="L1471" s="38"/>
    </row>
    <row r="1472" ht="22.5" customHeight="1">
      <c r="A1472" s="36" t="s">
        <v>3628</v>
      </c>
      <c r="B1472" s="36" t="s">
        <v>3629</v>
      </c>
      <c r="C1472" s="36" t="s">
        <v>1495</v>
      </c>
      <c r="D1472" s="36" t="s">
        <v>1496</v>
      </c>
      <c r="E1472" s="36" t="s">
        <v>287</v>
      </c>
      <c r="F1472" s="36" t="s">
        <v>286</v>
      </c>
      <c r="G1472" s="36" t="s">
        <v>411</v>
      </c>
      <c r="H1472" s="37">
        <v>3.66</v>
      </c>
      <c r="I1472" s="36" t="s">
        <v>1301</v>
      </c>
      <c r="J1472" s="39" t="s">
        <v>286</v>
      </c>
      <c r="K1472" s="38"/>
      <c r="L1472" s="38"/>
    </row>
    <row r="1473" ht="22.5" customHeight="1">
      <c r="A1473" s="36" t="s">
        <v>3630</v>
      </c>
      <c r="B1473" s="36" t="s">
        <v>3631</v>
      </c>
      <c r="C1473" s="36" t="s">
        <v>1495</v>
      </c>
      <c r="D1473" s="36" t="s">
        <v>1496</v>
      </c>
      <c r="E1473" s="36" t="s">
        <v>287</v>
      </c>
      <c r="F1473" s="36" t="s">
        <v>286</v>
      </c>
      <c r="G1473" s="36" t="s">
        <v>411</v>
      </c>
      <c r="H1473" s="37">
        <v>275.0</v>
      </c>
      <c r="I1473" s="36" t="s">
        <v>1301</v>
      </c>
      <c r="J1473" s="39" t="s">
        <v>286</v>
      </c>
      <c r="K1473" s="38"/>
      <c r="L1473" s="38"/>
    </row>
    <row r="1474" ht="22.5" customHeight="1">
      <c r="A1474" s="36" t="s">
        <v>3632</v>
      </c>
      <c r="B1474" s="36" t="s">
        <v>3633</v>
      </c>
      <c r="C1474" s="36" t="s">
        <v>1495</v>
      </c>
      <c r="D1474" s="36" t="s">
        <v>1496</v>
      </c>
      <c r="E1474" s="36" t="s">
        <v>287</v>
      </c>
      <c r="F1474" s="36" t="s">
        <v>286</v>
      </c>
      <c r="G1474" s="36" t="s">
        <v>411</v>
      </c>
      <c r="H1474" s="37">
        <v>400.0</v>
      </c>
      <c r="I1474" s="36" t="s">
        <v>1301</v>
      </c>
      <c r="J1474" s="39" t="s">
        <v>286</v>
      </c>
      <c r="K1474" s="38"/>
      <c r="L1474" s="38"/>
    </row>
    <row r="1475" ht="22.5" customHeight="1">
      <c r="A1475" s="36" t="s">
        <v>3634</v>
      </c>
      <c r="B1475" s="36" t="s">
        <v>3635</v>
      </c>
      <c r="C1475" s="36" t="s">
        <v>1495</v>
      </c>
      <c r="D1475" s="36" t="s">
        <v>1496</v>
      </c>
      <c r="E1475" s="36" t="s">
        <v>287</v>
      </c>
      <c r="F1475" s="36" t="s">
        <v>286</v>
      </c>
      <c r="G1475" s="36" t="s">
        <v>411</v>
      </c>
      <c r="H1475" s="37">
        <v>390.0</v>
      </c>
      <c r="I1475" s="36" t="s">
        <v>1301</v>
      </c>
      <c r="J1475" s="39" t="s">
        <v>286</v>
      </c>
      <c r="K1475" s="38"/>
      <c r="L1475" s="38"/>
    </row>
    <row r="1476" ht="22.5" customHeight="1">
      <c r="A1476" s="36" t="s">
        <v>3636</v>
      </c>
      <c r="B1476" s="36" t="s">
        <v>3637</v>
      </c>
      <c r="C1476" s="36" t="s">
        <v>1495</v>
      </c>
      <c r="D1476" s="36" t="s">
        <v>1496</v>
      </c>
      <c r="E1476" s="36" t="s">
        <v>287</v>
      </c>
      <c r="F1476" s="36" t="s">
        <v>286</v>
      </c>
      <c r="G1476" s="36" t="s">
        <v>411</v>
      </c>
      <c r="H1476" s="37">
        <v>101.61</v>
      </c>
      <c r="I1476" s="36" t="s">
        <v>1301</v>
      </c>
      <c r="J1476" s="39" t="s">
        <v>286</v>
      </c>
      <c r="K1476" s="38"/>
      <c r="L1476" s="38"/>
    </row>
    <row r="1477" ht="22.5" customHeight="1">
      <c r="A1477" s="36" t="s">
        <v>3638</v>
      </c>
      <c r="B1477" s="36" t="s">
        <v>3639</v>
      </c>
      <c r="C1477" s="36" t="s">
        <v>1495</v>
      </c>
      <c r="D1477" s="36" t="s">
        <v>1496</v>
      </c>
      <c r="E1477" s="36" t="s">
        <v>287</v>
      </c>
      <c r="F1477" s="36" t="s">
        <v>286</v>
      </c>
      <c r="G1477" s="36" t="s">
        <v>411</v>
      </c>
      <c r="H1477" s="37">
        <v>1.06</v>
      </c>
      <c r="I1477" s="36" t="s">
        <v>1301</v>
      </c>
      <c r="J1477" s="39" t="s">
        <v>286</v>
      </c>
      <c r="K1477" s="38"/>
      <c r="L1477" s="38"/>
    </row>
    <row r="1478" ht="22.5" customHeight="1">
      <c r="A1478" s="36" t="s">
        <v>3640</v>
      </c>
      <c r="B1478" s="36" t="s">
        <v>3641</v>
      </c>
      <c r="C1478" s="36" t="s">
        <v>1495</v>
      </c>
      <c r="D1478" s="36" t="s">
        <v>1496</v>
      </c>
      <c r="E1478" s="36" t="s">
        <v>287</v>
      </c>
      <c r="F1478" s="36" t="s">
        <v>286</v>
      </c>
      <c r="G1478" s="36" t="s">
        <v>411</v>
      </c>
      <c r="H1478" s="37">
        <v>0.83</v>
      </c>
      <c r="I1478" s="36" t="s">
        <v>1301</v>
      </c>
      <c r="J1478" s="39" t="s">
        <v>286</v>
      </c>
      <c r="K1478" s="38"/>
      <c r="L1478" s="38"/>
    </row>
    <row r="1479" ht="22.5" customHeight="1">
      <c r="A1479" s="36" t="s">
        <v>3642</v>
      </c>
      <c r="B1479" s="36" t="s">
        <v>3643</v>
      </c>
      <c r="C1479" s="36" t="s">
        <v>1495</v>
      </c>
      <c r="D1479" s="36" t="s">
        <v>1496</v>
      </c>
      <c r="E1479" s="36" t="s">
        <v>287</v>
      </c>
      <c r="F1479" s="36" t="s">
        <v>286</v>
      </c>
      <c r="G1479" s="36" t="s">
        <v>411</v>
      </c>
      <c r="H1479" s="37">
        <v>72.89</v>
      </c>
      <c r="I1479" s="36" t="s">
        <v>1301</v>
      </c>
      <c r="J1479" s="39" t="s">
        <v>286</v>
      </c>
      <c r="K1479" s="38"/>
      <c r="L1479" s="38"/>
    </row>
    <row r="1480" ht="22.5" customHeight="1">
      <c r="A1480" s="36" t="s">
        <v>3644</v>
      </c>
      <c r="B1480" s="36" t="s">
        <v>3645</v>
      </c>
      <c r="C1480" s="36" t="s">
        <v>1495</v>
      </c>
      <c r="D1480" s="36" t="s">
        <v>1496</v>
      </c>
      <c r="E1480" s="36" t="s">
        <v>287</v>
      </c>
      <c r="F1480" s="36" t="s">
        <v>286</v>
      </c>
      <c r="G1480" s="36" t="s">
        <v>411</v>
      </c>
      <c r="H1480" s="37">
        <v>130.0</v>
      </c>
      <c r="I1480" s="36" t="s">
        <v>1301</v>
      </c>
      <c r="J1480" s="39" t="s">
        <v>286</v>
      </c>
      <c r="K1480" s="38"/>
      <c r="L1480" s="38"/>
    </row>
    <row r="1481" ht="22.5" customHeight="1">
      <c r="A1481" s="36" t="s">
        <v>3646</v>
      </c>
      <c r="B1481" s="36" t="s">
        <v>3647</v>
      </c>
      <c r="C1481" s="36" t="s">
        <v>1495</v>
      </c>
      <c r="D1481" s="36" t="s">
        <v>1496</v>
      </c>
      <c r="E1481" s="36" t="s">
        <v>287</v>
      </c>
      <c r="F1481" s="36" t="s">
        <v>286</v>
      </c>
      <c r="G1481" s="36" t="s">
        <v>411</v>
      </c>
      <c r="H1481" s="37">
        <v>899.0</v>
      </c>
      <c r="I1481" s="36" t="s">
        <v>1301</v>
      </c>
      <c r="J1481" s="39" t="s">
        <v>286</v>
      </c>
      <c r="K1481" s="38"/>
      <c r="L1481" s="38"/>
    </row>
    <row r="1482" ht="22.5" customHeight="1">
      <c r="A1482" s="36" t="s">
        <v>3648</v>
      </c>
      <c r="B1482" s="36" t="s">
        <v>3649</v>
      </c>
      <c r="C1482" s="36" t="s">
        <v>1495</v>
      </c>
      <c r="D1482" s="36" t="s">
        <v>1496</v>
      </c>
      <c r="E1482" s="36" t="s">
        <v>287</v>
      </c>
      <c r="F1482" s="36" t="s">
        <v>286</v>
      </c>
      <c r="G1482" s="36" t="s">
        <v>411</v>
      </c>
      <c r="H1482" s="37">
        <v>597.75</v>
      </c>
      <c r="I1482" s="36" t="s">
        <v>1301</v>
      </c>
      <c r="J1482" s="39" t="s">
        <v>286</v>
      </c>
      <c r="K1482" s="38"/>
      <c r="L1482" s="38"/>
    </row>
    <row r="1483" ht="22.5" customHeight="1">
      <c r="A1483" s="36" t="s">
        <v>3650</v>
      </c>
      <c r="B1483" s="36" t="s">
        <v>3651</v>
      </c>
      <c r="C1483" s="36" t="s">
        <v>1495</v>
      </c>
      <c r="D1483" s="36" t="s">
        <v>1496</v>
      </c>
      <c r="E1483" s="36" t="s">
        <v>287</v>
      </c>
      <c r="F1483" s="36" t="s">
        <v>286</v>
      </c>
      <c r="G1483" s="36" t="s">
        <v>411</v>
      </c>
      <c r="H1483" s="37">
        <v>1522.5</v>
      </c>
      <c r="I1483" s="36" t="s">
        <v>1301</v>
      </c>
      <c r="J1483" s="39" t="s">
        <v>286</v>
      </c>
      <c r="K1483" s="38"/>
      <c r="L1483" s="38"/>
    </row>
    <row r="1484" ht="22.5" customHeight="1">
      <c r="A1484" s="36" t="s">
        <v>3652</v>
      </c>
      <c r="B1484" s="36" t="s">
        <v>3653</v>
      </c>
      <c r="C1484" s="36" t="s">
        <v>1495</v>
      </c>
      <c r="D1484" s="36" t="s">
        <v>1496</v>
      </c>
      <c r="E1484" s="36" t="s">
        <v>287</v>
      </c>
      <c r="F1484" s="36" t="s">
        <v>286</v>
      </c>
      <c r="G1484" s="36" t="s">
        <v>411</v>
      </c>
      <c r="H1484" s="37">
        <v>67.72</v>
      </c>
      <c r="I1484" s="36" t="s">
        <v>1301</v>
      </c>
      <c r="J1484" s="39" t="s">
        <v>286</v>
      </c>
      <c r="K1484" s="38"/>
      <c r="L1484" s="38"/>
    </row>
    <row r="1485" ht="22.5" customHeight="1">
      <c r="A1485" s="36" t="s">
        <v>3654</v>
      </c>
      <c r="B1485" s="36" t="s">
        <v>3655</v>
      </c>
      <c r="C1485" s="36" t="s">
        <v>1495</v>
      </c>
      <c r="D1485" s="36" t="s">
        <v>1496</v>
      </c>
      <c r="E1485" s="36" t="s">
        <v>287</v>
      </c>
      <c r="F1485" s="36" t="s">
        <v>286</v>
      </c>
      <c r="G1485" s="36" t="s">
        <v>411</v>
      </c>
      <c r="H1485" s="37">
        <v>30.06</v>
      </c>
      <c r="I1485" s="36" t="s">
        <v>1301</v>
      </c>
      <c r="J1485" s="39" t="s">
        <v>286</v>
      </c>
      <c r="K1485" s="38"/>
      <c r="L1485" s="38"/>
    </row>
    <row r="1486" ht="22.5" customHeight="1">
      <c r="A1486" s="36" t="s">
        <v>3656</v>
      </c>
      <c r="B1486" s="36" t="s">
        <v>3657</v>
      </c>
      <c r="C1486" s="36" t="s">
        <v>1495</v>
      </c>
      <c r="D1486" s="36" t="s">
        <v>1496</v>
      </c>
      <c r="E1486" s="36" t="s">
        <v>287</v>
      </c>
      <c r="F1486" s="36" t="s">
        <v>286</v>
      </c>
      <c r="G1486" s="36" t="s">
        <v>411</v>
      </c>
      <c r="H1486" s="37">
        <v>25.25</v>
      </c>
      <c r="I1486" s="36" t="s">
        <v>1301</v>
      </c>
      <c r="J1486" s="39" t="s">
        <v>286</v>
      </c>
      <c r="K1486" s="38"/>
      <c r="L1486" s="38"/>
    </row>
    <row r="1487" ht="22.5" customHeight="1">
      <c r="A1487" s="36" t="s">
        <v>3658</v>
      </c>
      <c r="B1487" s="36" t="s">
        <v>3659</v>
      </c>
      <c r="C1487" s="36" t="s">
        <v>1495</v>
      </c>
      <c r="D1487" s="36" t="s">
        <v>1496</v>
      </c>
      <c r="E1487" s="36" t="s">
        <v>287</v>
      </c>
      <c r="F1487" s="36" t="s">
        <v>286</v>
      </c>
      <c r="G1487" s="36" t="s">
        <v>411</v>
      </c>
      <c r="H1487" s="37">
        <v>44.47</v>
      </c>
      <c r="I1487" s="36" t="s">
        <v>1301</v>
      </c>
      <c r="J1487" s="39" t="s">
        <v>286</v>
      </c>
      <c r="K1487" s="38"/>
      <c r="L1487" s="38"/>
    </row>
    <row r="1488" ht="22.5" customHeight="1">
      <c r="A1488" s="36" t="s">
        <v>3660</v>
      </c>
      <c r="B1488" s="36" t="s">
        <v>3661</v>
      </c>
      <c r="C1488" s="36" t="s">
        <v>1495</v>
      </c>
      <c r="D1488" s="36" t="s">
        <v>1496</v>
      </c>
      <c r="E1488" s="36" t="s">
        <v>287</v>
      </c>
      <c r="F1488" s="36" t="s">
        <v>286</v>
      </c>
      <c r="G1488" s="36" t="s">
        <v>411</v>
      </c>
      <c r="H1488" s="37">
        <v>40.33</v>
      </c>
      <c r="I1488" s="36" t="s">
        <v>1301</v>
      </c>
      <c r="J1488" s="39" t="s">
        <v>286</v>
      </c>
      <c r="K1488" s="38"/>
      <c r="L1488" s="38"/>
    </row>
    <row r="1489" ht="22.5" customHeight="1">
      <c r="A1489" s="36" t="s">
        <v>3662</v>
      </c>
      <c r="B1489" s="36" t="s">
        <v>3663</v>
      </c>
      <c r="C1489" s="36" t="s">
        <v>1495</v>
      </c>
      <c r="D1489" s="36" t="s">
        <v>1496</v>
      </c>
      <c r="E1489" s="36" t="s">
        <v>287</v>
      </c>
      <c r="F1489" s="36" t="s">
        <v>286</v>
      </c>
      <c r="G1489" s="36" t="s">
        <v>411</v>
      </c>
      <c r="H1489" s="37">
        <v>38.11</v>
      </c>
      <c r="I1489" s="36" t="s">
        <v>1301</v>
      </c>
      <c r="J1489" s="39" t="s">
        <v>286</v>
      </c>
      <c r="K1489" s="38"/>
      <c r="L1489" s="38"/>
    </row>
    <row r="1490" ht="22.5" customHeight="1">
      <c r="A1490" s="36" t="s">
        <v>3664</v>
      </c>
      <c r="B1490" s="36" t="s">
        <v>3665</v>
      </c>
      <c r="C1490" s="36" t="s">
        <v>1495</v>
      </c>
      <c r="D1490" s="36" t="s">
        <v>1496</v>
      </c>
      <c r="E1490" s="36" t="s">
        <v>287</v>
      </c>
      <c r="F1490" s="36" t="s">
        <v>286</v>
      </c>
      <c r="G1490" s="36" t="s">
        <v>411</v>
      </c>
      <c r="H1490" s="37">
        <v>17.44</v>
      </c>
      <c r="I1490" s="36" t="s">
        <v>1301</v>
      </c>
      <c r="J1490" s="39" t="s">
        <v>286</v>
      </c>
      <c r="K1490" s="38"/>
      <c r="L1490" s="38"/>
    </row>
    <row r="1491" ht="22.5" customHeight="1">
      <c r="A1491" s="36" t="s">
        <v>3666</v>
      </c>
      <c r="B1491" s="36" t="s">
        <v>3667</v>
      </c>
      <c r="C1491" s="36" t="s">
        <v>1495</v>
      </c>
      <c r="D1491" s="36" t="s">
        <v>1496</v>
      </c>
      <c r="E1491" s="36" t="s">
        <v>287</v>
      </c>
      <c r="F1491" s="36" t="s">
        <v>286</v>
      </c>
      <c r="G1491" s="36" t="s">
        <v>411</v>
      </c>
      <c r="H1491" s="37">
        <v>23.55</v>
      </c>
      <c r="I1491" s="36" t="s">
        <v>1301</v>
      </c>
      <c r="J1491" s="39" t="s">
        <v>286</v>
      </c>
      <c r="K1491" s="38"/>
      <c r="L1491" s="38"/>
    </row>
    <row r="1492" ht="22.5" customHeight="1">
      <c r="A1492" s="36" t="s">
        <v>3668</v>
      </c>
      <c r="B1492" s="36" t="s">
        <v>3669</v>
      </c>
      <c r="C1492" s="36" t="s">
        <v>1495</v>
      </c>
      <c r="D1492" s="36" t="s">
        <v>1496</v>
      </c>
      <c r="E1492" s="36" t="s">
        <v>287</v>
      </c>
      <c r="F1492" s="36" t="s">
        <v>286</v>
      </c>
      <c r="G1492" s="36" t="s">
        <v>411</v>
      </c>
      <c r="H1492" s="37">
        <v>194.11</v>
      </c>
      <c r="I1492" s="36" t="s">
        <v>1301</v>
      </c>
      <c r="J1492" s="39" t="s">
        <v>286</v>
      </c>
      <c r="K1492" s="38"/>
      <c r="L1492" s="38"/>
    </row>
    <row r="1493" ht="22.5" customHeight="1">
      <c r="A1493" s="36" t="s">
        <v>3670</v>
      </c>
      <c r="B1493" s="36" t="s">
        <v>3671</v>
      </c>
      <c r="C1493" s="36" t="s">
        <v>1495</v>
      </c>
      <c r="D1493" s="36" t="s">
        <v>1496</v>
      </c>
      <c r="E1493" s="36" t="s">
        <v>287</v>
      </c>
      <c r="F1493" s="36" t="s">
        <v>286</v>
      </c>
      <c r="G1493" s="36" t="s">
        <v>411</v>
      </c>
      <c r="H1493" s="37">
        <v>105.94</v>
      </c>
      <c r="I1493" s="36" t="s">
        <v>1301</v>
      </c>
      <c r="J1493" s="39" t="s">
        <v>286</v>
      </c>
      <c r="K1493" s="38"/>
      <c r="L1493" s="38"/>
    </row>
    <row r="1494" ht="22.5" customHeight="1">
      <c r="A1494" s="36" t="s">
        <v>3672</v>
      </c>
      <c r="B1494" s="36" t="s">
        <v>3673</v>
      </c>
      <c r="C1494" s="36" t="s">
        <v>1495</v>
      </c>
      <c r="D1494" s="36" t="s">
        <v>1496</v>
      </c>
      <c r="E1494" s="36" t="s">
        <v>287</v>
      </c>
      <c r="F1494" s="36" t="s">
        <v>286</v>
      </c>
      <c r="G1494" s="36" t="s">
        <v>411</v>
      </c>
      <c r="H1494" s="37">
        <v>105.06</v>
      </c>
      <c r="I1494" s="36" t="s">
        <v>1301</v>
      </c>
      <c r="J1494" s="39" t="s">
        <v>286</v>
      </c>
      <c r="K1494" s="38"/>
      <c r="L1494" s="38"/>
    </row>
    <row r="1495" ht="22.5" customHeight="1">
      <c r="A1495" s="36" t="s">
        <v>3674</v>
      </c>
      <c r="B1495" s="36" t="s">
        <v>3675</v>
      </c>
      <c r="C1495" s="36" t="s">
        <v>1495</v>
      </c>
      <c r="D1495" s="36" t="s">
        <v>1496</v>
      </c>
      <c r="E1495" s="36" t="s">
        <v>287</v>
      </c>
      <c r="F1495" s="36" t="s">
        <v>286</v>
      </c>
      <c r="G1495" s="36" t="s">
        <v>411</v>
      </c>
      <c r="H1495" s="37">
        <v>74.22</v>
      </c>
      <c r="I1495" s="36" t="s">
        <v>1301</v>
      </c>
      <c r="J1495" s="39" t="s">
        <v>286</v>
      </c>
      <c r="K1495" s="38"/>
      <c r="L1495" s="38"/>
    </row>
    <row r="1496" ht="22.5" customHeight="1">
      <c r="A1496" s="36" t="s">
        <v>3676</v>
      </c>
      <c r="B1496" s="36" t="s">
        <v>3677</v>
      </c>
      <c r="C1496" s="36" t="s">
        <v>1495</v>
      </c>
      <c r="D1496" s="36" t="s">
        <v>1496</v>
      </c>
      <c r="E1496" s="36" t="s">
        <v>287</v>
      </c>
      <c r="F1496" s="36" t="s">
        <v>286</v>
      </c>
      <c r="G1496" s="36" t="s">
        <v>411</v>
      </c>
      <c r="H1496" s="37">
        <v>90.65</v>
      </c>
      <c r="I1496" s="36" t="s">
        <v>1301</v>
      </c>
      <c r="J1496" s="39" t="s">
        <v>286</v>
      </c>
      <c r="K1496" s="38"/>
      <c r="L1496" s="38"/>
    </row>
    <row r="1497" ht="22.5" customHeight="1">
      <c r="A1497" s="36" t="s">
        <v>3678</v>
      </c>
      <c r="B1497" s="36" t="s">
        <v>3679</v>
      </c>
      <c r="C1497" s="36" t="s">
        <v>1495</v>
      </c>
      <c r="D1497" s="36" t="s">
        <v>1496</v>
      </c>
      <c r="E1497" s="36" t="s">
        <v>287</v>
      </c>
      <c r="F1497" s="36" t="s">
        <v>286</v>
      </c>
      <c r="G1497" s="36" t="s">
        <v>411</v>
      </c>
      <c r="H1497" s="37">
        <v>25.1</v>
      </c>
      <c r="I1497" s="36" t="s">
        <v>1301</v>
      </c>
      <c r="J1497" s="39" t="s">
        <v>286</v>
      </c>
      <c r="K1497" s="38"/>
      <c r="L1497" s="38"/>
    </row>
    <row r="1498" ht="22.5" customHeight="1">
      <c r="A1498" s="36" t="s">
        <v>3680</v>
      </c>
      <c r="B1498" s="36" t="s">
        <v>3681</v>
      </c>
      <c r="C1498" s="36" t="s">
        <v>1495</v>
      </c>
      <c r="D1498" s="36" t="s">
        <v>1496</v>
      </c>
      <c r="E1498" s="36" t="s">
        <v>287</v>
      </c>
      <c r="F1498" s="36" t="s">
        <v>286</v>
      </c>
      <c r="G1498" s="36" t="s">
        <v>411</v>
      </c>
      <c r="H1498" s="37">
        <v>31.2</v>
      </c>
      <c r="I1498" s="36" t="s">
        <v>1301</v>
      </c>
      <c r="J1498" s="39" t="s">
        <v>286</v>
      </c>
      <c r="K1498" s="38"/>
      <c r="L1498" s="38"/>
    </row>
    <row r="1499" ht="22.5" customHeight="1">
      <c r="A1499" s="36" t="s">
        <v>3682</v>
      </c>
      <c r="B1499" s="36" t="s">
        <v>3683</v>
      </c>
      <c r="C1499" s="36" t="s">
        <v>1495</v>
      </c>
      <c r="D1499" s="36" t="s">
        <v>1496</v>
      </c>
      <c r="E1499" s="36" t="s">
        <v>287</v>
      </c>
      <c r="F1499" s="36" t="s">
        <v>286</v>
      </c>
      <c r="G1499" s="36" t="s">
        <v>411</v>
      </c>
      <c r="H1499" s="37">
        <v>18.3</v>
      </c>
      <c r="I1499" s="36" t="s">
        <v>1301</v>
      </c>
      <c r="J1499" s="39" t="s">
        <v>286</v>
      </c>
      <c r="K1499" s="38"/>
      <c r="L1499" s="38"/>
    </row>
    <row r="1500" ht="22.5" customHeight="1">
      <c r="A1500" s="36" t="s">
        <v>3684</v>
      </c>
      <c r="B1500" s="36" t="s">
        <v>3685</v>
      </c>
      <c r="C1500" s="36" t="s">
        <v>1495</v>
      </c>
      <c r="D1500" s="36" t="s">
        <v>1496</v>
      </c>
      <c r="E1500" s="36" t="s">
        <v>287</v>
      </c>
      <c r="F1500" s="36" t="s">
        <v>286</v>
      </c>
      <c r="G1500" s="36" t="s">
        <v>411</v>
      </c>
      <c r="H1500" s="37">
        <v>15.47</v>
      </c>
      <c r="I1500" s="36" t="s">
        <v>1301</v>
      </c>
      <c r="J1500" s="39" t="s">
        <v>286</v>
      </c>
      <c r="K1500" s="38"/>
      <c r="L1500" s="38"/>
    </row>
    <row r="1501" ht="22.5" customHeight="1">
      <c r="A1501" s="36" t="s">
        <v>3686</v>
      </c>
      <c r="B1501" s="36" t="s">
        <v>3687</v>
      </c>
      <c r="C1501" s="36" t="s">
        <v>1495</v>
      </c>
      <c r="D1501" s="36" t="s">
        <v>1496</v>
      </c>
      <c r="E1501" s="36" t="s">
        <v>287</v>
      </c>
      <c r="F1501" s="36" t="s">
        <v>286</v>
      </c>
      <c r="G1501" s="36" t="s">
        <v>411</v>
      </c>
      <c r="H1501" s="37">
        <v>15.6</v>
      </c>
      <c r="I1501" s="36" t="s">
        <v>1301</v>
      </c>
      <c r="J1501" s="39" t="s">
        <v>286</v>
      </c>
      <c r="K1501" s="38"/>
      <c r="L1501" s="38"/>
    </row>
    <row r="1502" ht="22.5" customHeight="1">
      <c r="A1502" s="36" t="s">
        <v>3688</v>
      </c>
      <c r="B1502" s="36" t="s">
        <v>3689</v>
      </c>
      <c r="C1502" s="36" t="s">
        <v>1495</v>
      </c>
      <c r="D1502" s="36" t="s">
        <v>1496</v>
      </c>
      <c r="E1502" s="36" t="s">
        <v>287</v>
      </c>
      <c r="F1502" s="36" t="s">
        <v>286</v>
      </c>
      <c r="G1502" s="36" t="s">
        <v>411</v>
      </c>
      <c r="H1502" s="37">
        <v>5.77</v>
      </c>
      <c r="I1502" s="36" t="s">
        <v>1301</v>
      </c>
      <c r="J1502" s="39" t="s">
        <v>286</v>
      </c>
      <c r="K1502" s="38"/>
      <c r="L1502" s="38"/>
    </row>
    <row r="1503" ht="22.5" customHeight="1">
      <c r="A1503" s="36" t="s">
        <v>3690</v>
      </c>
      <c r="B1503" s="36" t="s">
        <v>3691</v>
      </c>
      <c r="C1503" s="36" t="s">
        <v>1495</v>
      </c>
      <c r="D1503" s="36" t="s">
        <v>1496</v>
      </c>
      <c r="E1503" s="36" t="s">
        <v>287</v>
      </c>
      <c r="F1503" s="36" t="s">
        <v>286</v>
      </c>
      <c r="G1503" s="36" t="s">
        <v>411</v>
      </c>
      <c r="H1503" s="37">
        <v>8.22</v>
      </c>
      <c r="I1503" s="36" t="s">
        <v>1301</v>
      </c>
      <c r="J1503" s="39" t="s">
        <v>286</v>
      </c>
      <c r="K1503" s="38"/>
      <c r="L1503" s="38"/>
    </row>
    <row r="1504" ht="22.5" customHeight="1">
      <c r="A1504" s="36" t="s">
        <v>3692</v>
      </c>
      <c r="B1504" s="36" t="s">
        <v>3693</v>
      </c>
      <c r="C1504" s="36" t="s">
        <v>1495</v>
      </c>
      <c r="D1504" s="36" t="s">
        <v>1496</v>
      </c>
      <c r="E1504" s="36" t="s">
        <v>287</v>
      </c>
      <c r="F1504" s="36" t="s">
        <v>286</v>
      </c>
      <c r="G1504" s="36" t="s">
        <v>411</v>
      </c>
      <c r="H1504" s="37">
        <v>3.22</v>
      </c>
      <c r="I1504" s="36" t="s">
        <v>1301</v>
      </c>
      <c r="J1504" s="39" t="s">
        <v>286</v>
      </c>
      <c r="K1504" s="38"/>
      <c r="L1504" s="38"/>
    </row>
    <row r="1505" ht="22.5" customHeight="1">
      <c r="A1505" s="36" t="s">
        <v>3694</v>
      </c>
      <c r="B1505" s="36" t="s">
        <v>3695</v>
      </c>
      <c r="C1505" s="36" t="s">
        <v>1495</v>
      </c>
      <c r="D1505" s="36" t="s">
        <v>1496</v>
      </c>
      <c r="E1505" s="36" t="s">
        <v>287</v>
      </c>
      <c r="F1505" s="36" t="s">
        <v>286</v>
      </c>
      <c r="G1505" s="36" t="s">
        <v>411</v>
      </c>
      <c r="H1505" s="37">
        <v>44.67</v>
      </c>
      <c r="I1505" s="36" t="s">
        <v>1301</v>
      </c>
      <c r="J1505" s="39" t="s">
        <v>286</v>
      </c>
      <c r="K1505" s="38"/>
      <c r="L1505" s="38"/>
    </row>
    <row r="1506" ht="22.5" customHeight="1">
      <c r="A1506" s="36" t="s">
        <v>3696</v>
      </c>
      <c r="B1506" s="36" t="s">
        <v>3697</v>
      </c>
      <c r="C1506" s="36" t="s">
        <v>1495</v>
      </c>
      <c r="D1506" s="36" t="s">
        <v>1496</v>
      </c>
      <c r="E1506" s="36" t="s">
        <v>287</v>
      </c>
      <c r="F1506" s="36" t="s">
        <v>286</v>
      </c>
      <c r="G1506" s="36" t="s">
        <v>411</v>
      </c>
      <c r="H1506" s="37">
        <v>3.87</v>
      </c>
      <c r="I1506" s="36" t="s">
        <v>1301</v>
      </c>
      <c r="J1506" s="39" t="s">
        <v>286</v>
      </c>
      <c r="K1506" s="38"/>
      <c r="L1506" s="38"/>
    </row>
    <row r="1507" ht="22.5" customHeight="1">
      <c r="A1507" s="36" t="s">
        <v>3698</v>
      </c>
      <c r="B1507" s="36" t="s">
        <v>3699</v>
      </c>
      <c r="C1507" s="36" t="s">
        <v>286</v>
      </c>
      <c r="D1507" s="36" t="s">
        <v>286</v>
      </c>
      <c r="E1507" s="36" t="s">
        <v>287</v>
      </c>
      <c r="F1507" s="36" t="s">
        <v>286</v>
      </c>
      <c r="G1507" s="36" t="s">
        <v>307</v>
      </c>
      <c r="H1507" s="37">
        <v>500.0</v>
      </c>
      <c r="I1507" s="36" t="s">
        <v>1301</v>
      </c>
      <c r="J1507" s="39" t="s">
        <v>286</v>
      </c>
      <c r="K1507" s="38"/>
      <c r="L1507" s="38"/>
    </row>
    <row r="1508" ht="22.5" customHeight="1">
      <c r="A1508" s="36" t="s">
        <v>3700</v>
      </c>
      <c r="B1508" s="36" t="s">
        <v>3701</v>
      </c>
      <c r="C1508" s="36" t="s">
        <v>1495</v>
      </c>
      <c r="D1508" s="36" t="s">
        <v>1496</v>
      </c>
      <c r="E1508" s="36" t="s">
        <v>287</v>
      </c>
      <c r="F1508" s="36" t="s">
        <v>286</v>
      </c>
      <c r="G1508" s="36" t="s">
        <v>411</v>
      </c>
      <c r="H1508" s="37">
        <v>40.0</v>
      </c>
      <c r="I1508" s="36" t="s">
        <v>1301</v>
      </c>
      <c r="J1508" s="39" t="s">
        <v>286</v>
      </c>
      <c r="K1508" s="38"/>
      <c r="L1508" s="38"/>
    </row>
    <row r="1509" ht="22.5" customHeight="1">
      <c r="A1509" s="36" t="s">
        <v>3702</v>
      </c>
      <c r="B1509" s="36" t="s">
        <v>3703</v>
      </c>
      <c r="C1509" s="36" t="s">
        <v>1495</v>
      </c>
      <c r="D1509" s="36" t="s">
        <v>1496</v>
      </c>
      <c r="E1509" s="36" t="s">
        <v>287</v>
      </c>
      <c r="F1509" s="36" t="s">
        <v>286</v>
      </c>
      <c r="G1509" s="36" t="s">
        <v>411</v>
      </c>
      <c r="H1509" s="37">
        <v>101.61</v>
      </c>
      <c r="I1509" s="36" t="s">
        <v>1301</v>
      </c>
      <c r="J1509" s="39" t="s">
        <v>286</v>
      </c>
      <c r="K1509" s="38"/>
      <c r="L1509" s="38"/>
    </row>
    <row r="1510" ht="22.5" customHeight="1">
      <c r="A1510" s="36" t="s">
        <v>3704</v>
      </c>
      <c r="B1510" s="36" t="s">
        <v>3705</v>
      </c>
      <c r="C1510" s="36" t="s">
        <v>1495</v>
      </c>
      <c r="D1510" s="36" t="s">
        <v>1496</v>
      </c>
      <c r="E1510" s="36" t="s">
        <v>287</v>
      </c>
      <c r="F1510" s="36" t="s">
        <v>286</v>
      </c>
      <c r="G1510" s="36" t="s">
        <v>411</v>
      </c>
      <c r="H1510" s="37">
        <v>30.0</v>
      </c>
      <c r="I1510" s="36" t="s">
        <v>1301</v>
      </c>
      <c r="J1510" s="39" t="s">
        <v>286</v>
      </c>
      <c r="K1510" s="38"/>
      <c r="L1510" s="38"/>
    </row>
    <row r="1511" ht="22.5" customHeight="1">
      <c r="A1511" s="36" t="s">
        <v>3706</v>
      </c>
      <c r="B1511" s="36" t="s">
        <v>3707</v>
      </c>
      <c r="C1511" s="36" t="s">
        <v>1495</v>
      </c>
      <c r="D1511" s="36" t="s">
        <v>1496</v>
      </c>
      <c r="E1511" s="36" t="s">
        <v>287</v>
      </c>
      <c r="F1511" s="36" t="s">
        <v>286</v>
      </c>
      <c r="G1511" s="36" t="s">
        <v>411</v>
      </c>
      <c r="H1511" s="37">
        <v>24.17</v>
      </c>
      <c r="I1511" s="36" t="s">
        <v>1301</v>
      </c>
      <c r="J1511" s="39" t="s">
        <v>286</v>
      </c>
      <c r="K1511" s="38"/>
      <c r="L1511" s="38"/>
    </row>
    <row r="1512" ht="22.5" customHeight="1">
      <c r="A1512" s="36" t="s">
        <v>3708</v>
      </c>
      <c r="B1512" s="36" t="s">
        <v>3709</v>
      </c>
      <c r="C1512" s="36" t="s">
        <v>1495</v>
      </c>
      <c r="D1512" s="36" t="s">
        <v>1496</v>
      </c>
      <c r="E1512" s="36" t="s">
        <v>287</v>
      </c>
      <c r="F1512" s="36" t="s">
        <v>286</v>
      </c>
      <c r="G1512" s="36" t="s">
        <v>411</v>
      </c>
      <c r="H1512" s="37">
        <v>29.71</v>
      </c>
      <c r="I1512" s="36" t="s">
        <v>1301</v>
      </c>
      <c r="J1512" s="39" t="s">
        <v>286</v>
      </c>
      <c r="K1512" s="38"/>
      <c r="L1512" s="38"/>
    </row>
    <row r="1513" ht="22.5" customHeight="1">
      <c r="A1513" s="36" t="s">
        <v>3710</v>
      </c>
      <c r="B1513" s="36" t="s">
        <v>3711</v>
      </c>
      <c r="C1513" s="36" t="s">
        <v>1495</v>
      </c>
      <c r="D1513" s="36" t="s">
        <v>1496</v>
      </c>
      <c r="E1513" s="36" t="s">
        <v>287</v>
      </c>
      <c r="F1513" s="36" t="s">
        <v>286</v>
      </c>
      <c r="G1513" s="36" t="s">
        <v>411</v>
      </c>
      <c r="H1513" s="37">
        <v>21.79</v>
      </c>
      <c r="I1513" s="36" t="s">
        <v>1301</v>
      </c>
      <c r="J1513" s="39" t="s">
        <v>286</v>
      </c>
      <c r="K1513" s="38"/>
      <c r="L1513" s="38"/>
    </row>
    <row r="1514" ht="22.5" customHeight="1">
      <c r="A1514" s="36" t="s">
        <v>3712</v>
      </c>
      <c r="B1514" s="36" t="s">
        <v>3713</v>
      </c>
      <c r="C1514" s="36" t="s">
        <v>1495</v>
      </c>
      <c r="D1514" s="36" t="s">
        <v>1496</v>
      </c>
      <c r="E1514" s="36" t="s">
        <v>287</v>
      </c>
      <c r="F1514" s="36" t="s">
        <v>286</v>
      </c>
      <c r="G1514" s="36" t="s">
        <v>411</v>
      </c>
      <c r="H1514" s="37">
        <v>21.79</v>
      </c>
      <c r="I1514" s="36" t="s">
        <v>1301</v>
      </c>
      <c r="J1514" s="39" t="s">
        <v>286</v>
      </c>
      <c r="K1514" s="38"/>
      <c r="L1514" s="38"/>
    </row>
    <row r="1515" ht="22.5" customHeight="1">
      <c r="A1515" s="36" t="s">
        <v>3714</v>
      </c>
      <c r="B1515" s="36" t="s">
        <v>3715</v>
      </c>
      <c r="C1515" s="36" t="s">
        <v>1495</v>
      </c>
      <c r="D1515" s="36" t="s">
        <v>1496</v>
      </c>
      <c r="E1515" s="36" t="s">
        <v>287</v>
      </c>
      <c r="F1515" s="36" t="s">
        <v>286</v>
      </c>
      <c r="G1515" s="36" t="s">
        <v>411</v>
      </c>
      <c r="H1515" s="37">
        <v>13.75</v>
      </c>
      <c r="I1515" s="36" t="s">
        <v>1301</v>
      </c>
      <c r="J1515" s="39" t="s">
        <v>286</v>
      </c>
      <c r="K1515" s="38"/>
      <c r="L1515" s="38"/>
    </row>
    <row r="1516" ht="22.5" customHeight="1">
      <c r="A1516" s="36" t="s">
        <v>3716</v>
      </c>
      <c r="B1516" s="36" t="s">
        <v>3717</v>
      </c>
      <c r="C1516" s="36" t="s">
        <v>1495</v>
      </c>
      <c r="D1516" s="36" t="s">
        <v>1496</v>
      </c>
      <c r="E1516" s="36" t="s">
        <v>287</v>
      </c>
      <c r="F1516" s="36" t="s">
        <v>286</v>
      </c>
      <c r="G1516" s="36" t="s">
        <v>411</v>
      </c>
      <c r="H1516" s="37">
        <v>12.5</v>
      </c>
      <c r="I1516" s="36" t="s">
        <v>1301</v>
      </c>
      <c r="J1516" s="39" t="s">
        <v>286</v>
      </c>
      <c r="K1516" s="38"/>
      <c r="L1516" s="38"/>
    </row>
    <row r="1517" ht="22.5" customHeight="1">
      <c r="A1517" s="36" t="s">
        <v>3718</v>
      </c>
      <c r="B1517" s="36" t="s">
        <v>3719</v>
      </c>
      <c r="C1517" s="36" t="s">
        <v>1495</v>
      </c>
      <c r="D1517" s="36" t="s">
        <v>1496</v>
      </c>
      <c r="E1517" s="36" t="s">
        <v>1285</v>
      </c>
      <c r="F1517" s="36" t="s">
        <v>286</v>
      </c>
      <c r="G1517" s="36" t="s">
        <v>411</v>
      </c>
      <c r="H1517" s="37">
        <v>3.54</v>
      </c>
      <c r="I1517" s="36" t="s">
        <v>1301</v>
      </c>
      <c r="J1517" s="39" t="s">
        <v>286</v>
      </c>
      <c r="K1517" s="38"/>
      <c r="L1517" s="38"/>
    </row>
    <row r="1518" ht="22.5" customHeight="1">
      <c r="A1518" s="36" t="s">
        <v>3720</v>
      </c>
      <c r="B1518" s="36" t="s">
        <v>3721</v>
      </c>
      <c r="C1518" s="36" t="s">
        <v>1495</v>
      </c>
      <c r="D1518" s="36" t="s">
        <v>1496</v>
      </c>
      <c r="E1518" s="36" t="s">
        <v>1285</v>
      </c>
      <c r="F1518" s="36" t="s">
        <v>286</v>
      </c>
      <c r="G1518" s="36" t="s">
        <v>411</v>
      </c>
      <c r="H1518" s="37">
        <v>12.5</v>
      </c>
      <c r="I1518" s="36" t="s">
        <v>1301</v>
      </c>
      <c r="J1518" s="39" t="s">
        <v>286</v>
      </c>
      <c r="K1518" s="38"/>
      <c r="L1518" s="38"/>
    </row>
    <row r="1519" ht="22.5" customHeight="1">
      <c r="A1519" s="36" t="s">
        <v>3722</v>
      </c>
      <c r="B1519" s="36" t="s">
        <v>3723</v>
      </c>
      <c r="C1519" s="36" t="s">
        <v>1495</v>
      </c>
      <c r="D1519" s="36" t="s">
        <v>1496</v>
      </c>
      <c r="E1519" s="36" t="s">
        <v>1285</v>
      </c>
      <c r="F1519" s="36" t="s">
        <v>286</v>
      </c>
      <c r="G1519" s="36" t="s">
        <v>411</v>
      </c>
      <c r="H1519" s="37">
        <v>12.5</v>
      </c>
      <c r="I1519" s="36" t="s">
        <v>1301</v>
      </c>
      <c r="J1519" s="39" t="s">
        <v>286</v>
      </c>
      <c r="K1519" s="38"/>
      <c r="L1519" s="38"/>
    </row>
    <row r="1520" ht="22.5" customHeight="1">
      <c r="A1520" s="36" t="s">
        <v>3724</v>
      </c>
      <c r="B1520" s="36" t="s">
        <v>3725</v>
      </c>
      <c r="C1520" s="36" t="s">
        <v>1495</v>
      </c>
      <c r="D1520" s="36" t="s">
        <v>1496</v>
      </c>
      <c r="E1520" s="36" t="s">
        <v>1285</v>
      </c>
      <c r="F1520" s="36" t="s">
        <v>286</v>
      </c>
      <c r="G1520" s="36" t="s">
        <v>411</v>
      </c>
      <c r="H1520" s="37">
        <v>6.96</v>
      </c>
      <c r="I1520" s="36" t="s">
        <v>1301</v>
      </c>
      <c r="J1520" s="39" t="s">
        <v>286</v>
      </c>
      <c r="K1520" s="38"/>
      <c r="L1520" s="38"/>
    </row>
    <row r="1521" ht="22.5" customHeight="1">
      <c r="A1521" s="36" t="s">
        <v>3726</v>
      </c>
      <c r="B1521" s="36" t="s">
        <v>3727</v>
      </c>
      <c r="C1521" s="36" t="s">
        <v>1495</v>
      </c>
      <c r="D1521" s="36" t="s">
        <v>1496</v>
      </c>
      <c r="E1521" s="36" t="s">
        <v>1285</v>
      </c>
      <c r="F1521" s="36" t="s">
        <v>286</v>
      </c>
      <c r="G1521" s="36" t="s">
        <v>411</v>
      </c>
      <c r="H1521" s="37">
        <v>11.67</v>
      </c>
      <c r="I1521" s="36" t="s">
        <v>1301</v>
      </c>
      <c r="J1521" s="39" t="s">
        <v>286</v>
      </c>
      <c r="K1521" s="38"/>
      <c r="L1521" s="38"/>
    </row>
    <row r="1522" ht="22.5" customHeight="1">
      <c r="A1522" s="36" t="s">
        <v>3728</v>
      </c>
      <c r="B1522" s="36" t="s">
        <v>3729</v>
      </c>
      <c r="C1522" s="36" t="s">
        <v>1495</v>
      </c>
      <c r="D1522" s="36" t="s">
        <v>1496</v>
      </c>
      <c r="E1522" s="36" t="s">
        <v>1285</v>
      </c>
      <c r="F1522" s="36" t="s">
        <v>286</v>
      </c>
      <c r="G1522" s="36" t="s">
        <v>411</v>
      </c>
      <c r="H1522" s="37">
        <v>12.92</v>
      </c>
      <c r="I1522" s="36" t="s">
        <v>1301</v>
      </c>
      <c r="J1522" s="39" t="s">
        <v>286</v>
      </c>
      <c r="K1522" s="38"/>
      <c r="L1522" s="38"/>
    </row>
    <row r="1523" ht="22.5" customHeight="1">
      <c r="A1523" s="36" t="s">
        <v>3730</v>
      </c>
      <c r="B1523" s="36" t="s">
        <v>3731</v>
      </c>
      <c r="C1523" s="36" t="s">
        <v>1495</v>
      </c>
      <c r="D1523" s="36" t="s">
        <v>1496</v>
      </c>
      <c r="E1523" s="36" t="s">
        <v>1285</v>
      </c>
      <c r="F1523" s="36" t="s">
        <v>286</v>
      </c>
      <c r="G1523" s="36" t="s">
        <v>411</v>
      </c>
      <c r="H1523" s="37">
        <v>11.0</v>
      </c>
      <c r="I1523" s="36" t="s">
        <v>1301</v>
      </c>
      <c r="J1523" s="39" t="s">
        <v>286</v>
      </c>
      <c r="K1523" s="38"/>
      <c r="L1523" s="38"/>
    </row>
    <row r="1524" ht="22.5" customHeight="1">
      <c r="A1524" s="36" t="s">
        <v>3732</v>
      </c>
      <c r="B1524" s="36" t="s">
        <v>3733</v>
      </c>
      <c r="C1524" s="36" t="s">
        <v>1495</v>
      </c>
      <c r="D1524" s="36" t="s">
        <v>1496</v>
      </c>
      <c r="E1524" s="36" t="s">
        <v>1285</v>
      </c>
      <c r="F1524" s="36" t="s">
        <v>286</v>
      </c>
      <c r="G1524" s="36" t="s">
        <v>411</v>
      </c>
      <c r="H1524" s="37">
        <v>6.9</v>
      </c>
      <c r="I1524" s="36" t="s">
        <v>1301</v>
      </c>
      <c r="J1524" s="39" t="s">
        <v>286</v>
      </c>
      <c r="K1524" s="38"/>
      <c r="L1524" s="38"/>
    </row>
    <row r="1525" ht="22.5" customHeight="1">
      <c r="A1525" s="36" t="s">
        <v>3734</v>
      </c>
      <c r="B1525" s="36" t="s">
        <v>3735</v>
      </c>
      <c r="C1525" s="36" t="s">
        <v>1495</v>
      </c>
      <c r="D1525" s="36" t="s">
        <v>1496</v>
      </c>
      <c r="E1525" s="36" t="s">
        <v>1285</v>
      </c>
      <c r="F1525" s="36" t="s">
        <v>286</v>
      </c>
      <c r="G1525" s="36" t="s">
        <v>411</v>
      </c>
      <c r="H1525" s="37">
        <v>5.08</v>
      </c>
      <c r="I1525" s="36" t="s">
        <v>1301</v>
      </c>
      <c r="J1525" s="39" t="s">
        <v>286</v>
      </c>
      <c r="K1525" s="38"/>
      <c r="L1525" s="38"/>
    </row>
    <row r="1526" ht="22.5" customHeight="1">
      <c r="A1526" s="36" t="s">
        <v>3736</v>
      </c>
      <c r="B1526" s="36" t="s">
        <v>3737</v>
      </c>
      <c r="C1526" s="36" t="s">
        <v>1495</v>
      </c>
      <c r="D1526" s="36" t="s">
        <v>1496</v>
      </c>
      <c r="E1526" s="36" t="s">
        <v>1285</v>
      </c>
      <c r="F1526" s="36" t="s">
        <v>286</v>
      </c>
      <c r="G1526" s="36" t="s">
        <v>411</v>
      </c>
      <c r="H1526" s="37">
        <v>21.75</v>
      </c>
      <c r="I1526" s="36" t="s">
        <v>1301</v>
      </c>
      <c r="J1526" s="39" t="s">
        <v>286</v>
      </c>
      <c r="K1526" s="38"/>
      <c r="L1526" s="38"/>
    </row>
    <row r="1527" ht="22.5" customHeight="1">
      <c r="A1527" s="36" t="s">
        <v>3738</v>
      </c>
      <c r="B1527" s="36" t="s">
        <v>3739</v>
      </c>
      <c r="C1527" s="36" t="s">
        <v>1495</v>
      </c>
      <c r="D1527" s="36" t="s">
        <v>1496</v>
      </c>
      <c r="E1527" s="36" t="s">
        <v>1285</v>
      </c>
      <c r="F1527" s="36" t="s">
        <v>286</v>
      </c>
      <c r="G1527" s="36" t="s">
        <v>411</v>
      </c>
      <c r="H1527" s="37">
        <v>224.8</v>
      </c>
      <c r="I1527" s="36" t="s">
        <v>1301</v>
      </c>
      <c r="J1527" s="39" t="s">
        <v>286</v>
      </c>
      <c r="K1527" s="38"/>
      <c r="L1527" s="38"/>
    </row>
    <row r="1528" ht="22.5" customHeight="1">
      <c r="A1528" s="36" t="s">
        <v>3740</v>
      </c>
      <c r="B1528" s="36" t="s">
        <v>3741</v>
      </c>
      <c r="C1528" s="36" t="s">
        <v>1495</v>
      </c>
      <c r="D1528" s="36" t="s">
        <v>1496</v>
      </c>
      <c r="E1528" s="36" t="s">
        <v>1285</v>
      </c>
      <c r="F1528" s="36" t="s">
        <v>286</v>
      </c>
      <c r="G1528" s="36" t="s">
        <v>411</v>
      </c>
      <c r="H1528" s="37">
        <v>46.0</v>
      </c>
      <c r="I1528" s="36" t="s">
        <v>1301</v>
      </c>
      <c r="J1528" s="39" t="s">
        <v>286</v>
      </c>
      <c r="K1528" s="38"/>
      <c r="L1528" s="38"/>
    </row>
    <row r="1529" ht="22.5" customHeight="1">
      <c r="A1529" s="36" t="s">
        <v>3742</v>
      </c>
      <c r="B1529" s="36" t="s">
        <v>3743</v>
      </c>
      <c r="C1529" s="36" t="s">
        <v>1495</v>
      </c>
      <c r="D1529" s="36" t="s">
        <v>1496</v>
      </c>
      <c r="E1529" s="36" t="s">
        <v>1285</v>
      </c>
      <c r="F1529" s="36" t="s">
        <v>286</v>
      </c>
      <c r="G1529" s="36" t="s">
        <v>411</v>
      </c>
      <c r="H1529" s="37">
        <v>12.87</v>
      </c>
      <c r="I1529" s="36" t="s">
        <v>1301</v>
      </c>
      <c r="J1529" s="39" t="s">
        <v>286</v>
      </c>
      <c r="K1529" s="38"/>
      <c r="L1529" s="38"/>
    </row>
    <row r="1530" ht="22.5" customHeight="1">
      <c r="A1530" s="36" t="s">
        <v>3744</v>
      </c>
      <c r="B1530" s="36" t="s">
        <v>3745</v>
      </c>
      <c r="C1530" s="36" t="s">
        <v>1495</v>
      </c>
      <c r="D1530" s="36" t="s">
        <v>1496</v>
      </c>
      <c r="E1530" s="36" t="s">
        <v>1285</v>
      </c>
      <c r="F1530" s="36" t="s">
        <v>286</v>
      </c>
      <c r="G1530" s="36" t="s">
        <v>411</v>
      </c>
      <c r="H1530" s="37">
        <v>61.0</v>
      </c>
      <c r="I1530" s="36" t="s">
        <v>1301</v>
      </c>
      <c r="J1530" s="39" t="s">
        <v>286</v>
      </c>
      <c r="K1530" s="38"/>
      <c r="L1530" s="38"/>
    </row>
    <row r="1531" ht="22.5" customHeight="1">
      <c r="A1531" s="36" t="s">
        <v>3746</v>
      </c>
      <c r="B1531" s="36" t="s">
        <v>3747</v>
      </c>
      <c r="C1531" s="36" t="s">
        <v>1495</v>
      </c>
      <c r="D1531" s="36" t="s">
        <v>1496</v>
      </c>
      <c r="E1531" s="36" t="s">
        <v>1285</v>
      </c>
      <c r="F1531" s="36" t="s">
        <v>286</v>
      </c>
      <c r="G1531" s="36" t="s">
        <v>411</v>
      </c>
      <c r="H1531" s="37">
        <v>101.24</v>
      </c>
      <c r="I1531" s="36" t="s">
        <v>1301</v>
      </c>
      <c r="J1531" s="39" t="s">
        <v>286</v>
      </c>
      <c r="K1531" s="38"/>
      <c r="L1531" s="38"/>
    </row>
    <row r="1532" ht="22.5" customHeight="1">
      <c r="A1532" s="36" t="s">
        <v>3748</v>
      </c>
      <c r="B1532" s="36" t="s">
        <v>3749</v>
      </c>
      <c r="C1532" s="36" t="s">
        <v>1495</v>
      </c>
      <c r="D1532" s="36" t="s">
        <v>1496</v>
      </c>
      <c r="E1532" s="36" t="s">
        <v>1285</v>
      </c>
      <c r="F1532" s="36" t="s">
        <v>286</v>
      </c>
      <c r="G1532" s="36" t="s">
        <v>411</v>
      </c>
      <c r="H1532" s="37">
        <v>83.59</v>
      </c>
      <c r="I1532" s="36" t="s">
        <v>1301</v>
      </c>
      <c r="J1532" s="39" t="s">
        <v>286</v>
      </c>
      <c r="K1532" s="38"/>
      <c r="L1532" s="38"/>
    </row>
    <row r="1533" ht="22.5" customHeight="1">
      <c r="A1533" s="36" t="s">
        <v>3750</v>
      </c>
      <c r="B1533" s="36" t="s">
        <v>3751</v>
      </c>
      <c r="C1533" s="36" t="s">
        <v>1495</v>
      </c>
      <c r="D1533" s="36" t="s">
        <v>1496</v>
      </c>
      <c r="E1533" s="36" t="s">
        <v>1285</v>
      </c>
      <c r="F1533" s="36" t="s">
        <v>286</v>
      </c>
      <c r="G1533" s="36" t="s">
        <v>411</v>
      </c>
      <c r="H1533" s="37">
        <v>103.11</v>
      </c>
      <c r="I1533" s="36" t="s">
        <v>1301</v>
      </c>
      <c r="J1533" s="39" t="s">
        <v>286</v>
      </c>
      <c r="K1533" s="38"/>
      <c r="L1533" s="38"/>
    </row>
    <row r="1534" ht="22.5" customHeight="1">
      <c r="A1534" s="36" t="s">
        <v>3752</v>
      </c>
      <c r="B1534" s="36" t="s">
        <v>3753</v>
      </c>
      <c r="C1534" s="36" t="s">
        <v>1495</v>
      </c>
      <c r="D1534" s="36" t="s">
        <v>1496</v>
      </c>
      <c r="E1534" s="36" t="s">
        <v>1285</v>
      </c>
      <c r="F1534" s="36" t="s">
        <v>286</v>
      </c>
      <c r="G1534" s="36" t="s">
        <v>411</v>
      </c>
      <c r="H1534" s="37">
        <v>138.67</v>
      </c>
      <c r="I1534" s="36" t="s">
        <v>1301</v>
      </c>
      <c r="J1534" s="39" t="s">
        <v>286</v>
      </c>
      <c r="K1534" s="38"/>
      <c r="L1534" s="38"/>
    </row>
    <row r="1535" ht="22.5" customHeight="1">
      <c r="A1535" s="36" t="s">
        <v>3754</v>
      </c>
      <c r="B1535" s="36" t="s">
        <v>3755</v>
      </c>
      <c r="C1535" s="36" t="s">
        <v>1495</v>
      </c>
      <c r="D1535" s="36" t="s">
        <v>1496</v>
      </c>
      <c r="E1535" s="36" t="s">
        <v>1285</v>
      </c>
      <c r="F1535" s="36" t="s">
        <v>286</v>
      </c>
      <c r="G1535" s="36" t="s">
        <v>411</v>
      </c>
      <c r="H1535" s="37">
        <v>32.0</v>
      </c>
      <c r="I1535" s="36" t="s">
        <v>1301</v>
      </c>
      <c r="J1535" s="39" t="s">
        <v>286</v>
      </c>
      <c r="K1535" s="38"/>
      <c r="L1535" s="38"/>
    </row>
    <row r="1536" ht="22.5" customHeight="1">
      <c r="A1536" s="36" t="s">
        <v>3756</v>
      </c>
      <c r="B1536" s="36" t="s">
        <v>3757</v>
      </c>
      <c r="C1536" s="36" t="s">
        <v>1495</v>
      </c>
      <c r="D1536" s="36" t="s">
        <v>1496</v>
      </c>
      <c r="E1536" s="36" t="s">
        <v>1285</v>
      </c>
      <c r="F1536" s="36" t="s">
        <v>286</v>
      </c>
      <c r="G1536" s="36" t="s">
        <v>411</v>
      </c>
      <c r="H1536" s="37">
        <v>37.33</v>
      </c>
      <c r="I1536" s="36" t="s">
        <v>1301</v>
      </c>
      <c r="J1536" s="39" t="s">
        <v>286</v>
      </c>
      <c r="K1536" s="38"/>
      <c r="L1536" s="38"/>
    </row>
    <row r="1537" ht="22.5" customHeight="1">
      <c r="A1537" s="36" t="s">
        <v>3758</v>
      </c>
      <c r="B1537" s="36" t="s">
        <v>3759</v>
      </c>
      <c r="C1537" s="36" t="s">
        <v>1495</v>
      </c>
      <c r="D1537" s="36" t="s">
        <v>1496</v>
      </c>
      <c r="E1537" s="36" t="s">
        <v>1285</v>
      </c>
      <c r="F1537" s="36" t="s">
        <v>286</v>
      </c>
      <c r="G1537" s="36" t="s">
        <v>411</v>
      </c>
      <c r="H1537" s="37">
        <v>42.67</v>
      </c>
      <c r="I1537" s="36" t="s">
        <v>1301</v>
      </c>
      <c r="J1537" s="39" t="s">
        <v>286</v>
      </c>
      <c r="K1537" s="38"/>
      <c r="L1537" s="38"/>
    </row>
    <row r="1538" ht="22.5" customHeight="1">
      <c r="A1538" s="36" t="s">
        <v>3760</v>
      </c>
      <c r="B1538" s="36" t="s">
        <v>3761</v>
      </c>
      <c r="C1538" s="36" t="s">
        <v>1495</v>
      </c>
      <c r="D1538" s="36" t="s">
        <v>1496</v>
      </c>
      <c r="E1538" s="36" t="s">
        <v>1285</v>
      </c>
      <c r="F1538" s="36" t="s">
        <v>286</v>
      </c>
      <c r="G1538" s="36" t="s">
        <v>411</v>
      </c>
      <c r="H1538" s="37">
        <v>65.0</v>
      </c>
      <c r="I1538" s="36" t="s">
        <v>1301</v>
      </c>
      <c r="J1538" s="39" t="s">
        <v>286</v>
      </c>
      <c r="K1538" s="38"/>
      <c r="L1538" s="38"/>
    </row>
    <row r="1539" ht="22.5" customHeight="1">
      <c r="A1539" s="36" t="s">
        <v>3762</v>
      </c>
      <c r="B1539" s="36" t="s">
        <v>3763</v>
      </c>
      <c r="C1539" s="36" t="s">
        <v>1495</v>
      </c>
      <c r="D1539" s="36" t="s">
        <v>1496</v>
      </c>
      <c r="E1539" s="36" t="s">
        <v>1285</v>
      </c>
      <c r="F1539" s="36" t="s">
        <v>286</v>
      </c>
      <c r="G1539" s="36" t="s">
        <v>411</v>
      </c>
      <c r="H1539" s="37">
        <v>29.4</v>
      </c>
      <c r="I1539" s="36" t="s">
        <v>1301</v>
      </c>
      <c r="J1539" s="39" t="s">
        <v>286</v>
      </c>
      <c r="K1539" s="38"/>
      <c r="L1539" s="38"/>
    </row>
    <row r="1540" ht="22.5" customHeight="1">
      <c r="A1540" s="36" t="s">
        <v>3764</v>
      </c>
      <c r="B1540" s="36" t="s">
        <v>3765</v>
      </c>
      <c r="C1540" s="36" t="s">
        <v>1495</v>
      </c>
      <c r="D1540" s="36" t="s">
        <v>1496</v>
      </c>
      <c r="E1540" s="36" t="s">
        <v>1285</v>
      </c>
      <c r="F1540" s="36" t="s">
        <v>286</v>
      </c>
      <c r="G1540" s="36" t="s">
        <v>411</v>
      </c>
      <c r="H1540" s="37">
        <v>11.63</v>
      </c>
      <c r="I1540" s="36" t="s">
        <v>1301</v>
      </c>
      <c r="J1540" s="39" t="s">
        <v>286</v>
      </c>
      <c r="K1540" s="38"/>
      <c r="L1540" s="38"/>
    </row>
    <row r="1541" ht="22.5" customHeight="1">
      <c r="A1541" s="36" t="s">
        <v>3766</v>
      </c>
      <c r="B1541" s="36" t="s">
        <v>3767</v>
      </c>
      <c r="C1541" s="36" t="s">
        <v>1495</v>
      </c>
      <c r="D1541" s="36" t="s">
        <v>1496</v>
      </c>
      <c r="E1541" s="36" t="s">
        <v>1285</v>
      </c>
      <c r="F1541" s="36" t="s">
        <v>286</v>
      </c>
      <c r="G1541" s="36" t="s">
        <v>411</v>
      </c>
      <c r="H1541" s="37">
        <v>48.78</v>
      </c>
      <c r="I1541" s="36" t="s">
        <v>1301</v>
      </c>
      <c r="J1541" s="39" t="s">
        <v>286</v>
      </c>
      <c r="K1541" s="38"/>
      <c r="L1541" s="38"/>
    </row>
    <row r="1542" ht="22.5" customHeight="1">
      <c r="A1542" s="36" t="s">
        <v>3768</v>
      </c>
      <c r="B1542" s="36" t="s">
        <v>3769</v>
      </c>
      <c r="C1542" s="36" t="s">
        <v>1495</v>
      </c>
      <c r="D1542" s="36" t="s">
        <v>1496</v>
      </c>
      <c r="E1542" s="36" t="s">
        <v>1285</v>
      </c>
      <c r="F1542" s="36" t="s">
        <v>286</v>
      </c>
      <c r="G1542" s="36" t="s">
        <v>411</v>
      </c>
      <c r="H1542" s="37">
        <v>48.78</v>
      </c>
      <c r="I1542" s="36" t="s">
        <v>1301</v>
      </c>
      <c r="J1542" s="39" t="s">
        <v>286</v>
      </c>
      <c r="K1542" s="38"/>
      <c r="L1542" s="38"/>
    </row>
    <row r="1543" ht="22.5" customHeight="1">
      <c r="A1543" s="36" t="s">
        <v>3770</v>
      </c>
      <c r="B1543" s="36" t="s">
        <v>3771</v>
      </c>
      <c r="C1543" s="36" t="s">
        <v>1495</v>
      </c>
      <c r="D1543" s="36" t="s">
        <v>1496</v>
      </c>
      <c r="E1543" s="36" t="s">
        <v>1285</v>
      </c>
      <c r="F1543" s="36" t="s">
        <v>286</v>
      </c>
      <c r="G1543" s="36" t="s">
        <v>411</v>
      </c>
      <c r="H1543" s="37">
        <v>21.49</v>
      </c>
      <c r="I1543" s="36" t="s">
        <v>1301</v>
      </c>
      <c r="J1543" s="39" t="s">
        <v>286</v>
      </c>
      <c r="K1543" s="38"/>
      <c r="L1543" s="38"/>
    </row>
    <row r="1544" ht="22.5" customHeight="1">
      <c r="A1544" s="36" t="s">
        <v>3772</v>
      </c>
      <c r="B1544" s="36" t="s">
        <v>3773</v>
      </c>
      <c r="C1544" s="36" t="s">
        <v>1495</v>
      </c>
      <c r="D1544" s="36" t="s">
        <v>1496</v>
      </c>
      <c r="E1544" s="36" t="s">
        <v>1285</v>
      </c>
      <c r="F1544" s="36" t="s">
        <v>286</v>
      </c>
      <c r="G1544" s="36" t="s">
        <v>411</v>
      </c>
      <c r="H1544" s="37">
        <v>20.65</v>
      </c>
      <c r="I1544" s="36" t="s">
        <v>1301</v>
      </c>
      <c r="J1544" s="39" t="s">
        <v>286</v>
      </c>
      <c r="K1544" s="38"/>
      <c r="L1544" s="38"/>
    </row>
    <row r="1545" ht="22.5" customHeight="1">
      <c r="A1545" s="36" t="s">
        <v>3774</v>
      </c>
      <c r="B1545" s="36" t="s">
        <v>3775</v>
      </c>
      <c r="C1545" s="36" t="s">
        <v>1495</v>
      </c>
      <c r="D1545" s="36" t="s">
        <v>1496</v>
      </c>
      <c r="E1545" s="36" t="s">
        <v>1285</v>
      </c>
      <c r="F1545" s="36" t="s">
        <v>286</v>
      </c>
      <c r="G1545" s="36" t="s">
        <v>411</v>
      </c>
      <c r="H1545" s="37">
        <v>35.86</v>
      </c>
      <c r="I1545" s="36" t="s">
        <v>1301</v>
      </c>
      <c r="J1545" s="39" t="s">
        <v>286</v>
      </c>
      <c r="K1545" s="38"/>
      <c r="L1545" s="38"/>
    </row>
    <row r="1546" ht="22.5" customHeight="1">
      <c r="A1546" s="36" t="s">
        <v>3776</v>
      </c>
      <c r="B1546" s="36" t="s">
        <v>3777</v>
      </c>
      <c r="C1546" s="36" t="s">
        <v>1495</v>
      </c>
      <c r="D1546" s="36" t="s">
        <v>1496</v>
      </c>
      <c r="E1546" s="36" t="s">
        <v>1285</v>
      </c>
      <c r="F1546" s="36" t="s">
        <v>286</v>
      </c>
      <c r="G1546" s="36" t="s">
        <v>411</v>
      </c>
      <c r="H1546" s="37">
        <v>34.46</v>
      </c>
      <c r="I1546" s="36" t="s">
        <v>1301</v>
      </c>
      <c r="J1546" s="39" t="s">
        <v>286</v>
      </c>
      <c r="K1546" s="38"/>
      <c r="L1546" s="38"/>
    </row>
    <row r="1547" ht="22.5" customHeight="1">
      <c r="A1547" s="36" t="s">
        <v>3778</v>
      </c>
      <c r="B1547" s="36" t="s">
        <v>3779</v>
      </c>
      <c r="C1547" s="36" t="s">
        <v>1495</v>
      </c>
      <c r="D1547" s="36" t="s">
        <v>1496</v>
      </c>
      <c r="E1547" s="36" t="s">
        <v>1285</v>
      </c>
      <c r="F1547" s="36" t="s">
        <v>286</v>
      </c>
      <c r="G1547" s="36" t="s">
        <v>411</v>
      </c>
      <c r="H1547" s="37">
        <v>7.11</v>
      </c>
      <c r="I1547" s="36" t="s">
        <v>1301</v>
      </c>
      <c r="J1547" s="39" t="s">
        <v>286</v>
      </c>
      <c r="K1547" s="38"/>
      <c r="L1547" s="38"/>
    </row>
    <row r="1548" ht="22.5" customHeight="1">
      <c r="A1548" s="36" t="s">
        <v>3780</v>
      </c>
      <c r="B1548" s="36" t="s">
        <v>3781</v>
      </c>
      <c r="C1548" s="36" t="s">
        <v>1495</v>
      </c>
      <c r="D1548" s="36" t="s">
        <v>1496</v>
      </c>
      <c r="E1548" s="36" t="s">
        <v>1285</v>
      </c>
      <c r="F1548" s="36" t="s">
        <v>286</v>
      </c>
      <c r="G1548" s="36" t="s">
        <v>411</v>
      </c>
      <c r="H1548" s="37">
        <v>8.71</v>
      </c>
      <c r="I1548" s="36" t="s">
        <v>1301</v>
      </c>
      <c r="J1548" s="39" t="s">
        <v>286</v>
      </c>
      <c r="K1548" s="38"/>
      <c r="L1548" s="38"/>
    </row>
    <row r="1549" ht="22.5" customHeight="1">
      <c r="A1549" s="36" t="s">
        <v>3782</v>
      </c>
      <c r="B1549" s="36" t="s">
        <v>3783</v>
      </c>
      <c r="C1549" s="36" t="s">
        <v>1495</v>
      </c>
      <c r="D1549" s="36" t="s">
        <v>1496</v>
      </c>
      <c r="E1549" s="36" t="s">
        <v>1285</v>
      </c>
      <c r="F1549" s="36" t="s">
        <v>286</v>
      </c>
      <c r="G1549" s="36" t="s">
        <v>411</v>
      </c>
      <c r="H1549" s="37">
        <v>18.29</v>
      </c>
      <c r="I1549" s="36" t="s">
        <v>1301</v>
      </c>
      <c r="J1549" s="39" t="s">
        <v>286</v>
      </c>
      <c r="K1549" s="38"/>
      <c r="L1549" s="38"/>
    </row>
    <row r="1550" ht="22.5" customHeight="1">
      <c r="A1550" s="36" t="s">
        <v>3784</v>
      </c>
      <c r="B1550" s="36" t="s">
        <v>3785</v>
      </c>
      <c r="C1550" s="36" t="s">
        <v>1495</v>
      </c>
      <c r="D1550" s="36" t="s">
        <v>1496</v>
      </c>
      <c r="E1550" s="36" t="s">
        <v>1285</v>
      </c>
      <c r="F1550" s="36" t="s">
        <v>286</v>
      </c>
      <c r="G1550" s="36" t="s">
        <v>411</v>
      </c>
      <c r="H1550" s="37">
        <v>20.65</v>
      </c>
      <c r="I1550" s="36" t="s">
        <v>1301</v>
      </c>
      <c r="J1550" s="39" t="s">
        <v>286</v>
      </c>
      <c r="K1550" s="38"/>
      <c r="L1550" s="38"/>
    </row>
    <row r="1551" ht="22.5" customHeight="1">
      <c r="A1551" s="36" t="s">
        <v>3786</v>
      </c>
      <c r="B1551" s="36" t="s">
        <v>3787</v>
      </c>
      <c r="C1551" s="36" t="s">
        <v>1495</v>
      </c>
      <c r="D1551" s="36" t="s">
        <v>1496</v>
      </c>
      <c r="E1551" s="36" t="s">
        <v>1285</v>
      </c>
      <c r="F1551" s="36" t="s">
        <v>286</v>
      </c>
      <c r="G1551" s="36" t="s">
        <v>411</v>
      </c>
      <c r="H1551" s="37">
        <v>54.67</v>
      </c>
      <c r="I1551" s="36" t="s">
        <v>1301</v>
      </c>
      <c r="J1551" s="39" t="s">
        <v>286</v>
      </c>
      <c r="K1551" s="38"/>
      <c r="L1551" s="38"/>
    </row>
    <row r="1552" ht="22.5" customHeight="1">
      <c r="A1552" s="36" t="s">
        <v>3788</v>
      </c>
      <c r="B1552" s="36" t="s">
        <v>3789</v>
      </c>
      <c r="C1552" s="36" t="s">
        <v>1495</v>
      </c>
      <c r="D1552" s="36" t="s">
        <v>1496</v>
      </c>
      <c r="E1552" s="36" t="s">
        <v>1285</v>
      </c>
      <c r="F1552" s="36" t="s">
        <v>286</v>
      </c>
      <c r="G1552" s="36" t="s">
        <v>411</v>
      </c>
      <c r="H1552" s="37">
        <v>54.67</v>
      </c>
      <c r="I1552" s="36" t="s">
        <v>1301</v>
      </c>
      <c r="J1552" s="39" t="s">
        <v>286</v>
      </c>
      <c r="K1552" s="38"/>
      <c r="L1552" s="38"/>
    </row>
    <row r="1553" ht="22.5" customHeight="1">
      <c r="A1553" s="36" t="s">
        <v>3790</v>
      </c>
      <c r="B1553" s="36" t="s">
        <v>3791</v>
      </c>
      <c r="C1553" s="36" t="s">
        <v>1495</v>
      </c>
      <c r="D1553" s="36" t="s">
        <v>1496</v>
      </c>
      <c r="E1553" s="36" t="s">
        <v>1285</v>
      </c>
      <c r="F1553" s="36" t="s">
        <v>286</v>
      </c>
      <c r="G1553" s="36" t="s">
        <v>411</v>
      </c>
      <c r="H1553" s="37">
        <v>22.72</v>
      </c>
      <c r="I1553" s="36" t="s">
        <v>1301</v>
      </c>
      <c r="J1553" s="39" t="s">
        <v>286</v>
      </c>
      <c r="K1553" s="38"/>
      <c r="L1553" s="38"/>
    </row>
    <row r="1554" ht="22.5" customHeight="1">
      <c r="A1554" s="36" t="s">
        <v>3792</v>
      </c>
      <c r="B1554" s="36" t="s">
        <v>3793</v>
      </c>
      <c r="C1554" s="36" t="s">
        <v>1495</v>
      </c>
      <c r="D1554" s="36" t="s">
        <v>1496</v>
      </c>
      <c r="E1554" s="36" t="s">
        <v>1285</v>
      </c>
      <c r="F1554" s="36" t="s">
        <v>286</v>
      </c>
      <c r="G1554" s="36" t="s">
        <v>411</v>
      </c>
      <c r="H1554" s="37">
        <v>11.63</v>
      </c>
      <c r="I1554" s="36" t="s">
        <v>1301</v>
      </c>
      <c r="J1554" s="39" t="s">
        <v>286</v>
      </c>
      <c r="K1554" s="38"/>
      <c r="L1554" s="38"/>
    </row>
    <row r="1555" ht="22.5" customHeight="1">
      <c r="A1555" s="36" t="s">
        <v>3794</v>
      </c>
      <c r="B1555" s="36" t="s">
        <v>3795</v>
      </c>
      <c r="C1555" s="36" t="s">
        <v>1495</v>
      </c>
      <c r="D1555" s="36" t="s">
        <v>1496</v>
      </c>
      <c r="E1555" s="36" t="s">
        <v>1285</v>
      </c>
      <c r="F1555" s="36" t="s">
        <v>286</v>
      </c>
      <c r="G1555" s="36" t="s">
        <v>411</v>
      </c>
      <c r="H1555" s="37">
        <v>224.0</v>
      </c>
      <c r="I1555" s="36" t="s">
        <v>1301</v>
      </c>
      <c r="J1555" s="39" t="s">
        <v>286</v>
      </c>
      <c r="K1555" s="38"/>
      <c r="L1555" s="38"/>
    </row>
    <row r="1556" ht="22.5" customHeight="1">
      <c r="A1556" s="36" t="s">
        <v>3796</v>
      </c>
      <c r="B1556" s="36" t="s">
        <v>3797</v>
      </c>
      <c r="C1556" s="36" t="s">
        <v>1495</v>
      </c>
      <c r="D1556" s="36" t="s">
        <v>1496</v>
      </c>
      <c r="E1556" s="36" t="s">
        <v>1285</v>
      </c>
      <c r="F1556" s="36" t="s">
        <v>286</v>
      </c>
      <c r="G1556" s="36" t="s">
        <v>411</v>
      </c>
      <c r="H1556" s="37">
        <v>224.0</v>
      </c>
      <c r="I1556" s="36" t="s">
        <v>1301</v>
      </c>
      <c r="J1556" s="39" t="s">
        <v>286</v>
      </c>
      <c r="K1556" s="38"/>
      <c r="L1556" s="38"/>
    </row>
    <row r="1557" ht="22.5" customHeight="1">
      <c r="A1557" s="36" t="s">
        <v>3798</v>
      </c>
      <c r="B1557" s="36" t="s">
        <v>3799</v>
      </c>
      <c r="C1557" s="36" t="s">
        <v>1495</v>
      </c>
      <c r="D1557" s="36" t="s">
        <v>1496</v>
      </c>
      <c r="E1557" s="36" t="s">
        <v>1285</v>
      </c>
      <c r="F1557" s="36" t="s">
        <v>286</v>
      </c>
      <c r="G1557" s="36" t="s">
        <v>411</v>
      </c>
      <c r="H1557" s="37">
        <v>42.5</v>
      </c>
      <c r="I1557" s="36" t="s">
        <v>1301</v>
      </c>
      <c r="J1557" s="39" t="s">
        <v>286</v>
      </c>
      <c r="K1557" s="38"/>
      <c r="L1557" s="38"/>
    </row>
    <row r="1558" ht="22.5" customHeight="1">
      <c r="A1558" s="36" t="s">
        <v>3800</v>
      </c>
      <c r="B1558" s="36" t="s">
        <v>3801</v>
      </c>
      <c r="C1558" s="36" t="s">
        <v>1495</v>
      </c>
      <c r="D1558" s="36" t="s">
        <v>1496</v>
      </c>
      <c r="E1558" s="36" t="s">
        <v>1285</v>
      </c>
      <c r="F1558" s="36" t="s">
        <v>286</v>
      </c>
      <c r="G1558" s="36" t="s">
        <v>411</v>
      </c>
      <c r="H1558" s="37">
        <v>0.0</v>
      </c>
      <c r="I1558" s="36" t="s">
        <v>1301</v>
      </c>
      <c r="J1558" s="39" t="s">
        <v>286</v>
      </c>
      <c r="K1558" s="38"/>
      <c r="L1558" s="38"/>
    </row>
    <row r="1559" ht="22.5" customHeight="1">
      <c r="A1559" s="36" t="s">
        <v>3802</v>
      </c>
      <c r="B1559" s="36" t="s">
        <v>3803</v>
      </c>
      <c r="C1559" s="36" t="s">
        <v>1495</v>
      </c>
      <c r="D1559" s="36" t="s">
        <v>1496</v>
      </c>
      <c r="E1559" s="36" t="s">
        <v>1285</v>
      </c>
      <c r="F1559" s="36" t="s">
        <v>286</v>
      </c>
      <c r="G1559" s="36" t="s">
        <v>411</v>
      </c>
      <c r="H1559" s="37">
        <v>88.51</v>
      </c>
      <c r="I1559" s="36" t="s">
        <v>1301</v>
      </c>
      <c r="J1559" s="39" t="s">
        <v>286</v>
      </c>
      <c r="K1559" s="38"/>
      <c r="L1559" s="38"/>
    </row>
    <row r="1560" ht="22.5" customHeight="1">
      <c r="A1560" s="36" t="s">
        <v>3804</v>
      </c>
      <c r="B1560" s="36" t="s">
        <v>3805</v>
      </c>
      <c r="C1560" s="36" t="s">
        <v>1495</v>
      </c>
      <c r="D1560" s="36" t="s">
        <v>1496</v>
      </c>
      <c r="E1560" s="36" t="s">
        <v>1285</v>
      </c>
      <c r="F1560" s="36" t="s">
        <v>286</v>
      </c>
      <c r="G1560" s="36" t="s">
        <v>411</v>
      </c>
      <c r="H1560" s="37">
        <v>98.87</v>
      </c>
      <c r="I1560" s="36" t="s">
        <v>1301</v>
      </c>
      <c r="J1560" s="39" t="s">
        <v>286</v>
      </c>
      <c r="K1560" s="38"/>
      <c r="L1560" s="38"/>
    </row>
    <row r="1561" ht="22.5" customHeight="1">
      <c r="A1561" s="36" t="s">
        <v>3806</v>
      </c>
      <c r="B1561" s="36" t="s">
        <v>3807</v>
      </c>
      <c r="C1561" s="36" t="s">
        <v>1495</v>
      </c>
      <c r="D1561" s="36" t="s">
        <v>1496</v>
      </c>
      <c r="E1561" s="36" t="s">
        <v>1285</v>
      </c>
      <c r="F1561" s="36" t="s">
        <v>286</v>
      </c>
      <c r="G1561" s="36" t="s">
        <v>411</v>
      </c>
      <c r="H1561" s="37">
        <v>5.43</v>
      </c>
      <c r="I1561" s="36" t="s">
        <v>1301</v>
      </c>
      <c r="J1561" s="39" t="s">
        <v>286</v>
      </c>
      <c r="K1561" s="38"/>
      <c r="L1561" s="38"/>
    </row>
    <row r="1562" ht="22.5" customHeight="1">
      <c r="A1562" s="36" t="s">
        <v>3808</v>
      </c>
      <c r="B1562" s="36" t="s">
        <v>3809</v>
      </c>
      <c r="C1562" s="36" t="s">
        <v>1495</v>
      </c>
      <c r="D1562" s="36" t="s">
        <v>1496</v>
      </c>
      <c r="E1562" s="36" t="s">
        <v>1285</v>
      </c>
      <c r="F1562" s="36" t="s">
        <v>286</v>
      </c>
      <c r="G1562" s="36" t="s">
        <v>411</v>
      </c>
      <c r="H1562" s="37">
        <v>129.89</v>
      </c>
      <c r="I1562" s="36" t="s">
        <v>1301</v>
      </c>
      <c r="J1562" s="39" t="s">
        <v>286</v>
      </c>
      <c r="K1562" s="38"/>
      <c r="L1562" s="38"/>
    </row>
    <row r="1563" ht="22.5" customHeight="1">
      <c r="A1563" s="36" t="s">
        <v>3810</v>
      </c>
      <c r="B1563" s="36" t="s">
        <v>3811</v>
      </c>
      <c r="C1563" s="36" t="s">
        <v>1495</v>
      </c>
      <c r="D1563" s="36" t="s">
        <v>1496</v>
      </c>
      <c r="E1563" s="36" t="s">
        <v>1285</v>
      </c>
      <c r="F1563" s="36" t="s">
        <v>286</v>
      </c>
      <c r="G1563" s="36" t="s">
        <v>411</v>
      </c>
      <c r="H1563" s="37">
        <v>125.24</v>
      </c>
      <c r="I1563" s="36" t="s">
        <v>1301</v>
      </c>
      <c r="J1563" s="39" t="s">
        <v>286</v>
      </c>
      <c r="K1563" s="38"/>
      <c r="L1563" s="38"/>
    </row>
    <row r="1564" ht="22.5" customHeight="1">
      <c r="A1564" s="36" t="s">
        <v>3812</v>
      </c>
      <c r="B1564" s="36" t="s">
        <v>3813</v>
      </c>
      <c r="C1564" s="36" t="s">
        <v>1495</v>
      </c>
      <c r="D1564" s="36" t="s">
        <v>1496</v>
      </c>
      <c r="E1564" s="36" t="s">
        <v>1285</v>
      </c>
      <c r="F1564" s="36" t="s">
        <v>286</v>
      </c>
      <c r="G1564" s="36" t="s">
        <v>411</v>
      </c>
      <c r="H1564" s="37">
        <v>97.56</v>
      </c>
      <c r="I1564" s="36" t="s">
        <v>1301</v>
      </c>
      <c r="J1564" s="39" t="s">
        <v>286</v>
      </c>
      <c r="K1564" s="38"/>
      <c r="L1564" s="38"/>
    </row>
    <row r="1565" ht="22.5" customHeight="1">
      <c r="A1565" s="36" t="s">
        <v>3814</v>
      </c>
      <c r="B1565" s="36" t="s">
        <v>3815</v>
      </c>
      <c r="C1565" s="36" t="s">
        <v>1495</v>
      </c>
      <c r="D1565" s="36" t="s">
        <v>1496</v>
      </c>
      <c r="E1565" s="36" t="s">
        <v>1285</v>
      </c>
      <c r="F1565" s="36" t="s">
        <v>286</v>
      </c>
      <c r="G1565" s="36" t="s">
        <v>411</v>
      </c>
      <c r="H1565" s="37">
        <v>37.64</v>
      </c>
      <c r="I1565" s="36" t="s">
        <v>1301</v>
      </c>
      <c r="J1565" s="39" t="s">
        <v>286</v>
      </c>
      <c r="K1565" s="38"/>
      <c r="L1565" s="38"/>
    </row>
    <row r="1566" ht="22.5" customHeight="1">
      <c r="A1566" s="36" t="s">
        <v>3816</v>
      </c>
      <c r="B1566" s="36" t="s">
        <v>3817</v>
      </c>
      <c r="C1566" s="36" t="s">
        <v>1495</v>
      </c>
      <c r="D1566" s="36" t="s">
        <v>1496</v>
      </c>
      <c r="E1566" s="36" t="s">
        <v>1285</v>
      </c>
      <c r="F1566" s="36" t="s">
        <v>286</v>
      </c>
      <c r="G1566" s="36" t="s">
        <v>411</v>
      </c>
      <c r="H1566" s="37">
        <v>52.31</v>
      </c>
      <c r="I1566" s="36" t="s">
        <v>1301</v>
      </c>
      <c r="J1566" s="39" t="s">
        <v>286</v>
      </c>
      <c r="K1566" s="38"/>
      <c r="L1566" s="38"/>
    </row>
    <row r="1567" ht="22.5" customHeight="1">
      <c r="A1567" s="36" t="s">
        <v>3818</v>
      </c>
      <c r="B1567" s="36" t="s">
        <v>3819</v>
      </c>
      <c r="C1567" s="36" t="s">
        <v>1495</v>
      </c>
      <c r="D1567" s="36" t="s">
        <v>1496</v>
      </c>
      <c r="E1567" s="36" t="s">
        <v>1285</v>
      </c>
      <c r="F1567" s="36" t="s">
        <v>286</v>
      </c>
      <c r="G1567" s="36" t="s">
        <v>411</v>
      </c>
      <c r="H1567" s="37">
        <v>11.71</v>
      </c>
      <c r="I1567" s="36" t="s">
        <v>1301</v>
      </c>
      <c r="J1567" s="39" t="s">
        <v>286</v>
      </c>
      <c r="K1567" s="38"/>
      <c r="L1567" s="38"/>
    </row>
    <row r="1568" ht="22.5" customHeight="1">
      <c r="A1568" s="36" t="s">
        <v>3820</v>
      </c>
      <c r="B1568" s="36" t="s">
        <v>3821</v>
      </c>
      <c r="C1568" s="36" t="s">
        <v>1495</v>
      </c>
      <c r="D1568" s="36" t="s">
        <v>1496</v>
      </c>
      <c r="E1568" s="36" t="s">
        <v>1285</v>
      </c>
      <c r="F1568" s="36" t="s">
        <v>286</v>
      </c>
      <c r="G1568" s="36" t="s">
        <v>411</v>
      </c>
      <c r="H1568" s="37">
        <v>8.57</v>
      </c>
      <c r="I1568" s="36" t="s">
        <v>1301</v>
      </c>
      <c r="J1568" s="39" t="s">
        <v>286</v>
      </c>
      <c r="K1568" s="38"/>
      <c r="L1568" s="38"/>
    </row>
    <row r="1569" ht="22.5" customHeight="1">
      <c r="A1569" s="36" t="s">
        <v>3822</v>
      </c>
      <c r="B1569" s="36" t="s">
        <v>3823</v>
      </c>
      <c r="C1569" s="36" t="s">
        <v>1495</v>
      </c>
      <c r="D1569" s="36" t="s">
        <v>1496</v>
      </c>
      <c r="E1569" s="36" t="s">
        <v>1285</v>
      </c>
      <c r="F1569" s="36" t="s">
        <v>286</v>
      </c>
      <c r="G1569" s="36" t="s">
        <v>411</v>
      </c>
      <c r="H1569" s="37">
        <v>9.74</v>
      </c>
      <c r="I1569" s="36" t="s">
        <v>1301</v>
      </c>
      <c r="J1569" s="39" t="s">
        <v>286</v>
      </c>
      <c r="K1569" s="38"/>
      <c r="L1569" s="38"/>
    </row>
    <row r="1570" ht="22.5" customHeight="1">
      <c r="A1570" s="36" t="s">
        <v>3824</v>
      </c>
      <c r="B1570" s="36" t="s">
        <v>3825</v>
      </c>
      <c r="C1570" s="36" t="s">
        <v>1495</v>
      </c>
      <c r="D1570" s="36" t="s">
        <v>1496</v>
      </c>
      <c r="E1570" s="36" t="s">
        <v>1285</v>
      </c>
      <c r="F1570" s="36" t="s">
        <v>286</v>
      </c>
      <c r="G1570" s="36" t="s">
        <v>411</v>
      </c>
      <c r="H1570" s="37">
        <v>9.74</v>
      </c>
      <c r="I1570" s="36" t="s">
        <v>1301</v>
      </c>
      <c r="J1570" s="39" t="s">
        <v>286</v>
      </c>
      <c r="K1570" s="38"/>
      <c r="L1570" s="38"/>
    </row>
    <row r="1571" ht="22.5" customHeight="1">
      <c r="A1571" s="36" t="s">
        <v>3826</v>
      </c>
      <c r="B1571" s="36" t="s">
        <v>3827</v>
      </c>
      <c r="C1571" s="36" t="s">
        <v>1495</v>
      </c>
      <c r="D1571" s="36" t="s">
        <v>1496</v>
      </c>
      <c r="E1571" s="36" t="s">
        <v>1285</v>
      </c>
      <c r="F1571" s="36" t="s">
        <v>286</v>
      </c>
      <c r="G1571" s="36" t="s">
        <v>411</v>
      </c>
      <c r="H1571" s="37">
        <v>275.0</v>
      </c>
      <c r="I1571" s="36" t="s">
        <v>1301</v>
      </c>
      <c r="J1571" s="39" t="s">
        <v>286</v>
      </c>
      <c r="K1571" s="38"/>
      <c r="L1571" s="38"/>
    </row>
    <row r="1572" ht="22.5" customHeight="1">
      <c r="A1572" s="36" t="s">
        <v>3828</v>
      </c>
      <c r="B1572" s="36" t="s">
        <v>3829</v>
      </c>
      <c r="C1572" s="36" t="s">
        <v>1495</v>
      </c>
      <c r="D1572" s="36" t="s">
        <v>1496</v>
      </c>
      <c r="E1572" s="36" t="s">
        <v>1285</v>
      </c>
      <c r="F1572" s="36" t="s">
        <v>286</v>
      </c>
      <c r="G1572" s="36" t="s">
        <v>411</v>
      </c>
      <c r="H1572" s="37">
        <v>300.0</v>
      </c>
      <c r="I1572" s="36" t="s">
        <v>1301</v>
      </c>
      <c r="J1572" s="39" t="s">
        <v>286</v>
      </c>
      <c r="K1572" s="38"/>
      <c r="L1572" s="38"/>
    </row>
    <row r="1573" ht="22.5" customHeight="1">
      <c r="A1573" s="36" t="s">
        <v>3830</v>
      </c>
      <c r="B1573" s="36" t="s">
        <v>3831</v>
      </c>
      <c r="C1573" s="36" t="s">
        <v>1495</v>
      </c>
      <c r="D1573" s="36" t="s">
        <v>1496</v>
      </c>
      <c r="E1573" s="36" t="s">
        <v>1285</v>
      </c>
      <c r="F1573" s="36" t="s">
        <v>286</v>
      </c>
      <c r="G1573" s="36" t="s">
        <v>411</v>
      </c>
      <c r="H1573" s="37">
        <v>275.0</v>
      </c>
      <c r="I1573" s="36" t="s">
        <v>1301</v>
      </c>
      <c r="J1573" s="39" t="s">
        <v>286</v>
      </c>
      <c r="K1573" s="38"/>
      <c r="L1573" s="38"/>
    </row>
    <row r="1574" ht="22.5" customHeight="1">
      <c r="A1574" s="36" t="s">
        <v>3832</v>
      </c>
      <c r="B1574" s="36" t="s">
        <v>3833</v>
      </c>
      <c r="C1574" s="36" t="s">
        <v>1495</v>
      </c>
      <c r="D1574" s="36" t="s">
        <v>1496</v>
      </c>
      <c r="E1574" s="36" t="s">
        <v>1285</v>
      </c>
      <c r="F1574" s="36" t="s">
        <v>286</v>
      </c>
      <c r="G1574" s="36" t="s">
        <v>411</v>
      </c>
      <c r="H1574" s="37">
        <v>80.0</v>
      </c>
      <c r="I1574" s="36" t="s">
        <v>1301</v>
      </c>
      <c r="J1574" s="39" t="s">
        <v>286</v>
      </c>
      <c r="K1574" s="38"/>
      <c r="L1574" s="38"/>
    </row>
    <row r="1575" ht="22.5" customHeight="1">
      <c r="A1575" s="36" t="s">
        <v>3834</v>
      </c>
      <c r="B1575" s="36" t="s">
        <v>3835</v>
      </c>
      <c r="C1575" s="36" t="s">
        <v>1495</v>
      </c>
      <c r="D1575" s="36" t="s">
        <v>1496</v>
      </c>
      <c r="E1575" s="36" t="s">
        <v>1285</v>
      </c>
      <c r="F1575" s="36" t="s">
        <v>286</v>
      </c>
      <c r="G1575" s="36" t="s">
        <v>411</v>
      </c>
      <c r="H1575" s="37">
        <v>33.33</v>
      </c>
      <c r="I1575" s="36" t="s">
        <v>1301</v>
      </c>
      <c r="J1575" s="39" t="s">
        <v>286</v>
      </c>
      <c r="K1575" s="38"/>
      <c r="L1575" s="38"/>
    </row>
    <row r="1576" ht="22.5" customHeight="1">
      <c r="A1576" s="36" t="s">
        <v>3836</v>
      </c>
      <c r="B1576" s="36" t="s">
        <v>3837</v>
      </c>
      <c r="C1576" s="36" t="s">
        <v>1867</v>
      </c>
      <c r="D1576" s="36" t="s">
        <v>1868</v>
      </c>
      <c r="E1576" s="36" t="s">
        <v>287</v>
      </c>
      <c r="F1576" s="36" t="s">
        <v>286</v>
      </c>
      <c r="G1576" s="36" t="s">
        <v>411</v>
      </c>
      <c r="H1576" s="37">
        <v>36.0</v>
      </c>
      <c r="I1576" s="36" t="s">
        <v>1301</v>
      </c>
      <c r="J1576" s="39" t="s">
        <v>286</v>
      </c>
      <c r="K1576" s="38"/>
      <c r="L1576" s="38"/>
    </row>
    <row r="1577" ht="22.5" customHeight="1">
      <c r="A1577" s="36" t="s">
        <v>3838</v>
      </c>
      <c r="B1577" s="36" t="s">
        <v>3839</v>
      </c>
      <c r="C1577" s="36" t="s">
        <v>1495</v>
      </c>
      <c r="D1577" s="36" t="s">
        <v>1496</v>
      </c>
      <c r="E1577" s="36" t="s">
        <v>1285</v>
      </c>
      <c r="F1577" s="36" t="s">
        <v>286</v>
      </c>
      <c r="G1577" s="36" t="s">
        <v>411</v>
      </c>
      <c r="H1577" s="37">
        <v>69.33</v>
      </c>
      <c r="I1577" s="36" t="s">
        <v>1301</v>
      </c>
      <c r="J1577" s="39" t="s">
        <v>286</v>
      </c>
      <c r="K1577" s="38"/>
      <c r="L1577" s="38"/>
    </row>
    <row r="1578" ht="22.5" customHeight="1">
      <c r="A1578" s="36" t="s">
        <v>3840</v>
      </c>
      <c r="B1578" s="36" t="s">
        <v>3841</v>
      </c>
      <c r="C1578" s="36" t="s">
        <v>1495</v>
      </c>
      <c r="D1578" s="36" t="s">
        <v>1496</v>
      </c>
      <c r="E1578" s="36" t="s">
        <v>1285</v>
      </c>
      <c r="F1578" s="36" t="s">
        <v>286</v>
      </c>
      <c r="G1578" s="36" t="s">
        <v>411</v>
      </c>
      <c r="H1578" s="37">
        <v>36.0</v>
      </c>
      <c r="I1578" s="36" t="s">
        <v>1301</v>
      </c>
      <c r="J1578" s="39" t="s">
        <v>286</v>
      </c>
      <c r="K1578" s="38"/>
      <c r="L1578" s="38"/>
    </row>
    <row r="1579" ht="22.5" customHeight="1">
      <c r="A1579" s="36" t="s">
        <v>3842</v>
      </c>
      <c r="B1579" s="36" t="s">
        <v>3843</v>
      </c>
      <c r="C1579" s="36" t="s">
        <v>1495</v>
      </c>
      <c r="D1579" s="36" t="s">
        <v>1496</v>
      </c>
      <c r="E1579" s="36" t="s">
        <v>1285</v>
      </c>
      <c r="F1579" s="36" t="s">
        <v>286</v>
      </c>
      <c r="G1579" s="36" t="s">
        <v>411</v>
      </c>
      <c r="H1579" s="37">
        <v>275.0</v>
      </c>
      <c r="I1579" s="36" t="s">
        <v>1301</v>
      </c>
      <c r="J1579" s="39" t="s">
        <v>286</v>
      </c>
      <c r="K1579" s="38"/>
      <c r="L1579" s="38"/>
    </row>
    <row r="1580" ht="22.5" customHeight="1">
      <c r="A1580" s="36" t="s">
        <v>3844</v>
      </c>
      <c r="B1580" s="36" t="s">
        <v>3845</v>
      </c>
      <c r="C1580" s="36" t="s">
        <v>1495</v>
      </c>
      <c r="D1580" s="36" t="s">
        <v>1496</v>
      </c>
      <c r="E1580" s="36" t="s">
        <v>1285</v>
      </c>
      <c r="F1580" s="36" t="s">
        <v>286</v>
      </c>
      <c r="G1580" s="36" t="s">
        <v>411</v>
      </c>
      <c r="H1580" s="37">
        <v>275.0</v>
      </c>
      <c r="I1580" s="36" t="s">
        <v>1301</v>
      </c>
      <c r="J1580" s="39" t="s">
        <v>286</v>
      </c>
      <c r="K1580" s="38"/>
      <c r="L1580" s="38"/>
    </row>
    <row r="1581" ht="22.5" customHeight="1">
      <c r="A1581" s="36" t="s">
        <v>3846</v>
      </c>
      <c r="B1581" s="36" t="s">
        <v>3847</v>
      </c>
      <c r="C1581" s="36" t="s">
        <v>1495</v>
      </c>
      <c r="D1581" s="36" t="s">
        <v>1496</v>
      </c>
      <c r="E1581" s="36" t="s">
        <v>1285</v>
      </c>
      <c r="F1581" s="36" t="s">
        <v>286</v>
      </c>
      <c r="G1581" s="36" t="s">
        <v>411</v>
      </c>
      <c r="H1581" s="37">
        <v>0.84</v>
      </c>
      <c r="I1581" s="36" t="s">
        <v>1301</v>
      </c>
      <c r="J1581" s="39" t="s">
        <v>286</v>
      </c>
      <c r="K1581" s="38"/>
      <c r="L1581" s="38"/>
    </row>
    <row r="1582" ht="22.5" customHeight="1">
      <c r="A1582" s="36" t="s">
        <v>3848</v>
      </c>
      <c r="B1582" s="36" t="s">
        <v>3849</v>
      </c>
      <c r="C1582" s="36" t="s">
        <v>1495</v>
      </c>
      <c r="D1582" s="36" t="s">
        <v>1496</v>
      </c>
      <c r="E1582" s="36" t="s">
        <v>1285</v>
      </c>
      <c r="F1582" s="36" t="s">
        <v>286</v>
      </c>
      <c r="G1582" s="36" t="s">
        <v>411</v>
      </c>
      <c r="H1582" s="37">
        <v>2.38</v>
      </c>
      <c r="I1582" s="36" t="s">
        <v>1301</v>
      </c>
      <c r="J1582" s="39" t="s">
        <v>286</v>
      </c>
      <c r="K1582" s="38"/>
      <c r="L1582" s="38"/>
    </row>
    <row r="1583" ht="22.5" customHeight="1">
      <c r="A1583" s="36" t="s">
        <v>3850</v>
      </c>
      <c r="B1583" s="36" t="s">
        <v>3851</v>
      </c>
      <c r="C1583" s="36" t="s">
        <v>1495</v>
      </c>
      <c r="D1583" s="36" t="s">
        <v>1496</v>
      </c>
      <c r="E1583" s="36" t="s">
        <v>1285</v>
      </c>
      <c r="F1583" s="36" t="s">
        <v>286</v>
      </c>
      <c r="G1583" s="36" t="s">
        <v>411</v>
      </c>
      <c r="H1583" s="37">
        <v>400.0</v>
      </c>
      <c r="I1583" s="36" t="s">
        <v>1301</v>
      </c>
      <c r="J1583" s="39" t="s">
        <v>286</v>
      </c>
      <c r="K1583" s="38"/>
      <c r="L1583" s="38"/>
    </row>
    <row r="1584" ht="22.5" customHeight="1">
      <c r="A1584" s="36" t="s">
        <v>3852</v>
      </c>
      <c r="B1584" s="36" t="s">
        <v>3853</v>
      </c>
      <c r="C1584" s="36" t="s">
        <v>1495</v>
      </c>
      <c r="D1584" s="36" t="s">
        <v>1496</v>
      </c>
      <c r="E1584" s="36" t="s">
        <v>1285</v>
      </c>
      <c r="F1584" s="36" t="s">
        <v>286</v>
      </c>
      <c r="G1584" s="36" t="s">
        <v>411</v>
      </c>
      <c r="H1584" s="37">
        <v>275.0</v>
      </c>
      <c r="I1584" s="36" t="s">
        <v>1301</v>
      </c>
      <c r="J1584" s="39" t="s">
        <v>286</v>
      </c>
      <c r="K1584" s="38"/>
      <c r="L1584" s="38"/>
    </row>
    <row r="1585" ht="22.5" customHeight="1">
      <c r="A1585" s="36" t="s">
        <v>3854</v>
      </c>
      <c r="B1585" s="36" t="s">
        <v>3855</v>
      </c>
      <c r="C1585" s="36" t="s">
        <v>1495</v>
      </c>
      <c r="D1585" s="36" t="s">
        <v>1496</v>
      </c>
      <c r="E1585" s="36" t="s">
        <v>1285</v>
      </c>
      <c r="F1585" s="36" t="s">
        <v>286</v>
      </c>
      <c r="G1585" s="36" t="s">
        <v>411</v>
      </c>
      <c r="H1585" s="37">
        <v>125.0</v>
      </c>
      <c r="I1585" s="36" t="s">
        <v>1301</v>
      </c>
      <c r="J1585" s="39" t="s">
        <v>286</v>
      </c>
      <c r="K1585" s="38"/>
      <c r="L1585" s="38"/>
    </row>
    <row r="1586" ht="22.5" customHeight="1">
      <c r="A1586" s="36" t="s">
        <v>3856</v>
      </c>
      <c r="B1586" s="36" t="s">
        <v>3857</v>
      </c>
      <c r="C1586" s="36" t="s">
        <v>1495</v>
      </c>
      <c r="D1586" s="36" t="s">
        <v>1496</v>
      </c>
      <c r="E1586" s="36" t="s">
        <v>1285</v>
      </c>
      <c r="F1586" s="36" t="s">
        <v>286</v>
      </c>
      <c r="G1586" s="36" t="s">
        <v>411</v>
      </c>
      <c r="H1586" s="37">
        <v>60.24</v>
      </c>
      <c r="I1586" s="36" t="s">
        <v>1301</v>
      </c>
      <c r="J1586" s="39" t="s">
        <v>286</v>
      </c>
      <c r="K1586" s="38"/>
      <c r="L1586" s="38"/>
    </row>
    <row r="1587" ht="22.5" customHeight="1">
      <c r="A1587" s="36" t="s">
        <v>3858</v>
      </c>
      <c r="B1587" s="36" t="s">
        <v>3859</v>
      </c>
      <c r="C1587" s="36" t="s">
        <v>1495</v>
      </c>
      <c r="D1587" s="36" t="s">
        <v>1496</v>
      </c>
      <c r="E1587" s="36" t="s">
        <v>1285</v>
      </c>
      <c r="F1587" s="36" t="s">
        <v>286</v>
      </c>
      <c r="G1587" s="36" t="s">
        <v>411</v>
      </c>
      <c r="H1587" s="37">
        <v>14.34</v>
      </c>
      <c r="I1587" s="36" t="s">
        <v>1301</v>
      </c>
      <c r="J1587" s="39" t="s">
        <v>286</v>
      </c>
      <c r="K1587" s="38"/>
      <c r="L1587" s="38"/>
    </row>
    <row r="1588" ht="22.5" customHeight="1">
      <c r="A1588" s="36" t="s">
        <v>3860</v>
      </c>
      <c r="B1588" s="36" t="s">
        <v>3861</v>
      </c>
      <c r="C1588" s="36" t="s">
        <v>1495</v>
      </c>
      <c r="D1588" s="36" t="s">
        <v>1496</v>
      </c>
      <c r="E1588" s="36" t="s">
        <v>1285</v>
      </c>
      <c r="F1588" s="36" t="s">
        <v>286</v>
      </c>
      <c r="G1588" s="36" t="s">
        <v>411</v>
      </c>
      <c r="H1588" s="37">
        <v>10.52</v>
      </c>
      <c r="I1588" s="36" t="s">
        <v>1301</v>
      </c>
      <c r="J1588" s="39" t="s">
        <v>286</v>
      </c>
      <c r="K1588" s="38"/>
      <c r="L1588" s="38"/>
    </row>
    <row r="1589" ht="22.5" customHeight="1">
      <c r="A1589" s="36" t="s">
        <v>3862</v>
      </c>
      <c r="B1589" s="36" t="s">
        <v>3863</v>
      </c>
      <c r="C1589" s="36" t="s">
        <v>1495</v>
      </c>
      <c r="D1589" s="36" t="s">
        <v>1496</v>
      </c>
      <c r="E1589" s="36" t="s">
        <v>1285</v>
      </c>
      <c r="F1589" s="36" t="s">
        <v>286</v>
      </c>
      <c r="G1589" s="36" t="s">
        <v>411</v>
      </c>
      <c r="H1589" s="37">
        <v>8.68</v>
      </c>
      <c r="I1589" s="36" t="s">
        <v>1301</v>
      </c>
      <c r="J1589" s="39" t="s">
        <v>286</v>
      </c>
      <c r="K1589" s="38"/>
      <c r="L1589" s="38"/>
    </row>
    <row r="1590" ht="22.5" customHeight="1">
      <c r="A1590" s="36" t="s">
        <v>3864</v>
      </c>
      <c r="B1590" s="36" t="s">
        <v>3865</v>
      </c>
      <c r="C1590" s="36" t="s">
        <v>1495</v>
      </c>
      <c r="D1590" s="36" t="s">
        <v>1496</v>
      </c>
      <c r="E1590" s="36" t="s">
        <v>1285</v>
      </c>
      <c r="F1590" s="36" t="s">
        <v>286</v>
      </c>
      <c r="G1590" s="36" t="s">
        <v>411</v>
      </c>
      <c r="H1590" s="37">
        <v>250.0</v>
      </c>
      <c r="I1590" s="36" t="s">
        <v>1301</v>
      </c>
      <c r="J1590" s="39" t="s">
        <v>286</v>
      </c>
      <c r="K1590" s="38"/>
      <c r="L1590" s="38"/>
    </row>
    <row r="1591" ht="22.5" customHeight="1">
      <c r="A1591" s="36" t="s">
        <v>3866</v>
      </c>
      <c r="B1591" s="36" t="s">
        <v>3867</v>
      </c>
      <c r="C1591" s="36" t="s">
        <v>1495</v>
      </c>
      <c r="D1591" s="36" t="s">
        <v>1496</v>
      </c>
      <c r="E1591" s="36" t="s">
        <v>1285</v>
      </c>
      <c r="F1591" s="36" t="s">
        <v>286</v>
      </c>
      <c r="G1591" s="36" t="s">
        <v>411</v>
      </c>
      <c r="H1591" s="37">
        <v>48.44</v>
      </c>
      <c r="I1591" s="36" t="s">
        <v>1301</v>
      </c>
      <c r="J1591" s="39" t="s">
        <v>286</v>
      </c>
      <c r="K1591" s="38"/>
      <c r="L1591" s="38"/>
    </row>
    <row r="1592" ht="22.5" customHeight="1">
      <c r="A1592" s="36" t="s">
        <v>3868</v>
      </c>
      <c r="B1592" s="36" t="s">
        <v>3869</v>
      </c>
      <c r="C1592" s="36" t="s">
        <v>1495</v>
      </c>
      <c r="D1592" s="36" t="s">
        <v>1496</v>
      </c>
      <c r="E1592" s="36" t="s">
        <v>1285</v>
      </c>
      <c r="F1592" s="36" t="s">
        <v>286</v>
      </c>
      <c r="G1592" s="36" t="s">
        <v>411</v>
      </c>
      <c r="H1592" s="37">
        <v>13.22</v>
      </c>
      <c r="I1592" s="36" t="s">
        <v>1301</v>
      </c>
      <c r="J1592" s="39" t="s">
        <v>286</v>
      </c>
      <c r="K1592" s="38"/>
      <c r="L1592" s="38"/>
    </row>
    <row r="1593" ht="22.5" customHeight="1">
      <c r="A1593" s="36" t="s">
        <v>3870</v>
      </c>
      <c r="B1593" s="36" t="s">
        <v>3871</v>
      </c>
      <c r="C1593" s="36" t="s">
        <v>1495</v>
      </c>
      <c r="D1593" s="36" t="s">
        <v>1496</v>
      </c>
      <c r="E1593" s="36" t="s">
        <v>1285</v>
      </c>
      <c r="F1593" s="36" t="s">
        <v>286</v>
      </c>
      <c r="G1593" s="36" t="s">
        <v>411</v>
      </c>
      <c r="H1593" s="37">
        <v>167.16</v>
      </c>
      <c r="I1593" s="36" t="s">
        <v>1301</v>
      </c>
      <c r="J1593" s="39" t="s">
        <v>286</v>
      </c>
      <c r="K1593" s="38"/>
      <c r="L1593" s="38"/>
    </row>
    <row r="1594" ht="22.5" customHeight="1">
      <c r="A1594" s="36" t="s">
        <v>3872</v>
      </c>
      <c r="B1594" s="36" t="s">
        <v>3873</v>
      </c>
      <c r="C1594" s="36" t="s">
        <v>1495</v>
      </c>
      <c r="D1594" s="36" t="s">
        <v>1496</v>
      </c>
      <c r="E1594" s="36" t="s">
        <v>1285</v>
      </c>
      <c r="F1594" s="36" t="s">
        <v>286</v>
      </c>
      <c r="G1594" s="36" t="s">
        <v>411</v>
      </c>
      <c r="H1594" s="37">
        <v>166.73</v>
      </c>
      <c r="I1594" s="36" t="s">
        <v>1301</v>
      </c>
      <c r="J1594" s="39" t="s">
        <v>286</v>
      </c>
      <c r="K1594" s="38"/>
      <c r="L1594" s="38"/>
    </row>
    <row r="1595" ht="22.5" customHeight="1">
      <c r="A1595" s="36" t="s">
        <v>3874</v>
      </c>
      <c r="B1595" s="36" t="s">
        <v>3875</v>
      </c>
      <c r="C1595" s="36" t="s">
        <v>1495</v>
      </c>
      <c r="D1595" s="36" t="s">
        <v>1496</v>
      </c>
      <c r="E1595" s="36" t="s">
        <v>1285</v>
      </c>
      <c r="F1595" s="36" t="s">
        <v>286</v>
      </c>
      <c r="G1595" s="36" t="s">
        <v>411</v>
      </c>
      <c r="H1595" s="37">
        <v>166.73</v>
      </c>
      <c r="I1595" s="36" t="s">
        <v>1301</v>
      </c>
      <c r="J1595" s="39" t="s">
        <v>286</v>
      </c>
      <c r="K1595" s="38"/>
      <c r="L1595" s="38"/>
    </row>
    <row r="1596" ht="22.5" customHeight="1">
      <c r="A1596" s="36" t="s">
        <v>3876</v>
      </c>
      <c r="B1596" s="36" t="s">
        <v>3877</v>
      </c>
      <c r="C1596" s="36" t="s">
        <v>1495</v>
      </c>
      <c r="D1596" s="36" t="s">
        <v>1496</v>
      </c>
      <c r="E1596" s="36" t="s">
        <v>1285</v>
      </c>
      <c r="F1596" s="36" t="s">
        <v>286</v>
      </c>
      <c r="G1596" s="36" t="s">
        <v>411</v>
      </c>
      <c r="H1596" s="37">
        <v>166.3</v>
      </c>
      <c r="I1596" s="36" t="s">
        <v>1301</v>
      </c>
      <c r="J1596" s="39" t="s">
        <v>286</v>
      </c>
      <c r="K1596" s="38"/>
      <c r="L1596" s="38"/>
    </row>
    <row r="1597" ht="22.5" customHeight="1">
      <c r="A1597" s="36" t="s">
        <v>3878</v>
      </c>
      <c r="B1597" s="36" t="s">
        <v>3879</v>
      </c>
      <c r="C1597" s="36" t="s">
        <v>1495</v>
      </c>
      <c r="D1597" s="36" t="s">
        <v>1496</v>
      </c>
      <c r="E1597" s="36" t="s">
        <v>1285</v>
      </c>
      <c r="F1597" s="36" t="s">
        <v>286</v>
      </c>
      <c r="G1597" s="36" t="s">
        <v>411</v>
      </c>
      <c r="H1597" s="37">
        <v>177.01</v>
      </c>
      <c r="I1597" s="36" t="s">
        <v>1301</v>
      </c>
      <c r="J1597" s="39" t="s">
        <v>286</v>
      </c>
      <c r="K1597" s="38"/>
      <c r="L1597" s="38"/>
    </row>
    <row r="1598" ht="22.5" customHeight="1">
      <c r="A1598" s="36" t="s">
        <v>3880</v>
      </c>
      <c r="B1598" s="36" t="s">
        <v>3881</v>
      </c>
      <c r="C1598" s="36" t="s">
        <v>1495</v>
      </c>
      <c r="D1598" s="36" t="s">
        <v>1496</v>
      </c>
      <c r="E1598" s="36" t="s">
        <v>1285</v>
      </c>
      <c r="F1598" s="36" t="s">
        <v>286</v>
      </c>
      <c r="G1598" s="36" t="s">
        <v>411</v>
      </c>
      <c r="H1598" s="37">
        <v>177.01</v>
      </c>
      <c r="I1598" s="36" t="s">
        <v>1301</v>
      </c>
      <c r="J1598" s="39" t="s">
        <v>286</v>
      </c>
      <c r="K1598" s="38"/>
      <c r="L1598" s="38"/>
    </row>
    <row r="1599" ht="22.5" customHeight="1">
      <c r="A1599" s="36" t="s">
        <v>3882</v>
      </c>
      <c r="B1599" s="36" t="s">
        <v>3883</v>
      </c>
      <c r="C1599" s="36" t="s">
        <v>1495</v>
      </c>
      <c r="D1599" s="36" t="s">
        <v>1496</v>
      </c>
      <c r="E1599" s="36" t="s">
        <v>1285</v>
      </c>
      <c r="F1599" s="36" t="s">
        <v>286</v>
      </c>
      <c r="G1599" s="36" t="s">
        <v>411</v>
      </c>
      <c r="H1599" s="37">
        <v>317.09</v>
      </c>
      <c r="I1599" s="36" t="s">
        <v>1301</v>
      </c>
      <c r="J1599" s="39" t="s">
        <v>286</v>
      </c>
      <c r="K1599" s="38"/>
      <c r="L1599" s="38"/>
    </row>
    <row r="1600" ht="22.5" customHeight="1">
      <c r="A1600" s="36" t="s">
        <v>3884</v>
      </c>
      <c r="B1600" s="36" t="s">
        <v>3885</v>
      </c>
      <c r="C1600" s="36" t="s">
        <v>1495</v>
      </c>
      <c r="D1600" s="36" t="s">
        <v>1496</v>
      </c>
      <c r="E1600" s="36" t="s">
        <v>1285</v>
      </c>
      <c r="F1600" s="36" t="s">
        <v>286</v>
      </c>
      <c r="G1600" s="36" t="s">
        <v>411</v>
      </c>
      <c r="H1600" s="37">
        <v>317.09</v>
      </c>
      <c r="I1600" s="36" t="s">
        <v>1301</v>
      </c>
      <c r="J1600" s="39" t="s">
        <v>286</v>
      </c>
      <c r="K1600" s="38"/>
      <c r="L1600" s="38"/>
    </row>
    <row r="1601" ht="22.5" customHeight="1">
      <c r="A1601" s="36" t="s">
        <v>3886</v>
      </c>
      <c r="B1601" s="36" t="s">
        <v>3887</v>
      </c>
      <c r="C1601" s="36" t="s">
        <v>1495</v>
      </c>
      <c r="D1601" s="36" t="s">
        <v>1496</v>
      </c>
      <c r="E1601" s="36" t="s">
        <v>1285</v>
      </c>
      <c r="F1601" s="36" t="s">
        <v>286</v>
      </c>
      <c r="G1601" s="36" t="s">
        <v>411</v>
      </c>
      <c r="H1601" s="37">
        <v>330.24</v>
      </c>
      <c r="I1601" s="36" t="s">
        <v>1301</v>
      </c>
      <c r="J1601" s="39" t="s">
        <v>286</v>
      </c>
      <c r="K1601" s="38"/>
      <c r="L1601" s="38"/>
    </row>
    <row r="1602" ht="22.5" customHeight="1">
      <c r="A1602" s="36" t="s">
        <v>3888</v>
      </c>
      <c r="B1602" s="36" t="s">
        <v>3889</v>
      </c>
      <c r="C1602" s="36" t="s">
        <v>1495</v>
      </c>
      <c r="D1602" s="36" t="s">
        <v>1496</v>
      </c>
      <c r="E1602" s="36" t="s">
        <v>1285</v>
      </c>
      <c r="F1602" s="36" t="s">
        <v>286</v>
      </c>
      <c r="G1602" s="36" t="s">
        <v>411</v>
      </c>
      <c r="H1602" s="37">
        <v>330.24</v>
      </c>
      <c r="I1602" s="36" t="s">
        <v>1301</v>
      </c>
      <c r="J1602" s="39" t="s">
        <v>286</v>
      </c>
      <c r="K1602" s="38"/>
      <c r="L1602" s="38"/>
    </row>
    <row r="1603" ht="22.5" customHeight="1">
      <c r="A1603" s="36" t="s">
        <v>3890</v>
      </c>
      <c r="B1603" s="36" t="s">
        <v>3891</v>
      </c>
      <c r="C1603" s="36" t="s">
        <v>1495</v>
      </c>
      <c r="D1603" s="36" t="s">
        <v>1496</v>
      </c>
      <c r="E1603" s="36" t="s">
        <v>1285</v>
      </c>
      <c r="F1603" s="36" t="s">
        <v>286</v>
      </c>
      <c r="G1603" s="36" t="s">
        <v>411</v>
      </c>
      <c r="H1603" s="37">
        <v>123.1</v>
      </c>
      <c r="I1603" s="36" t="s">
        <v>1301</v>
      </c>
      <c r="J1603" s="39" t="s">
        <v>286</v>
      </c>
      <c r="K1603" s="38"/>
      <c r="L1603" s="38"/>
    </row>
    <row r="1604" ht="22.5" customHeight="1">
      <c r="A1604" s="36" t="s">
        <v>3892</v>
      </c>
      <c r="B1604" s="36" t="s">
        <v>3893</v>
      </c>
      <c r="C1604" s="36" t="s">
        <v>1495</v>
      </c>
      <c r="D1604" s="36" t="s">
        <v>1496</v>
      </c>
      <c r="E1604" s="36" t="s">
        <v>1285</v>
      </c>
      <c r="F1604" s="36" t="s">
        <v>286</v>
      </c>
      <c r="G1604" s="36" t="s">
        <v>411</v>
      </c>
      <c r="H1604" s="37">
        <v>123.1</v>
      </c>
      <c r="I1604" s="36" t="s">
        <v>1301</v>
      </c>
      <c r="J1604" s="39" t="s">
        <v>286</v>
      </c>
      <c r="K1604" s="38"/>
      <c r="L1604" s="38"/>
    </row>
    <row r="1605" ht="22.5" customHeight="1">
      <c r="A1605" s="36" t="s">
        <v>3894</v>
      </c>
      <c r="B1605" s="36" t="s">
        <v>3895</v>
      </c>
      <c r="C1605" s="36" t="s">
        <v>1495</v>
      </c>
      <c r="D1605" s="36" t="s">
        <v>1496</v>
      </c>
      <c r="E1605" s="36" t="s">
        <v>1285</v>
      </c>
      <c r="F1605" s="36" t="s">
        <v>286</v>
      </c>
      <c r="G1605" s="36" t="s">
        <v>411</v>
      </c>
      <c r="H1605" s="37">
        <v>206.62</v>
      </c>
      <c r="I1605" s="36" t="s">
        <v>1301</v>
      </c>
      <c r="J1605" s="39" t="s">
        <v>286</v>
      </c>
      <c r="K1605" s="38"/>
      <c r="L1605" s="38"/>
    </row>
    <row r="1606" ht="22.5" customHeight="1">
      <c r="A1606" s="36" t="s">
        <v>3896</v>
      </c>
      <c r="B1606" s="36" t="s">
        <v>3897</v>
      </c>
      <c r="C1606" s="36" t="s">
        <v>1495</v>
      </c>
      <c r="D1606" s="36" t="s">
        <v>1496</v>
      </c>
      <c r="E1606" s="36" t="s">
        <v>1285</v>
      </c>
      <c r="F1606" s="36" t="s">
        <v>286</v>
      </c>
      <c r="G1606" s="36" t="s">
        <v>411</v>
      </c>
      <c r="H1606" s="37">
        <v>275.0</v>
      </c>
      <c r="I1606" s="36" t="s">
        <v>1301</v>
      </c>
      <c r="J1606" s="39" t="s">
        <v>286</v>
      </c>
      <c r="K1606" s="38"/>
      <c r="L1606" s="38"/>
    </row>
    <row r="1607" ht="22.5" customHeight="1">
      <c r="A1607" s="36" t="s">
        <v>3898</v>
      </c>
      <c r="B1607" s="36" t="s">
        <v>3899</v>
      </c>
      <c r="C1607" s="36" t="s">
        <v>1495</v>
      </c>
      <c r="D1607" s="36" t="s">
        <v>1496</v>
      </c>
      <c r="E1607" s="36" t="s">
        <v>1285</v>
      </c>
      <c r="F1607" s="36" t="s">
        <v>286</v>
      </c>
      <c r="G1607" s="36" t="s">
        <v>411</v>
      </c>
      <c r="H1607" s="37">
        <v>275.0</v>
      </c>
      <c r="I1607" s="36" t="s">
        <v>1301</v>
      </c>
      <c r="J1607" s="39" t="s">
        <v>286</v>
      </c>
      <c r="K1607" s="38"/>
      <c r="L1607" s="38"/>
    </row>
    <row r="1608" ht="22.5" customHeight="1">
      <c r="A1608" s="36" t="s">
        <v>3900</v>
      </c>
      <c r="B1608" s="36" t="s">
        <v>3901</v>
      </c>
      <c r="C1608" s="36" t="s">
        <v>1495</v>
      </c>
      <c r="D1608" s="36" t="s">
        <v>1496</v>
      </c>
      <c r="E1608" s="36" t="s">
        <v>1285</v>
      </c>
      <c r="F1608" s="36" t="s">
        <v>286</v>
      </c>
      <c r="G1608" s="36" t="s">
        <v>411</v>
      </c>
      <c r="H1608" s="37">
        <v>45.0</v>
      </c>
      <c r="I1608" s="36" t="s">
        <v>1301</v>
      </c>
      <c r="J1608" s="39" t="s">
        <v>286</v>
      </c>
      <c r="K1608" s="38"/>
      <c r="L1608" s="38"/>
    </row>
    <row r="1609" ht="22.5" customHeight="1">
      <c r="A1609" s="36" t="s">
        <v>3902</v>
      </c>
      <c r="B1609" s="36" t="s">
        <v>3903</v>
      </c>
      <c r="C1609" s="36" t="s">
        <v>1495</v>
      </c>
      <c r="D1609" s="36" t="s">
        <v>1496</v>
      </c>
      <c r="E1609" s="36" t="s">
        <v>1285</v>
      </c>
      <c r="F1609" s="36" t="s">
        <v>286</v>
      </c>
      <c r="G1609" s="36" t="s">
        <v>411</v>
      </c>
      <c r="H1609" s="37">
        <v>125.0</v>
      </c>
      <c r="I1609" s="36" t="s">
        <v>1301</v>
      </c>
      <c r="J1609" s="39" t="s">
        <v>286</v>
      </c>
      <c r="K1609" s="38"/>
      <c r="L1609" s="38"/>
    </row>
    <row r="1610" ht="22.5" customHeight="1">
      <c r="A1610" s="36" t="s">
        <v>3904</v>
      </c>
      <c r="B1610" s="36" t="s">
        <v>3905</v>
      </c>
      <c r="C1610" s="36" t="s">
        <v>1495</v>
      </c>
      <c r="D1610" s="36" t="s">
        <v>1496</v>
      </c>
      <c r="E1610" s="36" t="s">
        <v>1285</v>
      </c>
      <c r="F1610" s="36" t="s">
        <v>286</v>
      </c>
      <c r="G1610" s="36" t="s">
        <v>411</v>
      </c>
      <c r="H1610" s="37">
        <v>24.58</v>
      </c>
      <c r="I1610" s="36" t="s">
        <v>1301</v>
      </c>
      <c r="J1610" s="39" t="s">
        <v>286</v>
      </c>
      <c r="K1610" s="38"/>
      <c r="L1610" s="38"/>
    </row>
    <row r="1611" ht="22.5" customHeight="1">
      <c r="A1611" s="36" t="s">
        <v>3906</v>
      </c>
      <c r="B1611" s="36" t="s">
        <v>3907</v>
      </c>
      <c r="C1611" s="36" t="s">
        <v>1495</v>
      </c>
      <c r="D1611" s="36" t="s">
        <v>1496</v>
      </c>
      <c r="E1611" s="36" t="s">
        <v>1285</v>
      </c>
      <c r="F1611" s="36" t="s">
        <v>286</v>
      </c>
      <c r="G1611" s="36" t="s">
        <v>411</v>
      </c>
      <c r="H1611" s="37">
        <v>26.25</v>
      </c>
      <c r="I1611" s="36" t="s">
        <v>1301</v>
      </c>
      <c r="J1611" s="39" t="s">
        <v>286</v>
      </c>
      <c r="K1611" s="38"/>
      <c r="L1611" s="38"/>
    </row>
    <row r="1612" ht="22.5" customHeight="1">
      <c r="A1612" s="36" t="s">
        <v>3908</v>
      </c>
      <c r="B1612" s="36" t="s">
        <v>3909</v>
      </c>
      <c r="C1612" s="36" t="s">
        <v>1495</v>
      </c>
      <c r="D1612" s="36" t="s">
        <v>1496</v>
      </c>
      <c r="E1612" s="36" t="s">
        <v>1285</v>
      </c>
      <c r="F1612" s="36" t="s">
        <v>286</v>
      </c>
      <c r="G1612" s="36" t="s">
        <v>411</v>
      </c>
      <c r="H1612" s="37">
        <v>25.42</v>
      </c>
      <c r="I1612" s="36" t="s">
        <v>1301</v>
      </c>
      <c r="J1612" s="39" t="s">
        <v>286</v>
      </c>
      <c r="K1612" s="38"/>
      <c r="L1612" s="38"/>
    </row>
    <row r="1613" ht="22.5" customHeight="1">
      <c r="A1613" s="36" t="s">
        <v>3910</v>
      </c>
      <c r="B1613" s="36" t="s">
        <v>3911</v>
      </c>
      <c r="C1613" s="36" t="s">
        <v>1495</v>
      </c>
      <c r="D1613" s="36" t="s">
        <v>1496</v>
      </c>
      <c r="E1613" s="36" t="s">
        <v>1285</v>
      </c>
      <c r="F1613" s="36" t="s">
        <v>286</v>
      </c>
      <c r="G1613" s="36" t="s">
        <v>411</v>
      </c>
      <c r="H1613" s="37">
        <v>28.75</v>
      </c>
      <c r="I1613" s="36" t="s">
        <v>1301</v>
      </c>
      <c r="J1613" s="39" t="s">
        <v>286</v>
      </c>
      <c r="K1613" s="38"/>
      <c r="L1613" s="38"/>
    </row>
    <row r="1614" ht="22.5" customHeight="1">
      <c r="A1614" s="36" t="s">
        <v>3912</v>
      </c>
      <c r="B1614" s="36" t="s">
        <v>3913</v>
      </c>
      <c r="C1614" s="36" t="s">
        <v>1495</v>
      </c>
      <c r="D1614" s="36" t="s">
        <v>1496</v>
      </c>
      <c r="E1614" s="36" t="s">
        <v>1285</v>
      </c>
      <c r="F1614" s="36" t="s">
        <v>286</v>
      </c>
      <c r="G1614" s="36" t="s">
        <v>411</v>
      </c>
      <c r="H1614" s="37">
        <v>15.0</v>
      </c>
      <c r="I1614" s="36" t="s">
        <v>1301</v>
      </c>
      <c r="J1614" s="39" t="s">
        <v>286</v>
      </c>
      <c r="K1614" s="38"/>
      <c r="L1614" s="38"/>
    </row>
    <row r="1615" ht="22.5" customHeight="1">
      <c r="A1615" s="36" t="s">
        <v>3914</v>
      </c>
      <c r="B1615" s="36" t="s">
        <v>3915</v>
      </c>
      <c r="C1615" s="36" t="s">
        <v>1495</v>
      </c>
      <c r="D1615" s="36" t="s">
        <v>1496</v>
      </c>
      <c r="E1615" s="36" t="s">
        <v>1285</v>
      </c>
      <c r="F1615" s="36" t="s">
        <v>286</v>
      </c>
      <c r="G1615" s="36" t="s">
        <v>411</v>
      </c>
      <c r="H1615" s="37">
        <v>25.25</v>
      </c>
      <c r="I1615" s="36" t="s">
        <v>1301</v>
      </c>
      <c r="J1615" s="39" t="s">
        <v>286</v>
      </c>
      <c r="K1615" s="38"/>
      <c r="L1615" s="38"/>
    </row>
    <row r="1616" ht="22.5" customHeight="1">
      <c r="A1616" s="36" t="s">
        <v>3916</v>
      </c>
      <c r="B1616" s="36" t="s">
        <v>3917</v>
      </c>
      <c r="C1616" s="36" t="s">
        <v>1495</v>
      </c>
      <c r="D1616" s="36" t="s">
        <v>1496</v>
      </c>
      <c r="E1616" s="36" t="s">
        <v>1285</v>
      </c>
      <c r="F1616" s="36" t="s">
        <v>286</v>
      </c>
      <c r="G1616" s="36" t="s">
        <v>411</v>
      </c>
      <c r="H1616" s="37">
        <v>275.0</v>
      </c>
      <c r="I1616" s="36" t="s">
        <v>1301</v>
      </c>
      <c r="J1616" s="39" t="s">
        <v>286</v>
      </c>
      <c r="K1616" s="38"/>
      <c r="L1616" s="38"/>
    </row>
    <row r="1617" ht="22.5" customHeight="1">
      <c r="A1617" s="36" t="s">
        <v>3918</v>
      </c>
      <c r="B1617" s="36" t="s">
        <v>3919</v>
      </c>
      <c r="C1617" s="36" t="s">
        <v>1495</v>
      </c>
      <c r="D1617" s="36" t="s">
        <v>1496</v>
      </c>
      <c r="E1617" s="36" t="s">
        <v>1285</v>
      </c>
      <c r="F1617" s="36" t="s">
        <v>286</v>
      </c>
      <c r="G1617" s="36" t="s">
        <v>411</v>
      </c>
      <c r="H1617" s="37">
        <v>275.0</v>
      </c>
      <c r="I1617" s="36" t="s">
        <v>1301</v>
      </c>
      <c r="J1617" s="39" t="s">
        <v>286</v>
      </c>
      <c r="K1617" s="38"/>
      <c r="L1617" s="38"/>
    </row>
    <row r="1618" ht="22.5" customHeight="1">
      <c r="A1618" s="36" t="s">
        <v>3920</v>
      </c>
      <c r="B1618" s="36" t="s">
        <v>3921</v>
      </c>
      <c r="C1618" s="36" t="s">
        <v>1495</v>
      </c>
      <c r="D1618" s="36" t="s">
        <v>1496</v>
      </c>
      <c r="E1618" s="36" t="s">
        <v>1285</v>
      </c>
      <c r="F1618" s="36" t="s">
        <v>286</v>
      </c>
      <c r="G1618" s="36" t="s">
        <v>411</v>
      </c>
      <c r="H1618" s="37">
        <v>70.0</v>
      </c>
      <c r="I1618" s="36" t="s">
        <v>1301</v>
      </c>
      <c r="J1618" s="39" t="s">
        <v>286</v>
      </c>
      <c r="K1618" s="38"/>
      <c r="L1618" s="38"/>
    </row>
    <row r="1619" ht="22.5" customHeight="1">
      <c r="A1619" s="36" t="s">
        <v>3922</v>
      </c>
      <c r="B1619" s="36" t="s">
        <v>3923</v>
      </c>
      <c r="C1619" s="36" t="s">
        <v>1495</v>
      </c>
      <c r="D1619" s="36" t="s">
        <v>1496</v>
      </c>
      <c r="E1619" s="36" t="s">
        <v>1285</v>
      </c>
      <c r="F1619" s="36" t="s">
        <v>286</v>
      </c>
      <c r="G1619" s="36" t="s">
        <v>411</v>
      </c>
      <c r="H1619" s="37">
        <v>300.0</v>
      </c>
      <c r="I1619" s="36" t="s">
        <v>1301</v>
      </c>
      <c r="J1619" s="39" t="s">
        <v>286</v>
      </c>
      <c r="K1619" s="38"/>
      <c r="L1619" s="38"/>
    </row>
    <row r="1620" ht="22.5" customHeight="1">
      <c r="A1620" s="36" t="s">
        <v>3924</v>
      </c>
      <c r="B1620" s="36" t="s">
        <v>3925</v>
      </c>
      <c r="C1620" s="36" t="s">
        <v>1495</v>
      </c>
      <c r="D1620" s="36" t="s">
        <v>1496</v>
      </c>
      <c r="E1620" s="36" t="s">
        <v>1285</v>
      </c>
      <c r="F1620" s="36" t="s">
        <v>286</v>
      </c>
      <c r="G1620" s="36" t="s">
        <v>411</v>
      </c>
      <c r="H1620" s="37">
        <v>275.0</v>
      </c>
      <c r="I1620" s="36" t="s">
        <v>1301</v>
      </c>
      <c r="J1620" s="39" t="s">
        <v>286</v>
      </c>
      <c r="K1620" s="38"/>
      <c r="L1620" s="38"/>
    </row>
    <row r="1621" ht="22.5" customHeight="1">
      <c r="A1621" s="36" t="s">
        <v>3926</v>
      </c>
      <c r="B1621" s="36" t="s">
        <v>3927</v>
      </c>
      <c r="C1621" s="36" t="s">
        <v>1495</v>
      </c>
      <c r="D1621" s="36" t="s">
        <v>1496</v>
      </c>
      <c r="E1621" s="36" t="s">
        <v>1285</v>
      </c>
      <c r="F1621" s="36" t="s">
        <v>286</v>
      </c>
      <c r="G1621" s="36" t="s">
        <v>411</v>
      </c>
      <c r="H1621" s="37">
        <v>13.36</v>
      </c>
      <c r="I1621" s="36" t="s">
        <v>1301</v>
      </c>
      <c r="J1621" s="39" t="s">
        <v>286</v>
      </c>
      <c r="K1621" s="38"/>
      <c r="L1621" s="38"/>
    </row>
    <row r="1622" ht="22.5" customHeight="1">
      <c r="A1622" s="36" t="s">
        <v>3928</v>
      </c>
      <c r="B1622" s="36" t="s">
        <v>3929</v>
      </c>
      <c r="C1622" s="36" t="s">
        <v>1495</v>
      </c>
      <c r="D1622" s="36" t="s">
        <v>1496</v>
      </c>
      <c r="E1622" s="36" t="s">
        <v>1285</v>
      </c>
      <c r="F1622" s="36" t="s">
        <v>286</v>
      </c>
      <c r="G1622" s="36" t="s">
        <v>411</v>
      </c>
      <c r="H1622" s="37">
        <v>9.26</v>
      </c>
      <c r="I1622" s="36" t="s">
        <v>1301</v>
      </c>
      <c r="J1622" s="39" t="s">
        <v>286</v>
      </c>
      <c r="K1622" s="38"/>
      <c r="L1622" s="38"/>
    </row>
    <row r="1623" ht="22.5" customHeight="1">
      <c r="A1623" s="36" t="s">
        <v>3930</v>
      </c>
      <c r="B1623" s="36" t="s">
        <v>3931</v>
      </c>
      <c r="C1623" s="36" t="s">
        <v>1495</v>
      </c>
      <c r="D1623" s="36" t="s">
        <v>1496</v>
      </c>
      <c r="E1623" s="36" t="s">
        <v>1285</v>
      </c>
      <c r="F1623" s="36" t="s">
        <v>286</v>
      </c>
      <c r="G1623" s="36" t="s">
        <v>411</v>
      </c>
      <c r="H1623" s="37">
        <v>921.83</v>
      </c>
      <c r="I1623" s="36" t="s">
        <v>1301</v>
      </c>
      <c r="J1623" s="39" t="s">
        <v>286</v>
      </c>
      <c r="K1623" s="38"/>
      <c r="L1623" s="38"/>
    </row>
    <row r="1624" ht="22.5" customHeight="1">
      <c r="A1624" s="36" t="s">
        <v>3932</v>
      </c>
      <c r="B1624" s="36" t="s">
        <v>3933</v>
      </c>
      <c r="C1624" s="36" t="s">
        <v>1495</v>
      </c>
      <c r="D1624" s="36" t="s">
        <v>1496</v>
      </c>
      <c r="E1624" s="36" t="s">
        <v>1285</v>
      </c>
      <c r="F1624" s="36" t="s">
        <v>286</v>
      </c>
      <c r="G1624" s="36" t="s">
        <v>411</v>
      </c>
      <c r="H1624" s="37">
        <v>26.49</v>
      </c>
      <c r="I1624" s="36" t="s">
        <v>1301</v>
      </c>
      <c r="J1624" s="39" t="s">
        <v>286</v>
      </c>
      <c r="K1624" s="38"/>
      <c r="L1624" s="38"/>
    </row>
    <row r="1625" ht="22.5" customHeight="1">
      <c r="A1625" s="36" t="s">
        <v>3934</v>
      </c>
      <c r="B1625" s="36" t="s">
        <v>3935</v>
      </c>
      <c r="C1625" s="36" t="s">
        <v>1495</v>
      </c>
      <c r="D1625" s="36" t="s">
        <v>1496</v>
      </c>
      <c r="E1625" s="36" t="s">
        <v>1285</v>
      </c>
      <c r="F1625" s="36" t="s">
        <v>286</v>
      </c>
      <c r="G1625" s="36" t="s">
        <v>411</v>
      </c>
      <c r="H1625" s="37">
        <v>129.08</v>
      </c>
      <c r="I1625" s="36" t="s">
        <v>1301</v>
      </c>
      <c r="J1625" s="39" t="s">
        <v>286</v>
      </c>
      <c r="K1625" s="38"/>
      <c r="L1625" s="38"/>
    </row>
    <row r="1626" ht="22.5" customHeight="1">
      <c r="A1626" s="36" t="s">
        <v>3936</v>
      </c>
      <c r="B1626" s="36" t="s">
        <v>3937</v>
      </c>
      <c r="C1626" s="36" t="s">
        <v>1495</v>
      </c>
      <c r="D1626" s="36" t="s">
        <v>1496</v>
      </c>
      <c r="E1626" s="36" t="s">
        <v>1285</v>
      </c>
      <c r="F1626" s="36" t="s">
        <v>286</v>
      </c>
      <c r="G1626" s="36" t="s">
        <v>411</v>
      </c>
      <c r="H1626" s="37">
        <v>13.89</v>
      </c>
      <c r="I1626" s="36" t="s">
        <v>1301</v>
      </c>
      <c r="J1626" s="39" t="s">
        <v>286</v>
      </c>
      <c r="K1626" s="38"/>
      <c r="L1626" s="38"/>
    </row>
    <row r="1627" ht="22.5" customHeight="1">
      <c r="A1627" s="36" t="s">
        <v>3938</v>
      </c>
      <c r="B1627" s="36" t="s">
        <v>3939</v>
      </c>
      <c r="C1627" s="36" t="s">
        <v>1495</v>
      </c>
      <c r="D1627" s="36" t="s">
        <v>1496</v>
      </c>
      <c r="E1627" s="36" t="s">
        <v>1285</v>
      </c>
      <c r="F1627" s="36" t="s">
        <v>286</v>
      </c>
      <c r="G1627" s="36" t="s">
        <v>411</v>
      </c>
      <c r="H1627" s="37">
        <v>129.08</v>
      </c>
      <c r="I1627" s="36" t="s">
        <v>1301</v>
      </c>
      <c r="J1627" s="39" t="s">
        <v>286</v>
      </c>
      <c r="K1627" s="38"/>
      <c r="L1627" s="38"/>
    </row>
    <row r="1628" ht="22.5" customHeight="1">
      <c r="A1628" s="36" t="s">
        <v>3940</v>
      </c>
      <c r="B1628" s="36" t="s">
        <v>3941</v>
      </c>
      <c r="C1628" s="36" t="s">
        <v>1495</v>
      </c>
      <c r="D1628" s="36" t="s">
        <v>1496</v>
      </c>
      <c r="E1628" s="36" t="s">
        <v>1285</v>
      </c>
      <c r="F1628" s="36" t="s">
        <v>286</v>
      </c>
      <c r="G1628" s="36" t="s">
        <v>411</v>
      </c>
      <c r="H1628" s="37">
        <v>42.98</v>
      </c>
      <c r="I1628" s="36" t="s">
        <v>1301</v>
      </c>
      <c r="J1628" s="39" t="s">
        <v>286</v>
      </c>
      <c r="K1628" s="38"/>
      <c r="L1628" s="38"/>
    </row>
    <row r="1629" ht="22.5" customHeight="1">
      <c r="A1629" s="36" t="s">
        <v>3942</v>
      </c>
      <c r="B1629" s="36" t="s">
        <v>3943</v>
      </c>
      <c r="C1629" s="36" t="s">
        <v>1495</v>
      </c>
      <c r="D1629" s="36" t="s">
        <v>1496</v>
      </c>
      <c r="E1629" s="36" t="s">
        <v>1285</v>
      </c>
      <c r="F1629" s="36" t="s">
        <v>286</v>
      </c>
      <c r="G1629" s="36" t="s">
        <v>411</v>
      </c>
      <c r="H1629" s="37">
        <v>125.5</v>
      </c>
      <c r="I1629" s="36" t="s">
        <v>1301</v>
      </c>
      <c r="J1629" s="39" t="s">
        <v>286</v>
      </c>
      <c r="K1629" s="38"/>
      <c r="L1629" s="38"/>
    </row>
    <row r="1630" ht="22.5" customHeight="1">
      <c r="A1630" s="36" t="s">
        <v>3944</v>
      </c>
      <c r="B1630" s="36" t="s">
        <v>3945</v>
      </c>
      <c r="C1630" s="36" t="s">
        <v>1495</v>
      </c>
      <c r="D1630" s="36" t="s">
        <v>1496</v>
      </c>
      <c r="E1630" s="36" t="s">
        <v>1285</v>
      </c>
      <c r="F1630" s="36" t="s">
        <v>286</v>
      </c>
      <c r="G1630" s="36" t="s">
        <v>411</v>
      </c>
      <c r="H1630" s="37">
        <v>103.24</v>
      </c>
      <c r="I1630" s="36" t="s">
        <v>1301</v>
      </c>
      <c r="J1630" s="39" t="s">
        <v>286</v>
      </c>
      <c r="K1630" s="38"/>
      <c r="L1630" s="38"/>
    </row>
    <row r="1631" ht="22.5" customHeight="1">
      <c r="A1631" s="36" t="s">
        <v>3946</v>
      </c>
      <c r="B1631" s="36" t="s">
        <v>3947</v>
      </c>
      <c r="C1631" s="36" t="s">
        <v>1495</v>
      </c>
      <c r="D1631" s="36" t="s">
        <v>1496</v>
      </c>
      <c r="E1631" s="36" t="s">
        <v>1285</v>
      </c>
      <c r="F1631" s="36" t="s">
        <v>286</v>
      </c>
      <c r="G1631" s="36" t="s">
        <v>411</v>
      </c>
      <c r="H1631" s="37">
        <v>103.24</v>
      </c>
      <c r="I1631" s="36" t="s">
        <v>1301</v>
      </c>
      <c r="J1631" s="39" t="s">
        <v>286</v>
      </c>
      <c r="K1631" s="38"/>
      <c r="L1631" s="38"/>
    </row>
    <row r="1632" ht="22.5" customHeight="1">
      <c r="A1632" s="36" t="s">
        <v>3948</v>
      </c>
      <c r="B1632" s="36" t="s">
        <v>3949</v>
      </c>
      <c r="C1632" s="36" t="s">
        <v>1495</v>
      </c>
      <c r="D1632" s="36" t="s">
        <v>1496</v>
      </c>
      <c r="E1632" s="36" t="s">
        <v>1285</v>
      </c>
      <c r="F1632" s="36" t="s">
        <v>286</v>
      </c>
      <c r="G1632" s="36" t="s">
        <v>411</v>
      </c>
      <c r="H1632" s="37">
        <v>48.06</v>
      </c>
      <c r="I1632" s="36" t="s">
        <v>1301</v>
      </c>
      <c r="J1632" s="39" t="s">
        <v>286</v>
      </c>
      <c r="K1632" s="38"/>
      <c r="L1632" s="38"/>
    </row>
    <row r="1633" ht="22.5" customHeight="1">
      <c r="A1633" s="36" t="s">
        <v>3950</v>
      </c>
      <c r="B1633" s="36" t="s">
        <v>3951</v>
      </c>
      <c r="C1633" s="36" t="s">
        <v>1495</v>
      </c>
      <c r="D1633" s="36" t="s">
        <v>1496</v>
      </c>
      <c r="E1633" s="36" t="s">
        <v>1285</v>
      </c>
      <c r="F1633" s="36" t="s">
        <v>286</v>
      </c>
      <c r="G1633" s="36" t="s">
        <v>411</v>
      </c>
      <c r="H1633" s="37">
        <v>75.45</v>
      </c>
      <c r="I1633" s="36" t="s">
        <v>1301</v>
      </c>
      <c r="J1633" s="39" t="s">
        <v>286</v>
      </c>
      <c r="K1633" s="38"/>
      <c r="L1633" s="38"/>
    </row>
    <row r="1634" ht="22.5" customHeight="1">
      <c r="A1634" s="36" t="s">
        <v>3952</v>
      </c>
      <c r="B1634" s="36" t="s">
        <v>3953</v>
      </c>
      <c r="C1634" s="36" t="s">
        <v>1495</v>
      </c>
      <c r="D1634" s="36" t="s">
        <v>1496</v>
      </c>
      <c r="E1634" s="36" t="s">
        <v>1285</v>
      </c>
      <c r="F1634" s="36" t="s">
        <v>286</v>
      </c>
      <c r="G1634" s="36" t="s">
        <v>411</v>
      </c>
      <c r="H1634" s="37">
        <v>90.17</v>
      </c>
      <c r="I1634" s="36" t="s">
        <v>1301</v>
      </c>
      <c r="J1634" s="39" t="s">
        <v>286</v>
      </c>
      <c r="K1634" s="38"/>
      <c r="L1634" s="38"/>
    </row>
    <row r="1635" ht="22.5" customHeight="1">
      <c r="A1635" s="36" t="s">
        <v>3954</v>
      </c>
      <c r="B1635" s="36" t="s">
        <v>3955</v>
      </c>
      <c r="C1635" s="36" t="s">
        <v>1495</v>
      </c>
      <c r="D1635" s="36" t="s">
        <v>1496</v>
      </c>
      <c r="E1635" s="36" t="s">
        <v>1285</v>
      </c>
      <c r="F1635" s="36" t="s">
        <v>286</v>
      </c>
      <c r="G1635" s="36" t="s">
        <v>411</v>
      </c>
      <c r="H1635" s="37">
        <v>329.54</v>
      </c>
      <c r="I1635" s="36" t="s">
        <v>1301</v>
      </c>
      <c r="J1635" s="39" t="s">
        <v>286</v>
      </c>
      <c r="K1635" s="38"/>
      <c r="L1635" s="38"/>
    </row>
    <row r="1636" ht="22.5" customHeight="1">
      <c r="A1636" s="36" t="s">
        <v>3956</v>
      </c>
      <c r="B1636" s="36" t="s">
        <v>3957</v>
      </c>
      <c r="C1636" s="36" t="s">
        <v>1495</v>
      </c>
      <c r="D1636" s="36" t="s">
        <v>1496</v>
      </c>
      <c r="E1636" s="36" t="s">
        <v>1285</v>
      </c>
      <c r="F1636" s="36" t="s">
        <v>286</v>
      </c>
      <c r="G1636" s="36" t="s">
        <v>411</v>
      </c>
      <c r="H1636" s="37">
        <v>121.33</v>
      </c>
      <c r="I1636" s="36" t="s">
        <v>1301</v>
      </c>
      <c r="J1636" s="39" t="s">
        <v>286</v>
      </c>
      <c r="K1636" s="38"/>
      <c r="L1636" s="38"/>
    </row>
    <row r="1637" ht="22.5" customHeight="1">
      <c r="A1637" s="36" t="s">
        <v>3958</v>
      </c>
      <c r="B1637" s="36" t="s">
        <v>3959</v>
      </c>
      <c r="C1637" s="36" t="s">
        <v>1495</v>
      </c>
      <c r="D1637" s="36" t="s">
        <v>1496</v>
      </c>
      <c r="E1637" s="36" t="s">
        <v>1285</v>
      </c>
      <c r="F1637" s="36" t="s">
        <v>286</v>
      </c>
      <c r="G1637" s="36" t="s">
        <v>411</v>
      </c>
      <c r="H1637" s="37">
        <v>75.0</v>
      </c>
      <c r="I1637" s="36" t="s">
        <v>1301</v>
      </c>
      <c r="J1637" s="39" t="s">
        <v>286</v>
      </c>
      <c r="K1637" s="38"/>
      <c r="L1637" s="38"/>
    </row>
    <row r="1638" ht="22.5" customHeight="1">
      <c r="A1638" s="36" t="s">
        <v>3960</v>
      </c>
      <c r="B1638" s="36" t="s">
        <v>3961</v>
      </c>
      <c r="C1638" s="36" t="s">
        <v>1495</v>
      </c>
      <c r="D1638" s="36" t="s">
        <v>1496</v>
      </c>
      <c r="E1638" s="36" t="s">
        <v>1285</v>
      </c>
      <c r="F1638" s="36" t="s">
        <v>286</v>
      </c>
      <c r="G1638" s="36" t="s">
        <v>411</v>
      </c>
      <c r="H1638" s="37">
        <v>2.35</v>
      </c>
      <c r="I1638" s="36" t="s">
        <v>1301</v>
      </c>
      <c r="J1638" s="39" t="s">
        <v>286</v>
      </c>
      <c r="K1638" s="38"/>
      <c r="L1638" s="38"/>
    </row>
    <row r="1639" ht="22.5" customHeight="1">
      <c r="A1639" s="36" t="s">
        <v>3962</v>
      </c>
      <c r="B1639" s="36" t="s">
        <v>3963</v>
      </c>
      <c r="C1639" s="36" t="s">
        <v>1495</v>
      </c>
      <c r="D1639" s="36" t="s">
        <v>1496</v>
      </c>
      <c r="E1639" s="36" t="s">
        <v>1285</v>
      </c>
      <c r="F1639" s="36" t="s">
        <v>286</v>
      </c>
      <c r="G1639" s="36" t="s">
        <v>411</v>
      </c>
      <c r="H1639" s="37">
        <v>13.25</v>
      </c>
      <c r="I1639" s="36" t="s">
        <v>1301</v>
      </c>
      <c r="J1639" s="39" t="s">
        <v>286</v>
      </c>
      <c r="K1639" s="38"/>
      <c r="L1639" s="38"/>
    </row>
    <row r="1640" ht="22.5" customHeight="1">
      <c r="A1640" s="36" t="s">
        <v>3964</v>
      </c>
      <c r="B1640" s="36" t="s">
        <v>3965</v>
      </c>
      <c r="C1640" s="36" t="s">
        <v>1495</v>
      </c>
      <c r="D1640" s="36" t="s">
        <v>1496</v>
      </c>
      <c r="E1640" s="36" t="s">
        <v>1285</v>
      </c>
      <c r="F1640" s="36" t="s">
        <v>286</v>
      </c>
      <c r="G1640" s="36" t="s">
        <v>411</v>
      </c>
      <c r="H1640" s="37">
        <v>13.56</v>
      </c>
      <c r="I1640" s="36" t="s">
        <v>1301</v>
      </c>
      <c r="J1640" s="39" t="s">
        <v>286</v>
      </c>
      <c r="K1640" s="38"/>
      <c r="L1640" s="38"/>
    </row>
    <row r="1641" ht="22.5" customHeight="1">
      <c r="A1641" s="36" t="s">
        <v>3966</v>
      </c>
      <c r="B1641" s="36" t="s">
        <v>3967</v>
      </c>
      <c r="C1641" s="36" t="s">
        <v>1495</v>
      </c>
      <c r="D1641" s="36" t="s">
        <v>1496</v>
      </c>
      <c r="E1641" s="36" t="s">
        <v>1285</v>
      </c>
      <c r="F1641" s="36" t="s">
        <v>286</v>
      </c>
      <c r="G1641" s="36" t="s">
        <v>411</v>
      </c>
      <c r="H1641" s="37">
        <v>20.0</v>
      </c>
      <c r="I1641" s="36" t="s">
        <v>1301</v>
      </c>
      <c r="J1641" s="39" t="s">
        <v>286</v>
      </c>
      <c r="K1641" s="38"/>
      <c r="L1641" s="38"/>
    </row>
    <row r="1642" ht="22.5" customHeight="1">
      <c r="A1642" s="36" t="s">
        <v>3968</v>
      </c>
      <c r="B1642" s="36" t="s">
        <v>3969</v>
      </c>
      <c r="C1642" s="36" t="s">
        <v>1495</v>
      </c>
      <c r="D1642" s="36" t="s">
        <v>1496</v>
      </c>
      <c r="E1642" s="36" t="s">
        <v>1285</v>
      </c>
      <c r="F1642" s="36" t="s">
        <v>286</v>
      </c>
      <c r="G1642" s="36" t="s">
        <v>411</v>
      </c>
      <c r="H1642" s="37">
        <v>19.58</v>
      </c>
      <c r="I1642" s="36" t="s">
        <v>1301</v>
      </c>
      <c r="J1642" s="39" t="s">
        <v>286</v>
      </c>
      <c r="K1642" s="38"/>
      <c r="L1642" s="38"/>
    </row>
    <row r="1643" ht="22.5" customHeight="1">
      <c r="A1643" s="36" t="s">
        <v>3970</v>
      </c>
      <c r="B1643" s="36" t="s">
        <v>3971</v>
      </c>
      <c r="C1643" s="36" t="s">
        <v>1495</v>
      </c>
      <c r="D1643" s="36" t="s">
        <v>1496</v>
      </c>
      <c r="E1643" s="36" t="s">
        <v>1285</v>
      </c>
      <c r="F1643" s="36" t="s">
        <v>286</v>
      </c>
      <c r="G1643" s="36" t="s">
        <v>411</v>
      </c>
      <c r="H1643" s="37">
        <v>25.83</v>
      </c>
      <c r="I1643" s="36" t="s">
        <v>1301</v>
      </c>
      <c r="J1643" s="39" t="s">
        <v>286</v>
      </c>
      <c r="K1643" s="38"/>
      <c r="L1643" s="38"/>
    </row>
    <row r="1644" ht="22.5" customHeight="1">
      <c r="A1644" s="36" t="s">
        <v>3972</v>
      </c>
      <c r="B1644" s="36" t="s">
        <v>3973</v>
      </c>
      <c r="C1644" s="36" t="s">
        <v>1495</v>
      </c>
      <c r="D1644" s="36" t="s">
        <v>1496</v>
      </c>
      <c r="E1644" s="36" t="s">
        <v>1285</v>
      </c>
      <c r="F1644" s="36" t="s">
        <v>286</v>
      </c>
      <c r="G1644" s="36" t="s">
        <v>411</v>
      </c>
      <c r="H1644" s="37">
        <v>16.76</v>
      </c>
      <c r="I1644" s="36" t="s">
        <v>1301</v>
      </c>
      <c r="J1644" s="39" t="s">
        <v>286</v>
      </c>
      <c r="K1644" s="38"/>
      <c r="L1644" s="38"/>
    </row>
    <row r="1645" ht="22.5" customHeight="1">
      <c r="A1645" s="36" t="s">
        <v>3974</v>
      </c>
      <c r="B1645" s="36" t="s">
        <v>3975</v>
      </c>
      <c r="C1645" s="36" t="s">
        <v>1495</v>
      </c>
      <c r="D1645" s="36" t="s">
        <v>1496</v>
      </c>
      <c r="E1645" s="36" t="s">
        <v>1285</v>
      </c>
      <c r="F1645" s="36" t="s">
        <v>286</v>
      </c>
      <c r="G1645" s="36" t="s">
        <v>411</v>
      </c>
      <c r="H1645" s="37">
        <v>71.36</v>
      </c>
      <c r="I1645" s="36" t="s">
        <v>1301</v>
      </c>
      <c r="J1645" s="39" t="s">
        <v>286</v>
      </c>
      <c r="K1645" s="38"/>
      <c r="L1645" s="38"/>
    </row>
    <row r="1646" ht="22.5" customHeight="1">
      <c r="A1646" s="36" t="s">
        <v>3976</v>
      </c>
      <c r="B1646" s="36" t="s">
        <v>3977</v>
      </c>
      <c r="C1646" s="36" t="s">
        <v>1495</v>
      </c>
      <c r="D1646" s="36" t="s">
        <v>1496</v>
      </c>
      <c r="E1646" s="36" t="s">
        <v>1285</v>
      </c>
      <c r="F1646" s="36" t="s">
        <v>286</v>
      </c>
      <c r="G1646" s="36" t="s">
        <v>411</v>
      </c>
      <c r="H1646" s="37">
        <v>48.32</v>
      </c>
      <c r="I1646" s="36" t="s">
        <v>1301</v>
      </c>
      <c r="J1646" s="39" t="s">
        <v>286</v>
      </c>
      <c r="K1646" s="38"/>
      <c r="L1646" s="38"/>
    </row>
    <row r="1647" ht="22.5" customHeight="1">
      <c r="A1647" s="36" t="s">
        <v>3978</v>
      </c>
      <c r="B1647" s="36" t="s">
        <v>3979</v>
      </c>
      <c r="C1647" s="36" t="s">
        <v>1495</v>
      </c>
      <c r="D1647" s="36" t="s">
        <v>1496</v>
      </c>
      <c r="E1647" s="36" t="s">
        <v>1285</v>
      </c>
      <c r="F1647" s="36" t="s">
        <v>286</v>
      </c>
      <c r="G1647" s="36" t="s">
        <v>411</v>
      </c>
      <c r="H1647" s="37">
        <v>148.4</v>
      </c>
      <c r="I1647" s="36" t="s">
        <v>1301</v>
      </c>
      <c r="J1647" s="39" t="s">
        <v>286</v>
      </c>
      <c r="K1647" s="38"/>
      <c r="L1647" s="38"/>
    </row>
    <row r="1648" ht="22.5" customHeight="1">
      <c r="A1648" s="36" t="s">
        <v>3980</v>
      </c>
      <c r="B1648" s="36" t="s">
        <v>3981</v>
      </c>
      <c r="C1648" s="36" t="s">
        <v>1495</v>
      </c>
      <c r="D1648" s="36" t="s">
        <v>1496</v>
      </c>
      <c r="E1648" s="36" t="s">
        <v>1285</v>
      </c>
      <c r="F1648" s="36" t="s">
        <v>286</v>
      </c>
      <c r="G1648" s="36" t="s">
        <v>411</v>
      </c>
      <c r="H1648" s="37">
        <v>117.98</v>
      </c>
      <c r="I1648" s="36" t="s">
        <v>356</v>
      </c>
      <c r="J1648" s="39" t="s">
        <v>286</v>
      </c>
      <c r="K1648" s="38"/>
      <c r="L1648" s="38"/>
    </row>
    <row r="1649" ht="22.5" customHeight="1">
      <c r="A1649" s="36" t="s">
        <v>3982</v>
      </c>
      <c r="B1649" s="36" t="s">
        <v>3983</v>
      </c>
      <c r="C1649" s="36" t="s">
        <v>1495</v>
      </c>
      <c r="D1649" s="36" t="s">
        <v>1496</v>
      </c>
      <c r="E1649" s="36" t="s">
        <v>1285</v>
      </c>
      <c r="F1649" s="36" t="s">
        <v>286</v>
      </c>
      <c r="G1649" s="36" t="s">
        <v>411</v>
      </c>
      <c r="H1649" s="37">
        <v>50.81</v>
      </c>
      <c r="I1649" s="36" t="s">
        <v>1301</v>
      </c>
      <c r="J1649" s="39" t="s">
        <v>286</v>
      </c>
      <c r="K1649" s="38"/>
      <c r="L1649" s="38"/>
    </row>
    <row r="1650" ht="22.5" customHeight="1">
      <c r="A1650" s="36" t="s">
        <v>3984</v>
      </c>
      <c r="B1650" s="36" t="s">
        <v>3985</v>
      </c>
      <c r="C1650" s="36" t="s">
        <v>1495</v>
      </c>
      <c r="D1650" s="36" t="s">
        <v>1496</v>
      </c>
      <c r="E1650" s="36" t="s">
        <v>1285</v>
      </c>
      <c r="F1650" s="36" t="s">
        <v>286</v>
      </c>
      <c r="G1650" s="36" t="s">
        <v>411</v>
      </c>
      <c r="H1650" s="37">
        <v>2.92</v>
      </c>
      <c r="I1650" s="36" t="s">
        <v>1301</v>
      </c>
      <c r="J1650" s="39" t="s">
        <v>286</v>
      </c>
      <c r="K1650" s="38"/>
      <c r="L1650" s="38"/>
    </row>
    <row r="1651" ht="22.5" customHeight="1">
      <c r="A1651" s="36" t="s">
        <v>3986</v>
      </c>
      <c r="B1651" s="36" t="s">
        <v>3987</v>
      </c>
      <c r="C1651" s="36" t="s">
        <v>1495</v>
      </c>
      <c r="D1651" s="36" t="s">
        <v>1496</v>
      </c>
      <c r="E1651" s="36" t="s">
        <v>1285</v>
      </c>
      <c r="F1651" s="36" t="s">
        <v>286</v>
      </c>
      <c r="G1651" s="36" t="s">
        <v>411</v>
      </c>
      <c r="H1651" s="37">
        <v>14.92</v>
      </c>
      <c r="I1651" s="36" t="s">
        <v>1301</v>
      </c>
      <c r="J1651" s="39" t="s">
        <v>286</v>
      </c>
      <c r="K1651" s="38"/>
      <c r="L1651" s="38"/>
    </row>
    <row r="1652" ht="22.5" customHeight="1">
      <c r="A1652" s="36" t="s">
        <v>3988</v>
      </c>
      <c r="B1652" s="36" t="s">
        <v>3989</v>
      </c>
      <c r="C1652" s="36" t="s">
        <v>1495</v>
      </c>
      <c r="D1652" s="36" t="s">
        <v>1496</v>
      </c>
      <c r="E1652" s="36" t="s">
        <v>1285</v>
      </c>
      <c r="F1652" s="36" t="s">
        <v>286</v>
      </c>
      <c r="G1652" s="36" t="s">
        <v>411</v>
      </c>
      <c r="H1652" s="37">
        <v>6.8</v>
      </c>
      <c r="I1652" s="36" t="s">
        <v>1301</v>
      </c>
      <c r="J1652" s="39" t="s">
        <v>286</v>
      </c>
      <c r="K1652" s="38"/>
      <c r="L1652" s="38"/>
    </row>
    <row r="1653" ht="22.5" customHeight="1">
      <c r="A1653" s="36" t="s">
        <v>3990</v>
      </c>
      <c r="B1653" s="36" t="s">
        <v>3991</v>
      </c>
      <c r="C1653" s="36" t="s">
        <v>1495</v>
      </c>
      <c r="D1653" s="36" t="s">
        <v>1496</v>
      </c>
      <c r="E1653" s="36" t="s">
        <v>1285</v>
      </c>
      <c r="F1653" s="36" t="s">
        <v>286</v>
      </c>
      <c r="G1653" s="36" t="s">
        <v>411</v>
      </c>
      <c r="H1653" s="37">
        <v>4.13</v>
      </c>
      <c r="I1653" s="36" t="s">
        <v>1301</v>
      </c>
      <c r="J1653" s="39" t="s">
        <v>286</v>
      </c>
      <c r="K1653" s="38"/>
      <c r="L1653" s="38"/>
    </row>
    <row r="1654" ht="22.5" customHeight="1">
      <c r="A1654" s="36" t="s">
        <v>3992</v>
      </c>
      <c r="B1654" s="36" t="s">
        <v>3993</v>
      </c>
      <c r="C1654" s="36" t="s">
        <v>1495</v>
      </c>
      <c r="D1654" s="36" t="s">
        <v>1496</v>
      </c>
      <c r="E1654" s="36" t="s">
        <v>1285</v>
      </c>
      <c r="F1654" s="36" t="s">
        <v>286</v>
      </c>
      <c r="G1654" s="36" t="s">
        <v>411</v>
      </c>
      <c r="H1654" s="37">
        <v>14.21</v>
      </c>
      <c r="I1654" s="36" t="s">
        <v>1301</v>
      </c>
      <c r="J1654" s="39" t="s">
        <v>286</v>
      </c>
      <c r="K1654" s="38"/>
      <c r="L1654" s="38"/>
    </row>
    <row r="1655" ht="22.5" customHeight="1">
      <c r="A1655" s="36" t="s">
        <v>3994</v>
      </c>
      <c r="B1655" s="36" t="s">
        <v>3995</v>
      </c>
      <c r="C1655" s="36" t="s">
        <v>1495</v>
      </c>
      <c r="D1655" s="36" t="s">
        <v>1496</v>
      </c>
      <c r="E1655" s="36" t="s">
        <v>1285</v>
      </c>
      <c r="F1655" s="36" t="s">
        <v>286</v>
      </c>
      <c r="G1655" s="36" t="s">
        <v>411</v>
      </c>
      <c r="H1655" s="37">
        <v>10.54</v>
      </c>
      <c r="I1655" s="36" t="s">
        <v>1301</v>
      </c>
      <c r="J1655" s="39" t="s">
        <v>286</v>
      </c>
      <c r="K1655" s="38"/>
      <c r="L1655" s="38"/>
    </row>
    <row r="1656" ht="22.5" customHeight="1">
      <c r="A1656" s="36" t="s">
        <v>3996</v>
      </c>
      <c r="B1656" s="36" t="s">
        <v>3997</v>
      </c>
      <c r="C1656" s="36" t="s">
        <v>1495</v>
      </c>
      <c r="D1656" s="36" t="s">
        <v>1496</v>
      </c>
      <c r="E1656" s="36" t="s">
        <v>1285</v>
      </c>
      <c r="F1656" s="36" t="s">
        <v>286</v>
      </c>
      <c r="G1656" s="36" t="s">
        <v>411</v>
      </c>
      <c r="H1656" s="37">
        <v>11.5</v>
      </c>
      <c r="I1656" s="36" t="s">
        <v>1301</v>
      </c>
      <c r="J1656" s="39" t="s">
        <v>286</v>
      </c>
      <c r="K1656" s="38"/>
      <c r="L1656" s="38"/>
    </row>
    <row r="1657" ht="22.5" customHeight="1">
      <c r="A1657" s="36" t="s">
        <v>3998</v>
      </c>
      <c r="B1657" s="36" t="s">
        <v>3999</v>
      </c>
      <c r="C1657" s="36" t="s">
        <v>1495</v>
      </c>
      <c r="D1657" s="36" t="s">
        <v>1496</v>
      </c>
      <c r="E1657" s="36" t="s">
        <v>1285</v>
      </c>
      <c r="F1657" s="36" t="s">
        <v>286</v>
      </c>
      <c r="G1657" s="36" t="s">
        <v>411</v>
      </c>
      <c r="H1657" s="37">
        <v>200.0</v>
      </c>
      <c r="I1657" s="36" t="s">
        <v>1301</v>
      </c>
      <c r="J1657" s="39" t="s">
        <v>286</v>
      </c>
      <c r="K1657" s="38"/>
      <c r="L1657" s="38"/>
    </row>
    <row r="1658" ht="22.5" customHeight="1">
      <c r="A1658" s="36" t="s">
        <v>4000</v>
      </c>
      <c r="B1658" s="36" t="s">
        <v>4001</v>
      </c>
      <c r="C1658" s="36" t="s">
        <v>1495</v>
      </c>
      <c r="D1658" s="36" t="s">
        <v>1496</v>
      </c>
      <c r="E1658" s="36" t="s">
        <v>1285</v>
      </c>
      <c r="F1658" s="36" t="s">
        <v>286</v>
      </c>
      <c r="G1658" s="36" t="s">
        <v>411</v>
      </c>
      <c r="H1658" s="37">
        <v>20.51</v>
      </c>
      <c r="I1658" s="36" t="s">
        <v>1301</v>
      </c>
      <c r="J1658" s="39" t="s">
        <v>286</v>
      </c>
      <c r="K1658" s="38"/>
      <c r="L1658" s="38"/>
    </row>
    <row r="1659" ht="22.5" customHeight="1">
      <c r="A1659" s="36" t="s">
        <v>4002</v>
      </c>
      <c r="B1659" s="36" t="s">
        <v>4003</v>
      </c>
      <c r="C1659" s="36" t="s">
        <v>1495</v>
      </c>
      <c r="D1659" s="36" t="s">
        <v>1496</v>
      </c>
      <c r="E1659" s="36" t="s">
        <v>1285</v>
      </c>
      <c r="F1659" s="36" t="s">
        <v>286</v>
      </c>
      <c r="G1659" s="36" t="s">
        <v>411</v>
      </c>
      <c r="H1659" s="37">
        <v>50.0</v>
      </c>
      <c r="I1659" s="36" t="s">
        <v>1301</v>
      </c>
      <c r="J1659" s="39" t="s">
        <v>286</v>
      </c>
      <c r="K1659" s="38"/>
      <c r="L1659" s="38"/>
    </row>
    <row r="1660" ht="22.5" customHeight="1">
      <c r="A1660" s="36" t="s">
        <v>4004</v>
      </c>
      <c r="B1660" s="36" t="s">
        <v>4005</v>
      </c>
      <c r="C1660" s="36" t="s">
        <v>1495</v>
      </c>
      <c r="D1660" s="36" t="s">
        <v>1496</v>
      </c>
      <c r="E1660" s="36" t="s">
        <v>1285</v>
      </c>
      <c r="F1660" s="36" t="s">
        <v>286</v>
      </c>
      <c r="G1660" s="36" t="s">
        <v>411</v>
      </c>
      <c r="H1660" s="37">
        <v>147.0</v>
      </c>
      <c r="I1660" s="36" t="s">
        <v>1301</v>
      </c>
      <c r="J1660" s="39" t="s">
        <v>286</v>
      </c>
      <c r="K1660" s="38"/>
      <c r="L1660" s="38"/>
    </row>
    <row r="1661" ht="22.5" customHeight="1">
      <c r="A1661" s="36" t="s">
        <v>4006</v>
      </c>
      <c r="B1661" s="36" t="s">
        <v>4007</v>
      </c>
      <c r="C1661" s="36" t="s">
        <v>1495</v>
      </c>
      <c r="D1661" s="36" t="s">
        <v>1496</v>
      </c>
      <c r="E1661" s="36" t="s">
        <v>1285</v>
      </c>
      <c r="F1661" s="36" t="s">
        <v>286</v>
      </c>
      <c r="G1661" s="36" t="s">
        <v>411</v>
      </c>
      <c r="H1661" s="37">
        <v>220.0</v>
      </c>
      <c r="I1661" s="36" t="s">
        <v>1301</v>
      </c>
      <c r="J1661" s="39" t="s">
        <v>286</v>
      </c>
      <c r="K1661" s="38"/>
      <c r="L1661" s="38"/>
    </row>
    <row r="1662" ht="22.5" customHeight="1">
      <c r="A1662" s="36" t="s">
        <v>4008</v>
      </c>
      <c r="B1662" s="36" t="s">
        <v>4009</v>
      </c>
      <c r="C1662" s="36" t="s">
        <v>1495</v>
      </c>
      <c r="D1662" s="36" t="s">
        <v>1496</v>
      </c>
      <c r="E1662" s="36" t="s">
        <v>1285</v>
      </c>
      <c r="F1662" s="36" t="s">
        <v>286</v>
      </c>
      <c r="G1662" s="36" t="s">
        <v>411</v>
      </c>
      <c r="H1662" s="37">
        <v>19.36</v>
      </c>
      <c r="I1662" s="36" t="s">
        <v>1301</v>
      </c>
      <c r="J1662" s="39" t="s">
        <v>286</v>
      </c>
      <c r="K1662" s="38"/>
      <c r="L1662" s="38"/>
    </row>
    <row r="1663" ht="22.5" customHeight="1">
      <c r="A1663" s="36" t="s">
        <v>4010</v>
      </c>
      <c r="B1663" s="36" t="s">
        <v>4011</v>
      </c>
      <c r="C1663" s="36" t="s">
        <v>1495</v>
      </c>
      <c r="D1663" s="36" t="s">
        <v>1496</v>
      </c>
      <c r="E1663" s="36" t="s">
        <v>1285</v>
      </c>
      <c r="F1663" s="36" t="s">
        <v>286</v>
      </c>
      <c r="G1663" s="36" t="s">
        <v>411</v>
      </c>
      <c r="H1663" s="37">
        <v>14.31</v>
      </c>
      <c r="I1663" s="36" t="s">
        <v>1301</v>
      </c>
      <c r="J1663" s="39" t="s">
        <v>286</v>
      </c>
      <c r="K1663" s="38"/>
      <c r="L1663" s="38"/>
    </row>
    <row r="1664" ht="22.5" customHeight="1">
      <c r="A1664" s="36" t="s">
        <v>4012</v>
      </c>
      <c r="B1664" s="36" t="s">
        <v>4013</v>
      </c>
      <c r="C1664" s="36" t="s">
        <v>1495</v>
      </c>
      <c r="D1664" s="36" t="s">
        <v>1496</v>
      </c>
      <c r="E1664" s="36" t="s">
        <v>1285</v>
      </c>
      <c r="F1664" s="36" t="s">
        <v>286</v>
      </c>
      <c r="G1664" s="36" t="s">
        <v>411</v>
      </c>
      <c r="H1664" s="37">
        <v>275.0</v>
      </c>
      <c r="I1664" s="36" t="s">
        <v>1301</v>
      </c>
      <c r="J1664" s="39" t="s">
        <v>286</v>
      </c>
      <c r="K1664" s="38"/>
      <c r="L1664" s="38"/>
    </row>
    <row r="1665" ht="22.5" customHeight="1">
      <c r="A1665" s="36" t="s">
        <v>4014</v>
      </c>
      <c r="B1665" s="36" t="s">
        <v>4015</v>
      </c>
      <c r="C1665" s="36" t="s">
        <v>1495</v>
      </c>
      <c r="D1665" s="36" t="s">
        <v>1496</v>
      </c>
      <c r="E1665" s="36" t="s">
        <v>1285</v>
      </c>
      <c r="F1665" s="36" t="s">
        <v>286</v>
      </c>
      <c r="G1665" s="36" t="s">
        <v>411</v>
      </c>
      <c r="H1665" s="37">
        <v>6.88</v>
      </c>
      <c r="I1665" s="36" t="s">
        <v>1301</v>
      </c>
      <c r="J1665" s="39" t="s">
        <v>286</v>
      </c>
      <c r="K1665" s="38"/>
      <c r="L1665" s="38"/>
    </row>
    <row r="1666" ht="22.5" customHeight="1">
      <c r="A1666" s="36" t="s">
        <v>4016</v>
      </c>
      <c r="B1666" s="36" t="s">
        <v>4017</v>
      </c>
      <c r="C1666" s="36" t="s">
        <v>1495</v>
      </c>
      <c r="D1666" s="36" t="s">
        <v>1496</v>
      </c>
      <c r="E1666" s="36" t="s">
        <v>1285</v>
      </c>
      <c r="F1666" s="36" t="s">
        <v>286</v>
      </c>
      <c r="G1666" s="36" t="s">
        <v>411</v>
      </c>
      <c r="H1666" s="37">
        <v>31.25</v>
      </c>
      <c r="I1666" s="36" t="s">
        <v>1301</v>
      </c>
      <c r="J1666" s="39" t="s">
        <v>286</v>
      </c>
      <c r="K1666" s="38"/>
      <c r="L1666" s="38"/>
    </row>
    <row r="1667" ht="22.5" customHeight="1">
      <c r="A1667" s="36" t="s">
        <v>4018</v>
      </c>
      <c r="B1667" s="36" t="s">
        <v>4019</v>
      </c>
      <c r="C1667" s="36" t="s">
        <v>1495</v>
      </c>
      <c r="D1667" s="36" t="s">
        <v>1496</v>
      </c>
      <c r="E1667" s="36" t="s">
        <v>1285</v>
      </c>
      <c r="F1667" s="36" t="s">
        <v>286</v>
      </c>
      <c r="G1667" s="36" t="s">
        <v>411</v>
      </c>
      <c r="H1667" s="37">
        <v>29.17</v>
      </c>
      <c r="I1667" s="36" t="s">
        <v>1301</v>
      </c>
      <c r="J1667" s="39" t="s">
        <v>286</v>
      </c>
      <c r="K1667" s="38"/>
      <c r="L1667" s="38"/>
    </row>
    <row r="1668" ht="22.5" customHeight="1">
      <c r="A1668" s="36" t="s">
        <v>4020</v>
      </c>
      <c r="B1668" s="36" t="s">
        <v>4021</v>
      </c>
      <c r="C1668" s="36" t="s">
        <v>1495</v>
      </c>
      <c r="D1668" s="36" t="s">
        <v>1496</v>
      </c>
      <c r="E1668" s="36" t="s">
        <v>1285</v>
      </c>
      <c r="F1668" s="36" t="s">
        <v>286</v>
      </c>
      <c r="G1668" s="36" t="s">
        <v>411</v>
      </c>
      <c r="H1668" s="37">
        <v>20.83</v>
      </c>
      <c r="I1668" s="36" t="s">
        <v>1301</v>
      </c>
      <c r="J1668" s="39" t="s">
        <v>286</v>
      </c>
      <c r="K1668" s="38"/>
      <c r="L1668" s="38"/>
    </row>
    <row r="1669" ht="22.5" customHeight="1">
      <c r="A1669" s="36" t="s">
        <v>4022</v>
      </c>
      <c r="B1669" s="36" t="s">
        <v>4023</v>
      </c>
      <c r="C1669" s="36" t="s">
        <v>1495</v>
      </c>
      <c r="D1669" s="36" t="s">
        <v>1496</v>
      </c>
      <c r="E1669" s="36" t="s">
        <v>1285</v>
      </c>
      <c r="F1669" s="36" t="s">
        <v>286</v>
      </c>
      <c r="G1669" s="36" t="s">
        <v>411</v>
      </c>
      <c r="H1669" s="37">
        <v>21.25</v>
      </c>
      <c r="I1669" s="36" t="s">
        <v>1301</v>
      </c>
      <c r="J1669" s="39" t="s">
        <v>286</v>
      </c>
      <c r="K1669" s="38"/>
      <c r="L1669" s="38"/>
    </row>
    <row r="1670" ht="22.5" customHeight="1">
      <c r="A1670" s="36" t="s">
        <v>4024</v>
      </c>
      <c r="B1670" s="36" t="s">
        <v>4025</v>
      </c>
      <c r="C1670" s="36" t="s">
        <v>1495</v>
      </c>
      <c r="D1670" s="36" t="s">
        <v>1496</v>
      </c>
      <c r="E1670" s="36" t="s">
        <v>1285</v>
      </c>
      <c r="F1670" s="36" t="s">
        <v>286</v>
      </c>
      <c r="G1670" s="36" t="s">
        <v>411</v>
      </c>
      <c r="H1670" s="37">
        <v>13.75</v>
      </c>
      <c r="I1670" s="36" t="s">
        <v>1301</v>
      </c>
      <c r="J1670" s="39" t="s">
        <v>286</v>
      </c>
      <c r="K1670" s="38"/>
      <c r="L1670" s="38"/>
    </row>
    <row r="1671" ht="22.5" customHeight="1">
      <c r="A1671" s="36" t="s">
        <v>4026</v>
      </c>
      <c r="B1671" s="36" t="s">
        <v>4027</v>
      </c>
      <c r="C1671" s="36" t="s">
        <v>1495</v>
      </c>
      <c r="D1671" s="36" t="s">
        <v>1496</v>
      </c>
      <c r="E1671" s="36" t="s">
        <v>1285</v>
      </c>
      <c r="F1671" s="36" t="s">
        <v>286</v>
      </c>
      <c r="G1671" s="36" t="s">
        <v>411</v>
      </c>
      <c r="H1671" s="37">
        <v>36.16</v>
      </c>
      <c r="I1671" s="36" t="s">
        <v>1301</v>
      </c>
      <c r="J1671" s="39" t="s">
        <v>286</v>
      </c>
      <c r="K1671" s="38"/>
      <c r="L1671" s="38"/>
    </row>
    <row r="1672" ht="22.5" customHeight="1">
      <c r="A1672" s="36" t="s">
        <v>4028</v>
      </c>
      <c r="B1672" s="36" t="s">
        <v>4029</v>
      </c>
      <c r="C1672" s="36" t="s">
        <v>1495</v>
      </c>
      <c r="D1672" s="36" t="s">
        <v>1496</v>
      </c>
      <c r="E1672" s="36" t="s">
        <v>1285</v>
      </c>
      <c r="F1672" s="36" t="s">
        <v>286</v>
      </c>
      <c r="G1672" s="36" t="s">
        <v>411</v>
      </c>
      <c r="H1672" s="37">
        <v>16.0</v>
      </c>
      <c r="I1672" s="36" t="s">
        <v>1301</v>
      </c>
      <c r="J1672" s="39" t="s">
        <v>286</v>
      </c>
      <c r="K1672" s="38"/>
      <c r="L1672" s="38"/>
    </row>
    <row r="1673" ht="22.5" customHeight="1">
      <c r="A1673" s="36" t="s">
        <v>4030</v>
      </c>
      <c r="B1673" s="36" t="s">
        <v>4031</v>
      </c>
      <c r="C1673" s="36" t="s">
        <v>1495</v>
      </c>
      <c r="D1673" s="36" t="s">
        <v>1496</v>
      </c>
      <c r="E1673" s="36" t="s">
        <v>1285</v>
      </c>
      <c r="F1673" s="36" t="s">
        <v>286</v>
      </c>
      <c r="G1673" s="36" t="s">
        <v>411</v>
      </c>
      <c r="H1673" s="37">
        <v>26.53</v>
      </c>
      <c r="I1673" s="36" t="s">
        <v>1301</v>
      </c>
      <c r="J1673" s="39" t="s">
        <v>286</v>
      </c>
      <c r="K1673" s="38"/>
      <c r="L1673" s="38"/>
    </row>
    <row r="1674" ht="22.5" customHeight="1">
      <c r="A1674" s="36" t="s">
        <v>4032</v>
      </c>
      <c r="B1674" s="36" t="s">
        <v>4033</v>
      </c>
      <c r="C1674" s="36" t="s">
        <v>1495</v>
      </c>
      <c r="D1674" s="36" t="s">
        <v>1496</v>
      </c>
      <c r="E1674" s="36" t="s">
        <v>1285</v>
      </c>
      <c r="F1674" s="36" t="s">
        <v>286</v>
      </c>
      <c r="G1674" s="36" t="s">
        <v>411</v>
      </c>
      <c r="H1674" s="37">
        <v>200.0</v>
      </c>
      <c r="I1674" s="36" t="s">
        <v>1301</v>
      </c>
      <c r="J1674" s="39" t="s">
        <v>286</v>
      </c>
      <c r="K1674" s="38"/>
      <c r="L1674" s="38"/>
    </row>
    <row r="1675" ht="22.5" customHeight="1">
      <c r="A1675" s="36" t="s">
        <v>4034</v>
      </c>
      <c r="B1675" s="36" t="s">
        <v>4035</v>
      </c>
      <c r="C1675" s="36" t="s">
        <v>1495</v>
      </c>
      <c r="D1675" s="36" t="s">
        <v>1496</v>
      </c>
      <c r="E1675" s="36" t="s">
        <v>1285</v>
      </c>
      <c r="F1675" s="36" t="s">
        <v>286</v>
      </c>
      <c r="G1675" s="36" t="s">
        <v>411</v>
      </c>
      <c r="H1675" s="37">
        <v>6.88</v>
      </c>
      <c r="I1675" s="36" t="s">
        <v>1301</v>
      </c>
      <c r="J1675" s="39" t="s">
        <v>286</v>
      </c>
      <c r="K1675" s="38"/>
      <c r="L1675" s="38"/>
    </row>
    <row r="1676" ht="22.5" customHeight="1">
      <c r="A1676" s="36" t="s">
        <v>4036</v>
      </c>
      <c r="B1676" s="36" t="s">
        <v>4037</v>
      </c>
      <c r="C1676" s="36" t="s">
        <v>1495</v>
      </c>
      <c r="D1676" s="36" t="s">
        <v>1496</v>
      </c>
      <c r="E1676" s="36" t="s">
        <v>1285</v>
      </c>
      <c r="F1676" s="36" t="s">
        <v>286</v>
      </c>
      <c r="G1676" s="36" t="s">
        <v>411</v>
      </c>
      <c r="H1676" s="37">
        <v>269.72</v>
      </c>
      <c r="I1676" s="36" t="s">
        <v>1301</v>
      </c>
      <c r="J1676" s="39" t="s">
        <v>286</v>
      </c>
      <c r="K1676" s="38"/>
      <c r="L1676" s="38"/>
    </row>
    <row r="1677" ht="22.5" customHeight="1">
      <c r="A1677" s="36" t="s">
        <v>4038</v>
      </c>
      <c r="B1677" s="36" t="s">
        <v>4039</v>
      </c>
      <c r="C1677" s="36" t="s">
        <v>1495</v>
      </c>
      <c r="D1677" s="36" t="s">
        <v>1496</v>
      </c>
      <c r="E1677" s="36" t="s">
        <v>1285</v>
      </c>
      <c r="F1677" s="36" t="s">
        <v>286</v>
      </c>
      <c r="G1677" s="36" t="s">
        <v>411</v>
      </c>
      <c r="H1677" s="37">
        <v>127.64</v>
      </c>
      <c r="I1677" s="36" t="s">
        <v>1301</v>
      </c>
      <c r="J1677" s="39" t="s">
        <v>286</v>
      </c>
      <c r="K1677" s="38"/>
      <c r="L1677" s="38"/>
    </row>
    <row r="1678" ht="22.5" customHeight="1">
      <c r="A1678" s="36" t="s">
        <v>4040</v>
      </c>
      <c r="B1678" s="36" t="s">
        <v>4041</v>
      </c>
      <c r="C1678" s="36" t="s">
        <v>1495</v>
      </c>
      <c r="D1678" s="36" t="s">
        <v>1496</v>
      </c>
      <c r="E1678" s="36" t="s">
        <v>1285</v>
      </c>
      <c r="F1678" s="36" t="s">
        <v>286</v>
      </c>
      <c r="G1678" s="36" t="s">
        <v>411</v>
      </c>
      <c r="H1678" s="37">
        <v>59.31</v>
      </c>
      <c r="I1678" s="36" t="s">
        <v>1301</v>
      </c>
      <c r="J1678" s="39" t="s">
        <v>286</v>
      </c>
      <c r="K1678" s="38"/>
      <c r="L1678" s="38"/>
    </row>
    <row r="1679" ht="22.5" customHeight="1">
      <c r="A1679" s="36" t="s">
        <v>4042</v>
      </c>
      <c r="B1679" s="36" t="s">
        <v>4043</v>
      </c>
      <c r="C1679" s="36" t="s">
        <v>1495</v>
      </c>
      <c r="D1679" s="36" t="s">
        <v>1496</v>
      </c>
      <c r="E1679" s="36" t="s">
        <v>1285</v>
      </c>
      <c r="F1679" s="36" t="s">
        <v>286</v>
      </c>
      <c r="G1679" s="36" t="s">
        <v>411</v>
      </c>
      <c r="H1679" s="37">
        <v>34.72</v>
      </c>
      <c r="I1679" s="36" t="s">
        <v>1301</v>
      </c>
      <c r="J1679" s="39" t="s">
        <v>286</v>
      </c>
      <c r="K1679" s="38"/>
      <c r="L1679" s="38"/>
    </row>
    <row r="1680" ht="22.5" customHeight="1">
      <c r="A1680" s="36" t="s">
        <v>4044</v>
      </c>
      <c r="B1680" s="36" t="s">
        <v>4045</v>
      </c>
      <c r="C1680" s="36" t="s">
        <v>1495</v>
      </c>
      <c r="D1680" s="36" t="s">
        <v>1496</v>
      </c>
      <c r="E1680" s="36" t="s">
        <v>1285</v>
      </c>
      <c r="F1680" s="36" t="s">
        <v>286</v>
      </c>
      <c r="G1680" s="36" t="s">
        <v>411</v>
      </c>
      <c r="H1680" s="37">
        <v>34.31</v>
      </c>
      <c r="I1680" s="36" t="s">
        <v>1301</v>
      </c>
      <c r="J1680" s="39" t="s">
        <v>286</v>
      </c>
      <c r="K1680" s="38"/>
      <c r="L1680" s="38"/>
    </row>
    <row r="1681" ht="22.5" customHeight="1">
      <c r="A1681" s="36" t="s">
        <v>4046</v>
      </c>
      <c r="B1681" s="36" t="s">
        <v>4047</v>
      </c>
      <c r="C1681" s="36" t="s">
        <v>1495</v>
      </c>
      <c r="D1681" s="36" t="s">
        <v>1496</v>
      </c>
      <c r="E1681" s="36" t="s">
        <v>1285</v>
      </c>
      <c r="F1681" s="36" t="s">
        <v>286</v>
      </c>
      <c r="G1681" s="36" t="s">
        <v>411</v>
      </c>
      <c r="H1681" s="37">
        <v>40.56</v>
      </c>
      <c r="I1681" s="36" t="s">
        <v>1301</v>
      </c>
      <c r="J1681" s="39" t="s">
        <v>286</v>
      </c>
      <c r="K1681" s="38"/>
      <c r="L1681" s="38"/>
    </row>
    <row r="1682" ht="22.5" customHeight="1">
      <c r="A1682" s="36" t="s">
        <v>4048</v>
      </c>
      <c r="B1682" s="36" t="s">
        <v>4049</v>
      </c>
      <c r="C1682" s="36" t="s">
        <v>1495</v>
      </c>
      <c r="D1682" s="36" t="s">
        <v>1496</v>
      </c>
      <c r="E1682" s="36" t="s">
        <v>1285</v>
      </c>
      <c r="F1682" s="36" t="s">
        <v>286</v>
      </c>
      <c r="G1682" s="36" t="s">
        <v>411</v>
      </c>
      <c r="H1682" s="37">
        <v>47.22</v>
      </c>
      <c r="I1682" s="36" t="s">
        <v>1301</v>
      </c>
      <c r="J1682" s="39" t="s">
        <v>286</v>
      </c>
      <c r="K1682" s="38"/>
      <c r="L1682" s="38"/>
    </row>
    <row r="1683" ht="22.5" customHeight="1">
      <c r="A1683" s="36" t="s">
        <v>4050</v>
      </c>
      <c r="B1683" s="36" t="s">
        <v>4051</v>
      </c>
      <c r="C1683" s="36" t="s">
        <v>1495</v>
      </c>
      <c r="D1683" s="36" t="s">
        <v>1496</v>
      </c>
      <c r="E1683" s="36" t="s">
        <v>1285</v>
      </c>
      <c r="F1683" s="36" t="s">
        <v>286</v>
      </c>
      <c r="G1683" s="36" t="s">
        <v>411</v>
      </c>
      <c r="H1683" s="37">
        <v>20.69</v>
      </c>
      <c r="I1683" s="36" t="s">
        <v>1301</v>
      </c>
      <c r="J1683" s="39" t="s">
        <v>286</v>
      </c>
      <c r="K1683" s="38"/>
      <c r="L1683" s="38"/>
    </row>
    <row r="1684" ht="22.5" customHeight="1">
      <c r="A1684" s="36" t="s">
        <v>4052</v>
      </c>
      <c r="B1684" s="36" t="s">
        <v>4053</v>
      </c>
      <c r="C1684" s="36" t="s">
        <v>1495</v>
      </c>
      <c r="D1684" s="36" t="s">
        <v>1496</v>
      </c>
      <c r="E1684" s="36" t="s">
        <v>1285</v>
      </c>
      <c r="F1684" s="36" t="s">
        <v>286</v>
      </c>
      <c r="G1684" s="36" t="s">
        <v>411</v>
      </c>
      <c r="H1684" s="37">
        <v>39.86</v>
      </c>
      <c r="I1684" s="36" t="s">
        <v>1301</v>
      </c>
      <c r="J1684" s="39" t="s">
        <v>286</v>
      </c>
      <c r="K1684" s="38"/>
      <c r="L1684" s="38"/>
    </row>
    <row r="1685" ht="22.5" customHeight="1">
      <c r="A1685" s="36" t="s">
        <v>4054</v>
      </c>
      <c r="B1685" s="36" t="s">
        <v>4055</v>
      </c>
      <c r="C1685" s="36" t="s">
        <v>1495</v>
      </c>
      <c r="D1685" s="36" t="s">
        <v>1496</v>
      </c>
      <c r="E1685" s="36" t="s">
        <v>1285</v>
      </c>
      <c r="F1685" s="36" t="s">
        <v>286</v>
      </c>
      <c r="G1685" s="36" t="s">
        <v>411</v>
      </c>
      <c r="H1685" s="37">
        <v>81.39</v>
      </c>
      <c r="I1685" s="36" t="s">
        <v>1301</v>
      </c>
      <c r="J1685" s="39" t="s">
        <v>286</v>
      </c>
      <c r="K1685" s="38"/>
      <c r="L1685" s="38"/>
    </row>
    <row r="1686" ht="22.5" customHeight="1">
      <c r="A1686" s="36" t="s">
        <v>4056</v>
      </c>
      <c r="B1686" s="36" t="s">
        <v>4057</v>
      </c>
      <c r="C1686" s="36" t="s">
        <v>1495</v>
      </c>
      <c r="D1686" s="36" t="s">
        <v>1496</v>
      </c>
      <c r="E1686" s="36" t="s">
        <v>1285</v>
      </c>
      <c r="F1686" s="36" t="s">
        <v>286</v>
      </c>
      <c r="G1686" s="36" t="s">
        <v>411</v>
      </c>
      <c r="H1686" s="37">
        <v>41.06</v>
      </c>
      <c r="I1686" s="36" t="s">
        <v>1301</v>
      </c>
      <c r="J1686" s="39" t="s">
        <v>286</v>
      </c>
      <c r="K1686" s="38"/>
      <c r="L1686" s="38"/>
    </row>
    <row r="1687" ht="22.5" customHeight="1">
      <c r="A1687" s="36" t="s">
        <v>4058</v>
      </c>
      <c r="B1687" s="36" t="s">
        <v>4059</v>
      </c>
      <c r="C1687" s="36" t="s">
        <v>1495</v>
      </c>
      <c r="D1687" s="36" t="s">
        <v>1496</v>
      </c>
      <c r="E1687" s="36" t="s">
        <v>1285</v>
      </c>
      <c r="F1687" s="36" t="s">
        <v>286</v>
      </c>
      <c r="G1687" s="36" t="s">
        <v>411</v>
      </c>
      <c r="H1687" s="37">
        <v>21.33</v>
      </c>
      <c r="I1687" s="36" t="s">
        <v>1301</v>
      </c>
      <c r="J1687" s="39" t="s">
        <v>286</v>
      </c>
      <c r="K1687" s="38"/>
      <c r="L1687" s="38"/>
    </row>
    <row r="1688" ht="22.5" customHeight="1">
      <c r="A1688" s="36" t="s">
        <v>4060</v>
      </c>
      <c r="B1688" s="36" t="s">
        <v>4061</v>
      </c>
      <c r="C1688" s="36" t="s">
        <v>1495</v>
      </c>
      <c r="D1688" s="36" t="s">
        <v>1496</v>
      </c>
      <c r="E1688" s="36" t="s">
        <v>1285</v>
      </c>
      <c r="F1688" s="36" t="s">
        <v>286</v>
      </c>
      <c r="G1688" s="36" t="s">
        <v>411</v>
      </c>
      <c r="H1688" s="37">
        <v>28.9</v>
      </c>
      <c r="I1688" s="36" t="s">
        <v>1301</v>
      </c>
      <c r="J1688" s="39" t="s">
        <v>286</v>
      </c>
      <c r="K1688" s="38"/>
      <c r="L1688" s="38"/>
    </row>
    <row r="1689" ht="22.5" customHeight="1">
      <c r="A1689" s="36" t="s">
        <v>4062</v>
      </c>
      <c r="B1689" s="36" t="s">
        <v>4063</v>
      </c>
      <c r="C1689" s="36" t="s">
        <v>1495</v>
      </c>
      <c r="D1689" s="36" t="s">
        <v>1496</v>
      </c>
      <c r="E1689" s="36" t="s">
        <v>1285</v>
      </c>
      <c r="F1689" s="36" t="s">
        <v>286</v>
      </c>
      <c r="G1689" s="36" t="s">
        <v>411</v>
      </c>
      <c r="H1689" s="37">
        <v>123.42</v>
      </c>
      <c r="I1689" s="36" t="s">
        <v>1301</v>
      </c>
      <c r="J1689" s="39" t="s">
        <v>286</v>
      </c>
      <c r="K1689" s="38"/>
      <c r="L1689" s="38"/>
    </row>
    <row r="1690" ht="22.5" customHeight="1">
      <c r="A1690" s="36" t="s">
        <v>4064</v>
      </c>
      <c r="B1690" s="36" t="s">
        <v>4065</v>
      </c>
      <c r="C1690" s="36" t="s">
        <v>1495</v>
      </c>
      <c r="D1690" s="36" t="s">
        <v>1496</v>
      </c>
      <c r="E1690" s="36" t="s">
        <v>1285</v>
      </c>
      <c r="F1690" s="36" t="s">
        <v>286</v>
      </c>
      <c r="G1690" s="36" t="s">
        <v>411</v>
      </c>
      <c r="H1690" s="37">
        <v>269.72</v>
      </c>
      <c r="I1690" s="36" t="s">
        <v>1301</v>
      </c>
      <c r="J1690" s="39" t="s">
        <v>286</v>
      </c>
      <c r="K1690" s="38"/>
      <c r="L1690" s="38"/>
    </row>
    <row r="1691" ht="22.5" customHeight="1">
      <c r="A1691" s="36" t="s">
        <v>4066</v>
      </c>
      <c r="B1691" s="36" t="s">
        <v>4067</v>
      </c>
      <c r="C1691" s="36" t="s">
        <v>1495</v>
      </c>
      <c r="D1691" s="36" t="s">
        <v>1496</v>
      </c>
      <c r="E1691" s="36" t="s">
        <v>1285</v>
      </c>
      <c r="F1691" s="36" t="s">
        <v>286</v>
      </c>
      <c r="G1691" s="36" t="s">
        <v>411</v>
      </c>
      <c r="H1691" s="37">
        <v>503.26</v>
      </c>
      <c r="I1691" s="36" t="s">
        <v>1301</v>
      </c>
      <c r="J1691" s="39" t="s">
        <v>286</v>
      </c>
      <c r="K1691" s="38"/>
      <c r="L1691" s="38"/>
    </row>
    <row r="1692" ht="22.5" customHeight="1">
      <c r="A1692" s="36" t="s">
        <v>4068</v>
      </c>
      <c r="B1692" s="36" t="s">
        <v>4069</v>
      </c>
      <c r="C1692" s="36" t="s">
        <v>1495</v>
      </c>
      <c r="D1692" s="36" t="s">
        <v>1496</v>
      </c>
      <c r="E1692" s="36" t="s">
        <v>1285</v>
      </c>
      <c r="F1692" s="36" t="s">
        <v>286</v>
      </c>
      <c r="G1692" s="36" t="s">
        <v>411</v>
      </c>
      <c r="H1692" s="37">
        <v>11.5</v>
      </c>
      <c r="I1692" s="36" t="s">
        <v>1301</v>
      </c>
      <c r="J1692" s="39" t="s">
        <v>286</v>
      </c>
      <c r="K1692" s="38"/>
      <c r="L1692" s="38"/>
    </row>
    <row r="1693" ht="22.5" customHeight="1">
      <c r="A1693" s="36" t="s">
        <v>4070</v>
      </c>
      <c r="B1693" s="36" t="s">
        <v>4071</v>
      </c>
      <c r="C1693" s="36" t="s">
        <v>1495</v>
      </c>
      <c r="D1693" s="36" t="s">
        <v>1496</v>
      </c>
      <c r="E1693" s="36" t="s">
        <v>1285</v>
      </c>
      <c r="F1693" s="36" t="s">
        <v>286</v>
      </c>
      <c r="G1693" s="36" t="s">
        <v>411</v>
      </c>
      <c r="H1693" s="37">
        <v>7.45</v>
      </c>
      <c r="I1693" s="36" t="s">
        <v>1301</v>
      </c>
      <c r="J1693" s="39" t="s">
        <v>286</v>
      </c>
      <c r="K1693" s="38"/>
      <c r="L1693" s="38"/>
    </row>
    <row r="1694" ht="22.5" customHeight="1">
      <c r="A1694" s="36" t="s">
        <v>4072</v>
      </c>
      <c r="B1694" s="36" t="s">
        <v>4073</v>
      </c>
      <c r="C1694" s="36" t="s">
        <v>1495</v>
      </c>
      <c r="D1694" s="36" t="s">
        <v>1496</v>
      </c>
      <c r="E1694" s="36" t="s">
        <v>1285</v>
      </c>
      <c r="F1694" s="36" t="s">
        <v>286</v>
      </c>
      <c r="G1694" s="36" t="s">
        <v>411</v>
      </c>
      <c r="H1694" s="37">
        <v>4.89</v>
      </c>
      <c r="I1694" s="36" t="s">
        <v>1301</v>
      </c>
      <c r="J1694" s="39" t="s">
        <v>286</v>
      </c>
      <c r="K1694" s="38"/>
      <c r="L1694" s="38"/>
    </row>
    <row r="1695" ht="22.5" customHeight="1">
      <c r="A1695" s="36" t="s">
        <v>4074</v>
      </c>
      <c r="B1695" s="36" t="s">
        <v>4075</v>
      </c>
      <c r="C1695" s="36" t="s">
        <v>1495</v>
      </c>
      <c r="D1695" s="36" t="s">
        <v>1496</v>
      </c>
      <c r="E1695" s="36" t="s">
        <v>1285</v>
      </c>
      <c r="F1695" s="36" t="s">
        <v>286</v>
      </c>
      <c r="G1695" s="36" t="s">
        <v>411</v>
      </c>
      <c r="H1695" s="37">
        <v>6.07</v>
      </c>
      <c r="I1695" s="36" t="s">
        <v>1301</v>
      </c>
      <c r="J1695" s="39" t="s">
        <v>286</v>
      </c>
      <c r="K1695" s="38"/>
      <c r="L1695" s="38"/>
    </row>
    <row r="1696" ht="22.5" customHeight="1">
      <c r="A1696" s="36" t="s">
        <v>4076</v>
      </c>
      <c r="B1696" s="36" t="s">
        <v>4077</v>
      </c>
      <c r="C1696" s="36" t="s">
        <v>1495</v>
      </c>
      <c r="D1696" s="36" t="s">
        <v>1496</v>
      </c>
      <c r="E1696" s="36" t="s">
        <v>1285</v>
      </c>
      <c r="F1696" s="36" t="s">
        <v>286</v>
      </c>
      <c r="G1696" s="36" t="s">
        <v>411</v>
      </c>
      <c r="H1696" s="37">
        <v>2.67</v>
      </c>
      <c r="I1696" s="36" t="s">
        <v>1301</v>
      </c>
      <c r="J1696" s="39" t="s">
        <v>286</v>
      </c>
      <c r="K1696" s="38"/>
      <c r="L1696" s="38"/>
    </row>
    <row r="1697" ht="22.5" customHeight="1">
      <c r="A1697" s="36" t="s">
        <v>4078</v>
      </c>
      <c r="B1697" s="36" t="s">
        <v>4079</v>
      </c>
      <c r="C1697" s="36" t="s">
        <v>1495</v>
      </c>
      <c r="D1697" s="36" t="s">
        <v>1496</v>
      </c>
      <c r="E1697" s="36" t="s">
        <v>1285</v>
      </c>
      <c r="F1697" s="36" t="s">
        <v>286</v>
      </c>
      <c r="G1697" s="36" t="s">
        <v>411</v>
      </c>
      <c r="H1697" s="37">
        <v>2.84</v>
      </c>
      <c r="I1697" s="36" t="s">
        <v>1301</v>
      </c>
      <c r="J1697" s="39" t="s">
        <v>286</v>
      </c>
      <c r="K1697" s="38"/>
      <c r="L1697" s="38"/>
    </row>
    <row r="1698" ht="22.5" customHeight="1">
      <c r="A1698" s="36" t="s">
        <v>4080</v>
      </c>
      <c r="B1698" s="36" t="s">
        <v>4081</v>
      </c>
      <c r="C1698" s="36" t="s">
        <v>1495</v>
      </c>
      <c r="D1698" s="36" t="s">
        <v>1496</v>
      </c>
      <c r="E1698" s="36" t="s">
        <v>1285</v>
      </c>
      <c r="F1698" s="36" t="s">
        <v>286</v>
      </c>
      <c r="G1698" s="36" t="s">
        <v>411</v>
      </c>
      <c r="H1698" s="37">
        <v>2.22</v>
      </c>
      <c r="I1698" s="36" t="s">
        <v>1301</v>
      </c>
      <c r="J1698" s="39" t="s">
        <v>286</v>
      </c>
      <c r="K1698" s="38"/>
      <c r="L1698" s="38"/>
    </row>
    <row r="1699" ht="22.5" customHeight="1">
      <c r="A1699" s="36" t="s">
        <v>4082</v>
      </c>
      <c r="B1699" s="36" t="s">
        <v>4083</v>
      </c>
      <c r="C1699" s="36" t="s">
        <v>1495</v>
      </c>
      <c r="D1699" s="36" t="s">
        <v>1496</v>
      </c>
      <c r="E1699" s="36" t="s">
        <v>1285</v>
      </c>
      <c r="F1699" s="36" t="s">
        <v>286</v>
      </c>
      <c r="G1699" s="36" t="s">
        <v>411</v>
      </c>
      <c r="H1699" s="37">
        <v>98.0</v>
      </c>
      <c r="I1699" s="36" t="s">
        <v>1301</v>
      </c>
      <c r="J1699" s="39" t="s">
        <v>286</v>
      </c>
      <c r="K1699" s="38"/>
      <c r="L1699" s="38"/>
    </row>
    <row r="1700" ht="22.5" customHeight="1">
      <c r="A1700" s="36" t="s">
        <v>4084</v>
      </c>
      <c r="B1700" s="36" t="s">
        <v>4085</v>
      </c>
      <c r="C1700" s="36" t="s">
        <v>1495</v>
      </c>
      <c r="D1700" s="36" t="s">
        <v>1496</v>
      </c>
      <c r="E1700" s="36" t="s">
        <v>1285</v>
      </c>
      <c r="F1700" s="36" t="s">
        <v>286</v>
      </c>
      <c r="G1700" s="36" t="s">
        <v>411</v>
      </c>
      <c r="H1700" s="37">
        <v>25.33</v>
      </c>
      <c r="I1700" s="36" t="s">
        <v>1301</v>
      </c>
      <c r="J1700" s="39" t="s">
        <v>286</v>
      </c>
      <c r="K1700" s="38"/>
      <c r="L1700" s="38"/>
    </row>
    <row r="1701" ht="22.5" customHeight="1">
      <c r="A1701" s="36" t="s">
        <v>4086</v>
      </c>
      <c r="B1701" s="36" t="s">
        <v>4087</v>
      </c>
      <c r="C1701" s="36" t="s">
        <v>1495</v>
      </c>
      <c r="D1701" s="36" t="s">
        <v>1496</v>
      </c>
      <c r="E1701" s="36" t="s">
        <v>1285</v>
      </c>
      <c r="F1701" s="36" t="s">
        <v>286</v>
      </c>
      <c r="G1701" s="36" t="s">
        <v>411</v>
      </c>
      <c r="H1701" s="37">
        <v>24.81</v>
      </c>
      <c r="I1701" s="36" t="s">
        <v>1301</v>
      </c>
      <c r="J1701" s="39" t="s">
        <v>286</v>
      </c>
      <c r="K1701" s="38"/>
      <c r="L1701" s="38"/>
    </row>
    <row r="1702" ht="22.5" customHeight="1">
      <c r="A1702" s="36" t="s">
        <v>4088</v>
      </c>
      <c r="B1702" s="36" t="s">
        <v>4089</v>
      </c>
      <c r="C1702" s="36" t="s">
        <v>1495</v>
      </c>
      <c r="D1702" s="36" t="s">
        <v>1496</v>
      </c>
      <c r="E1702" s="36" t="s">
        <v>1285</v>
      </c>
      <c r="F1702" s="36" t="s">
        <v>286</v>
      </c>
      <c r="G1702" s="36" t="s">
        <v>411</v>
      </c>
      <c r="H1702" s="37">
        <v>27.44</v>
      </c>
      <c r="I1702" s="36" t="s">
        <v>1301</v>
      </c>
      <c r="J1702" s="39" t="s">
        <v>286</v>
      </c>
      <c r="K1702" s="38"/>
      <c r="L1702" s="38"/>
    </row>
    <row r="1703" ht="22.5" customHeight="1">
      <c r="A1703" s="36" t="s">
        <v>4090</v>
      </c>
      <c r="B1703" s="36" t="s">
        <v>4091</v>
      </c>
      <c r="C1703" s="36" t="s">
        <v>1495</v>
      </c>
      <c r="D1703" s="36" t="s">
        <v>1496</v>
      </c>
      <c r="E1703" s="36" t="s">
        <v>1285</v>
      </c>
      <c r="F1703" s="36" t="s">
        <v>286</v>
      </c>
      <c r="G1703" s="36" t="s">
        <v>411</v>
      </c>
      <c r="H1703" s="37">
        <v>29.56</v>
      </c>
      <c r="I1703" s="36" t="s">
        <v>1301</v>
      </c>
      <c r="J1703" s="39" t="s">
        <v>286</v>
      </c>
      <c r="K1703" s="38"/>
      <c r="L1703" s="38"/>
    </row>
    <row r="1704" ht="22.5" customHeight="1">
      <c r="A1704" s="36" t="s">
        <v>4092</v>
      </c>
      <c r="B1704" s="36" t="s">
        <v>4093</v>
      </c>
      <c r="C1704" s="36" t="s">
        <v>1495</v>
      </c>
      <c r="D1704" s="36" t="s">
        <v>1496</v>
      </c>
      <c r="E1704" s="36" t="s">
        <v>1285</v>
      </c>
      <c r="F1704" s="36" t="s">
        <v>286</v>
      </c>
      <c r="G1704" s="36" t="s">
        <v>411</v>
      </c>
      <c r="H1704" s="37">
        <v>29.56</v>
      </c>
      <c r="I1704" s="36" t="s">
        <v>1301</v>
      </c>
      <c r="J1704" s="39" t="s">
        <v>286</v>
      </c>
      <c r="K1704" s="38"/>
      <c r="L1704" s="38"/>
    </row>
    <row r="1705" ht="22.5" customHeight="1">
      <c r="A1705" s="36" t="s">
        <v>4094</v>
      </c>
      <c r="B1705" s="36" t="s">
        <v>4095</v>
      </c>
      <c r="C1705" s="36" t="s">
        <v>1495</v>
      </c>
      <c r="D1705" s="36" t="s">
        <v>1496</v>
      </c>
      <c r="E1705" s="36" t="s">
        <v>1285</v>
      </c>
      <c r="F1705" s="36" t="s">
        <v>286</v>
      </c>
      <c r="G1705" s="36" t="s">
        <v>411</v>
      </c>
      <c r="H1705" s="37">
        <v>29.56</v>
      </c>
      <c r="I1705" s="36" t="s">
        <v>1301</v>
      </c>
      <c r="J1705" s="39" t="s">
        <v>286</v>
      </c>
      <c r="K1705" s="38"/>
      <c r="L1705" s="38"/>
    </row>
    <row r="1706" ht="22.5" customHeight="1">
      <c r="A1706" s="36" t="s">
        <v>4096</v>
      </c>
      <c r="B1706" s="36" t="s">
        <v>4097</v>
      </c>
      <c r="C1706" s="36" t="s">
        <v>1495</v>
      </c>
      <c r="D1706" s="36" t="s">
        <v>1496</v>
      </c>
      <c r="E1706" s="36" t="s">
        <v>1285</v>
      </c>
      <c r="F1706" s="36" t="s">
        <v>286</v>
      </c>
      <c r="G1706" s="36" t="s">
        <v>411</v>
      </c>
      <c r="H1706" s="37">
        <v>8.6</v>
      </c>
      <c r="I1706" s="36" t="s">
        <v>1301</v>
      </c>
      <c r="J1706" s="39" t="s">
        <v>286</v>
      </c>
      <c r="K1706" s="38"/>
      <c r="L1706" s="38"/>
    </row>
    <row r="1707" ht="22.5" customHeight="1">
      <c r="A1707" s="36" t="s">
        <v>4098</v>
      </c>
      <c r="B1707" s="36" t="s">
        <v>4099</v>
      </c>
      <c r="C1707" s="36" t="s">
        <v>1495</v>
      </c>
      <c r="D1707" s="36" t="s">
        <v>1496</v>
      </c>
      <c r="E1707" s="36" t="s">
        <v>1285</v>
      </c>
      <c r="F1707" s="36" t="s">
        <v>286</v>
      </c>
      <c r="G1707" s="36" t="s">
        <v>411</v>
      </c>
      <c r="H1707" s="37">
        <v>7.6</v>
      </c>
      <c r="I1707" s="36" t="s">
        <v>1301</v>
      </c>
      <c r="J1707" s="39" t="s">
        <v>286</v>
      </c>
      <c r="K1707" s="38"/>
      <c r="L1707" s="38"/>
    </row>
    <row r="1708" ht="22.5" customHeight="1">
      <c r="A1708" s="36" t="s">
        <v>4100</v>
      </c>
      <c r="B1708" s="36" t="s">
        <v>4101</v>
      </c>
      <c r="C1708" s="36" t="s">
        <v>1495</v>
      </c>
      <c r="D1708" s="36" t="s">
        <v>1496</v>
      </c>
      <c r="E1708" s="36" t="s">
        <v>1285</v>
      </c>
      <c r="F1708" s="36" t="s">
        <v>286</v>
      </c>
      <c r="G1708" s="36" t="s">
        <v>411</v>
      </c>
      <c r="H1708" s="37">
        <v>16.75</v>
      </c>
      <c r="I1708" s="36" t="s">
        <v>1301</v>
      </c>
      <c r="J1708" s="39" t="s">
        <v>286</v>
      </c>
      <c r="K1708" s="38"/>
      <c r="L1708" s="38"/>
    </row>
    <row r="1709" ht="22.5" customHeight="1">
      <c r="A1709" s="36" t="s">
        <v>4102</v>
      </c>
      <c r="B1709" s="36" t="s">
        <v>4103</v>
      </c>
      <c r="C1709" s="36" t="s">
        <v>1495</v>
      </c>
      <c r="D1709" s="36" t="s">
        <v>1496</v>
      </c>
      <c r="E1709" s="36" t="s">
        <v>1285</v>
      </c>
      <c r="F1709" s="36" t="s">
        <v>286</v>
      </c>
      <c r="G1709" s="36" t="s">
        <v>411</v>
      </c>
      <c r="H1709" s="37">
        <v>400.0</v>
      </c>
      <c r="I1709" s="36" t="s">
        <v>1301</v>
      </c>
      <c r="J1709" s="39" t="s">
        <v>286</v>
      </c>
      <c r="K1709" s="38"/>
      <c r="L1709" s="38"/>
    </row>
    <row r="1710" ht="22.5" customHeight="1">
      <c r="A1710" s="36" t="s">
        <v>4104</v>
      </c>
      <c r="B1710" s="36" t="s">
        <v>4105</v>
      </c>
      <c r="C1710" s="36" t="s">
        <v>1495</v>
      </c>
      <c r="D1710" s="36" t="s">
        <v>1496</v>
      </c>
      <c r="E1710" s="36" t="s">
        <v>1285</v>
      </c>
      <c r="F1710" s="36" t="s">
        <v>286</v>
      </c>
      <c r="G1710" s="36" t="s">
        <v>411</v>
      </c>
      <c r="H1710" s="37">
        <v>250.0</v>
      </c>
      <c r="I1710" s="36" t="s">
        <v>1301</v>
      </c>
      <c r="J1710" s="39" t="s">
        <v>286</v>
      </c>
      <c r="K1710" s="38"/>
      <c r="L1710" s="38"/>
    </row>
    <row r="1711" ht="22.5" customHeight="1">
      <c r="A1711" s="36" t="s">
        <v>4106</v>
      </c>
      <c r="B1711" s="36" t="s">
        <v>4107</v>
      </c>
      <c r="C1711" s="36" t="s">
        <v>1495</v>
      </c>
      <c r="D1711" s="36" t="s">
        <v>1496</v>
      </c>
      <c r="E1711" s="36" t="s">
        <v>1285</v>
      </c>
      <c r="F1711" s="36" t="s">
        <v>286</v>
      </c>
      <c r="G1711" s="36" t="s">
        <v>411</v>
      </c>
      <c r="H1711" s="37">
        <v>40.0</v>
      </c>
      <c r="I1711" s="36" t="s">
        <v>1301</v>
      </c>
      <c r="J1711" s="39" t="s">
        <v>286</v>
      </c>
      <c r="K1711" s="38"/>
      <c r="L1711" s="38"/>
    </row>
    <row r="1712" ht="22.5" customHeight="1">
      <c r="A1712" s="36" t="s">
        <v>4108</v>
      </c>
      <c r="B1712" s="36" t="s">
        <v>4109</v>
      </c>
      <c r="C1712" s="36" t="s">
        <v>1495</v>
      </c>
      <c r="D1712" s="36" t="s">
        <v>1496</v>
      </c>
      <c r="E1712" s="36" t="s">
        <v>1285</v>
      </c>
      <c r="F1712" s="36" t="s">
        <v>286</v>
      </c>
      <c r="G1712" s="36" t="s">
        <v>411</v>
      </c>
      <c r="H1712" s="37">
        <v>20.0</v>
      </c>
      <c r="I1712" s="36" t="s">
        <v>1301</v>
      </c>
      <c r="J1712" s="39" t="s">
        <v>286</v>
      </c>
      <c r="K1712" s="38"/>
      <c r="L1712" s="38"/>
    </row>
    <row r="1713" ht="22.5" customHeight="1">
      <c r="A1713" s="36" t="s">
        <v>4110</v>
      </c>
      <c r="B1713" s="36" t="s">
        <v>4111</v>
      </c>
      <c r="C1713" s="36" t="s">
        <v>1495</v>
      </c>
      <c r="D1713" s="36" t="s">
        <v>1496</v>
      </c>
      <c r="E1713" s="36" t="s">
        <v>1285</v>
      </c>
      <c r="F1713" s="36" t="s">
        <v>286</v>
      </c>
      <c r="G1713" s="36" t="s">
        <v>411</v>
      </c>
      <c r="H1713" s="37">
        <v>20.0</v>
      </c>
      <c r="I1713" s="36" t="s">
        <v>1301</v>
      </c>
      <c r="J1713" s="39" t="s">
        <v>286</v>
      </c>
      <c r="K1713" s="38"/>
      <c r="L1713" s="38"/>
    </row>
    <row r="1714" ht="22.5" customHeight="1">
      <c r="A1714" s="36" t="s">
        <v>4112</v>
      </c>
      <c r="B1714" s="36" t="s">
        <v>4113</v>
      </c>
      <c r="C1714" s="36" t="s">
        <v>1495</v>
      </c>
      <c r="D1714" s="36" t="s">
        <v>1496</v>
      </c>
      <c r="E1714" s="36" t="s">
        <v>1285</v>
      </c>
      <c r="F1714" s="36" t="s">
        <v>286</v>
      </c>
      <c r="G1714" s="36" t="s">
        <v>411</v>
      </c>
      <c r="H1714" s="37">
        <v>275.0</v>
      </c>
      <c r="I1714" s="36" t="s">
        <v>1301</v>
      </c>
      <c r="J1714" s="39" t="s">
        <v>286</v>
      </c>
      <c r="K1714" s="38"/>
      <c r="L1714" s="38"/>
    </row>
    <row r="1715" ht="22.5" customHeight="1">
      <c r="A1715" s="36" t="s">
        <v>4114</v>
      </c>
      <c r="B1715" s="36" t="s">
        <v>4115</v>
      </c>
      <c r="C1715" s="36" t="s">
        <v>1495</v>
      </c>
      <c r="D1715" s="36" t="s">
        <v>1496</v>
      </c>
      <c r="E1715" s="36" t="s">
        <v>1285</v>
      </c>
      <c r="F1715" s="36" t="s">
        <v>286</v>
      </c>
      <c r="G1715" s="36" t="s">
        <v>411</v>
      </c>
      <c r="H1715" s="37">
        <v>26.05</v>
      </c>
      <c r="I1715" s="36" t="s">
        <v>1301</v>
      </c>
      <c r="J1715" s="39" t="s">
        <v>286</v>
      </c>
      <c r="K1715" s="38"/>
      <c r="L1715" s="38"/>
    </row>
    <row r="1716" ht="22.5" customHeight="1">
      <c r="A1716" s="36" t="s">
        <v>4116</v>
      </c>
      <c r="B1716" s="36" t="s">
        <v>4117</v>
      </c>
      <c r="C1716" s="36" t="s">
        <v>1495</v>
      </c>
      <c r="D1716" s="36" t="s">
        <v>1496</v>
      </c>
      <c r="E1716" s="36" t="s">
        <v>1285</v>
      </c>
      <c r="F1716" s="36" t="s">
        <v>286</v>
      </c>
      <c r="G1716" s="36" t="s">
        <v>411</v>
      </c>
      <c r="H1716" s="37">
        <v>44.0</v>
      </c>
      <c r="I1716" s="36" t="s">
        <v>1301</v>
      </c>
      <c r="J1716" s="39" t="s">
        <v>286</v>
      </c>
      <c r="K1716" s="38"/>
      <c r="L1716" s="38"/>
    </row>
    <row r="1717" ht="22.5" customHeight="1">
      <c r="A1717" s="36" t="s">
        <v>4118</v>
      </c>
      <c r="B1717" s="36" t="s">
        <v>4119</v>
      </c>
      <c r="C1717" s="36" t="s">
        <v>1495</v>
      </c>
      <c r="D1717" s="36" t="s">
        <v>1496</v>
      </c>
      <c r="E1717" s="36" t="s">
        <v>1285</v>
      </c>
      <c r="F1717" s="36" t="s">
        <v>286</v>
      </c>
      <c r="G1717" s="36" t="s">
        <v>411</v>
      </c>
      <c r="H1717" s="37">
        <v>221.0</v>
      </c>
      <c r="I1717" s="36" t="s">
        <v>1301</v>
      </c>
      <c r="J1717" s="39" t="s">
        <v>286</v>
      </c>
      <c r="K1717" s="38"/>
      <c r="L1717" s="38"/>
    </row>
    <row r="1718" ht="22.5" customHeight="1">
      <c r="A1718" s="36" t="s">
        <v>4120</v>
      </c>
      <c r="B1718" s="36" t="s">
        <v>4121</v>
      </c>
      <c r="C1718" s="36" t="s">
        <v>1495</v>
      </c>
      <c r="D1718" s="36" t="s">
        <v>1496</v>
      </c>
      <c r="E1718" s="36" t="s">
        <v>1285</v>
      </c>
      <c r="F1718" s="36" t="s">
        <v>286</v>
      </c>
      <c r="G1718" s="36" t="s">
        <v>411</v>
      </c>
      <c r="H1718" s="37">
        <v>222.0</v>
      </c>
      <c r="I1718" s="36" t="s">
        <v>1301</v>
      </c>
      <c r="J1718" s="39" t="s">
        <v>286</v>
      </c>
      <c r="K1718" s="38"/>
      <c r="L1718" s="38"/>
    </row>
    <row r="1719" ht="22.5" customHeight="1">
      <c r="A1719" s="36" t="s">
        <v>4122</v>
      </c>
      <c r="B1719" s="36" t="s">
        <v>4123</v>
      </c>
      <c r="C1719" s="36" t="s">
        <v>1495</v>
      </c>
      <c r="D1719" s="36" t="s">
        <v>1496</v>
      </c>
      <c r="E1719" s="36" t="s">
        <v>1285</v>
      </c>
      <c r="F1719" s="36" t="s">
        <v>286</v>
      </c>
      <c r="G1719" s="36" t="s">
        <v>411</v>
      </c>
      <c r="H1719" s="37">
        <v>50.0</v>
      </c>
      <c r="I1719" s="36" t="s">
        <v>1301</v>
      </c>
      <c r="J1719" s="39" t="s">
        <v>286</v>
      </c>
      <c r="K1719" s="38"/>
      <c r="L1719" s="38"/>
    </row>
    <row r="1720" ht="22.5" customHeight="1">
      <c r="A1720" s="36" t="s">
        <v>4124</v>
      </c>
      <c r="B1720" s="36" t="s">
        <v>4125</v>
      </c>
      <c r="C1720" s="36" t="s">
        <v>1495</v>
      </c>
      <c r="D1720" s="36" t="s">
        <v>1496</v>
      </c>
      <c r="E1720" s="36" t="s">
        <v>1285</v>
      </c>
      <c r="F1720" s="36" t="s">
        <v>286</v>
      </c>
      <c r="G1720" s="36" t="s">
        <v>411</v>
      </c>
      <c r="H1720" s="37">
        <v>275.0</v>
      </c>
      <c r="I1720" s="36" t="s">
        <v>1301</v>
      </c>
      <c r="J1720" s="39" t="s">
        <v>286</v>
      </c>
      <c r="K1720" s="38"/>
      <c r="L1720" s="38"/>
    </row>
    <row r="1721" ht="22.5" customHeight="1">
      <c r="A1721" s="36" t="s">
        <v>4126</v>
      </c>
      <c r="B1721" s="36" t="s">
        <v>4127</v>
      </c>
      <c r="C1721" s="36" t="s">
        <v>1495</v>
      </c>
      <c r="D1721" s="36" t="s">
        <v>1496</v>
      </c>
      <c r="E1721" s="36" t="s">
        <v>287</v>
      </c>
      <c r="F1721" s="36" t="s">
        <v>286</v>
      </c>
      <c r="G1721" s="36" t="s">
        <v>411</v>
      </c>
      <c r="H1721" s="37">
        <v>350.0</v>
      </c>
      <c r="I1721" s="36" t="s">
        <v>1301</v>
      </c>
      <c r="J1721" s="39" t="s">
        <v>286</v>
      </c>
      <c r="K1721" s="38"/>
      <c r="L1721" s="38"/>
    </row>
    <row r="1722" ht="22.5" customHeight="1">
      <c r="A1722" s="36" t="s">
        <v>4128</v>
      </c>
      <c r="B1722" s="36" t="s">
        <v>4129</v>
      </c>
      <c r="C1722" s="36" t="s">
        <v>1495</v>
      </c>
      <c r="D1722" s="36" t="s">
        <v>1496</v>
      </c>
      <c r="E1722" s="36" t="s">
        <v>287</v>
      </c>
      <c r="F1722" s="36" t="s">
        <v>286</v>
      </c>
      <c r="G1722" s="36" t="s">
        <v>411</v>
      </c>
      <c r="H1722" s="37">
        <v>275.0</v>
      </c>
      <c r="I1722" s="36" t="s">
        <v>1301</v>
      </c>
      <c r="J1722" s="39" t="s">
        <v>286</v>
      </c>
      <c r="K1722" s="38"/>
      <c r="L1722" s="38"/>
    </row>
    <row r="1723" ht="22.5" customHeight="1">
      <c r="A1723" s="36" t="s">
        <v>4130</v>
      </c>
      <c r="B1723" s="36" t="s">
        <v>4131</v>
      </c>
      <c r="C1723" s="36" t="s">
        <v>1495</v>
      </c>
      <c r="D1723" s="36" t="s">
        <v>1496</v>
      </c>
      <c r="E1723" s="36" t="s">
        <v>287</v>
      </c>
      <c r="F1723" s="36" t="s">
        <v>286</v>
      </c>
      <c r="G1723" s="36" t="s">
        <v>411</v>
      </c>
      <c r="H1723" s="37">
        <v>23.03</v>
      </c>
      <c r="I1723" s="36" t="s">
        <v>1301</v>
      </c>
      <c r="J1723" s="39" t="s">
        <v>286</v>
      </c>
      <c r="K1723" s="38"/>
      <c r="L1723" s="38"/>
    </row>
    <row r="1724" ht="22.5" customHeight="1">
      <c r="A1724" s="36" t="s">
        <v>4132</v>
      </c>
      <c r="B1724" s="36" t="s">
        <v>4133</v>
      </c>
      <c r="C1724" s="36" t="s">
        <v>1495</v>
      </c>
      <c r="D1724" s="36" t="s">
        <v>1496</v>
      </c>
      <c r="E1724" s="36" t="s">
        <v>287</v>
      </c>
      <c r="F1724" s="36" t="s">
        <v>286</v>
      </c>
      <c r="G1724" s="36" t="s">
        <v>4134</v>
      </c>
      <c r="H1724" s="37">
        <v>33.26</v>
      </c>
      <c r="I1724" s="36" t="s">
        <v>1301</v>
      </c>
      <c r="J1724" s="39" t="s">
        <v>286</v>
      </c>
      <c r="K1724" s="38"/>
      <c r="L1724" s="38"/>
    </row>
    <row r="1725" ht="22.5" customHeight="1">
      <c r="A1725" s="36" t="s">
        <v>4135</v>
      </c>
      <c r="B1725" s="36" t="s">
        <v>4136</v>
      </c>
      <c r="C1725" s="36" t="s">
        <v>1495</v>
      </c>
      <c r="D1725" s="36" t="s">
        <v>1496</v>
      </c>
      <c r="E1725" s="36" t="s">
        <v>287</v>
      </c>
      <c r="F1725" s="36" t="s">
        <v>286</v>
      </c>
      <c r="G1725" s="36" t="s">
        <v>1659</v>
      </c>
      <c r="H1725" s="37">
        <v>36.67</v>
      </c>
      <c r="I1725" s="36" t="s">
        <v>1301</v>
      </c>
      <c r="J1725" s="39" t="s">
        <v>286</v>
      </c>
      <c r="K1725" s="38"/>
      <c r="L1725" s="38"/>
    </row>
    <row r="1726" ht="22.5" customHeight="1">
      <c r="A1726" s="36" t="s">
        <v>4137</v>
      </c>
      <c r="B1726" s="36" t="s">
        <v>4138</v>
      </c>
      <c r="C1726" s="36" t="s">
        <v>1495</v>
      </c>
      <c r="D1726" s="36" t="s">
        <v>1496</v>
      </c>
      <c r="E1726" s="36" t="s">
        <v>287</v>
      </c>
      <c r="F1726" s="36" t="s">
        <v>286</v>
      </c>
      <c r="G1726" s="36" t="s">
        <v>1659</v>
      </c>
      <c r="H1726" s="37">
        <v>275.0</v>
      </c>
      <c r="I1726" s="36" t="s">
        <v>1301</v>
      </c>
      <c r="J1726" s="39" t="s">
        <v>286</v>
      </c>
      <c r="K1726" s="38"/>
      <c r="L1726" s="38"/>
    </row>
    <row r="1727" ht="22.5" customHeight="1">
      <c r="A1727" s="36" t="s">
        <v>4139</v>
      </c>
      <c r="B1727" s="36" t="s">
        <v>4140</v>
      </c>
      <c r="C1727" s="36" t="s">
        <v>1495</v>
      </c>
      <c r="D1727" s="36" t="s">
        <v>1496</v>
      </c>
      <c r="E1727" s="36" t="s">
        <v>287</v>
      </c>
      <c r="F1727" s="36" t="s">
        <v>286</v>
      </c>
      <c r="G1727" s="36" t="s">
        <v>1659</v>
      </c>
      <c r="H1727" s="37">
        <v>5450.0</v>
      </c>
      <c r="I1727" s="36" t="s">
        <v>1301</v>
      </c>
      <c r="J1727" s="39" t="s">
        <v>286</v>
      </c>
      <c r="K1727" s="38"/>
      <c r="L1727" s="38"/>
    </row>
    <row r="1728" ht="22.5" customHeight="1">
      <c r="A1728" s="36" t="s">
        <v>4141</v>
      </c>
      <c r="B1728" s="36" t="s">
        <v>4142</v>
      </c>
      <c r="C1728" s="36" t="s">
        <v>1495</v>
      </c>
      <c r="D1728" s="36" t="s">
        <v>1496</v>
      </c>
      <c r="E1728" s="36" t="s">
        <v>287</v>
      </c>
      <c r="F1728" s="36" t="s">
        <v>286</v>
      </c>
      <c r="G1728" s="36" t="s">
        <v>1659</v>
      </c>
      <c r="H1728" s="37">
        <v>29.0</v>
      </c>
      <c r="I1728" s="36" t="s">
        <v>1301</v>
      </c>
      <c r="J1728" s="39" t="s">
        <v>286</v>
      </c>
      <c r="K1728" s="38"/>
      <c r="L1728" s="38"/>
    </row>
    <row r="1729" ht="22.5" customHeight="1">
      <c r="A1729" s="36" t="s">
        <v>4143</v>
      </c>
      <c r="B1729" s="36" t="s">
        <v>4144</v>
      </c>
      <c r="C1729" s="36" t="s">
        <v>1495</v>
      </c>
      <c r="D1729" s="36" t="s">
        <v>1496</v>
      </c>
      <c r="E1729" s="36" t="s">
        <v>287</v>
      </c>
      <c r="F1729" s="36" t="s">
        <v>286</v>
      </c>
      <c r="G1729" s="36" t="s">
        <v>1659</v>
      </c>
      <c r="H1729" s="37">
        <v>9.95</v>
      </c>
      <c r="I1729" s="36" t="s">
        <v>1301</v>
      </c>
      <c r="J1729" s="39" t="s">
        <v>286</v>
      </c>
      <c r="K1729" s="38"/>
      <c r="L1729" s="38"/>
    </row>
    <row r="1730" ht="22.5" customHeight="1">
      <c r="A1730" s="36" t="s">
        <v>4145</v>
      </c>
      <c r="B1730" s="36" t="s">
        <v>4146</v>
      </c>
      <c r="C1730" s="36" t="s">
        <v>1495</v>
      </c>
      <c r="D1730" s="36" t="s">
        <v>1496</v>
      </c>
      <c r="E1730" s="36" t="s">
        <v>287</v>
      </c>
      <c r="F1730" s="36" t="s">
        <v>286</v>
      </c>
      <c r="G1730" s="36" t="s">
        <v>1659</v>
      </c>
      <c r="H1730" s="37">
        <v>148.4</v>
      </c>
      <c r="I1730" s="36" t="s">
        <v>1301</v>
      </c>
      <c r="J1730" s="39" t="s">
        <v>286</v>
      </c>
      <c r="K1730" s="38"/>
      <c r="L1730" s="38"/>
    </row>
    <row r="1731" ht="22.5" customHeight="1">
      <c r="A1731" s="36" t="s">
        <v>4147</v>
      </c>
      <c r="B1731" s="36" t="s">
        <v>4148</v>
      </c>
      <c r="C1731" s="36" t="s">
        <v>1495</v>
      </c>
      <c r="D1731" s="36" t="s">
        <v>1496</v>
      </c>
      <c r="E1731" s="36" t="s">
        <v>287</v>
      </c>
      <c r="F1731" s="36" t="s">
        <v>286</v>
      </c>
      <c r="G1731" s="36" t="s">
        <v>1659</v>
      </c>
      <c r="H1731" s="37">
        <v>148.4</v>
      </c>
      <c r="I1731" s="36" t="s">
        <v>1301</v>
      </c>
      <c r="J1731" s="39" t="s">
        <v>286</v>
      </c>
      <c r="K1731" s="38"/>
      <c r="L1731" s="38"/>
    </row>
    <row r="1732" ht="22.5" customHeight="1">
      <c r="A1732" s="36" t="s">
        <v>4149</v>
      </c>
      <c r="B1732" s="36" t="s">
        <v>4150</v>
      </c>
      <c r="C1732" s="36" t="s">
        <v>1495</v>
      </c>
      <c r="D1732" s="36" t="s">
        <v>1496</v>
      </c>
      <c r="E1732" s="36" t="s">
        <v>287</v>
      </c>
      <c r="F1732" s="36" t="s">
        <v>286</v>
      </c>
      <c r="G1732" s="36" t="s">
        <v>1659</v>
      </c>
      <c r="H1732" s="37">
        <v>26.0</v>
      </c>
      <c r="I1732" s="36" t="s">
        <v>1301</v>
      </c>
      <c r="J1732" s="39" t="s">
        <v>286</v>
      </c>
      <c r="K1732" s="38"/>
      <c r="L1732" s="38"/>
    </row>
    <row r="1733" ht="22.5" customHeight="1">
      <c r="A1733" s="36" t="s">
        <v>4151</v>
      </c>
      <c r="B1733" s="36" t="s">
        <v>4152</v>
      </c>
      <c r="C1733" s="36" t="s">
        <v>1495</v>
      </c>
      <c r="D1733" s="36" t="s">
        <v>1496</v>
      </c>
      <c r="E1733" s="36" t="s">
        <v>287</v>
      </c>
      <c r="F1733" s="36" t="s">
        <v>286</v>
      </c>
      <c r="G1733" s="36" t="s">
        <v>1659</v>
      </c>
      <c r="H1733" s="37">
        <v>11.29</v>
      </c>
      <c r="I1733" s="36" t="s">
        <v>1301</v>
      </c>
      <c r="J1733" s="39" t="s">
        <v>286</v>
      </c>
      <c r="K1733" s="38"/>
      <c r="L1733" s="38"/>
    </row>
    <row r="1734" ht="22.5" customHeight="1">
      <c r="A1734" s="36" t="s">
        <v>4153</v>
      </c>
      <c r="B1734" s="36" t="s">
        <v>4154</v>
      </c>
      <c r="C1734" s="36" t="s">
        <v>1495</v>
      </c>
      <c r="D1734" s="36" t="s">
        <v>1496</v>
      </c>
      <c r="E1734" s="36" t="s">
        <v>287</v>
      </c>
      <c r="F1734" s="36" t="s">
        <v>286</v>
      </c>
      <c r="G1734" s="36" t="s">
        <v>1659</v>
      </c>
      <c r="H1734" s="37">
        <v>250.0</v>
      </c>
      <c r="I1734" s="36" t="s">
        <v>1301</v>
      </c>
      <c r="J1734" s="39" t="s">
        <v>286</v>
      </c>
      <c r="K1734" s="38"/>
      <c r="L1734" s="38"/>
    </row>
    <row r="1735" ht="22.5" customHeight="1">
      <c r="A1735" s="36" t="s">
        <v>4155</v>
      </c>
      <c r="B1735" s="36" t="s">
        <v>4156</v>
      </c>
      <c r="C1735" s="36" t="s">
        <v>1495</v>
      </c>
      <c r="D1735" s="36" t="s">
        <v>1496</v>
      </c>
      <c r="E1735" s="36" t="s">
        <v>287</v>
      </c>
      <c r="F1735" s="36" t="s">
        <v>286</v>
      </c>
      <c r="G1735" s="36" t="s">
        <v>411</v>
      </c>
      <c r="H1735" s="37">
        <v>441.53</v>
      </c>
      <c r="I1735" s="36" t="s">
        <v>1301</v>
      </c>
      <c r="J1735" s="39" t="s">
        <v>286</v>
      </c>
      <c r="K1735" s="38"/>
      <c r="L1735" s="38"/>
    </row>
    <row r="1736" ht="22.5" customHeight="1">
      <c r="A1736" s="36" t="s">
        <v>4157</v>
      </c>
      <c r="B1736" s="36" t="s">
        <v>4158</v>
      </c>
      <c r="C1736" s="36" t="s">
        <v>1495</v>
      </c>
      <c r="D1736" s="36" t="s">
        <v>1496</v>
      </c>
      <c r="E1736" s="36" t="s">
        <v>287</v>
      </c>
      <c r="F1736" s="36" t="s">
        <v>286</v>
      </c>
      <c r="G1736" s="36" t="s">
        <v>411</v>
      </c>
      <c r="H1736" s="37">
        <v>1262.97</v>
      </c>
      <c r="I1736" s="36" t="s">
        <v>1301</v>
      </c>
      <c r="J1736" s="39" t="s">
        <v>286</v>
      </c>
      <c r="K1736" s="38"/>
      <c r="L1736" s="38"/>
    </row>
    <row r="1737" ht="22.5" customHeight="1">
      <c r="A1737" s="36" t="s">
        <v>4159</v>
      </c>
      <c r="B1737" s="36" t="s">
        <v>4160</v>
      </c>
      <c r="C1737" s="36" t="s">
        <v>1495</v>
      </c>
      <c r="D1737" s="36" t="s">
        <v>1496</v>
      </c>
      <c r="E1737" s="36" t="s">
        <v>287</v>
      </c>
      <c r="F1737" s="36" t="s">
        <v>286</v>
      </c>
      <c r="G1737" s="36" t="s">
        <v>411</v>
      </c>
      <c r="H1737" s="37">
        <v>1367.69</v>
      </c>
      <c r="I1737" s="36" t="s">
        <v>1301</v>
      </c>
      <c r="J1737" s="39" t="s">
        <v>286</v>
      </c>
      <c r="K1737" s="38"/>
      <c r="L1737" s="38"/>
    </row>
    <row r="1738" ht="22.5" customHeight="1">
      <c r="A1738" s="36" t="s">
        <v>4161</v>
      </c>
      <c r="B1738" s="36" t="s">
        <v>4162</v>
      </c>
      <c r="C1738" s="36" t="s">
        <v>1495</v>
      </c>
      <c r="D1738" s="36" t="s">
        <v>1496</v>
      </c>
      <c r="E1738" s="36" t="s">
        <v>287</v>
      </c>
      <c r="F1738" s="36" t="s">
        <v>286</v>
      </c>
      <c r="G1738" s="36" t="s">
        <v>411</v>
      </c>
      <c r="H1738" s="37">
        <v>1262.97</v>
      </c>
      <c r="I1738" s="36" t="s">
        <v>1301</v>
      </c>
      <c r="J1738" s="39" t="s">
        <v>286</v>
      </c>
      <c r="K1738" s="38"/>
      <c r="L1738" s="38"/>
    </row>
    <row r="1739" ht="22.5" customHeight="1">
      <c r="A1739" s="36" t="s">
        <v>4163</v>
      </c>
      <c r="B1739" s="36" t="s">
        <v>4164</v>
      </c>
      <c r="C1739" s="36" t="s">
        <v>1495</v>
      </c>
      <c r="D1739" s="36" t="s">
        <v>1496</v>
      </c>
      <c r="E1739" s="36" t="s">
        <v>287</v>
      </c>
      <c r="F1739" s="36" t="s">
        <v>286</v>
      </c>
      <c r="G1739" s="36" t="s">
        <v>411</v>
      </c>
      <c r="H1739" s="37">
        <v>624.28</v>
      </c>
      <c r="I1739" s="36" t="s">
        <v>1301</v>
      </c>
      <c r="J1739" s="39" t="s">
        <v>286</v>
      </c>
      <c r="K1739" s="38"/>
      <c r="L1739" s="38"/>
    </row>
    <row r="1740" ht="22.5" customHeight="1">
      <c r="A1740" s="36" t="s">
        <v>4165</v>
      </c>
      <c r="B1740" s="36" t="s">
        <v>4166</v>
      </c>
      <c r="C1740" s="36" t="s">
        <v>1495</v>
      </c>
      <c r="D1740" s="36" t="s">
        <v>1496</v>
      </c>
      <c r="E1740" s="36" t="s">
        <v>287</v>
      </c>
      <c r="F1740" s="36" t="s">
        <v>286</v>
      </c>
      <c r="G1740" s="36" t="s">
        <v>411</v>
      </c>
      <c r="H1740" s="37">
        <v>1055.52</v>
      </c>
      <c r="I1740" s="36" t="s">
        <v>1301</v>
      </c>
      <c r="J1740" s="39" t="s">
        <v>286</v>
      </c>
      <c r="K1740" s="38"/>
      <c r="L1740" s="38"/>
    </row>
    <row r="1741" ht="22.5" customHeight="1">
      <c r="A1741" s="36" t="s">
        <v>4167</v>
      </c>
      <c r="B1741" s="36" t="s">
        <v>4168</v>
      </c>
      <c r="C1741" s="36" t="s">
        <v>1495</v>
      </c>
      <c r="D1741" s="36" t="s">
        <v>1496</v>
      </c>
      <c r="E1741" s="36" t="s">
        <v>287</v>
      </c>
      <c r="F1741" s="36" t="s">
        <v>286</v>
      </c>
      <c r="G1741" s="36" t="s">
        <v>411</v>
      </c>
      <c r="H1741" s="37">
        <v>199.06</v>
      </c>
      <c r="I1741" s="36" t="s">
        <v>1301</v>
      </c>
      <c r="J1741" s="39" t="s">
        <v>286</v>
      </c>
      <c r="K1741" s="38"/>
      <c r="L1741" s="38"/>
    </row>
    <row r="1742" ht="22.5" customHeight="1">
      <c r="A1742" s="36" t="s">
        <v>4169</v>
      </c>
      <c r="B1742" s="36" t="s">
        <v>4170</v>
      </c>
      <c r="C1742" s="36" t="s">
        <v>1495</v>
      </c>
      <c r="D1742" s="36" t="s">
        <v>1496</v>
      </c>
      <c r="E1742" s="36" t="s">
        <v>287</v>
      </c>
      <c r="F1742" s="36" t="s">
        <v>286</v>
      </c>
      <c r="G1742" s="36" t="s">
        <v>411</v>
      </c>
      <c r="H1742" s="37">
        <v>725.83</v>
      </c>
      <c r="I1742" s="36" t="s">
        <v>1301</v>
      </c>
      <c r="J1742" s="39" t="s">
        <v>286</v>
      </c>
      <c r="K1742" s="38"/>
      <c r="L1742" s="38"/>
    </row>
    <row r="1743" ht="22.5" customHeight="1">
      <c r="A1743" s="36" t="s">
        <v>4171</v>
      </c>
      <c r="B1743" s="36" t="s">
        <v>4172</v>
      </c>
      <c r="C1743" s="36" t="s">
        <v>1495</v>
      </c>
      <c r="D1743" s="36" t="s">
        <v>1496</v>
      </c>
      <c r="E1743" s="36" t="s">
        <v>287</v>
      </c>
      <c r="F1743" s="36" t="s">
        <v>286</v>
      </c>
      <c r="G1743" s="36" t="s">
        <v>411</v>
      </c>
      <c r="H1743" s="37">
        <v>436.73</v>
      </c>
      <c r="I1743" s="36" t="s">
        <v>1301</v>
      </c>
      <c r="J1743" s="39" t="s">
        <v>286</v>
      </c>
      <c r="K1743" s="38"/>
      <c r="L1743" s="38"/>
    </row>
    <row r="1744" ht="22.5" customHeight="1">
      <c r="A1744" s="36" t="s">
        <v>4173</v>
      </c>
      <c r="B1744" s="36" t="s">
        <v>4174</v>
      </c>
      <c r="C1744" s="36" t="s">
        <v>1495</v>
      </c>
      <c r="D1744" s="36" t="s">
        <v>1496</v>
      </c>
      <c r="E1744" s="36" t="s">
        <v>287</v>
      </c>
      <c r="F1744" s="36" t="s">
        <v>286</v>
      </c>
      <c r="G1744" s="36" t="s">
        <v>411</v>
      </c>
      <c r="H1744" s="37">
        <v>193.56</v>
      </c>
      <c r="I1744" s="36" t="s">
        <v>1301</v>
      </c>
      <c r="J1744" s="39" t="s">
        <v>286</v>
      </c>
      <c r="K1744" s="38"/>
      <c r="L1744" s="38"/>
    </row>
    <row r="1745" ht="22.5" customHeight="1">
      <c r="A1745" s="36" t="s">
        <v>4175</v>
      </c>
      <c r="B1745" s="36" t="s">
        <v>4176</v>
      </c>
      <c r="C1745" s="36" t="s">
        <v>1495</v>
      </c>
      <c r="D1745" s="36" t="s">
        <v>1496</v>
      </c>
      <c r="E1745" s="36" t="s">
        <v>287</v>
      </c>
      <c r="F1745" s="36" t="s">
        <v>286</v>
      </c>
      <c r="G1745" s="36" t="s">
        <v>411</v>
      </c>
      <c r="H1745" s="37">
        <v>57.03</v>
      </c>
      <c r="I1745" s="36" t="s">
        <v>1301</v>
      </c>
      <c r="J1745" s="39" t="s">
        <v>286</v>
      </c>
      <c r="K1745" s="38"/>
      <c r="L1745" s="38"/>
    </row>
    <row r="1746" ht="22.5" customHeight="1">
      <c r="A1746" s="36" t="s">
        <v>4177</v>
      </c>
      <c r="B1746" s="36" t="s">
        <v>4178</v>
      </c>
      <c r="C1746" s="36" t="s">
        <v>1495</v>
      </c>
      <c r="D1746" s="36" t="s">
        <v>1496</v>
      </c>
      <c r="E1746" s="36" t="s">
        <v>287</v>
      </c>
      <c r="F1746" s="36" t="s">
        <v>286</v>
      </c>
      <c r="G1746" s="36" t="s">
        <v>411</v>
      </c>
      <c r="H1746" s="37">
        <v>274.47</v>
      </c>
      <c r="I1746" s="36" t="s">
        <v>1301</v>
      </c>
      <c r="J1746" s="39" t="s">
        <v>286</v>
      </c>
      <c r="K1746" s="38"/>
      <c r="L1746" s="38"/>
    </row>
    <row r="1747" ht="22.5" customHeight="1">
      <c r="A1747" s="36" t="s">
        <v>4179</v>
      </c>
      <c r="B1747" s="36" t="s">
        <v>4180</v>
      </c>
      <c r="C1747" s="36" t="s">
        <v>1495</v>
      </c>
      <c r="D1747" s="36" t="s">
        <v>1496</v>
      </c>
      <c r="E1747" s="36" t="s">
        <v>287</v>
      </c>
      <c r="F1747" s="36" t="s">
        <v>286</v>
      </c>
      <c r="G1747" s="36" t="s">
        <v>411</v>
      </c>
      <c r="H1747" s="37">
        <v>46.57</v>
      </c>
      <c r="I1747" s="36" t="s">
        <v>1301</v>
      </c>
      <c r="J1747" s="39" t="s">
        <v>286</v>
      </c>
      <c r="K1747" s="38"/>
      <c r="L1747" s="38"/>
    </row>
    <row r="1748" ht="22.5" customHeight="1">
      <c r="A1748" s="36" t="s">
        <v>4181</v>
      </c>
      <c r="B1748" s="36" t="s">
        <v>4182</v>
      </c>
      <c r="C1748" s="36" t="s">
        <v>1495</v>
      </c>
      <c r="D1748" s="36" t="s">
        <v>1496</v>
      </c>
      <c r="E1748" s="36" t="s">
        <v>287</v>
      </c>
      <c r="F1748" s="36" t="s">
        <v>286</v>
      </c>
      <c r="G1748" s="36" t="s">
        <v>411</v>
      </c>
      <c r="H1748" s="37">
        <v>80.42</v>
      </c>
      <c r="I1748" s="36" t="s">
        <v>1301</v>
      </c>
      <c r="J1748" s="39" t="s">
        <v>286</v>
      </c>
      <c r="K1748" s="38"/>
      <c r="L1748" s="38"/>
    </row>
    <row r="1749" ht="22.5" customHeight="1">
      <c r="A1749" s="36" t="s">
        <v>4183</v>
      </c>
      <c r="B1749" s="36" t="s">
        <v>4184</v>
      </c>
      <c r="C1749" s="36" t="s">
        <v>1495</v>
      </c>
      <c r="D1749" s="36" t="s">
        <v>1496</v>
      </c>
      <c r="E1749" s="36" t="s">
        <v>287</v>
      </c>
      <c r="F1749" s="36" t="s">
        <v>286</v>
      </c>
      <c r="G1749" s="36" t="s">
        <v>411</v>
      </c>
      <c r="H1749" s="37">
        <v>58.15</v>
      </c>
      <c r="I1749" s="36" t="s">
        <v>1301</v>
      </c>
      <c r="J1749" s="39" t="s">
        <v>286</v>
      </c>
      <c r="K1749" s="38"/>
      <c r="L1749" s="38"/>
    </row>
    <row r="1750" ht="22.5" customHeight="1">
      <c r="A1750" s="36" t="s">
        <v>4185</v>
      </c>
      <c r="B1750" s="36" t="s">
        <v>4186</v>
      </c>
      <c r="C1750" s="36" t="s">
        <v>1495</v>
      </c>
      <c r="D1750" s="36" t="s">
        <v>1496</v>
      </c>
      <c r="E1750" s="36" t="s">
        <v>287</v>
      </c>
      <c r="F1750" s="36" t="s">
        <v>286</v>
      </c>
      <c r="G1750" s="36" t="s">
        <v>411</v>
      </c>
      <c r="H1750" s="37">
        <v>57.03</v>
      </c>
      <c r="I1750" s="36" t="s">
        <v>1301</v>
      </c>
      <c r="J1750" s="39" t="s">
        <v>286</v>
      </c>
      <c r="K1750" s="38"/>
      <c r="L1750" s="38"/>
    </row>
    <row r="1751" ht="22.5" customHeight="1">
      <c r="A1751" s="36" t="s">
        <v>4187</v>
      </c>
      <c r="B1751" s="36" t="s">
        <v>4188</v>
      </c>
      <c r="C1751" s="36" t="s">
        <v>1495</v>
      </c>
      <c r="D1751" s="36" t="s">
        <v>1496</v>
      </c>
      <c r="E1751" s="36" t="s">
        <v>287</v>
      </c>
      <c r="F1751" s="36" t="s">
        <v>286</v>
      </c>
      <c r="G1751" s="36" t="s">
        <v>411</v>
      </c>
      <c r="H1751" s="37">
        <v>498.0</v>
      </c>
      <c r="I1751" s="36" t="s">
        <v>1301</v>
      </c>
      <c r="J1751" s="39" t="s">
        <v>286</v>
      </c>
      <c r="K1751" s="38"/>
      <c r="L1751" s="38"/>
    </row>
    <row r="1752" ht="22.5" customHeight="1">
      <c r="A1752" s="36" t="s">
        <v>4189</v>
      </c>
      <c r="B1752" s="36" t="s">
        <v>4190</v>
      </c>
      <c r="C1752" s="36" t="s">
        <v>1495</v>
      </c>
      <c r="D1752" s="36" t="s">
        <v>1496</v>
      </c>
      <c r="E1752" s="36" t="s">
        <v>287</v>
      </c>
      <c r="F1752" s="36" t="s">
        <v>286</v>
      </c>
      <c r="G1752" s="36" t="s">
        <v>411</v>
      </c>
      <c r="H1752" s="37">
        <v>2800.0</v>
      </c>
      <c r="I1752" s="36" t="s">
        <v>1301</v>
      </c>
      <c r="J1752" s="39" t="s">
        <v>286</v>
      </c>
      <c r="K1752" s="38"/>
      <c r="L1752" s="38"/>
    </row>
    <row r="1753" ht="22.5" customHeight="1">
      <c r="A1753" s="36" t="s">
        <v>4191</v>
      </c>
      <c r="B1753" s="36" t="s">
        <v>4192</v>
      </c>
      <c r="C1753" s="36" t="s">
        <v>1495</v>
      </c>
      <c r="D1753" s="36" t="s">
        <v>1496</v>
      </c>
      <c r="E1753" s="36" t="s">
        <v>287</v>
      </c>
      <c r="F1753" s="36" t="s">
        <v>286</v>
      </c>
      <c r="G1753" s="36" t="s">
        <v>411</v>
      </c>
      <c r="H1753" s="37">
        <v>6490.0</v>
      </c>
      <c r="I1753" s="36" t="s">
        <v>1301</v>
      </c>
      <c r="J1753" s="39" t="s">
        <v>286</v>
      </c>
      <c r="K1753" s="38"/>
      <c r="L1753" s="38"/>
    </row>
    <row r="1754" ht="22.5" customHeight="1">
      <c r="A1754" s="36" t="s">
        <v>4193</v>
      </c>
      <c r="B1754" s="36" t="s">
        <v>4194</v>
      </c>
      <c r="C1754" s="36" t="s">
        <v>1495</v>
      </c>
      <c r="D1754" s="36" t="s">
        <v>1496</v>
      </c>
      <c r="E1754" s="36" t="s">
        <v>287</v>
      </c>
      <c r="F1754" s="36" t="s">
        <v>286</v>
      </c>
      <c r="G1754" s="36" t="s">
        <v>1659</v>
      </c>
      <c r="H1754" s="37">
        <v>50.0</v>
      </c>
      <c r="I1754" s="36" t="s">
        <v>1301</v>
      </c>
      <c r="J1754" s="39" t="s">
        <v>286</v>
      </c>
      <c r="K1754" s="38"/>
      <c r="L1754" s="38"/>
    </row>
    <row r="1755" ht="22.5" customHeight="1">
      <c r="A1755" s="36" t="s">
        <v>4195</v>
      </c>
      <c r="B1755" s="36" t="s">
        <v>4196</v>
      </c>
      <c r="C1755" s="36" t="s">
        <v>1495</v>
      </c>
      <c r="D1755" s="36" t="s">
        <v>1496</v>
      </c>
      <c r="E1755" s="36" t="s">
        <v>287</v>
      </c>
      <c r="F1755" s="36" t="s">
        <v>286</v>
      </c>
      <c r="G1755" s="36" t="s">
        <v>1659</v>
      </c>
      <c r="H1755" s="37">
        <v>25.0</v>
      </c>
      <c r="I1755" s="36" t="s">
        <v>1301</v>
      </c>
      <c r="J1755" s="39" t="s">
        <v>286</v>
      </c>
      <c r="K1755" s="38"/>
      <c r="L1755" s="38"/>
    </row>
    <row r="1756" ht="22.5" customHeight="1">
      <c r="A1756" s="36" t="s">
        <v>4197</v>
      </c>
      <c r="B1756" s="36" t="s">
        <v>4198</v>
      </c>
      <c r="C1756" s="36" t="s">
        <v>1495</v>
      </c>
      <c r="D1756" s="36" t="s">
        <v>1496</v>
      </c>
      <c r="E1756" s="36" t="s">
        <v>287</v>
      </c>
      <c r="F1756" s="36" t="s">
        <v>286</v>
      </c>
      <c r="G1756" s="36" t="s">
        <v>1659</v>
      </c>
      <c r="H1756" s="37">
        <v>4.08</v>
      </c>
      <c r="I1756" s="36" t="s">
        <v>1301</v>
      </c>
      <c r="J1756" s="39" t="s">
        <v>286</v>
      </c>
      <c r="K1756" s="38"/>
      <c r="L1756" s="38"/>
    </row>
    <row r="1757" ht="22.5" customHeight="1">
      <c r="A1757" s="36" t="s">
        <v>4199</v>
      </c>
      <c r="B1757" s="36" t="s">
        <v>4200</v>
      </c>
      <c r="C1757" s="36" t="s">
        <v>1495</v>
      </c>
      <c r="D1757" s="36" t="s">
        <v>1496</v>
      </c>
      <c r="E1757" s="36" t="s">
        <v>287</v>
      </c>
      <c r="F1757" s="36" t="s">
        <v>286</v>
      </c>
      <c r="G1757" s="36" t="s">
        <v>1659</v>
      </c>
      <c r="H1757" s="37">
        <v>3.25</v>
      </c>
      <c r="I1757" s="36" t="s">
        <v>1301</v>
      </c>
      <c r="J1757" s="39" t="s">
        <v>286</v>
      </c>
      <c r="K1757" s="38"/>
      <c r="L1757" s="38"/>
    </row>
    <row r="1758" ht="22.5" customHeight="1">
      <c r="A1758" s="36" t="s">
        <v>4201</v>
      </c>
      <c r="B1758" s="36" t="s">
        <v>4202</v>
      </c>
      <c r="C1758" s="36" t="s">
        <v>1495</v>
      </c>
      <c r="D1758" s="36" t="s">
        <v>1496</v>
      </c>
      <c r="E1758" s="36" t="s">
        <v>287</v>
      </c>
      <c r="F1758" s="36" t="s">
        <v>286</v>
      </c>
      <c r="G1758" s="36" t="s">
        <v>1659</v>
      </c>
      <c r="H1758" s="37">
        <v>275.0</v>
      </c>
      <c r="I1758" s="36" t="s">
        <v>1301</v>
      </c>
      <c r="J1758" s="39" t="s">
        <v>286</v>
      </c>
      <c r="K1758" s="38"/>
      <c r="L1758" s="38"/>
    </row>
    <row r="1759" ht="22.5" customHeight="1">
      <c r="A1759" s="36" t="s">
        <v>4203</v>
      </c>
      <c r="B1759" s="36" t="s">
        <v>4204</v>
      </c>
      <c r="C1759" s="36" t="s">
        <v>1495</v>
      </c>
      <c r="D1759" s="36" t="s">
        <v>1496</v>
      </c>
      <c r="E1759" s="36" t="s">
        <v>287</v>
      </c>
      <c r="F1759" s="36" t="s">
        <v>286</v>
      </c>
      <c r="G1759" s="36" t="s">
        <v>1659</v>
      </c>
      <c r="H1759" s="37">
        <v>43.5</v>
      </c>
      <c r="I1759" s="36" t="s">
        <v>1301</v>
      </c>
      <c r="J1759" s="39" t="s">
        <v>286</v>
      </c>
      <c r="K1759" s="38"/>
      <c r="L1759" s="38"/>
    </row>
    <row r="1760" ht="22.5" customHeight="1">
      <c r="A1760" s="36" t="s">
        <v>4205</v>
      </c>
      <c r="B1760" s="36" t="s">
        <v>4206</v>
      </c>
      <c r="C1760" s="36" t="s">
        <v>1495</v>
      </c>
      <c r="D1760" s="36" t="s">
        <v>1496</v>
      </c>
      <c r="E1760" s="36" t="s">
        <v>287</v>
      </c>
      <c r="F1760" s="36" t="s">
        <v>286</v>
      </c>
      <c r="G1760" s="36" t="s">
        <v>1659</v>
      </c>
      <c r="H1760" s="37">
        <v>69.63</v>
      </c>
      <c r="I1760" s="36" t="s">
        <v>1301</v>
      </c>
      <c r="J1760" s="39" t="s">
        <v>286</v>
      </c>
      <c r="K1760" s="38"/>
      <c r="L1760" s="38"/>
    </row>
    <row r="1761" ht="22.5" customHeight="1">
      <c r="A1761" s="36" t="s">
        <v>4207</v>
      </c>
      <c r="B1761" s="36" t="s">
        <v>4208</v>
      </c>
      <c r="C1761" s="36" t="s">
        <v>1495</v>
      </c>
      <c r="D1761" s="36" t="s">
        <v>1496</v>
      </c>
      <c r="E1761" s="36" t="s">
        <v>287</v>
      </c>
      <c r="F1761" s="36" t="s">
        <v>286</v>
      </c>
      <c r="G1761" s="36" t="s">
        <v>1659</v>
      </c>
      <c r="H1761" s="37">
        <v>300.0</v>
      </c>
      <c r="I1761" s="36" t="s">
        <v>1301</v>
      </c>
      <c r="J1761" s="39" t="s">
        <v>286</v>
      </c>
      <c r="K1761" s="38"/>
      <c r="L1761" s="38"/>
    </row>
    <row r="1762" ht="22.5" customHeight="1">
      <c r="A1762" s="36" t="s">
        <v>4209</v>
      </c>
      <c r="B1762" s="36" t="s">
        <v>4210</v>
      </c>
      <c r="C1762" s="36" t="s">
        <v>1495</v>
      </c>
      <c r="D1762" s="36" t="s">
        <v>1496</v>
      </c>
      <c r="E1762" s="36" t="s">
        <v>287</v>
      </c>
      <c r="F1762" s="36" t="s">
        <v>286</v>
      </c>
      <c r="G1762" s="36" t="s">
        <v>1659</v>
      </c>
      <c r="H1762" s="37">
        <v>398.0</v>
      </c>
      <c r="I1762" s="36" t="s">
        <v>1301</v>
      </c>
      <c r="J1762" s="39" t="s">
        <v>286</v>
      </c>
      <c r="K1762" s="38"/>
      <c r="L1762" s="38"/>
    </row>
    <row r="1763" ht="22.5" customHeight="1">
      <c r="A1763" s="36" t="s">
        <v>4211</v>
      </c>
      <c r="B1763" s="36" t="s">
        <v>4212</v>
      </c>
      <c r="C1763" s="36" t="s">
        <v>1495</v>
      </c>
      <c r="D1763" s="36" t="s">
        <v>1496</v>
      </c>
      <c r="E1763" s="36" t="s">
        <v>287</v>
      </c>
      <c r="F1763" s="36" t="s">
        <v>286</v>
      </c>
      <c r="G1763" s="36" t="s">
        <v>1659</v>
      </c>
      <c r="H1763" s="37">
        <v>280.0</v>
      </c>
      <c r="I1763" s="36" t="s">
        <v>1301</v>
      </c>
      <c r="J1763" s="39" t="s">
        <v>286</v>
      </c>
      <c r="K1763" s="38"/>
      <c r="L1763" s="38"/>
    </row>
    <row r="1764" ht="22.5" customHeight="1">
      <c r="A1764" s="36" t="s">
        <v>4213</v>
      </c>
      <c r="B1764" s="36" t="s">
        <v>4214</v>
      </c>
      <c r="C1764" s="36" t="s">
        <v>1495</v>
      </c>
      <c r="D1764" s="36" t="s">
        <v>1496</v>
      </c>
      <c r="E1764" s="36" t="s">
        <v>287</v>
      </c>
      <c r="F1764" s="36" t="s">
        <v>286</v>
      </c>
      <c r="G1764" s="36" t="s">
        <v>1659</v>
      </c>
      <c r="H1764" s="37">
        <v>86.1</v>
      </c>
      <c r="I1764" s="36" t="s">
        <v>1301</v>
      </c>
      <c r="J1764" s="39" t="s">
        <v>286</v>
      </c>
      <c r="K1764" s="38"/>
      <c r="L1764" s="38"/>
    </row>
    <row r="1765" ht="22.5" customHeight="1">
      <c r="A1765" s="36" t="s">
        <v>4215</v>
      </c>
      <c r="B1765" s="36" t="s">
        <v>4216</v>
      </c>
      <c r="C1765" s="36" t="s">
        <v>1495</v>
      </c>
      <c r="D1765" s="36" t="s">
        <v>1496</v>
      </c>
      <c r="E1765" s="36" t="s">
        <v>287</v>
      </c>
      <c r="F1765" s="36" t="s">
        <v>286</v>
      </c>
      <c r="G1765" s="36" t="s">
        <v>1659</v>
      </c>
      <c r="H1765" s="37">
        <v>51.14</v>
      </c>
      <c r="I1765" s="36" t="s">
        <v>1301</v>
      </c>
      <c r="J1765" s="39" t="s">
        <v>286</v>
      </c>
      <c r="K1765" s="38"/>
      <c r="L1765" s="38"/>
    </row>
    <row r="1766" ht="22.5" customHeight="1">
      <c r="A1766" s="36" t="s">
        <v>4217</v>
      </c>
      <c r="B1766" s="36" t="s">
        <v>4218</v>
      </c>
      <c r="C1766" s="36" t="s">
        <v>1495</v>
      </c>
      <c r="D1766" s="36" t="s">
        <v>1496</v>
      </c>
      <c r="E1766" s="36" t="s">
        <v>287</v>
      </c>
      <c r="F1766" s="36" t="s">
        <v>286</v>
      </c>
      <c r="G1766" s="36" t="s">
        <v>1659</v>
      </c>
      <c r="H1766" s="37">
        <v>27.9</v>
      </c>
      <c r="I1766" s="36" t="s">
        <v>1301</v>
      </c>
      <c r="J1766" s="39" t="s">
        <v>286</v>
      </c>
      <c r="K1766" s="38"/>
      <c r="L1766" s="38"/>
    </row>
    <row r="1767" ht="22.5" customHeight="1">
      <c r="A1767" s="36" t="s">
        <v>4219</v>
      </c>
      <c r="B1767" s="36" t="s">
        <v>4220</v>
      </c>
      <c r="C1767" s="36" t="s">
        <v>1495</v>
      </c>
      <c r="D1767" s="36" t="s">
        <v>1496</v>
      </c>
      <c r="E1767" s="36" t="s">
        <v>287</v>
      </c>
      <c r="F1767" s="36" t="s">
        <v>286</v>
      </c>
      <c r="G1767" s="36" t="s">
        <v>1659</v>
      </c>
      <c r="H1767" s="37">
        <v>18.6</v>
      </c>
      <c r="I1767" s="36" t="s">
        <v>1301</v>
      </c>
      <c r="J1767" s="39" t="s">
        <v>286</v>
      </c>
      <c r="K1767" s="38"/>
      <c r="L1767" s="38"/>
    </row>
    <row r="1768" ht="22.5" customHeight="1">
      <c r="A1768" s="36" t="s">
        <v>4221</v>
      </c>
      <c r="B1768" s="36" t="s">
        <v>4222</v>
      </c>
      <c r="C1768" s="36" t="s">
        <v>1495</v>
      </c>
      <c r="D1768" s="36" t="s">
        <v>1496</v>
      </c>
      <c r="E1768" s="36" t="s">
        <v>287</v>
      </c>
      <c r="F1768" s="36" t="s">
        <v>286</v>
      </c>
      <c r="G1768" s="36" t="s">
        <v>1659</v>
      </c>
      <c r="H1768" s="37">
        <v>275.0</v>
      </c>
      <c r="I1768" s="36" t="s">
        <v>1301</v>
      </c>
      <c r="J1768" s="39" t="s">
        <v>286</v>
      </c>
      <c r="K1768" s="38"/>
      <c r="L1768" s="38"/>
    </row>
    <row r="1769" ht="22.5" customHeight="1">
      <c r="A1769" s="36" t="s">
        <v>4223</v>
      </c>
      <c r="B1769" s="36" t="s">
        <v>4224</v>
      </c>
      <c r="C1769" s="36" t="s">
        <v>1495</v>
      </c>
      <c r="D1769" s="36" t="s">
        <v>1496</v>
      </c>
      <c r="E1769" s="36" t="s">
        <v>1285</v>
      </c>
      <c r="F1769" s="36" t="s">
        <v>286</v>
      </c>
      <c r="G1769" s="36" t="s">
        <v>1659</v>
      </c>
      <c r="H1769" s="37">
        <v>54.0</v>
      </c>
      <c r="I1769" s="36" t="s">
        <v>1301</v>
      </c>
      <c r="J1769" s="39" t="s">
        <v>286</v>
      </c>
      <c r="K1769" s="38"/>
      <c r="L1769" s="38"/>
    </row>
    <row r="1770" ht="22.5" customHeight="1">
      <c r="A1770" s="36" t="s">
        <v>4225</v>
      </c>
      <c r="B1770" s="36" t="s">
        <v>4226</v>
      </c>
      <c r="C1770" s="36" t="s">
        <v>1495</v>
      </c>
      <c r="D1770" s="36" t="s">
        <v>1496</v>
      </c>
      <c r="E1770" s="36" t="s">
        <v>1285</v>
      </c>
      <c r="F1770" s="36" t="s">
        <v>286</v>
      </c>
      <c r="G1770" s="36" t="s">
        <v>1659</v>
      </c>
      <c r="H1770" s="37">
        <v>22.33</v>
      </c>
      <c r="I1770" s="36" t="s">
        <v>1301</v>
      </c>
      <c r="J1770" s="39" t="s">
        <v>286</v>
      </c>
      <c r="K1770" s="38"/>
      <c r="L1770" s="38"/>
    </row>
    <row r="1771" ht="22.5" customHeight="1">
      <c r="A1771" s="36" t="s">
        <v>4227</v>
      </c>
      <c r="B1771" s="36" t="s">
        <v>4228</v>
      </c>
      <c r="C1771" s="36" t="s">
        <v>1495</v>
      </c>
      <c r="D1771" s="36" t="s">
        <v>1496</v>
      </c>
      <c r="E1771" s="36" t="s">
        <v>1285</v>
      </c>
      <c r="F1771" s="36" t="s">
        <v>286</v>
      </c>
      <c r="G1771" s="36" t="s">
        <v>1659</v>
      </c>
      <c r="H1771" s="37">
        <v>27.9</v>
      </c>
      <c r="I1771" s="36" t="s">
        <v>1301</v>
      </c>
      <c r="J1771" s="39" t="s">
        <v>286</v>
      </c>
      <c r="K1771" s="38"/>
      <c r="L1771" s="38"/>
    </row>
    <row r="1772" ht="22.5" customHeight="1">
      <c r="A1772" s="36" t="s">
        <v>4229</v>
      </c>
      <c r="B1772" s="36" t="s">
        <v>4230</v>
      </c>
      <c r="C1772" s="36" t="s">
        <v>1495</v>
      </c>
      <c r="D1772" s="36" t="s">
        <v>1496</v>
      </c>
      <c r="E1772" s="36" t="s">
        <v>1285</v>
      </c>
      <c r="F1772" s="36" t="s">
        <v>286</v>
      </c>
      <c r="G1772" s="36" t="s">
        <v>1659</v>
      </c>
      <c r="H1772" s="37">
        <v>69.0</v>
      </c>
      <c r="I1772" s="36" t="s">
        <v>1301</v>
      </c>
      <c r="J1772" s="39" t="s">
        <v>286</v>
      </c>
      <c r="K1772" s="38"/>
      <c r="L1772" s="38"/>
    </row>
    <row r="1773" ht="22.5" customHeight="1">
      <c r="A1773" s="36" t="s">
        <v>4231</v>
      </c>
      <c r="B1773" s="36" t="s">
        <v>4232</v>
      </c>
      <c r="C1773" s="36" t="s">
        <v>1495</v>
      </c>
      <c r="D1773" s="36" t="s">
        <v>1496</v>
      </c>
      <c r="E1773" s="36" t="s">
        <v>1285</v>
      </c>
      <c r="F1773" s="36" t="s">
        <v>286</v>
      </c>
      <c r="G1773" s="36" t="s">
        <v>1659</v>
      </c>
      <c r="H1773" s="37">
        <v>73.0</v>
      </c>
      <c r="I1773" s="36" t="s">
        <v>1301</v>
      </c>
      <c r="J1773" s="39" t="s">
        <v>286</v>
      </c>
      <c r="K1773" s="38"/>
      <c r="L1773" s="38"/>
    </row>
    <row r="1774" ht="22.5" customHeight="1">
      <c r="A1774" s="36" t="s">
        <v>4233</v>
      </c>
      <c r="B1774" s="36" t="s">
        <v>4234</v>
      </c>
      <c r="C1774" s="36" t="s">
        <v>1495</v>
      </c>
      <c r="D1774" s="36" t="s">
        <v>1496</v>
      </c>
      <c r="E1774" s="36" t="s">
        <v>1285</v>
      </c>
      <c r="F1774" s="36" t="s">
        <v>286</v>
      </c>
      <c r="G1774" s="36" t="s">
        <v>1659</v>
      </c>
      <c r="H1774" s="37">
        <v>18.0</v>
      </c>
      <c r="I1774" s="36" t="s">
        <v>1301</v>
      </c>
      <c r="J1774" s="39" t="s">
        <v>286</v>
      </c>
      <c r="K1774" s="38"/>
      <c r="L1774" s="38"/>
    </row>
    <row r="1775" ht="22.5" customHeight="1">
      <c r="A1775" s="36" t="s">
        <v>4235</v>
      </c>
      <c r="B1775" s="36" t="s">
        <v>4236</v>
      </c>
      <c r="C1775" s="36" t="s">
        <v>1495</v>
      </c>
      <c r="D1775" s="36" t="s">
        <v>1496</v>
      </c>
      <c r="E1775" s="36" t="s">
        <v>1285</v>
      </c>
      <c r="F1775" s="36" t="s">
        <v>286</v>
      </c>
      <c r="G1775" s="36" t="s">
        <v>1659</v>
      </c>
      <c r="H1775" s="37">
        <v>145.35</v>
      </c>
      <c r="I1775" s="36" t="s">
        <v>1301</v>
      </c>
      <c r="J1775" s="39" t="s">
        <v>286</v>
      </c>
      <c r="K1775" s="38"/>
      <c r="L1775" s="38"/>
    </row>
    <row r="1776" ht="22.5" customHeight="1">
      <c r="A1776" s="36" t="s">
        <v>4237</v>
      </c>
      <c r="B1776" s="36" t="s">
        <v>4238</v>
      </c>
      <c r="C1776" s="36" t="s">
        <v>1495</v>
      </c>
      <c r="D1776" s="36" t="s">
        <v>1496</v>
      </c>
      <c r="E1776" s="36" t="s">
        <v>1285</v>
      </c>
      <c r="F1776" s="36" t="s">
        <v>286</v>
      </c>
      <c r="G1776" s="36" t="s">
        <v>1659</v>
      </c>
      <c r="H1776" s="37">
        <v>141.6</v>
      </c>
      <c r="I1776" s="36" t="s">
        <v>1301</v>
      </c>
      <c r="J1776" s="39" t="s">
        <v>286</v>
      </c>
      <c r="K1776" s="38"/>
      <c r="L1776" s="38"/>
    </row>
    <row r="1777" ht="22.5" customHeight="1">
      <c r="A1777" s="36" t="s">
        <v>4239</v>
      </c>
      <c r="B1777" s="36" t="s">
        <v>4240</v>
      </c>
      <c r="C1777" s="36" t="s">
        <v>1495</v>
      </c>
      <c r="D1777" s="36" t="s">
        <v>1496</v>
      </c>
      <c r="E1777" s="36" t="s">
        <v>1285</v>
      </c>
      <c r="F1777" s="36" t="s">
        <v>286</v>
      </c>
      <c r="G1777" s="36" t="s">
        <v>1659</v>
      </c>
      <c r="H1777" s="37">
        <v>138.8</v>
      </c>
      <c r="I1777" s="36" t="s">
        <v>1301</v>
      </c>
      <c r="J1777" s="39" t="s">
        <v>286</v>
      </c>
      <c r="K1777" s="38"/>
      <c r="L1777" s="38"/>
    </row>
    <row r="1778" ht="22.5" customHeight="1">
      <c r="A1778" s="36" t="s">
        <v>4241</v>
      </c>
      <c r="B1778" s="36" t="s">
        <v>4242</v>
      </c>
      <c r="C1778" s="36" t="s">
        <v>1495</v>
      </c>
      <c r="D1778" s="36" t="s">
        <v>1496</v>
      </c>
      <c r="E1778" s="36" t="s">
        <v>1285</v>
      </c>
      <c r="F1778" s="36" t="s">
        <v>286</v>
      </c>
      <c r="G1778" s="36" t="s">
        <v>1659</v>
      </c>
      <c r="H1778" s="37">
        <v>145.35</v>
      </c>
      <c r="I1778" s="36" t="s">
        <v>1301</v>
      </c>
      <c r="J1778" s="39" t="s">
        <v>286</v>
      </c>
      <c r="K1778" s="38"/>
      <c r="L1778" s="38"/>
    </row>
    <row r="1779" ht="22.5" customHeight="1">
      <c r="A1779" s="36" t="s">
        <v>4243</v>
      </c>
      <c r="B1779" s="36" t="s">
        <v>4244</v>
      </c>
      <c r="C1779" s="36" t="s">
        <v>1495</v>
      </c>
      <c r="D1779" s="36" t="s">
        <v>1496</v>
      </c>
      <c r="E1779" s="36" t="s">
        <v>1285</v>
      </c>
      <c r="F1779" s="36" t="s">
        <v>286</v>
      </c>
      <c r="G1779" s="36" t="s">
        <v>1659</v>
      </c>
      <c r="H1779" s="37">
        <v>148.4</v>
      </c>
      <c r="I1779" s="36" t="s">
        <v>1301</v>
      </c>
      <c r="J1779" s="39" t="s">
        <v>286</v>
      </c>
      <c r="K1779" s="38"/>
      <c r="L1779" s="38"/>
    </row>
    <row r="1780" ht="22.5" customHeight="1">
      <c r="A1780" s="36" t="s">
        <v>4245</v>
      </c>
      <c r="B1780" s="36" t="s">
        <v>4246</v>
      </c>
      <c r="C1780" s="36" t="s">
        <v>1495</v>
      </c>
      <c r="D1780" s="36" t="s">
        <v>1496</v>
      </c>
      <c r="E1780" s="36" t="s">
        <v>1285</v>
      </c>
      <c r="F1780" s="36" t="s">
        <v>286</v>
      </c>
      <c r="G1780" s="36" t="s">
        <v>1659</v>
      </c>
      <c r="H1780" s="37">
        <v>24.55</v>
      </c>
      <c r="I1780" s="36" t="s">
        <v>1301</v>
      </c>
      <c r="J1780" s="39" t="s">
        <v>286</v>
      </c>
      <c r="K1780" s="38"/>
      <c r="L1780" s="38"/>
    </row>
    <row r="1781" ht="22.5" customHeight="1">
      <c r="A1781" s="36" t="s">
        <v>4247</v>
      </c>
      <c r="B1781" s="36" t="s">
        <v>4248</v>
      </c>
      <c r="C1781" s="36" t="s">
        <v>1495</v>
      </c>
      <c r="D1781" s="36" t="s">
        <v>1496</v>
      </c>
      <c r="E1781" s="36" t="s">
        <v>1285</v>
      </c>
      <c r="F1781" s="36" t="s">
        <v>286</v>
      </c>
      <c r="G1781" s="36" t="s">
        <v>442</v>
      </c>
      <c r="H1781" s="37">
        <v>650.0</v>
      </c>
      <c r="I1781" s="36" t="s">
        <v>1301</v>
      </c>
      <c r="J1781" s="39" t="s">
        <v>286</v>
      </c>
      <c r="K1781" s="38"/>
      <c r="L1781" s="38"/>
    </row>
    <row r="1782" ht="22.5" customHeight="1">
      <c r="A1782" s="36" t="s">
        <v>4249</v>
      </c>
      <c r="B1782" s="36" t="s">
        <v>4250</v>
      </c>
      <c r="C1782" s="36" t="s">
        <v>1495</v>
      </c>
      <c r="D1782" s="36" t="s">
        <v>1496</v>
      </c>
      <c r="E1782" s="36" t="s">
        <v>1285</v>
      </c>
      <c r="F1782" s="36" t="s">
        <v>286</v>
      </c>
      <c r="G1782" s="36" t="s">
        <v>1659</v>
      </c>
      <c r="H1782" s="37">
        <v>18.0</v>
      </c>
      <c r="I1782" s="36" t="s">
        <v>1301</v>
      </c>
      <c r="J1782" s="39" t="s">
        <v>286</v>
      </c>
      <c r="K1782" s="38"/>
      <c r="L1782" s="38"/>
    </row>
    <row r="1783" ht="22.5" customHeight="1">
      <c r="A1783" s="36" t="s">
        <v>4251</v>
      </c>
      <c r="B1783" s="36" t="s">
        <v>4252</v>
      </c>
      <c r="C1783" s="36" t="s">
        <v>1495</v>
      </c>
      <c r="D1783" s="36" t="s">
        <v>1496</v>
      </c>
      <c r="E1783" s="36" t="s">
        <v>1285</v>
      </c>
      <c r="F1783" s="36" t="s">
        <v>286</v>
      </c>
      <c r="G1783" s="36" t="s">
        <v>1659</v>
      </c>
      <c r="H1783" s="37">
        <v>27.5</v>
      </c>
      <c r="I1783" s="36" t="s">
        <v>1301</v>
      </c>
      <c r="J1783" s="39" t="s">
        <v>286</v>
      </c>
      <c r="K1783" s="38"/>
      <c r="L1783" s="38"/>
    </row>
    <row r="1784" ht="22.5" customHeight="1">
      <c r="A1784" s="36" t="s">
        <v>4253</v>
      </c>
      <c r="B1784" s="36" t="s">
        <v>4254</v>
      </c>
      <c r="C1784" s="36" t="s">
        <v>1495</v>
      </c>
      <c r="D1784" s="36" t="s">
        <v>1496</v>
      </c>
      <c r="E1784" s="36" t="s">
        <v>1285</v>
      </c>
      <c r="F1784" s="36" t="s">
        <v>286</v>
      </c>
      <c r="G1784" s="36" t="s">
        <v>1659</v>
      </c>
      <c r="H1784" s="37">
        <v>23.0</v>
      </c>
      <c r="I1784" s="36" t="s">
        <v>1301</v>
      </c>
      <c r="J1784" s="39" t="s">
        <v>286</v>
      </c>
      <c r="K1784" s="38"/>
      <c r="L1784" s="38"/>
    </row>
    <row r="1785" ht="22.5" customHeight="1">
      <c r="A1785" s="36" t="s">
        <v>4255</v>
      </c>
      <c r="B1785" s="36" t="s">
        <v>4256</v>
      </c>
      <c r="C1785" s="36" t="s">
        <v>1495</v>
      </c>
      <c r="D1785" s="36" t="s">
        <v>1496</v>
      </c>
      <c r="E1785" s="36" t="s">
        <v>1285</v>
      </c>
      <c r="F1785" s="36" t="s">
        <v>286</v>
      </c>
      <c r="G1785" s="36" t="s">
        <v>1659</v>
      </c>
      <c r="H1785" s="37">
        <v>50.03</v>
      </c>
      <c r="I1785" s="36" t="s">
        <v>1301</v>
      </c>
      <c r="J1785" s="39" t="s">
        <v>286</v>
      </c>
      <c r="K1785" s="38"/>
      <c r="L1785" s="38"/>
    </row>
    <row r="1786" ht="22.5" customHeight="1">
      <c r="A1786" s="36" t="s">
        <v>4257</v>
      </c>
      <c r="B1786" s="36" t="s">
        <v>4258</v>
      </c>
      <c r="C1786" s="36" t="s">
        <v>1495</v>
      </c>
      <c r="D1786" s="36" t="s">
        <v>1496</v>
      </c>
      <c r="E1786" s="36" t="s">
        <v>1285</v>
      </c>
      <c r="F1786" s="36" t="s">
        <v>286</v>
      </c>
      <c r="G1786" s="36" t="s">
        <v>1659</v>
      </c>
      <c r="H1786" s="37">
        <v>11.51</v>
      </c>
      <c r="I1786" s="36" t="s">
        <v>1301</v>
      </c>
      <c r="J1786" s="39" t="s">
        <v>286</v>
      </c>
      <c r="K1786" s="38"/>
      <c r="L1786" s="38"/>
    </row>
    <row r="1787" ht="22.5" customHeight="1">
      <c r="A1787" s="36" t="s">
        <v>4259</v>
      </c>
      <c r="B1787" s="36" t="s">
        <v>4260</v>
      </c>
      <c r="C1787" s="36" t="s">
        <v>1495</v>
      </c>
      <c r="D1787" s="36" t="s">
        <v>1496</v>
      </c>
      <c r="E1787" s="36" t="s">
        <v>1285</v>
      </c>
      <c r="F1787" s="36" t="s">
        <v>286</v>
      </c>
      <c r="G1787" s="36" t="s">
        <v>1659</v>
      </c>
      <c r="H1787" s="37">
        <v>7.73</v>
      </c>
      <c r="I1787" s="36" t="s">
        <v>1301</v>
      </c>
      <c r="J1787" s="39" t="s">
        <v>286</v>
      </c>
      <c r="K1787" s="38"/>
      <c r="L1787" s="38"/>
    </row>
    <row r="1788" ht="22.5" customHeight="1">
      <c r="A1788" s="36" t="s">
        <v>4261</v>
      </c>
      <c r="B1788" s="36" t="s">
        <v>4262</v>
      </c>
      <c r="C1788" s="36" t="s">
        <v>1495</v>
      </c>
      <c r="D1788" s="36" t="s">
        <v>1496</v>
      </c>
      <c r="E1788" s="36" t="s">
        <v>1285</v>
      </c>
      <c r="F1788" s="36" t="s">
        <v>286</v>
      </c>
      <c r="G1788" s="36" t="s">
        <v>1659</v>
      </c>
      <c r="H1788" s="37">
        <v>15.54</v>
      </c>
      <c r="I1788" s="36" t="s">
        <v>1301</v>
      </c>
      <c r="J1788" s="39" t="s">
        <v>286</v>
      </c>
      <c r="K1788" s="38"/>
      <c r="L1788" s="38"/>
    </row>
    <row r="1789" ht="22.5" customHeight="1">
      <c r="A1789" s="36" t="s">
        <v>4263</v>
      </c>
      <c r="B1789" s="36" t="s">
        <v>4264</v>
      </c>
      <c r="C1789" s="36" t="s">
        <v>1495</v>
      </c>
      <c r="D1789" s="36" t="s">
        <v>1496</v>
      </c>
      <c r="E1789" s="36" t="s">
        <v>1285</v>
      </c>
      <c r="F1789" s="36" t="s">
        <v>286</v>
      </c>
      <c r="G1789" s="36" t="s">
        <v>1659</v>
      </c>
      <c r="H1789" s="37">
        <v>9.09</v>
      </c>
      <c r="I1789" s="36" t="s">
        <v>1301</v>
      </c>
      <c r="J1789" s="39" t="s">
        <v>286</v>
      </c>
      <c r="K1789" s="38"/>
      <c r="L1789" s="38"/>
    </row>
    <row r="1790" ht="22.5" customHeight="1">
      <c r="A1790" s="36" t="s">
        <v>4265</v>
      </c>
      <c r="B1790" s="36" t="s">
        <v>4266</v>
      </c>
      <c r="C1790" s="36" t="s">
        <v>1495</v>
      </c>
      <c r="D1790" s="36" t="s">
        <v>1496</v>
      </c>
      <c r="E1790" s="36" t="s">
        <v>287</v>
      </c>
      <c r="F1790" s="36" t="s">
        <v>286</v>
      </c>
      <c r="G1790" s="36" t="s">
        <v>1659</v>
      </c>
      <c r="H1790" s="37">
        <v>15.0</v>
      </c>
      <c r="I1790" s="36" t="s">
        <v>1301</v>
      </c>
      <c r="J1790" s="39" t="s">
        <v>286</v>
      </c>
      <c r="K1790" s="38"/>
      <c r="L1790" s="38"/>
    </row>
    <row r="1791" ht="22.5" customHeight="1">
      <c r="A1791" s="36" t="s">
        <v>4267</v>
      </c>
      <c r="B1791" s="36" t="s">
        <v>4268</v>
      </c>
      <c r="C1791" s="36" t="s">
        <v>1495</v>
      </c>
      <c r="D1791" s="36" t="s">
        <v>1496</v>
      </c>
      <c r="E1791" s="36" t="s">
        <v>287</v>
      </c>
      <c r="F1791" s="36" t="s">
        <v>286</v>
      </c>
      <c r="G1791" s="36" t="s">
        <v>1659</v>
      </c>
      <c r="H1791" s="37">
        <v>9.98</v>
      </c>
      <c r="I1791" s="36" t="s">
        <v>1301</v>
      </c>
      <c r="J1791" s="39" t="s">
        <v>286</v>
      </c>
      <c r="K1791" s="38"/>
      <c r="L1791" s="38"/>
    </row>
    <row r="1792" ht="22.5" customHeight="1">
      <c r="A1792" s="36" t="s">
        <v>4269</v>
      </c>
      <c r="B1792" s="36" t="s">
        <v>4270</v>
      </c>
      <c r="C1792" s="36" t="s">
        <v>1495</v>
      </c>
      <c r="D1792" s="36" t="s">
        <v>1496</v>
      </c>
      <c r="E1792" s="36" t="s">
        <v>287</v>
      </c>
      <c r="F1792" s="36" t="s">
        <v>286</v>
      </c>
      <c r="G1792" s="36" t="s">
        <v>1659</v>
      </c>
      <c r="H1792" s="37">
        <v>8.5</v>
      </c>
      <c r="I1792" s="36" t="s">
        <v>1301</v>
      </c>
      <c r="J1792" s="39" t="s">
        <v>286</v>
      </c>
      <c r="K1792" s="38"/>
      <c r="L1792" s="38"/>
    </row>
    <row r="1793" ht="22.5" customHeight="1">
      <c r="A1793" s="36" t="s">
        <v>4271</v>
      </c>
      <c r="B1793" s="36" t="s">
        <v>4272</v>
      </c>
      <c r="C1793" s="36" t="s">
        <v>1495</v>
      </c>
      <c r="D1793" s="36" t="s">
        <v>1496</v>
      </c>
      <c r="E1793" s="36" t="s">
        <v>287</v>
      </c>
      <c r="F1793" s="36" t="s">
        <v>286</v>
      </c>
      <c r="G1793" s="36" t="s">
        <v>1659</v>
      </c>
      <c r="H1793" s="37">
        <v>41.98</v>
      </c>
      <c r="I1793" s="36" t="s">
        <v>1301</v>
      </c>
      <c r="J1793" s="39" t="s">
        <v>286</v>
      </c>
      <c r="K1793" s="38"/>
      <c r="L1793" s="38"/>
    </row>
    <row r="1794" ht="22.5" customHeight="1">
      <c r="A1794" s="36" t="s">
        <v>4273</v>
      </c>
      <c r="B1794" s="36" t="s">
        <v>4274</v>
      </c>
      <c r="C1794" s="36" t="s">
        <v>1495</v>
      </c>
      <c r="D1794" s="36" t="s">
        <v>1496</v>
      </c>
      <c r="E1794" s="36" t="s">
        <v>287</v>
      </c>
      <c r="F1794" s="36" t="s">
        <v>286</v>
      </c>
      <c r="G1794" s="36" t="s">
        <v>1659</v>
      </c>
      <c r="H1794" s="37">
        <v>41.77</v>
      </c>
      <c r="I1794" s="36" t="s">
        <v>1301</v>
      </c>
      <c r="J1794" s="39" t="s">
        <v>286</v>
      </c>
      <c r="K1794" s="38"/>
      <c r="L1794" s="38"/>
    </row>
    <row r="1795" ht="22.5" customHeight="1">
      <c r="A1795" s="36" t="s">
        <v>4275</v>
      </c>
      <c r="B1795" s="36" t="s">
        <v>4276</v>
      </c>
      <c r="C1795" s="36" t="s">
        <v>1495</v>
      </c>
      <c r="D1795" s="36" t="s">
        <v>1496</v>
      </c>
      <c r="E1795" s="36" t="s">
        <v>287</v>
      </c>
      <c r="F1795" s="36" t="s">
        <v>286</v>
      </c>
      <c r="G1795" s="36" t="s">
        <v>1659</v>
      </c>
      <c r="H1795" s="37">
        <v>56.0</v>
      </c>
      <c r="I1795" s="36" t="s">
        <v>1301</v>
      </c>
      <c r="J1795" s="39" t="s">
        <v>286</v>
      </c>
      <c r="K1795" s="38"/>
      <c r="L1795" s="38"/>
    </row>
    <row r="1796" ht="22.5" customHeight="1">
      <c r="A1796" s="36" t="s">
        <v>4277</v>
      </c>
      <c r="B1796" s="36" t="s">
        <v>4278</v>
      </c>
      <c r="C1796" s="36" t="s">
        <v>1495</v>
      </c>
      <c r="D1796" s="36" t="s">
        <v>1496</v>
      </c>
      <c r="E1796" s="36" t="s">
        <v>287</v>
      </c>
      <c r="F1796" s="36" t="s">
        <v>286</v>
      </c>
      <c r="G1796" s="36" t="s">
        <v>1659</v>
      </c>
      <c r="H1796" s="37">
        <v>68.0</v>
      </c>
      <c r="I1796" s="36" t="s">
        <v>1301</v>
      </c>
      <c r="J1796" s="39" t="s">
        <v>286</v>
      </c>
      <c r="K1796" s="38"/>
      <c r="L1796" s="38"/>
    </row>
    <row r="1797" ht="22.5" customHeight="1">
      <c r="A1797" s="36" t="s">
        <v>4279</v>
      </c>
      <c r="B1797" s="36" t="s">
        <v>4280</v>
      </c>
      <c r="C1797" s="36" t="s">
        <v>1495</v>
      </c>
      <c r="D1797" s="36" t="s">
        <v>1496</v>
      </c>
      <c r="E1797" s="36" t="s">
        <v>287</v>
      </c>
      <c r="F1797" s="36" t="s">
        <v>286</v>
      </c>
      <c r="G1797" s="36" t="s">
        <v>1659</v>
      </c>
      <c r="H1797" s="37">
        <v>80.0</v>
      </c>
      <c r="I1797" s="36" t="s">
        <v>1301</v>
      </c>
      <c r="J1797" s="39" t="s">
        <v>286</v>
      </c>
      <c r="K1797" s="38"/>
      <c r="L1797" s="38"/>
    </row>
    <row r="1798" ht="22.5" customHeight="1">
      <c r="A1798" s="36" t="s">
        <v>4281</v>
      </c>
      <c r="B1798" s="36" t="s">
        <v>4282</v>
      </c>
      <c r="C1798" s="36" t="s">
        <v>1495</v>
      </c>
      <c r="D1798" s="36" t="s">
        <v>1496</v>
      </c>
      <c r="E1798" s="36" t="s">
        <v>287</v>
      </c>
      <c r="F1798" s="36" t="s">
        <v>286</v>
      </c>
      <c r="G1798" s="36" t="s">
        <v>1659</v>
      </c>
      <c r="H1798" s="37">
        <v>169.0</v>
      </c>
      <c r="I1798" s="36" t="s">
        <v>1301</v>
      </c>
      <c r="J1798" s="39" t="s">
        <v>286</v>
      </c>
      <c r="K1798" s="38"/>
      <c r="L1798" s="38"/>
    </row>
    <row r="1799" ht="22.5" customHeight="1">
      <c r="A1799" s="36" t="s">
        <v>4283</v>
      </c>
      <c r="B1799" s="36" t="s">
        <v>4284</v>
      </c>
      <c r="C1799" s="36" t="s">
        <v>1495</v>
      </c>
      <c r="D1799" s="36" t="s">
        <v>1496</v>
      </c>
      <c r="E1799" s="36" t="s">
        <v>287</v>
      </c>
      <c r="F1799" s="36" t="s">
        <v>286</v>
      </c>
      <c r="G1799" s="36" t="s">
        <v>1659</v>
      </c>
      <c r="H1799" s="37">
        <v>134.0</v>
      </c>
      <c r="I1799" s="36" t="s">
        <v>1301</v>
      </c>
      <c r="J1799" s="39" t="s">
        <v>286</v>
      </c>
      <c r="K1799" s="38"/>
      <c r="L1799" s="38"/>
    </row>
    <row r="1800" ht="22.5" customHeight="1">
      <c r="A1800" s="36" t="s">
        <v>4285</v>
      </c>
      <c r="B1800" s="36" t="s">
        <v>4286</v>
      </c>
      <c r="C1800" s="36" t="s">
        <v>1495</v>
      </c>
      <c r="D1800" s="36" t="s">
        <v>1496</v>
      </c>
      <c r="E1800" s="36" t="s">
        <v>287</v>
      </c>
      <c r="F1800" s="36" t="s">
        <v>286</v>
      </c>
      <c r="G1800" s="36" t="s">
        <v>1659</v>
      </c>
      <c r="H1800" s="37">
        <v>33.33</v>
      </c>
      <c r="I1800" s="36" t="s">
        <v>1301</v>
      </c>
      <c r="J1800" s="39" t="s">
        <v>286</v>
      </c>
      <c r="K1800" s="38"/>
      <c r="L1800" s="38"/>
    </row>
    <row r="1801" ht="22.5" customHeight="1">
      <c r="A1801" s="36" t="s">
        <v>4287</v>
      </c>
      <c r="B1801" s="36" t="s">
        <v>4288</v>
      </c>
      <c r="C1801" s="36" t="s">
        <v>1495</v>
      </c>
      <c r="D1801" s="36" t="s">
        <v>1496</v>
      </c>
      <c r="E1801" s="36" t="s">
        <v>287</v>
      </c>
      <c r="F1801" s="36" t="s">
        <v>286</v>
      </c>
      <c r="G1801" s="36" t="s">
        <v>1659</v>
      </c>
      <c r="H1801" s="37">
        <v>52.5</v>
      </c>
      <c r="I1801" s="36" t="s">
        <v>1301</v>
      </c>
      <c r="J1801" s="39" t="s">
        <v>286</v>
      </c>
      <c r="K1801" s="38"/>
      <c r="L1801" s="38"/>
    </row>
    <row r="1802" ht="22.5" customHeight="1">
      <c r="A1802" s="36" t="s">
        <v>4289</v>
      </c>
      <c r="B1802" s="36" t="s">
        <v>4290</v>
      </c>
      <c r="C1802" s="36" t="s">
        <v>1495</v>
      </c>
      <c r="D1802" s="36" t="s">
        <v>1496</v>
      </c>
      <c r="E1802" s="36" t="s">
        <v>287</v>
      </c>
      <c r="F1802" s="36" t="s">
        <v>286</v>
      </c>
      <c r="G1802" s="36" t="s">
        <v>1659</v>
      </c>
      <c r="H1802" s="37">
        <v>7.0</v>
      </c>
      <c r="I1802" s="36" t="s">
        <v>1301</v>
      </c>
      <c r="J1802" s="39" t="s">
        <v>286</v>
      </c>
      <c r="K1802" s="38"/>
      <c r="L1802" s="38"/>
    </row>
    <row r="1803" ht="22.5" customHeight="1">
      <c r="A1803" s="36" t="s">
        <v>4291</v>
      </c>
      <c r="B1803" s="36" t="s">
        <v>4292</v>
      </c>
      <c r="C1803" s="36" t="s">
        <v>1495</v>
      </c>
      <c r="D1803" s="36" t="s">
        <v>1496</v>
      </c>
      <c r="E1803" s="36" t="s">
        <v>287</v>
      </c>
      <c r="F1803" s="36" t="s">
        <v>286</v>
      </c>
      <c r="G1803" s="36" t="s">
        <v>1659</v>
      </c>
      <c r="H1803" s="37">
        <v>76.85</v>
      </c>
      <c r="I1803" s="36" t="s">
        <v>1301</v>
      </c>
      <c r="J1803" s="39" t="s">
        <v>286</v>
      </c>
      <c r="K1803" s="38"/>
      <c r="L1803" s="38"/>
    </row>
    <row r="1804" ht="22.5" customHeight="1">
      <c r="A1804" s="36" t="s">
        <v>4293</v>
      </c>
      <c r="B1804" s="36" t="s">
        <v>4294</v>
      </c>
      <c r="C1804" s="36" t="s">
        <v>1495</v>
      </c>
      <c r="D1804" s="36" t="s">
        <v>1496</v>
      </c>
      <c r="E1804" s="36" t="s">
        <v>287</v>
      </c>
      <c r="F1804" s="36" t="s">
        <v>286</v>
      </c>
      <c r="G1804" s="36" t="s">
        <v>1659</v>
      </c>
      <c r="H1804" s="37">
        <v>25.0</v>
      </c>
      <c r="I1804" s="36" t="s">
        <v>1301</v>
      </c>
      <c r="J1804" s="39" t="s">
        <v>286</v>
      </c>
      <c r="K1804" s="38"/>
      <c r="L1804" s="38"/>
    </row>
    <row r="1805" ht="22.5" customHeight="1">
      <c r="A1805" s="36" t="s">
        <v>4295</v>
      </c>
      <c r="B1805" s="36" t="s">
        <v>4296</v>
      </c>
      <c r="C1805" s="36" t="s">
        <v>1495</v>
      </c>
      <c r="D1805" s="36" t="s">
        <v>1496</v>
      </c>
      <c r="E1805" s="36" t="s">
        <v>287</v>
      </c>
      <c r="F1805" s="36" t="s">
        <v>286</v>
      </c>
      <c r="G1805" s="36" t="s">
        <v>1659</v>
      </c>
      <c r="H1805" s="37">
        <v>13.72</v>
      </c>
      <c r="I1805" s="36" t="s">
        <v>1301</v>
      </c>
      <c r="J1805" s="39" t="s">
        <v>286</v>
      </c>
      <c r="K1805" s="38"/>
      <c r="L1805" s="38"/>
    </row>
    <row r="1806" ht="22.5" customHeight="1">
      <c r="A1806" s="36" t="s">
        <v>4297</v>
      </c>
      <c r="B1806" s="36" t="s">
        <v>4298</v>
      </c>
      <c r="C1806" s="36" t="s">
        <v>1495</v>
      </c>
      <c r="D1806" s="36" t="s">
        <v>1496</v>
      </c>
      <c r="E1806" s="36" t="s">
        <v>287</v>
      </c>
      <c r="F1806" s="36" t="s">
        <v>286</v>
      </c>
      <c r="G1806" s="36" t="s">
        <v>1659</v>
      </c>
      <c r="H1806" s="37">
        <v>10.86</v>
      </c>
      <c r="I1806" s="36" t="s">
        <v>1301</v>
      </c>
      <c r="J1806" s="39" t="s">
        <v>286</v>
      </c>
      <c r="K1806" s="38"/>
      <c r="L1806" s="38"/>
    </row>
    <row r="1807" ht="22.5" customHeight="1">
      <c r="A1807" s="36" t="s">
        <v>4299</v>
      </c>
      <c r="B1807" s="36" t="s">
        <v>4300</v>
      </c>
      <c r="C1807" s="36" t="s">
        <v>1495</v>
      </c>
      <c r="D1807" s="36" t="s">
        <v>1496</v>
      </c>
      <c r="E1807" s="36" t="s">
        <v>287</v>
      </c>
      <c r="F1807" s="36" t="s">
        <v>286</v>
      </c>
      <c r="G1807" s="36" t="s">
        <v>1659</v>
      </c>
      <c r="H1807" s="37">
        <v>10.86</v>
      </c>
      <c r="I1807" s="36" t="s">
        <v>1301</v>
      </c>
      <c r="J1807" s="39" t="s">
        <v>286</v>
      </c>
      <c r="K1807" s="38"/>
      <c r="L1807" s="38"/>
    </row>
    <row r="1808" ht="22.5" customHeight="1">
      <c r="A1808" s="36" t="s">
        <v>4301</v>
      </c>
      <c r="B1808" s="36" t="s">
        <v>4302</v>
      </c>
      <c r="C1808" s="36" t="s">
        <v>1495</v>
      </c>
      <c r="D1808" s="36" t="s">
        <v>1496</v>
      </c>
      <c r="E1808" s="36" t="s">
        <v>287</v>
      </c>
      <c r="F1808" s="36" t="s">
        <v>286</v>
      </c>
      <c r="G1808" s="36" t="s">
        <v>1659</v>
      </c>
      <c r="H1808" s="37">
        <v>9.58</v>
      </c>
      <c r="I1808" s="36" t="s">
        <v>1301</v>
      </c>
      <c r="J1808" s="39" t="s">
        <v>286</v>
      </c>
      <c r="K1808" s="38"/>
      <c r="L1808" s="38"/>
    </row>
    <row r="1809" ht="22.5" customHeight="1">
      <c r="A1809" s="36" t="s">
        <v>4303</v>
      </c>
      <c r="B1809" s="36" t="s">
        <v>4304</v>
      </c>
      <c r="C1809" s="36" t="s">
        <v>1495</v>
      </c>
      <c r="D1809" s="36" t="s">
        <v>1496</v>
      </c>
      <c r="E1809" s="36" t="s">
        <v>287</v>
      </c>
      <c r="F1809" s="36" t="s">
        <v>286</v>
      </c>
      <c r="G1809" s="36" t="s">
        <v>1659</v>
      </c>
      <c r="H1809" s="37">
        <v>7.55</v>
      </c>
      <c r="I1809" s="36" t="s">
        <v>1301</v>
      </c>
      <c r="J1809" s="39" t="s">
        <v>286</v>
      </c>
      <c r="K1809" s="38"/>
      <c r="L1809" s="38"/>
    </row>
    <row r="1810" ht="22.5" customHeight="1">
      <c r="A1810" s="36" t="s">
        <v>4305</v>
      </c>
      <c r="B1810" s="36" t="s">
        <v>4306</v>
      </c>
      <c r="C1810" s="36" t="s">
        <v>1495</v>
      </c>
      <c r="D1810" s="36" t="s">
        <v>1496</v>
      </c>
      <c r="E1810" s="36" t="s">
        <v>287</v>
      </c>
      <c r="F1810" s="36" t="s">
        <v>286</v>
      </c>
      <c r="G1810" s="36" t="s">
        <v>1659</v>
      </c>
      <c r="H1810" s="37">
        <v>1.65</v>
      </c>
      <c r="I1810" s="36" t="s">
        <v>1301</v>
      </c>
      <c r="J1810" s="39" t="s">
        <v>286</v>
      </c>
      <c r="K1810" s="38"/>
      <c r="L1810" s="38"/>
    </row>
    <row r="1811" ht="22.5" customHeight="1">
      <c r="A1811" s="36" t="s">
        <v>4307</v>
      </c>
      <c r="B1811" s="36" t="s">
        <v>4308</v>
      </c>
      <c r="C1811" s="36" t="s">
        <v>1495</v>
      </c>
      <c r="D1811" s="36" t="s">
        <v>1496</v>
      </c>
      <c r="E1811" s="36" t="s">
        <v>287</v>
      </c>
      <c r="F1811" s="36" t="s">
        <v>286</v>
      </c>
      <c r="G1811" s="36" t="s">
        <v>1659</v>
      </c>
      <c r="H1811" s="37">
        <v>1.1</v>
      </c>
      <c r="I1811" s="36" t="s">
        <v>1301</v>
      </c>
      <c r="J1811" s="39" t="s">
        <v>286</v>
      </c>
      <c r="K1811" s="38"/>
      <c r="L1811" s="38"/>
    </row>
    <row r="1812" ht="22.5" customHeight="1">
      <c r="A1812" s="36" t="s">
        <v>4309</v>
      </c>
      <c r="B1812" s="36" t="s">
        <v>4310</v>
      </c>
      <c r="C1812" s="36" t="s">
        <v>1495</v>
      </c>
      <c r="D1812" s="36" t="s">
        <v>1496</v>
      </c>
      <c r="E1812" s="36" t="s">
        <v>287</v>
      </c>
      <c r="F1812" s="36" t="s">
        <v>286</v>
      </c>
      <c r="G1812" s="36" t="s">
        <v>1659</v>
      </c>
      <c r="H1812" s="37">
        <v>1.1</v>
      </c>
      <c r="I1812" s="36" t="s">
        <v>1301</v>
      </c>
      <c r="J1812" s="39" t="s">
        <v>286</v>
      </c>
      <c r="K1812" s="38"/>
      <c r="L1812" s="38"/>
    </row>
    <row r="1813" ht="22.5" customHeight="1">
      <c r="A1813" s="36" t="s">
        <v>4311</v>
      </c>
      <c r="B1813" s="36" t="s">
        <v>4312</v>
      </c>
      <c r="C1813" s="36" t="s">
        <v>1495</v>
      </c>
      <c r="D1813" s="36" t="s">
        <v>1496</v>
      </c>
      <c r="E1813" s="36" t="s">
        <v>287</v>
      </c>
      <c r="F1813" s="36" t="s">
        <v>286</v>
      </c>
      <c r="G1813" s="36" t="s">
        <v>1659</v>
      </c>
      <c r="H1813" s="37">
        <v>16.76</v>
      </c>
      <c r="I1813" s="36" t="s">
        <v>1301</v>
      </c>
      <c r="J1813" s="39" t="s">
        <v>286</v>
      </c>
      <c r="K1813" s="38"/>
      <c r="L1813" s="38"/>
    </row>
    <row r="1814" ht="22.5" customHeight="1">
      <c r="A1814" s="36" t="s">
        <v>4313</v>
      </c>
      <c r="B1814" s="36" t="s">
        <v>4314</v>
      </c>
      <c r="C1814" s="36" t="s">
        <v>1495</v>
      </c>
      <c r="D1814" s="36" t="s">
        <v>1496</v>
      </c>
      <c r="E1814" s="36" t="s">
        <v>287</v>
      </c>
      <c r="F1814" s="36" t="s">
        <v>286</v>
      </c>
      <c r="G1814" s="36" t="s">
        <v>1659</v>
      </c>
      <c r="H1814" s="37">
        <v>41.63</v>
      </c>
      <c r="I1814" s="36" t="s">
        <v>1301</v>
      </c>
      <c r="J1814" s="39" t="s">
        <v>286</v>
      </c>
      <c r="K1814" s="38"/>
      <c r="L1814" s="38"/>
    </row>
    <row r="1815" ht="22.5" customHeight="1">
      <c r="A1815" s="36" t="s">
        <v>4315</v>
      </c>
      <c r="B1815" s="36" t="s">
        <v>4316</v>
      </c>
      <c r="C1815" s="36" t="s">
        <v>1495</v>
      </c>
      <c r="D1815" s="36" t="s">
        <v>1496</v>
      </c>
      <c r="E1815" s="36" t="s">
        <v>287</v>
      </c>
      <c r="F1815" s="36" t="s">
        <v>286</v>
      </c>
      <c r="G1815" s="36" t="s">
        <v>1659</v>
      </c>
      <c r="H1815" s="37">
        <v>31.37</v>
      </c>
      <c r="I1815" s="36" t="s">
        <v>1301</v>
      </c>
      <c r="J1815" s="39" t="s">
        <v>286</v>
      </c>
      <c r="K1815" s="38"/>
      <c r="L1815" s="38"/>
    </row>
    <row r="1816" ht="22.5" customHeight="1">
      <c r="A1816" s="36" t="s">
        <v>4317</v>
      </c>
      <c r="B1816" s="36" t="s">
        <v>4318</v>
      </c>
      <c r="C1816" s="36" t="s">
        <v>1495</v>
      </c>
      <c r="D1816" s="36" t="s">
        <v>1496</v>
      </c>
      <c r="E1816" s="36" t="s">
        <v>287</v>
      </c>
      <c r="F1816" s="36" t="s">
        <v>286</v>
      </c>
      <c r="G1816" s="36" t="s">
        <v>1659</v>
      </c>
      <c r="H1816" s="37">
        <v>69.26</v>
      </c>
      <c r="I1816" s="36" t="s">
        <v>1301</v>
      </c>
      <c r="J1816" s="39" t="s">
        <v>286</v>
      </c>
      <c r="K1816" s="38"/>
      <c r="L1816" s="38"/>
    </row>
    <row r="1817" ht="22.5" customHeight="1">
      <c r="A1817" s="36" t="s">
        <v>4319</v>
      </c>
      <c r="B1817" s="36" t="s">
        <v>4320</v>
      </c>
      <c r="C1817" s="36" t="s">
        <v>1495</v>
      </c>
      <c r="D1817" s="36" t="s">
        <v>1496</v>
      </c>
      <c r="E1817" s="36" t="s">
        <v>1285</v>
      </c>
      <c r="F1817" s="36" t="s">
        <v>286</v>
      </c>
      <c r="G1817" s="36" t="s">
        <v>1659</v>
      </c>
      <c r="H1817" s="37">
        <v>16.25</v>
      </c>
      <c r="I1817" s="36" t="s">
        <v>1301</v>
      </c>
      <c r="J1817" s="39" t="s">
        <v>286</v>
      </c>
      <c r="K1817" s="38"/>
      <c r="L1817" s="38"/>
    </row>
    <row r="1818" ht="22.5" customHeight="1">
      <c r="A1818" s="36" t="s">
        <v>4321</v>
      </c>
      <c r="B1818" s="36" t="s">
        <v>4322</v>
      </c>
      <c r="C1818" s="36" t="s">
        <v>1495</v>
      </c>
      <c r="D1818" s="36" t="s">
        <v>1496</v>
      </c>
      <c r="E1818" s="36" t="s">
        <v>1285</v>
      </c>
      <c r="F1818" s="36" t="s">
        <v>286</v>
      </c>
      <c r="G1818" s="36" t="s">
        <v>1659</v>
      </c>
      <c r="H1818" s="37">
        <v>21.25</v>
      </c>
      <c r="I1818" s="36" t="s">
        <v>1301</v>
      </c>
      <c r="J1818" s="39" t="s">
        <v>286</v>
      </c>
      <c r="K1818" s="38"/>
      <c r="L1818" s="38"/>
    </row>
    <row r="1819" ht="22.5" customHeight="1">
      <c r="A1819" s="36" t="s">
        <v>4323</v>
      </c>
      <c r="B1819" s="36" t="s">
        <v>4324</v>
      </c>
      <c r="C1819" s="36" t="s">
        <v>1495</v>
      </c>
      <c r="D1819" s="36" t="s">
        <v>1496</v>
      </c>
      <c r="E1819" s="36" t="s">
        <v>1285</v>
      </c>
      <c r="F1819" s="36" t="s">
        <v>286</v>
      </c>
      <c r="G1819" s="36" t="s">
        <v>1659</v>
      </c>
      <c r="H1819" s="37">
        <v>10.83</v>
      </c>
      <c r="I1819" s="36" t="s">
        <v>1301</v>
      </c>
      <c r="J1819" s="39" t="s">
        <v>286</v>
      </c>
      <c r="K1819" s="38"/>
      <c r="L1819" s="38"/>
    </row>
    <row r="1820" ht="22.5" customHeight="1">
      <c r="A1820" s="36" t="s">
        <v>4325</v>
      </c>
      <c r="B1820" s="36" t="s">
        <v>4326</v>
      </c>
      <c r="C1820" s="36" t="s">
        <v>1495</v>
      </c>
      <c r="D1820" s="36" t="s">
        <v>1496</v>
      </c>
      <c r="E1820" s="36" t="s">
        <v>1285</v>
      </c>
      <c r="F1820" s="36" t="s">
        <v>286</v>
      </c>
      <c r="G1820" s="36" t="s">
        <v>1659</v>
      </c>
      <c r="H1820" s="37">
        <v>136.0</v>
      </c>
      <c r="I1820" s="36" t="s">
        <v>1301</v>
      </c>
      <c r="J1820" s="39" t="s">
        <v>286</v>
      </c>
      <c r="K1820" s="38"/>
      <c r="L1820" s="38"/>
    </row>
    <row r="1821" ht="22.5" customHeight="1">
      <c r="A1821" s="36" t="s">
        <v>4327</v>
      </c>
      <c r="B1821" s="36" t="s">
        <v>4328</v>
      </c>
      <c r="C1821" s="36" t="s">
        <v>1495</v>
      </c>
      <c r="D1821" s="36" t="s">
        <v>1496</v>
      </c>
      <c r="E1821" s="36" t="s">
        <v>1285</v>
      </c>
      <c r="F1821" s="36" t="s">
        <v>286</v>
      </c>
      <c r="G1821" s="36" t="s">
        <v>1659</v>
      </c>
      <c r="H1821" s="37">
        <v>87.0</v>
      </c>
      <c r="I1821" s="36" t="s">
        <v>1301</v>
      </c>
      <c r="J1821" s="39" t="s">
        <v>286</v>
      </c>
      <c r="K1821" s="38"/>
      <c r="L1821" s="38"/>
    </row>
    <row r="1822" ht="22.5" customHeight="1">
      <c r="A1822" s="36" t="s">
        <v>4329</v>
      </c>
      <c r="B1822" s="36" t="s">
        <v>4330</v>
      </c>
      <c r="C1822" s="36" t="s">
        <v>1495</v>
      </c>
      <c r="D1822" s="36" t="s">
        <v>1496</v>
      </c>
      <c r="E1822" s="36" t="s">
        <v>1285</v>
      </c>
      <c r="F1822" s="36" t="s">
        <v>286</v>
      </c>
      <c r="G1822" s="36" t="s">
        <v>1659</v>
      </c>
      <c r="H1822" s="37">
        <v>35.0</v>
      </c>
      <c r="I1822" s="36" t="s">
        <v>1301</v>
      </c>
      <c r="J1822" s="39" t="s">
        <v>286</v>
      </c>
      <c r="K1822" s="38"/>
      <c r="L1822" s="38"/>
    </row>
    <row r="1823" ht="22.5" customHeight="1">
      <c r="A1823" s="36" t="s">
        <v>4331</v>
      </c>
      <c r="B1823" s="36" t="s">
        <v>4332</v>
      </c>
      <c r="C1823" s="36" t="s">
        <v>1495</v>
      </c>
      <c r="D1823" s="36" t="s">
        <v>1496</v>
      </c>
      <c r="E1823" s="36" t="s">
        <v>1285</v>
      </c>
      <c r="F1823" s="36" t="s">
        <v>286</v>
      </c>
      <c r="G1823" s="36" t="s">
        <v>1659</v>
      </c>
      <c r="H1823" s="37">
        <v>33.82</v>
      </c>
      <c r="I1823" s="36" t="s">
        <v>1301</v>
      </c>
      <c r="J1823" s="39" t="s">
        <v>286</v>
      </c>
      <c r="K1823" s="38"/>
      <c r="L1823" s="38"/>
    </row>
    <row r="1824" ht="22.5" customHeight="1">
      <c r="A1824" s="36" t="s">
        <v>4333</v>
      </c>
      <c r="B1824" s="36" t="s">
        <v>4334</v>
      </c>
      <c r="C1824" s="36" t="s">
        <v>1495</v>
      </c>
      <c r="D1824" s="36" t="s">
        <v>1496</v>
      </c>
      <c r="E1824" s="36" t="s">
        <v>1285</v>
      </c>
      <c r="F1824" s="36" t="s">
        <v>286</v>
      </c>
      <c r="G1824" s="36" t="s">
        <v>1659</v>
      </c>
      <c r="H1824" s="37">
        <v>34.3</v>
      </c>
      <c r="I1824" s="36" t="s">
        <v>1301</v>
      </c>
      <c r="J1824" s="39" t="s">
        <v>286</v>
      </c>
      <c r="K1824" s="38"/>
      <c r="L1824" s="38"/>
    </row>
    <row r="1825" ht="22.5" customHeight="1">
      <c r="A1825" s="36" t="s">
        <v>4335</v>
      </c>
      <c r="B1825" s="36" t="s">
        <v>4336</v>
      </c>
      <c r="C1825" s="36" t="s">
        <v>1495</v>
      </c>
      <c r="D1825" s="36" t="s">
        <v>1496</v>
      </c>
      <c r="E1825" s="36" t="s">
        <v>1285</v>
      </c>
      <c r="F1825" s="36" t="s">
        <v>286</v>
      </c>
      <c r="G1825" s="36" t="s">
        <v>1659</v>
      </c>
      <c r="H1825" s="37">
        <v>2.85</v>
      </c>
      <c r="I1825" s="36" t="s">
        <v>1301</v>
      </c>
      <c r="J1825" s="39" t="s">
        <v>286</v>
      </c>
      <c r="K1825" s="38"/>
      <c r="L1825" s="38"/>
    </row>
    <row r="1826" ht="22.5" customHeight="1">
      <c r="A1826" s="36" t="s">
        <v>4337</v>
      </c>
      <c r="B1826" s="36" t="s">
        <v>4338</v>
      </c>
      <c r="C1826" s="36" t="s">
        <v>1495</v>
      </c>
      <c r="D1826" s="36" t="s">
        <v>1496</v>
      </c>
      <c r="E1826" s="36" t="s">
        <v>287</v>
      </c>
      <c r="F1826" s="36" t="s">
        <v>286</v>
      </c>
      <c r="G1826" s="36" t="s">
        <v>1659</v>
      </c>
      <c r="H1826" s="37">
        <v>8.0</v>
      </c>
      <c r="I1826" s="36" t="s">
        <v>1301</v>
      </c>
      <c r="J1826" s="39" t="s">
        <v>286</v>
      </c>
      <c r="K1826" s="38"/>
      <c r="L1826" s="38"/>
    </row>
    <row r="1827" ht="22.5" customHeight="1">
      <c r="A1827" s="36" t="s">
        <v>4339</v>
      </c>
      <c r="B1827" s="36" t="s">
        <v>4340</v>
      </c>
      <c r="C1827" s="36" t="s">
        <v>1495</v>
      </c>
      <c r="D1827" s="36" t="s">
        <v>1496</v>
      </c>
      <c r="E1827" s="36" t="s">
        <v>287</v>
      </c>
      <c r="F1827" s="36" t="s">
        <v>286</v>
      </c>
      <c r="G1827" s="36" t="s">
        <v>1659</v>
      </c>
      <c r="H1827" s="37">
        <v>3.8</v>
      </c>
      <c r="I1827" s="36" t="s">
        <v>1301</v>
      </c>
      <c r="J1827" s="39" t="s">
        <v>286</v>
      </c>
      <c r="K1827" s="38"/>
      <c r="L1827" s="38"/>
    </row>
    <row r="1828" ht="22.5" customHeight="1">
      <c r="A1828" s="36" t="s">
        <v>4341</v>
      </c>
      <c r="B1828" s="36" t="s">
        <v>4342</v>
      </c>
      <c r="C1828" s="36" t="s">
        <v>1495</v>
      </c>
      <c r="D1828" s="36" t="s">
        <v>1496</v>
      </c>
      <c r="E1828" s="36" t="s">
        <v>1285</v>
      </c>
      <c r="F1828" s="36" t="s">
        <v>286</v>
      </c>
      <c r="G1828" s="36" t="s">
        <v>1659</v>
      </c>
      <c r="H1828" s="37">
        <v>36.0</v>
      </c>
      <c r="I1828" s="36" t="s">
        <v>1301</v>
      </c>
      <c r="J1828" s="39" t="s">
        <v>286</v>
      </c>
      <c r="K1828" s="38"/>
      <c r="L1828" s="38"/>
    </row>
    <row r="1829" ht="22.5" customHeight="1">
      <c r="A1829" s="36" t="s">
        <v>4343</v>
      </c>
      <c r="B1829" s="36" t="s">
        <v>4344</v>
      </c>
      <c r="C1829" s="36" t="s">
        <v>1495</v>
      </c>
      <c r="D1829" s="36" t="s">
        <v>1496</v>
      </c>
      <c r="E1829" s="36" t="s">
        <v>1285</v>
      </c>
      <c r="F1829" s="36" t="s">
        <v>286</v>
      </c>
      <c r="G1829" s="36" t="s">
        <v>1659</v>
      </c>
      <c r="H1829" s="37">
        <v>19.44</v>
      </c>
      <c r="I1829" s="36" t="s">
        <v>1301</v>
      </c>
      <c r="J1829" s="39" t="s">
        <v>286</v>
      </c>
      <c r="K1829" s="38"/>
      <c r="L1829" s="38"/>
    </row>
    <row r="1830" ht="22.5" customHeight="1">
      <c r="A1830" s="36" t="s">
        <v>4345</v>
      </c>
      <c r="B1830" s="36" t="s">
        <v>4346</v>
      </c>
      <c r="C1830" s="36" t="s">
        <v>1495</v>
      </c>
      <c r="D1830" s="36" t="s">
        <v>1496</v>
      </c>
      <c r="E1830" s="36" t="s">
        <v>1285</v>
      </c>
      <c r="F1830" s="36" t="s">
        <v>286</v>
      </c>
      <c r="G1830" s="36" t="s">
        <v>1659</v>
      </c>
      <c r="H1830" s="37">
        <v>26.0</v>
      </c>
      <c r="I1830" s="36" t="s">
        <v>1301</v>
      </c>
      <c r="J1830" s="39" t="s">
        <v>286</v>
      </c>
      <c r="K1830" s="38"/>
      <c r="L1830" s="38"/>
    </row>
    <row r="1831" ht="22.5" customHeight="1">
      <c r="A1831" s="36" t="s">
        <v>4347</v>
      </c>
      <c r="B1831" s="36" t="s">
        <v>4348</v>
      </c>
      <c r="C1831" s="36" t="s">
        <v>1495</v>
      </c>
      <c r="D1831" s="36" t="s">
        <v>1496</v>
      </c>
      <c r="E1831" s="36" t="s">
        <v>1285</v>
      </c>
      <c r="F1831" s="36" t="s">
        <v>286</v>
      </c>
      <c r="G1831" s="36" t="s">
        <v>1659</v>
      </c>
      <c r="H1831" s="37">
        <v>42.0</v>
      </c>
      <c r="I1831" s="36" t="s">
        <v>1301</v>
      </c>
      <c r="J1831" s="39" t="s">
        <v>286</v>
      </c>
      <c r="K1831" s="38"/>
      <c r="L1831" s="38"/>
    </row>
    <row r="1832" ht="22.5" customHeight="1">
      <c r="A1832" s="36" t="s">
        <v>4349</v>
      </c>
      <c r="B1832" s="36" t="s">
        <v>4350</v>
      </c>
      <c r="C1832" s="36" t="s">
        <v>1495</v>
      </c>
      <c r="D1832" s="36" t="s">
        <v>1496</v>
      </c>
      <c r="E1832" s="36" t="s">
        <v>1285</v>
      </c>
      <c r="F1832" s="36" t="s">
        <v>286</v>
      </c>
      <c r="G1832" s="36" t="s">
        <v>1659</v>
      </c>
      <c r="H1832" s="37">
        <v>8.35</v>
      </c>
      <c r="I1832" s="36" t="s">
        <v>1301</v>
      </c>
      <c r="J1832" s="39" t="s">
        <v>286</v>
      </c>
      <c r="K1832" s="38"/>
      <c r="L1832" s="38"/>
    </row>
    <row r="1833" ht="22.5" customHeight="1">
      <c r="A1833" s="36" t="s">
        <v>4351</v>
      </c>
      <c r="B1833" s="36" t="s">
        <v>4352</v>
      </c>
      <c r="C1833" s="36" t="s">
        <v>1495</v>
      </c>
      <c r="D1833" s="36" t="s">
        <v>1496</v>
      </c>
      <c r="E1833" s="36" t="s">
        <v>1285</v>
      </c>
      <c r="F1833" s="36" t="s">
        <v>286</v>
      </c>
      <c r="G1833" s="36" t="s">
        <v>1659</v>
      </c>
      <c r="H1833" s="37">
        <v>21.65</v>
      </c>
      <c r="I1833" s="36" t="s">
        <v>1301</v>
      </c>
      <c r="J1833" s="39" t="s">
        <v>286</v>
      </c>
      <c r="K1833" s="38"/>
      <c r="L1833" s="38"/>
    </row>
    <row r="1834" ht="22.5" customHeight="1">
      <c r="A1834" s="36" t="s">
        <v>4353</v>
      </c>
      <c r="B1834" s="36" t="s">
        <v>4354</v>
      </c>
      <c r="C1834" s="36" t="s">
        <v>1495</v>
      </c>
      <c r="D1834" s="36" t="s">
        <v>1496</v>
      </c>
      <c r="E1834" s="36" t="s">
        <v>1285</v>
      </c>
      <c r="F1834" s="36" t="s">
        <v>286</v>
      </c>
      <c r="G1834" s="36" t="s">
        <v>1659</v>
      </c>
      <c r="H1834" s="37">
        <v>81.39</v>
      </c>
      <c r="I1834" s="36" t="s">
        <v>1301</v>
      </c>
      <c r="J1834" s="39" t="s">
        <v>286</v>
      </c>
      <c r="K1834" s="38"/>
      <c r="L1834" s="38"/>
    </row>
    <row r="1835" ht="22.5" customHeight="1">
      <c r="A1835" s="36" t="s">
        <v>4355</v>
      </c>
      <c r="B1835" s="36" t="s">
        <v>4356</v>
      </c>
      <c r="C1835" s="36" t="s">
        <v>1495</v>
      </c>
      <c r="D1835" s="36" t="s">
        <v>1496</v>
      </c>
      <c r="E1835" s="36" t="s">
        <v>1285</v>
      </c>
      <c r="F1835" s="36" t="s">
        <v>286</v>
      </c>
      <c r="G1835" s="36" t="s">
        <v>1659</v>
      </c>
      <c r="H1835" s="37">
        <v>41.67</v>
      </c>
      <c r="I1835" s="36" t="s">
        <v>1301</v>
      </c>
      <c r="J1835" s="39" t="s">
        <v>286</v>
      </c>
      <c r="K1835" s="38"/>
      <c r="L1835" s="38"/>
    </row>
    <row r="1836" ht="22.5" customHeight="1">
      <c r="A1836" s="36" t="s">
        <v>4357</v>
      </c>
      <c r="B1836" s="36" t="s">
        <v>4358</v>
      </c>
      <c r="C1836" s="36" t="s">
        <v>1495</v>
      </c>
      <c r="D1836" s="36" t="s">
        <v>1496</v>
      </c>
      <c r="E1836" s="36" t="s">
        <v>1285</v>
      </c>
      <c r="F1836" s="36" t="s">
        <v>286</v>
      </c>
      <c r="G1836" s="36" t="s">
        <v>1659</v>
      </c>
      <c r="H1836" s="37">
        <v>46.11</v>
      </c>
      <c r="I1836" s="36" t="s">
        <v>1301</v>
      </c>
      <c r="J1836" s="39" t="s">
        <v>286</v>
      </c>
      <c r="K1836" s="38"/>
      <c r="L1836" s="38"/>
    </row>
    <row r="1837" ht="22.5" customHeight="1">
      <c r="A1837" s="36" t="s">
        <v>4359</v>
      </c>
      <c r="B1837" s="36" t="s">
        <v>4360</v>
      </c>
      <c r="C1837" s="36" t="s">
        <v>1495</v>
      </c>
      <c r="D1837" s="36" t="s">
        <v>1496</v>
      </c>
      <c r="E1837" s="36" t="s">
        <v>1285</v>
      </c>
      <c r="F1837" s="36" t="s">
        <v>286</v>
      </c>
      <c r="G1837" s="36" t="s">
        <v>1659</v>
      </c>
      <c r="H1837" s="37">
        <v>35.0</v>
      </c>
      <c r="I1837" s="36" t="s">
        <v>1301</v>
      </c>
      <c r="J1837" s="39" t="s">
        <v>286</v>
      </c>
      <c r="K1837" s="38"/>
      <c r="L1837" s="38"/>
    </row>
    <row r="1838" ht="22.5" customHeight="1">
      <c r="A1838" s="36" t="s">
        <v>4361</v>
      </c>
      <c r="B1838" s="36" t="s">
        <v>4362</v>
      </c>
      <c r="C1838" s="36" t="s">
        <v>1495</v>
      </c>
      <c r="D1838" s="36" t="s">
        <v>1496</v>
      </c>
      <c r="E1838" s="36" t="s">
        <v>1285</v>
      </c>
      <c r="F1838" s="36" t="s">
        <v>286</v>
      </c>
      <c r="G1838" s="36" t="s">
        <v>1659</v>
      </c>
      <c r="H1838" s="37">
        <v>26.39</v>
      </c>
      <c r="I1838" s="36" t="s">
        <v>1301</v>
      </c>
      <c r="J1838" s="39" t="s">
        <v>286</v>
      </c>
      <c r="K1838" s="38"/>
      <c r="L1838" s="38"/>
    </row>
    <row r="1839" ht="22.5" customHeight="1">
      <c r="A1839" s="36" t="s">
        <v>4363</v>
      </c>
      <c r="B1839" s="36" t="s">
        <v>4364</v>
      </c>
      <c r="C1839" s="36" t="s">
        <v>1495</v>
      </c>
      <c r="D1839" s="36" t="s">
        <v>1496</v>
      </c>
      <c r="E1839" s="36" t="s">
        <v>1285</v>
      </c>
      <c r="F1839" s="36" t="s">
        <v>286</v>
      </c>
      <c r="G1839" s="36" t="s">
        <v>1659</v>
      </c>
      <c r="H1839" s="37">
        <v>11.11</v>
      </c>
      <c r="I1839" s="36" t="s">
        <v>1301</v>
      </c>
      <c r="J1839" s="39" t="s">
        <v>286</v>
      </c>
      <c r="K1839" s="38"/>
      <c r="L1839" s="38"/>
    </row>
    <row r="1840" ht="22.5" customHeight="1">
      <c r="A1840" s="36" t="s">
        <v>4365</v>
      </c>
      <c r="B1840" s="36" t="s">
        <v>4366</v>
      </c>
      <c r="C1840" s="36" t="s">
        <v>1495</v>
      </c>
      <c r="D1840" s="36" t="s">
        <v>1496</v>
      </c>
      <c r="E1840" s="36" t="s">
        <v>1285</v>
      </c>
      <c r="F1840" s="36" t="s">
        <v>286</v>
      </c>
      <c r="G1840" s="36" t="s">
        <v>1659</v>
      </c>
      <c r="H1840" s="37">
        <v>10.03</v>
      </c>
      <c r="I1840" s="36" t="s">
        <v>1301</v>
      </c>
      <c r="J1840" s="39" t="s">
        <v>286</v>
      </c>
      <c r="K1840" s="38"/>
      <c r="L1840" s="38"/>
    </row>
    <row r="1841" ht="22.5" customHeight="1">
      <c r="A1841" s="36" t="s">
        <v>4367</v>
      </c>
      <c r="B1841" s="36" t="s">
        <v>4368</v>
      </c>
      <c r="C1841" s="36" t="s">
        <v>1495</v>
      </c>
      <c r="D1841" s="36" t="s">
        <v>1496</v>
      </c>
      <c r="E1841" s="36" t="s">
        <v>287</v>
      </c>
      <c r="F1841" s="36" t="s">
        <v>286</v>
      </c>
      <c r="G1841" s="36" t="s">
        <v>1659</v>
      </c>
      <c r="H1841" s="37">
        <v>18.0</v>
      </c>
      <c r="I1841" s="36" t="s">
        <v>1301</v>
      </c>
      <c r="J1841" s="39" t="s">
        <v>286</v>
      </c>
      <c r="K1841" s="38"/>
      <c r="L1841" s="38"/>
    </row>
    <row r="1842" ht="22.5" customHeight="1">
      <c r="A1842" s="36" t="s">
        <v>4369</v>
      </c>
      <c r="B1842" s="36" t="s">
        <v>4370</v>
      </c>
      <c r="C1842" s="36" t="s">
        <v>1495</v>
      </c>
      <c r="D1842" s="36" t="s">
        <v>1496</v>
      </c>
      <c r="E1842" s="36" t="s">
        <v>287</v>
      </c>
      <c r="F1842" s="36" t="s">
        <v>286</v>
      </c>
      <c r="G1842" s="36" t="s">
        <v>1659</v>
      </c>
      <c r="H1842" s="37">
        <v>31.81</v>
      </c>
      <c r="I1842" s="36" t="s">
        <v>1301</v>
      </c>
      <c r="J1842" s="39" t="s">
        <v>286</v>
      </c>
      <c r="K1842" s="38"/>
      <c r="L1842" s="38"/>
    </row>
    <row r="1843" ht="22.5" customHeight="1">
      <c r="A1843" s="36" t="s">
        <v>4371</v>
      </c>
      <c r="B1843" s="36" t="s">
        <v>4372</v>
      </c>
      <c r="C1843" s="36" t="s">
        <v>1495</v>
      </c>
      <c r="D1843" s="36" t="s">
        <v>1496</v>
      </c>
      <c r="E1843" s="36" t="s">
        <v>287</v>
      </c>
      <c r="F1843" s="36" t="s">
        <v>286</v>
      </c>
      <c r="G1843" s="36" t="s">
        <v>1659</v>
      </c>
      <c r="H1843" s="37">
        <v>13.66</v>
      </c>
      <c r="I1843" s="36" t="s">
        <v>1301</v>
      </c>
      <c r="J1843" s="39" t="s">
        <v>286</v>
      </c>
      <c r="K1843" s="38"/>
      <c r="L1843" s="38"/>
    </row>
    <row r="1844" ht="22.5" customHeight="1">
      <c r="A1844" s="36" t="s">
        <v>4373</v>
      </c>
      <c r="B1844" s="36" t="s">
        <v>4374</v>
      </c>
      <c r="C1844" s="36" t="s">
        <v>1495</v>
      </c>
      <c r="D1844" s="36" t="s">
        <v>1496</v>
      </c>
      <c r="E1844" s="36" t="s">
        <v>287</v>
      </c>
      <c r="F1844" s="36" t="s">
        <v>286</v>
      </c>
      <c r="G1844" s="36" t="s">
        <v>1659</v>
      </c>
      <c r="H1844" s="37">
        <v>20.14</v>
      </c>
      <c r="I1844" s="36" t="s">
        <v>1301</v>
      </c>
      <c r="J1844" s="39" t="s">
        <v>286</v>
      </c>
      <c r="K1844" s="38"/>
      <c r="L1844" s="38"/>
    </row>
    <row r="1845" ht="22.5" customHeight="1">
      <c r="A1845" s="36" t="s">
        <v>4375</v>
      </c>
      <c r="B1845" s="36" t="s">
        <v>4376</v>
      </c>
      <c r="C1845" s="36" t="s">
        <v>1495</v>
      </c>
      <c r="D1845" s="36" t="s">
        <v>1496</v>
      </c>
      <c r="E1845" s="36" t="s">
        <v>287</v>
      </c>
      <c r="F1845" s="36" t="s">
        <v>286</v>
      </c>
      <c r="G1845" s="36" t="s">
        <v>1659</v>
      </c>
      <c r="H1845" s="37">
        <v>15.65</v>
      </c>
      <c r="I1845" s="36" t="s">
        <v>1301</v>
      </c>
      <c r="J1845" s="39" t="s">
        <v>286</v>
      </c>
      <c r="K1845" s="38"/>
      <c r="L1845" s="38"/>
    </row>
    <row r="1846" ht="22.5" customHeight="1">
      <c r="A1846" s="36" t="s">
        <v>4377</v>
      </c>
      <c r="B1846" s="36" t="s">
        <v>4378</v>
      </c>
      <c r="C1846" s="36" t="s">
        <v>1495</v>
      </c>
      <c r="D1846" s="36" t="s">
        <v>1496</v>
      </c>
      <c r="E1846" s="36" t="s">
        <v>287</v>
      </c>
      <c r="F1846" s="36" t="s">
        <v>286</v>
      </c>
      <c r="G1846" s="36" t="s">
        <v>1659</v>
      </c>
      <c r="H1846" s="37">
        <v>43.26</v>
      </c>
      <c r="I1846" s="36" t="s">
        <v>1301</v>
      </c>
      <c r="J1846" s="39" t="s">
        <v>286</v>
      </c>
      <c r="K1846" s="38"/>
      <c r="L1846" s="38"/>
    </row>
    <row r="1847" ht="22.5" customHeight="1">
      <c r="A1847" s="36" t="s">
        <v>4379</v>
      </c>
      <c r="B1847" s="36" t="s">
        <v>4380</v>
      </c>
      <c r="C1847" s="36" t="s">
        <v>1495</v>
      </c>
      <c r="D1847" s="36" t="s">
        <v>1496</v>
      </c>
      <c r="E1847" s="36" t="s">
        <v>287</v>
      </c>
      <c r="F1847" s="36" t="s">
        <v>286</v>
      </c>
      <c r="G1847" s="36" t="s">
        <v>1659</v>
      </c>
      <c r="H1847" s="37">
        <v>53.63</v>
      </c>
      <c r="I1847" s="36" t="s">
        <v>1301</v>
      </c>
      <c r="J1847" s="39" t="s">
        <v>286</v>
      </c>
      <c r="K1847" s="38"/>
      <c r="L1847" s="38"/>
    </row>
    <row r="1848" ht="22.5" customHeight="1">
      <c r="A1848" s="36" t="s">
        <v>4381</v>
      </c>
      <c r="B1848" s="36" t="s">
        <v>4382</v>
      </c>
      <c r="C1848" s="36" t="s">
        <v>1495</v>
      </c>
      <c r="D1848" s="36" t="s">
        <v>1496</v>
      </c>
      <c r="E1848" s="36" t="s">
        <v>287</v>
      </c>
      <c r="F1848" s="36" t="s">
        <v>286</v>
      </c>
      <c r="G1848" s="36" t="s">
        <v>1659</v>
      </c>
      <c r="H1848" s="37">
        <v>53.36</v>
      </c>
      <c r="I1848" s="36" t="s">
        <v>1301</v>
      </c>
      <c r="J1848" s="39" t="s">
        <v>286</v>
      </c>
      <c r="K1848" s="38"/>
      <c r="L1848" s="38"/>
    </row>
    <row r="1849" ht="22.5" customHeight="1">
      <c r="A1849" s="36" t="s">
        <v>4383</v>
      </c>
      <c r="B1849" s="36" t="s">
        <v>4384</v>
      </c>
      <c r="C1849" s="36" t="s">
        <v>1495</v>
      </c>
      <c r="D1849" s="36" t="s">
        <v>1496</v>
      </c>
      <c r="E1849" s="36" t="s">
        <v>287</v>
      </c>
      <c r="F1849" s="36" t="s">
        <v>286</v>
      </c>
      <c r="G1849" s="36" t="s">
        <v>1659</v>
      </c>
      <c r="H1849" s="37">
        <v>29.26</v>
      </c>
      <c r="I1849" s="36" t="s">
        <v>1301</v>
      </c>
      <c r="J1849" s="39" t="s">
        <v>286</v>
      </c>
      <c r="K1849" s="38"/>
      <c r="L1849" s="38"/>
    </row>
    <row r="1850" ht="22.5" customHeight="1">
      <c r="A1850" s="36" t="s">
        <v>4385</v>
      </c>
      <c r="B1850" s="36" t="s">
        <v>4386</v>
      </c>
      <c r="C1850" s="36" t="s">
        <v>1495</v>
      </c>
      <c r="D1850" s="36" t="s">
        <v>1496</v>
      </c>
      <c r="E1850" s="36" t="s">
        <v>287</v>
      </c>
      <c r="F1850" s="36" t="s">
        <v>286</v>
      </c>
      <c r="G1850" s="36" t="s">
        <v>1659</v>
      </c>
      <c r="H1850" s="37">
        <v>54.74</v>
      </c>
      <c r="I1850" s="36" t="s">
        <v>1301</v>
      </c>
      <c r="J1850" s="39" t="s">
        <v>286</v>
      </c>
      <c r="K1850" s="38"/>
      <c r="L1850" s="38"/>
    </row>
    <row r="1851" ht="22.5" customHeight="1">
      <c r="A1851" s="36" t="s">
        <v>4387</v>
      </c>
      <c r="B1851" s="36" t="s">
        <v>4388</v>
      </c>
      <c r="C1851" s="36" t="s">
        <v>1495</v>
      </c>
      <c r="D1851" s="36" t="s">
        <v>1496</v>
      </c>
      <c r="E1851" s="36" t="s">
        <v>287</v>
      </c>
      <c r="F1851" s="36" t="s">
        <v>286</v>
      </c>
      <c r="G1851" s="36" t="s">
        <v>1659</v>
      </c>
      <c r="H1851" s="37">
        <v>31.65</v>
      </c>
      <c r="I1851" s="36" t="s">
        <v>1301</v>
      </c>
      <c r="J1851" s="39" t="s">
        <v>286</v>
      </c>
      <c r="K1851" s="38"/>
      <c r="L1851" s="38"/>
    </row>
    <row r="1852" ht="22.5" customHeight="1">
      <c r="A1852" s="36" t="s">
        <v>4389</v>
      </c>
      <c r="B1852" s="36" t="s">
        <v>4390</v>
      </c>
      <c r="C1852" s="36" t="s">
        <v>1495</v>
      </c>
      <c r="D1852" s="36" t="s">
        <v>1496</v>
      </c>
      <c r="E1852" s="36" t="s">
        <v>287</v>
      </c>
      <c r="F1852" s="36" t="s">
        <v>286</v>
      </c>
      <c r="G1852" s="36" t="s">
        <v>1659</v>
      </c>
      <c r="H1852" s="37">
        <v>32.99</v>
      </c>
      <c r="I1852" s="36" t="s">
        <v>1301</v>
      </c>
      <c r="J1852" s="39" t="s">
        <v>286</v>
      </c>
      <c r="K1852" s="38"/>
      <c r="L1852" s="38"/>
    </row>
    <row r="1853" ht="22.5" customHeight="1">
      <c r="A1853" s="36" t="s">
        <v>4391</v>
      </c>
      <c r="B1853" s="36" t="s">
        <v>4392</v>
      </c>
      <c r="C1853" s="36" t="s">
        <v>1495</v>
      </c>
      <c r="D1853" s="36" t="s">
        <v>1496</v>
      </c>
      <c r="E1853" s="36" t="s">
        <v>287</v>
      </c>
      <c r="F1853" s="36" t="s">
        <v>286</v>
      </c>
      <c r="G1853" s="36" t="s">
        <v>1659</v>
      </c>
      <c r="H1853" s="37">
        <v>117.96</v>
      </c>
      <c r="I1853" s="36" t="s">
        <v>1301</v>
      </c>
      <c r="J1853" s="39" t="s">
        <v>286</v>
      </c>
      <c r="K1853" s="38"/>
      <c r="L1853" s="38"/>
    </row>
    <row r="1854" ht="22.5" customHeight="1">
      <c r="A1854" s="36" t="s">
        <v>4393</v>
      </c>
      <c r="B1854" s="36" t="s">
        <v>4394</v>
      </c>
      <c r="C1854" s="36" t="s">
        <v>1495</v>
      </c>
      <c r="D1854" s="36" t="s">
        <v>1496</v>
      </c>
      <c r="E1854" s="36" t="s">
        <v>287</v>
      </c>
      <c r="F1854" s="36" t="s">
        <v>286</v>
      </c>
      <c r="G1854" s="36" t="s">
        <v>1659</v>
      </c>
      <c r="H1854" s="37">
        <v>116.13</v>
      </c>
      <c r="I1854" s="36" t="s">
        <v>1301</v>
      </c>
      <c r="J1854" s="39" t="s">
        <v>286</v>
      </c>
      <c r="K1854" s="38"/>
      <c r="L1854" s="38"/>
    </row>
    <row r="1855" ht="22.5" customHeight="1">
      <c r="A1855" s="36" t="s">
        <v>4395</v>
      </c>
      <c r="B1855" s="36" t="s">
        <v>4396</v>
      </c>
      <c r="C1855" s="36" t="s">
        <v>1495</v>
      </c>
      <c r="D1855" s="36" t="s">
        <v>1496</v>
      </c>
      <c r="E1855" s="36" t="s">
        <v>287</v>
      </c>
      <c r="F1855" s="36" t="s">
        <v>286</v>
      </c>
      <c r="G1855" s="36" t="s">
        <v>1659</v>
      </c>
      <c r="H1855" s="37">
        <v>37.42</v>
      </c>
      <c r="I1855" s="36" t="s">
        <v>1301</v>
      </c>
      <c r="J1855" s="39" t="s">
        <v>286</v>
      </c>
      <c r="K1855" s="38"/>
      <c r="L1855" s="38"/>
    </row>
    <row r="1856" ht="22.5" customHeight="1">
      <c r="A1856" s="36" t="s">
        <v>4397</v>
      </c>
      <c r="B1856" s="36" t="s">
        <v>4398</v>
      </c>
      <c r="C1856" s="36" t="s">
        <v>1495</v>
      </c>
      <c r="D1856" s="36" t="s">
        <v>1496</v>
      </c>
      <c r="E1856" s="36" t="s">
        <v>287</v>
      </c>
      <c r="F1856" s="36" t="s">
        <v>286</v>
      </c>
      <c r="G1856" s="36" t="s">
        <v>1659</v>
      </c>
      <c r="H1856" s="37">
        <v>119.79</v>
      </c>
      <c r="I1856" s="36" t="s">
        <v>1301</v>
      </c>
      <c r="J1856" s="39" t="s">
        <v>286</v>
      </c>
      <c r="K1856" s="38"/>
      <c r="L1856" s="38"/>
    </row>
    <row r="1857" ht="22.5" customHeight="1">
      <c r="A1857" s="36" t="s">
        <v>4399</v>
      </c>
      <c r="B1857" s="36" t="s">
        <v>4400</v>
      </c>
      <c r="C1857" s="36" t="s">
        <v>1495</v>
      </c>
      <c r="D1857" s="36" t="s">
        <v>1496</v>
      </c>
      <c r="E1857" s="36" t="s">
        <v>287</v>
      </c>
      <c r="F1857" s="36" t="s">
        <v>286</v>
      </c>
      <c r="G1857" s="36" t="s">
        <v>1659</v>
      </c>
      <c r="H1857" s="37">
        <v>27.99</v>
      </c>
      <c r="I1857" s="36" t="s">
        <v>1301</v>
      </c>
      <c r="J1857" s="39" t="s">
        <v>286</v>
      </c>
      <c r="K1857" s="38"/>
      <c r="L1857" s="38"/>
    </row>
    <row r="1858" ht="22.5" customHeight="1">
      <c r="A1858" s="36" t="s">
        <v>4401</v>
      </c>
      <c r="B1858" s="36" t="s">
        <v>4402</v>
      </c>
      <c r="C1858" s="36" t="s">
        <v>1495</v>
      </c>
      <c r="D1858" s="36" t="s">
        <v>1496</v>
      </c>
      <c r="E1858" s="36" t="s">
        <v>287</v>
      </c>
      <c r="F1858" s="36" t="s">
        <v>286</v>
      </c>
      <c r="G1858" s="36" t="s">
        <v>1659</v>
      </c>
      <c r="H1858" s="37">
        <v>35.85</v>
      </c>
      <c r="I1858" s="36" t="s">
        <v>1301</v>
      </c>
      <c r="J1858" s="39" t="s">
        <v>286</v>
      </c>
      <c r="K1858" s="38"/>
      <c r="L1858" s="38"/>
    </row>
    <row r="1859" ht="22.5" customHeight="1">
      <c r="A1859" s="36" t="s">
        <v>4403</v>
      </c>
      <c r="B1859" s="36" t="s">
        <v>4404</v>
      </c>
      <c r="C1859" s="36" t="s">
        <v>1495</v>
      </c>
      <c r="D1859" s="36" t="s">
        <v>1496</v>
      </c>
      <c r="E1859" s="36" t="s">
        <v>287</v>
      </c>
      <c r="F1859" s="36" t="s">
        <v>286</v>
      </c>
      <c r="G1859" s="36" t="s">
        <v>1659</v>
      </c>
      <c r="H1859" s="37">
        <v>23.28</v>
      </c>
      <c r="I1859" s="36" t="s">
        <v>1301</v>
      </c>
      <c r="J1859" s="39" t="s">
        <v>286</v>
      </c>
      <c r="K1859" s="38"/>
      <c r="L1859" s="38"/>
    </row>
    <row r="1860" ht="22.5" customHeight="1">
      <c r="A1860" s="36" t="s">
        <v>4405</v>
      </c>
      <c r="B1860" s="36" t="s">
        <v>4406</v>
      </c>
      <c r="C1860" s="36" t="s">
        <v>1495</v>
      </c>
      <c r="D1860" s="36" t="s">
        <v>1496</v>
      </c>
      <c r="E1860" s="36" t="s">
        <v>287</v>
      </c>
      <c r="F1860" s="36" t="s">
        <v>286</v>
      </c>
      <c r="G1860" s="36" t="s">
        <v>1659</v>
      </c>
      <c r="H1860" s="37">
        <v>30.63</v>
      </c>
      <c r="I1860" s="36" t="s">
        <v>1301</v>
      </c>
      <c r="J1860" s="39" t="s">
        <v>286</v>
      </c>
      <c r="K1860" s="38"/>
      <c r="L1860" s="38"/>
    </row>
    <row r="1861" ht="22.5" customHeight="1">
      <c r="A1861" s="36" t="s">
        <v>4407</v>
      </c>
      <c r="B1861" s="36" t="s">
        <v>4408</v>
      </c>
      <c r="C1861" s="36" t="s">
        <v>1495</v>
      </c>
      <c r="D1861" s="36" t="s">
        <v>1496</v>
      </c>
      <c r="E1861" s="36" t="s">
        <v>287</v>
      </c>
      <c r="F1861" s="36" t="s">
        <v>286</v>
      </c>
      <c r="G1861" s="36" t="s">
        <v>1659</v>
      </c>
      <c r="H1861" s="37">
        <v>5.24</v>
      </c>
      <c r="I1861" s="36" t="s">
        <v>1301</v>
      </c>
      <c r="J1861" s="39" t="s">
        <v>286</v>
      </c>
      <c r="K1861" s="38"/>
      <c r="L1861" s="38"/>
    </row>
    <row r="1862" ht="22.5" customHeight="1">
      <c r="A1862" s="36" t="s">
        <v>4409</v>
      </c>
      <c r="B1862" s="36" t="s">
        <v>4410</v>
      </c>
      <c r="C1862" s="36" t="s">
        <v>1495</v>
      </c>
      <c r="D1862" s="36" t="s">
        <v>1496</v>
      </c>
      <c r="E1862" s="36" t="s">
        <v>287</v>
      </c>
      <c r="F1862" s="36" t="s">
        <v>286</v>
      </c>
      <c r="G1862" s="36" t="s">
        <v>1659</v>
      </c>
      <c r="H1862" s="37">
        <v>11.31</v>
      </c>
      <c r="I1862" s="36" t="s">
        <v>1301</v>
      </c>
      <c r="J1862" s="39" t="s">
        <v>286</v>
      </c>
      <c r="K1862" s="38"/>
      <c r="L1862" s="38"/>
    </row>
    <row r="1863" ht="22.5" customHeight="1">
      <c r="A1863" s="36" t="s">
        <v>4411</v>
      </c>
      <c r="B1863" s="36" t="s">
        <v>4412</v>
      </c>
      <c r="C1863" s="36" t="s">
        <v>1495</v>
      </c>
      <c r="D1863" s="36" t="s">
        <v>1496</v>
      </c>
      <c r="E1863" s="36" t="s">
        <v>287</v>
      </c>
      <c r="F1863" s="36" t="s">
        <v>286</v>
      </c>
      <c r="G1863" s="36" t="s">
        <v>1659</v>
      </c>
      <c r="H1863" s="37">
        <v>11.31</v>
      </c>
      <c r="I1863" s="36" t="s">
        <v>1301</v>
      </c>
      <c r="J1863" s="39" t="s">
        <v>286</v>
      </c>
      <c r="K1863" s="38"/>
      <c r="L1863" s="38"/>
    </row>
    <row r="1864" ht="22.5" customHeight="1">
      <c r="A1864" s="36" t="s">
        <v>4413</v>
      </c>
      <c r="B1864" s="36" t="s">
        <v>4414</v>
      </c>
      <c r="C1864" s="36" t="s">
        <v>1495</v>
      </c>
      <c r="D1864" s="36" t="s">
        <v>1496</v>
      </c>
      <c r="E1864" s="36" t="s">
        <v>287</v>
      </c>
      <c r="F1864" s="36" t="s">
        <v>286</v>
      </c>
      <c r="G1864" s="36" t="s">
        <v>1659</v>
      </c>
      <c r="H1864" s="37">
        <v>11.31</v>
      </c>
      <c r="I1864" s="36" t="s">
        <v>1301</v>
      </c>
      <c r="J1864" s="39" t="s">
        <v>286</v>
      </c>
      <c r="K1864" s="38"/>
      <c r="L1864" s="38"/>
    </row>
    <row r="1865" ht="22.5" customHeight="1">
      <c r="A1865" s="36" t="s">
        <v>4415</v>
      </c>
      <c r="B1865" s="36" t="s">
        <v>4416</v>
      </c>
      <c r="C1865" s="36" t="s">
        <v>1495</v>
      </c>
      <c r="D1865" s="36" t="s">
        <v>1496</v>
      </c>
      <c r="E1865" s="36" t="s">
        <v>287</v>
      </c>
      <c r="F1865" s="36" t="s">
        <v>286</v>
      </c>
      <c r="G1865" s="36" t="s">
        <v>1659</v>
      </c>
      <c r="H1865" s="37">
        <v>116.666</v>
      </c>
      <c r="I1865" s="36" t="s">
        <v>1301</v>
      </c>
      <c r="J1865" s="39" t="s">
        <v>286</v>
      </c>
      <c r="K1865" s="38"/>
      <c r="L1865" s="38"/>
    </row>
    <row r="1866" ht="22.5" customHeight="1">
      <c r="A1866" s="36" t="s">
        <v>4417</v>
      </c>
      <c r="B1866" s="36" t="s">
        <v>4418</v>
      </c>
      <c r="C1866" s="36" t="s">
        <v>1495</v>
      </c>
      <c r="D1866" s="36" t="s">
        <v>1496</v>
      </c>
      <c r="E1866" s="36" t="s">
        <v>287</v>
      </c>
      <c r="F1866" s="36" t="s">
        <v>286</v>
      </c>
      <c r="G1866" s="36" t="s">
        <v>1659</v>
      </c>
      <c r="H1866" s="37">
        <v>6272.2</v>
      </c>
      <c r="I1866" s="36" t="s">
        <v>1301</v>
      </c>
      <c r="J1866" s="39" t="s">
        <v>286</v>
      </c>
      <c r="K1866" s="38"/>
      <c r="L1866" s="38"/>
    </row>
    <row r="1867" ht="22.5" customHeight="1">
      <c r="A1867" s="36" t="s">
        <v>4419</v>
      </c>
      <c r="B1867" s="36" t="s">
        <v>4420</v>
      </c>
      <c r="C1867" s="36" t="s">
        <v>1495</v>
      </c>
      <c r="D1867" s="36" t="s">
        <v>1496</v>
      </c>
      <c r="E1867" s="36" t="s">
        <v>287</v>
      </c>
      <c r="F1867" s="36" t="s">
        <v>286</v>
      </c>
      <c r="G1867" s="36" t="s">
        <v>1659</v>
      </c>
      <c r="H1867" s="37">
        <v>5997.0</v>
      </c>
      <c r="I1867" s="36" t="s">
        <v>1301</v>
      </c>
      <c r="J1867" s="39" t="s">
        <v>286</v>
      </c>
      <c r="K1867" s="38"/>
      <c r="L1867" s="38"/>
    </row>
    <row r="1868" ht="22.5" customHeight="1">
      <c r="A1868" s="36" t="s">
        <v>4421</v>
      </c>
      <c r="B1868" s="36" t="s">
        <v>4422</v>
      </c>
      <c r="C1868" s="36" t="s">
        <v>1495</v>
      </c>
      <c r="D1868" s="36" t="s">
        <v>1496</v>
      </c>
      <c r="E1868" s="36" t="s">
        <v>287</v>
      </c>
      <c r="F1868" s="36" t="s">
        <v>286</v>
      </c>
      <c r="G1868" s="36" t="s">
        <v>1659</v>
      </c>
      <c r="H1868" s="37">
        <v>7928.2</v>
      </c>
      <c r="I1868" s="36" t="s">
        <v>1301</v>
      </c>
      <c r="J1868" s="39" t="s">
        <v>286</v>
      </c>
      <c r="K1868" s="38"/>
      <c r="L1868" s="38"/>
    </row>
    <row r="1869" ht="22.5" customHeight="1">
      <c r="A1869" s="36" t="s">
        <v>4423</v>
      </c>
      <c r="B1869" s="36" t="s">
        <v>4424</v>
      </c>
      <c r="C1869" s="36" t="s">
        <v>1495</v>
      </c>
      <c r="D1869" s="36" t="s">
        <v>1496</v>
      </c>
      <c r="E1869" s="36" t="s">
        <v>287</v>
      </c>
      <c r="F1869" s="36" t="s">
        <v>286</v>
      </c>
      <c r="G1869" s="36" t="s">
        <v>1659</v>
      </c>
      <c r="H1869" s="37">
        <v>6912.68</v>
      </c>
      <c r="I1869" s="36" t="s">
        <v>1301</v>
      </c>
      <c r="J1869" s="39" t="s">
        <v>286</v>
      </c>
      <c r="K1869" s="38"/>
      <c r="L1869" s="38"/>
    </row>
    <row r="1870" ht="22.5" customHeight="1">
      <c r="A1870" s="36" t="s">
        <v>4425</v>
      </c>
      <c r="B1870" s="36" t="s">
        <v>4426</v>
      </c>
      <c r="C1870" s="36" t="s">
        <v>1495</v>
      </c>
      <c r="D1870" s="36" t="s">
        <v>1496</v>
      </c>
      <c r="E1870" s="36" t="s">
        <v>287</v>
      </c>
      <c r="F1870" s="36" t="s">
        <v>286</v>
      </c>
      <c r="G1870" s="36" t="s">
        <v>1659</v>
      </c>
      <c r="H1870" s="37">
        <v>7610.8</v>
      </c>
      <c r="I1870" s="36" t="s">
        <v>1301</v>
      </c>
      <c r="J1870" s="39" t="s">
        <v>286</v>
      </c>
      <c r="K1870" s="38"/>
      <c r="L1870" s="38"/>
    </row>
    <row r="1871" ht="22.5" customHeight="1">
      <c r="A1871" s="36" t="s">
        <v>4427</v>
      </c>
      <c r="B1871" s="36" t="s">
        <v>4428</v>
      </c>
      <c r="C1871" s="36" t="s">
        <v>1495</v>
      </c>
      <c r="D1871" s="36" t="s">
        <v>1496</v>
      </c>
      <c r="E1871" s="36" t="s">
        <v>287</v>
      </c>
      <c r="F1871" s="36" t="s">
        <v>286</v>
      </c>
      <c r="G1871" s="36" t="s">
        <v>1659</v>
      </c>
      <c r="H1871" s="37">
        <v>7928.2</v>
      </c>
      <c r="I1871" s="36" t="s">
        <v>1301</v>
      </c>
      <c r="J1871" s="39" t="s">
        <v>286</v>
      </c>
      <c r="K1871" s="38"/>
      <c r="L1871" s="38"/>
    </row>
    <row r="1872" ht="22.5" customHeight="1">
      <c r="A1872" s="36" t="s">
        <v>4429</v>
      </c>
      <c r="B1872" s="36" t="s">
        <v>4430</v>
      </c>
      <c r="C1872" s="36" t="s">
        <v>1495</v>
      </c>
      <c r="D1872" s="36" t="s">
        <v>1496</v>
      </c>
      <c r="E1872" s="36" t="s">
        <v>287</v>
      </c>
      <c r="F1872" s="36" t="s">
        <v>286</v>
      </c>
      <c r="G1872" s="36" t="s">
        <v>1659</v>
      </c>
      <c r="H1872" s="37">
        <v>685.0</v>
      </c>
      <c r="I1872" s="36" t="s">
        <v>1301</v>
      </c>
      <c r="J1872" s="39" t="s">
        <v>286</v>
      </c>
      <c r="K1872" s="38"/>
      <c r="L1872" s="38"/>
    </row>
    <row r="1873" ht="22.5" customHeight="1">
      <c r="A1873" s="36" t="s">
        <v>4431</v>
      </c>
      <c r="B1873" s="36" t="s">
        <v>4432</v>
      </c>
      <c r="C1873" s="36" t="s">
        <v>1495</v>
      </c>
      <c r="D1873" s="36" t="s">
        <v>1496</v>
      </c>
      <c r="E1873" s="36" t="s">
        <v>287</v>
      </c>
      <c r="F1873" s="36" t="s">
        <v>286</v>
      </c>
      <c r="G1873" s="36" t="s">
        <v>1659</v>
      </c>
      <c r="H1873" s="37">
        <v>425.0</v>
      </c>
      <c r="I1873" s="36" t="s">
        <v>1301</v>
      </c>
      <c r="J1873" s="39" t="s">
        <v>286</v>
      </c>
      <c r="K1873" s="38"/>
      <c r="L1873" s="38"/>
    </row>
    <row r="1874" ht="22.5" customHeight="1">
      <c r="A1874" s="36" t="s">
        <v>4433</v>
      </c>
      <c r="B1874" s="36" t="s">
        <v>4434</v>
      </c>
      <c r="C1874" s="36" t="s">
        <v>1495</v>
      </c>
      <c r="D1874" s="36" t="s">
        <v>1496</v>
      </c>
      <c r="E1874" s="36" t="s">
        <v>287</v>
      </c>
      <c r="F1874" s="36" t="s">
        <v>286</v>
      </c>
      <c r="G1874" s="36" t="s">
        <v>1659</v>
      </c>
      <c r="H1874" s="37">
        <v>3900.0</v>
      </c>
      <c r="I1874" s="36" t="s">
        <v>1301</v>
      </c>
      <c r="J1874" s="39" t="s">
        <v>286</v>
      </c>
      <c r="K1874" s="38"/>
      <c r="L1874" s="38"/>
    </row>
    <row r="1875" ht="22.5" customHeight="1">
      <c r="A1875" s="36" t="s">
        <v>4435</v>
      </c>
      <c r="B1875" s="36" t="s">
        <v>4436</v>
      </c>
      <c r="C1875" s="36" t="s">
        <v>1495</v>
      </c>
      <c r="D1875" s="36" t="s">
        <v>1496</v>
      </c>
      <c r="E1875" s="36" t="s">
        <v>287</v>
      </c>
      <c r="F1875" s="36" t="s">
        <v>286</v>
      </c>
      <c r="G1875" s="36" t="s">
        <v>1659</v>
      </c>
      <c r="H1875" s="37">
        <v>188.31</v>
      </c>
      <c r="I1875" s="36" t="s">
        <v>1301</v>
      </c>
      <c r="J1875" s="39" t="s">
        <v>286</v>
      </c>
      <c r="K1875" s="38"/>
      <c r="L1875" s="38"/>
    </row>
    <row r="1876" ht="22.5" customHeight="1">
      <c r="A1876" s="36" t="s">
        <v>4437</v>
      </c>
      <c r="B1876" s="36" t="s">
        <v>4438</v>
      </c>
      <c r="C1876" s="36" t="s">
        <v>1495</v>
      </c>
      <c r="D1876" s="36" t="s">
        <v>1496</v>
      </c>
      <c r="E1876" s="36" t="s">
        <v>287</v>
      </c>
      <c r="F1876" s="36" t="s">
        <v>286</v>
      </c>
      <c r="G1876" s="36" t="s">
        <v>1659</v>
      </c>
      <c r="H1876" s="37">
        <v>165.24</v>
      </c>
      <c r="I1876" s="36" t="s">
        <v>1301</v>
      </c>
      <c r="J1876" s="39" t="s">
        <v>286</v>
      </c>
      <c r="K1876" s="38"/>
      <c r="L1876" s="38"/>
    </row>
    <row r="1877" ht="22.5" customHeight="1">
      <c r="A1877" s="36" t="s">
        <v>4439</v>
      </c>
      <c r="B1877" s="36" t="s">
        <v>4440</v>
      </c>
      <c r="C1877" s="36" t="s">
        <v>1495</v>
      </c>
      <c r="D1877" s="36" t="s">
        <v>1496</v>
      </c>
      <c r="E1877" s="36" t="s">
        <v>287</v>
      </c>
      <c r="F1877" s="36" t="s">
        <v>286</v>
      </c>
      <c r="G1877" s="36" t="s">
        <v>1659</v>
      </c>
      <c r="H1877" s="37">
        <v>13.43</v>
      </c>
      <c r="I1877" s="36" t="s">
        <v>1301</v>
      </c>
      <c r="J1877" s="39" t="s">
        <v>286</v>
      </c>
      <c r="K1877" s="38"/>
      <c r="L1877" s="38"/>
    </row>
    <row r="1878" ht="22.5" customHeight="1">
      <c r="A1878" s="36" t="s">
        <v>4441</v>
      </c>
      <c r="B1878" s="36" t="s">
        <v>4442</v>
      </c>
      <c r="C1878" s="36" t="s">
        <v>1495</v>
      </c>
      <c r="D1878" s="36" t="s">
        <v>1496</v>
      </c>
      <c r="E1878" s="36" t="s">
        <v>287</v>
      </c>
      <c r="F1878" s="36" t="s">
        <v>286</v>
      </c>
      <c r="G1878" s="36" t="s">
        <v>1659</v>
      </c>
      <c r="H1878" s="37">
        <v>15.31</v>
      </c>
      <c r="I1878" s="36" t="s">
        <v>1301</v>
      </c>
      <c r="J1878" s="39" t="s">
        <v>286</v>
      </c>
      <c r="K1878" s="38"/>
      <c r="L1878" s="38"/>
    </row>
    <row r="1879" ht="22.5" customHeight="1">
      <c r="A1879" s="36" t="s">
        <v>4443</v>
      </c>
      <c r="B1879" s="36" t="s">
        <v>4444</v>
      </c>
      <c r="C1879" s="36" t="s">
        <v>1495</v>
      </c>
      <c r="D1879" s="36" t="s">
        <v>1496</v>
      </c>
      <c r="E1879" s="36" t="s">
        <v>287</v>
      </c>
      <c r="F1879" s="36" t="s">
        <v>286</v>
      </c>
      <c r="G1879" s="36" t="s">
        <v>1659</v>
      </c>
      <c r="H1879" s="37">
        <v>73.28</v>
      </c>
      <c r="I1879" s="36" t="s">
        <v>1301</v>
      </c>
      <c r="J1879" s="39" t="s">
        <v>286</v>
      </c>
      <c r="K1879" s="38"/>
      <c r="L1879" s="38"/>
    </row>
    <row r="1880" ht="22.5" customHeight="1">
      <c r="A1880" s="36" t="s">
        <v>4445</v>
      </c>
      <c r="B1880" s="36" t="s">
        <v>4446</v>
      </c>
      <c r="C1880" s="36" t="s">
        <v>1495</v>
      </c>
      <c r="D1880" s="36" t="s">
        <v>1496</v>
      </c>
      <c r="E1880" s="36" t="s">
        <v>287</v>
      </c>
      <c r="F1880" s="36" t="s">
        <v>286</v>
      </c>
      <c r="G1880" s="36" t="s">
        <v>1659</v>
      </c>
      <c r="H1880" s="37">
        <v>506.36</v>
      </c>
      <c r="I1880" s="36" t="s">
        <v>1301</v>
      </c>
      <c r="J1880" s="39" t="s">
        <v>286</v>
      </c>
      <c r="K1880" s="38"/>
      <c r="L1880" s="38"/>
    </row>
    <row r="1881" ht="22.5" customHeight="1">
      <c r="A1881" s="36" t="s">
        <v>4447</v>
      </c>
      <c r="B1881" s="36" t="s">
        <v>4448</v>
      </c>
      <c r="C1881" s="36" t="s">
        <v>1495</v>
      </c>
      <c r="D1881" s="36" t="s">
        <v>1496</v>
      </c>
      <c r="E1881" s="36" t="s">
        <v>287</v>
      </c>
      <c r="F1881" s="36" t="s">
        <v>286</v>
      </c>
      <c r="G1881" s="36" t="s">
        <v>1659</v>
      </c>
      <c r="H1881" s="37">
        <v>422.98</v>
      </c>
      <c r="I1881" s="36" t="s">
        <v>356</v>
      </c>
      <c r="J1881" s="39" t="s">
        <v>286</v>
      </c>
      <c r="K1881" s="38"/>
      <c r="L1881" s="38"/>
    </row>
    <row r="1882" ht="22.5" customHeight="1">
      <c r="A1882" s="36" t="s">
        <v>4449</v>
      </c>
      <c r="B1882" s="36" t="s">
        <v>4450</v>
      </c>
      <c r="C1882" s="36" t="s">
        <v>1495</v>
      </c>
      <c r="D1882" s="36" t="s">
        <v>1496</v>
      </c>
      <c r="E1882" s="36" t="s">
        <v>287</v>
      </c>
      <c r="F1882" s="36" t="s">
        <v>286</v>
      </c>
      <c r="G1882" s="36" t="s">
        <v>1659</v>
      </c>
      <c r="H1882" s="37">
        <v>49.0</v>
      </c>
      <c r="I1882" s="36" t="s">
        <v>1301</v>
      </c>
      <c r="J1882" s="39" t="s">
        <v>286</v>
      </c>
      <c r="K1882" s="38"/>
      <c r="L1882" s="38"/>
    </row>
    <row r="1883" ht="22.5" customHeight="1">
      <c r="A1883" s="36" t="s">
        <v>4451</v>
      </c>
      <c r="B1883" s="36" t="s">
        <v>4452</v>
      </c>
      <c r="C1883" s="36" t="s">
        <v>1495</v>
      </c>
      <c r="D1883" s="36" t="s">
        <v>1496</v>
      </c>
      <c r="E1883" s="36" t="s">
        <v>287</v>
      </c>
      <c r="F1883" s="36" t="s">
        <v>286</v>
      </c>
      <c r="G1883" s="36" t="s">
        <v>1659</v>
      </c>
      <c r="H1883" s="37">
        <v>14.0</v>
      </c>
      <c r="I1883" s="36" t="s">
        <v>1301</v>
      </c>
      <c r="J1883" s="39" t="s">
        <v>286</v>
      </c>
      <c r="K1883" s="38"/>
      <c r="L1883" s="38"/>
    </row>
    <row r="1884" ht="22.5" customHeight="1">
      <c r="A1884" s="36" t="s">
        <v>4453</v>
      </c>
      <c r="B1884" s="36" t="s">
        <v>4454</v>
      </c>
      <c r="C1884" s="36" t="s">
        <v>1495</v>
      </c>
      <c r="D1884" s="36" t="s">
        <v>1496</v>
      </c>
      <c r="E1884" s="36" t="s">
        <v>287</v>
      </c>
      <c r="F1884" s="36" t="s">
        <v>286</v>
      </c>
      <c r="G1884" s="36" t="s">
        <v>1659</v>
      </c>
      <c r="H1884" s="37">
        <v>38.74</v>
      </c>
      <c r="I1884" s="36" t="s">
        <v>1301</v>
      </c>
      <c r="J1884" s="39" t="s">
        <v>286</v>
      </c>
      <c r="K1884" s="38"/>
      <c r="L1884" s="38"/>
    </row>
    <row r="1885" ht="22.5" customHeight="1">
      <c r="A1885" s="36" t="s">
        <v>4455</v>
      </c>
      <c r="B1885" s="36" t="s">
        <v>4456</v>
      </c>
      <c r="C1885" s="36" t="s">
        <v>1495</v>
      </c>
      <c r="D1885" s="36" t="s">
        <v>1496</v>
      </c>
      <c r="E1885" s="36" t="s">
        <v>287</v>
      </c>
      <c r="F1885" s="36" t="s">
        <v>286</v>
      </c>
      <c r="G1885" s="36" t="s">
        <v>1659</v>
      </c>
      <c r="H1885" s="37">
        <v>156.23</v>
      </c>
      <c r="I1885" s="36" t="s">
        <v>1301</v>
      </c>
      <c r="J1885" s="39" t="s">
        <v>286</v>
      </c>
      <c r="K1885" s="38"/>
      <c r="L1885" s="38"/>
    </row>
    <row r="1886" ht="22.5" customHeight="1">
      <c r="A1886" s="36" t="s">
        <v>4457</v>
      </c>
      <c r="B1886" s="36" t="s">
        <v>4458</v>
      </c>
      <c r="C1886" s="36" t="s">
        <v>1495</v>
      </c>
      <c r="D1886" s="36" t="s">
        <v>1496</v>
      </c>
      <c r="E1886" s="36" t="s">
        <v>287</v>
      </c>
      <c r="F1886" s="36" t="s">
        <v>286</v>
      </c>
      <c r="G1886" s="36" t="s">
        <v>1659</v>
      </c>
      <c r="H1886" s="37">
        <v>156.23</v>
      </c>
      <c r="I1886" s="36" t="s">
        <v>1301</v>
      </c>
      <c r="J1886" s="39" t="s">
        <v>286</v>
      </c>
      <c r="K1886" s="38"/>
      <c r="L1886" s="38"/>
    </row>
    <row r="1887" ht="22.5" customHeight="1">
      <c r="A1887" s="36" t="s">
        <v>4459</v>
      </c>
      <c r="B1887" s="36" t="s">
        <v>4460</v>
      </c>
      <c r="C1887" s="36" t="s">
        <v>1495</v>
      </c>
      <c r="D1887" s="36" t="s">
        <v>1496</v>
      </c>
      <c r="E1887" s="36" t="s">
        <v>287</v>
      </c>
      <c r="F1887" s="36" t="s">
        <v>286</v>
      </c>
      <c r="G1887" s="36" t="s">
        <v>1659</v>
      </c>
      <c r="H1887" s="37">
        <v>459.73</v>
      </c>
      <c r="I1887" s="36" t="s">
        <v>1301</v>
      </c>
      <c r="J1887" s="39" t="s">
        <v>286</v>
      </c>
      <c r="K1887" s="38"/>
      <c r="L1887" s="38"/>
    </row>
    <row r="1888" ht="22.5" customHeight="1">
      <c r="A1888" s="36" t="s">
        <v>4461</v>
      </c>
      <c r="B1888" s="36" t="s">
        <v>4462</v>
      </c>
      <c r="C1888" s="36" t="s">
        <v>1495</v>
      </c>
      <c r="D1888" s="36" t="s">
        <v>1496</v>
      </c>
      <c r="E1888" s="36" t="s">
        <v>287</v>
      </c>
      <c r="F1888" s="36" t="s">
        <v>286</v>
      </c>
      <c r="G1888" s="36" t="s">
        <v>1659</v>
      </c>
      <c r="H1888" s="37">
        <v>896.9</v>
      </c>
      <c r="I1888" s="36" t="s">
        <v>1301</v>
      </c>
      <c r="J1888" s="39" t="s">
        <v>286</v>
      </c>
      <c r="K1888" s="38"/>
      <c r="L1888" s="38"/>
    </row>
    <row r="1889" ht="22.5" customHeight="1">
      <c r="A1889" s="36" t="s">
        <v>4463</v>
      </c>
      <c r="B1889" s="36" t="s">
        <v>4464</v>
      </c>
      <c r="C1889" s="36" t="s">
        <v>1495</v>
      </c>
      <c r="D1889" s="36" t="s">
        <v>1496</v>
      </c>
      <c r="E1889" s="36" t="s">
        <v>287</v>
      </c>
      <c r="F1889" s="36" t="s">
        <v>286</v>
      </c>
      <c r="G1889" s="36" t="s">
        <v>1659</v>
      </c>
      <c r="H1889" s="37">
        <v>476.84</v>
      </c>
      <c r="I1889" s="36" t="s">
        <v>1301</v>
      </c>
      <c r="J1889" s="39" t="s">
        <v>286</v>
      </c>
      <c r="K1889" s="38"/>
      <c r="L1889" s="38"/>
    </row>
    <row r="1890" ht="22.5" customHeight="1">
      <c r="A1890" s="36" t="s">
        <v>4465</v>
      </c>
      <c r="B1890" s="36" t="s">
        <v>4466</v>
      </c>
      <c r="C1890" s="36" t="s">
        <v>1495</v>
      </c>
      <c r="D1890" s="36" t="s">
        <v>1496</v>
      </c>
      <c r="E1890" s="36" t="s">
        <v>287</v>
      </c>
      <c r="F1890" s="36" t="s">
        <v>286</v>
      </c>
      <c r="G1890" s="36" t="s">
        <v>1659</v>
      </c>
      <c r="H1890" s="37">
        <v>300.0</v>
      </c>
      <c r="I1890" s="36" t="s">
        <v>1301</v>
      </c>
      <c r="J1890" s="39" t="s">
        <v>286</v>
      </c>
      <c r="K1890" s="38"/>
      <c r="L1890" s="38"/>
    </row>
    <row r="1891" ht="22.5" customHeight="1">
      <c r="A1891" s="36" t="s">
        <v>4467</v>
      </c>
      <c r="B1891" s="36" t="s">
        <v>4468</v>
      </c>
      <c r="C1891" s="36" t="s">
        <v>1495</v>
      </c>
      <c r="D1891" s="36" t="s">
        <v>1496</v>
      </c>
      <c r="E1891" s="36" t="s">
        <v>287</v>
      </c>
      <c r="F1891" s="36" t="s">
        <v>286</v>
      </c>
      <c r="G1891" s="36" t="s">
        <v>1659</v>
      </c>
      <c r="H1891" s="37">
        <v>360.0</v>
      </c>
      <c r="I1891" s="36" t="s">
        <v>1301</v>
      </c>
      <c r="J1891" s="39" t="s">
        <v>286</v>
      </c>
      <c r="K1891" s="38"/>
      <c r="L1891" s="38"/>
    </row>
    <row r="1892" ht="22.5" customHeight="1">
      <c r="A1892" s="36" t="s">
        <v>4469</v>
      </c>
      <c r="B1892" s="36" t="s">
        <v>4470</v>
      </c>
      <c r="C1892" s="36" t="s">
        <v>1495</v>
      </c>
      <c r="D1892" s="36" t="s">
        <v>1496</v>
      </c>
      <c r="E1892" s="36" t="s">
        <v>287</v>
      </c>
      <c r="F1892" s="36" t="s">
        <v>286</v>
      </c>
      <c r="G1892" s="36" t="s">
        <v>1659</v>
      </c>
      <c r="H1892" s="37">
        <v>286.0</v>
      </c>
      <c r="I1892" s="36" t="s">
        <v>1301</v>
      </c>
      <c r="J1892" s="39" t="s">
        <v>286</v>
      </c>
      <c r="K1892" s="38"/>
      <c r="L1892" s="38"/>
    </row>
    <row r="1893" ht="22.5" customHeight="1">
      <c r="A1893" s="36" t="s">
        <v>4471</v>
      </c>
      <c r="B1893" s="36" t="s">
        <v>4472</v>
      </c>
      <c r="C1893" s="36" t="s">
        <v>1495</v>
      </c>
      <c r="D1893" s="36" t="s">
        <v>1496</v>
      </c>
      <c r="E1893" s="36" t="s">
        <v>287</v>
      </c>
      <c r="F1893" s="36" t="s">
        <v>286</v>
      </c>
      <c r="G1893" s="36" t="s">
        <v>1659</v>
      </c>
      <c r="H1893" s="37">
        <v>511.8</v>
      </c>
      <c r="I1893" s="36" t="s">
        <v>1301</v>
      </c>
      <c r="J1893" s="39" t="s">
        <v>286</v>
      </c>
      <c r="K1893" s="38"/>
      <c r="L1893" s="38"/>
    </row>
    <row r="1894" ht="22.5" customHeight="1">
      <c r="A1894" s="36" t="s">
        <v>4473</v>
      </c>
      <c r="B1894" s="36" t="s">
        <v>4474</v>
      </c>
      <c r="C1894" s="36" t="s">
        <v>1495</v>
      </c>
      <c r="D1894" s="36" t="s">
        <v>1496</v>
      </c>
      <c r="E1894" s="36" t="s">
        <v>287</v>
      </c>
      <c r="F1894" s="36" t="s">
        <v>286</v>
      </c>
      <c r="G1894" s="36" t="s">
        <v>1659</v>
      </c>
      <c r="H1894" s="37">
        <v>506.8</v>
      </c>
      <c r="I1894" s="36" t="s">
        <v>1301</v>
      </c>
      <c r="J1894" s="39" t="s">
        <v>286</v>
      </c>
      <c r="K1894" s="38"/>
      <c r="L1894" s="38"/>
    </row>
    <row r="1895" ht="22.5" customHeight="1">
      <c r="A1895" s="36" t="s">
        <v>4475</v>
      </c>
      <c r="B1895" s="36" t="s">
        <v>4476</v>
      </c>
      <c r="C1895" s="36" t="s">
        <v>1495</v>
      </c>
      <c r="D1895" s="36" t="s">
        <v>1496</v>
      </c>
      <c r="E1895" s="36" t="s">
        <v>287</v>
      </c>
      <c r="F1895" s="36" t="s">
        <v>286</v>
      </c>
      <c r="G1895" s="36" t="s">
        <v>1659</v>
      </c>
      <c r="H1895" s="37">
        <v>300.0</v>
      </c>
      <c r="I1895" s="36" t="s">
        <v>1301</v>
      </c>
      <c r="J1895" s="39" t="s">
        <v>286</v>
      </c>
      <c r="K1895" s="38"/>
      <c r="L1895" s="38"/>
    </row>
    <row r="1896" ht="22.5" customHeight="1">
      <c r="A1896" s="36" t="s">
        <v>4477</v>
      </c>
      <c r="B1896" s="36" t="s">
        <v>4478</v>
      </c>
      <c r="C1896" s="36" t="s">
        <v>1495</v>
      </c>
      <c r="D1896" s="36" t="s">
        <v>1496</v>
      </c>
      <c r="E1896" s="36" t="s">
        <v>287</v>
      </c>
      <c r="F1896" s="36" t="s">
        <v>286</v>
      </c>
      <c r="G1896" s="36" t="s">
        <v>1659</v>
      </c>
      <c r="H1896" s="37">
        <v>385.0</v>
      </c>
      <c r="I1896" s="36" t="s">
        <v>1301</v>
      </c>
      <c r="J1896" s="39" t="s">
        <v>286</v>
      </c>
      <c r="K1896" s="38"/>
      <c r="L1896" s="38"/>
    </row>
    <row r="1897" ht="22.5" customHeight="1">
      <c r="A1897" s="36" t="s">
        <v>4479</v>
      </c>
      <c r="B1897" s="36" t="s">
        <v>4480</v>
      </c>
      <c r="C1897" s="36" t="s">
        <v>1495</v>
      </c>
      <c r="D1897" s="36" t="s">
        <v>1496</v>
      </c>
      <c r="E1897" s="36" t="s">
        <v>287</v>
      </c>
      <c r="F1897" s="36" t="s">
        <v>286</v>
      </c>
      <c r="G1897" s="36" t="s">
        <v>1659</v>
      </c>
      <c r="H1897" s="37">
        <v>315.0</v>
      </c>
      <c r="I1897" s="36" t="s">
        <v>1301</v>
      </c>
      <c r="J1897" s="39" t="s">
        <v>286</v>
      </c>
      <c r="K1897" s="38"/>
      <c r="L1897" s="38"/>
    </row>
    <row r="1898" ht="22.5" customHeight="1">
      <c r="A1898" s="36" t="s">
        <v>4481</v>
      </c>
      <c r="B1898" s="36" t="s">
        <v>4482</v>
      </c>
      <c r="C1898" s="36" t="s">
        <v>1495</v>
      </c>
      <c r="D1898" s="36" t="s">
        <v>1496</v>
      </c>
      <c r="E1898" s="36" t="s">
        <v>287</v>
      </c>
      <c r="F1898" s="36" t="s">
        <v>286</v>
      </c>
      <c r="G1898" s="36" t="s">
        <v>411</v>
      </c>
      <c r="H1898" s="37">
        <v>305.0</v>
      </c>
      <c r="I1898" s="36" t="s">
        <v>1301</v>
      </c>
      <c r="J1898" s="39" t="s">
        <v>286</v>
      </c>
      <c r="K1898" s="38"/>
      <c r="L1898" s="38"/>
    </row>
    <row r="1899" ht="22.5" customHeight="1">
      <c r="A1899" s="36" t="s">
        <v>4483</v>
      </c>
      <c r="B1899" s="36" t="s">
        <v>4484</v>
      </c>
      <c r="C1899" s="36" t="s">
        <v>1495</v>
      </c>
      <c r="D1899" s="36" t="s">
        <v>1496</v>
      </c>
      <c r="E1899" s="36" t="s">
        <v>287</v>
      </c>
      <c r="F1899" s="36" t="s">
        <v>286</v>
      </c>
      <c r="G1899" s="36" t="s">
        <v>411</v>
      </c>
      <c r="H1899" s="37">
        <v>50.0</v>
      </c>
      <c r="I1899" s="36" t="s">
        <v>1301</v>
      </c>
      <c r="J1899" s="39" t="s">
        <v>286</v>
      </c>
      <c r="K1899" s="38"/>
      <c r="L1899" s="38"/>
    </row>
    <row r="1900" ht="22.5" customHeight="1">
      <c r="A1900" s="36" t="s">
        <v>4485</v>
      </c>
      <c r="B1900" s="36" t="s">
        <v>4486</v>
      </c>
      <c r="C1900" s="36" t="s">
        <v>1495</v>
      </c>
      <c r="D1900" s="36" t="s">
        <v>1496</v>
      </c>
      <c r="E1900" s="36" t="s">
        <v>287</v>
      </c>
      <c r="F1900" s="36" t="s">
        <v>286</v>
      </c>
      <c r="G1900" s="36" t="s">
        <v>411</v>
      </c>
      <c r="H1900" s="37">
        <v>50.0</v>
      </c>
      <c r="I1900" s="36" t="s">
        <v>1301</v>
      </c>
      <c r="J1900" s="39" t="s">
        <v>286</v>
      </c>
      <c r="K1900" s="38"/>
      <c r="L1900" s="38"/>
    </row>
    <row r="1901" ht="22.5" customHeight="1">
      <c r="A1901" s="36" t="s">
        <v>4487</v>
      </c>
      <c r="B1901" s="36" t="s">
        <v>4488</v>
      </c>
      <c r="C1901" s="36" t="s">
        <v>1495</v>
      </c>
      <c r="D1901" s="36" t="s">
        <v>1496</v>
      </c>
      <c r="E1901" s="36" t="s">
        <v>287</v>
      </c>
      <c r="F1901" s="36" t="s">
        <v>286</v>
      </c>
      <c r="G1901" s="36" t="s">
        <v>411</v>
      </c>
      <c r="H1901" s="37">
        <v>13.0</v>
      </c>
      <c r="I1901" s="36" t="s">
        <v>1301</v>
      </c>
      <c r="J1901" s="39" t="s">
        <v>286</v>
      </c>
      <c r="K1901" s="38"/>
      <c r="L1901" s="38"/>
    </row>
    <row r="1902" ht="22.5" customHeight="1">
      <c r="A1902" s="36" t="s">
        <v>4489</v>
      </c>
      <c r="B1902" s="36" t="s">
        <v>4490</v>
      </c>
      <c r="C1902" s="36" t="s">
        <v>1495</v>
      </c>
      <c r="D1902" s="36" t="s">
        <v>1496</v>
      </c>
      <c r="E1902" s="36" t="s">
        <v>287</v>
      </c>
      <c r="F1902" s="36" t="s">
        <v>286</v>
      </c>
      <c r="G1902" s="36" t="s">
        <v>411</v>
      </c>
      <c r="H1902" s="37">
        <v>40.0</v>
      </c>
      <c r="I1902" s="36" t="s">
        <v>1301</v>
      </c>
      <c r="J1902" s="39" t="s">
        <v>286</v>
      </c>
      <c r="K1902" s="38"/>
      <c r="L1902" s="38"/>
    </row>
    <row r="1903" ht="22.5" customHeight="1">
      <c r="A1903" s="36" t="s">
        <v>4491</v>
      </c>
      <c r="B1903" s="36" t="s">
        <v>4492</v>
      </c>
      <c r="C1903" s="36" t="s">
        <v>1495</v>
      </c>
      <c r="D1903" s="36" t="s">
        <v>1496</v>
      </c>
      <c r="E1903" s="36" t="s">
        <v>287</v>
      </c>
      <c r="F1903" s="36" t="s">
        <v>286</v>
      </c>
      <c r="G1903" s="36" t="s">
        <v>411</v>
      </c>
      <c r="H1903" s="37">
        <v>78.59</v>
      </c>
      <c r="I1903" s="36" t="s">
        <v>1301</v>
      </c>
      <c r="J1903" s="39" t="s">
        <v>286</v>
      </c>
      <c r="K1903" s="38"/>
      <c r="L1903" s="38"/>
    </row>
    <row r="1904" ht="22.5" customHeight="1">
      <c r="A1904" s="36" t="s">
        <v>4493</v>
      </c>
      <c r="B1904" s="36" t="s">
        <v>4494</v>
      </c>
      <c r="C1904" s="36" t="s">
        <v>1495</v>
      </c>
      <c r="D1904" s="36" t="s">
        <v>1496</v>
      </c>
      <c r="E1904" s="36" t="s">
        <v>287</v>
      </c>
      <c r="F1904" s="36" t="s">
        <v>286</v>
      </c>
      <c r="G1904" s="36" t="s">
        <v>411</v>
      </c>
      <c r="H1904" s="37">
        <v>58.02</v>
      </c>
      <c r="I1904" s="36" t="s">
        <v>1301</v>
      </c>
      <c r="J1904" s="39" t="s">
        <v>286</v>
      </c>
      <c r="K1904" s="38"/>
      <c r="L1904" s="38"/>
    </row>
    <row r="1905" ht="22.5" customHeight="1">
      <c r="A1905" s="36" t="s">
        <v>4495</v>
      </c>
      <c r="B1905" s="36" t="s">
        <v>4496</v>
      </c>
      <c r="C1905" s="36" t="s">
        <v>1495</v>
      </c>
      <c r="D1905" s="36" t="s">
        <v>1496</v>
      </c>
      <c r="E1905" s="36" t="s">
        <v>287</v>
      </c>
      <c r="F1905" s="36" t="s">
        <v>286</v>
      </c>
      <c r="G1905" s="36" t="s">
        <v>411</v>
      </c>
      <c r="H1905" s="37">
        <v>74.14</v>
      </c>
      <c r="I1905" s="36" t="s">
        <v>1301</v>
      </c>
      <c r="J1905" s="39" t="s">
        <v>286</v>
      </c>
      <c r="K1905" s="38"/>
      <c r="L1905" s="38"/>
    </row>
    <row r="1906" ht="22.5" customHeight="1">
      <c r="A1906" s="36" t="s">
        <v>4497</v>
      </c>
      <c r="B1906" s="36" t="s">
        <v>4498</v>
      </c>
      <c r="C1906" s="36" t="s">
        <v>1495</v>
      </c>
      <c r="D1906" s="36" t="s">
        <v>1496</v>
      </c>
      <c r="E1906" s="36" t="s">
        <v>287</v>
      </c>
      <c r="F1906" s="36" t="s">
        <v>286</v>
      </c>
      <c r="G1906" s="36" t="s">
        <v>411</v>
      </c>
      <c r="H1906" s="37">
        <v>177.53</v>
      </c>
      <c r="I1906" s="36" t="s">
        <v>1301</v>
      </c>
      <c r="J1906" s="39" t="s">
        <v>286</v>
      </c>
      <c r="K1906" s="38"/>
      <c r="L1906" s="38"/>
    </row>
    <row r="1907" ht="22.5" customHeight="1">
      <c r="A1907" s="36" t="s">
        <v>4499</v>
      </c>
      <c r="B1907" s="36" t="s">
        <v>4500</v>
      </c>
      <c r="C1907" s="36" t="s">
        <v>1495</v>
      </c>
      <c r="D1907" s="36" t="s">
        <v>1496</v>
      </c>
      <c r="E1907" s="36" t="s">
        <v>287</v>
      </c>
      <c r="F1907" s="36" t="s">
        <v>286</v>
      </c>
      <c r="G1907" s="36" t="s">
        <v>411</v>
      </c>
      <c r="H1907" s="37">
        <v>69.1</v>
      </c>
      <c r="I1907" s="36" t="s">
        <v>1301</v>
      </c>
      <c r="J1907" s="39" t="s">
        <v>286</v>
      </c>
      <c r="K1907" s="38"/>
      <c r="L1907" s="38"/>
    </row>
    <row r="1908" ht="22.5" customHeight="1">
      <c r="A1908" s="36" t="s">
        <v>4501</v>
      </c>
      <c r="B1908" s="36" t="s">
        <v>4502</v>
      </c>
      <c r="C1908" s="36" t="s">
        <v>1495</v>
      </c>
      <c r="D1908" s="36" t="s">
        <v>1496</v>
      </c>
      <c r="E1908" s="36" t="s">
        <v>287</v>
      </c>
      <c r="F1908" s="36" t="s">
        <v>286</v>
      </c>
      <c r="G1908" s="36" t="s">
        <v>411</v>
      </c>
      <c r="H1908" s="37">
        <v>66.44</v>
      </c>
      <c r="I1908" s="36" t="s">
        <v>1301</v>
      </c>
      <c r="J1908" s="39" t="s">
        <v>286</v>
      </c>
      <c r="K1908" s="38"/>
      <c r="L1908" s="38"/>
    </row>
    <row r="1909" ht="22.5" customHeight="1">
      <c r="A1909" s="36" t="s">
        <v>4503</v>
      </c>
      <c r="B1909" s="36" t="s">
        <v>4504</v>
      </c>
      <c r="C1909" s="36" t="s">
        <v>1495</v>
      </c>
      <c r="D1909" s="36" t="s">
        <v>1496</v>
      </c>
      <c r="E1909" s="36" t="s">
        <v>287</v>
      </c>
      <c r="F1909" s="36" t="s">
        <v>286</v>
      </c>
      <c r="G1909" s="36" t="s">
        <v>411</v>
      </c>
      <c r="H1909" s="37">
        <v>96.69</v>
      </c>
      <c r="I1909" s="36" t="s">
        <v>1301</v>
      </c>
      <c r="J1909" s="39" t="s">
        <v>286</v>
      </c>
      <c r="K1909" s="38"/>
      <c r="L1909" s="38"/>
    </row>
    <row r="1910" ht="22.5" customHeight="1">
      <c r="A1910" s="36" t="s">
        <v>4505</v>
      </c>
      <c r="B1910" s="36" t="s">
        <v>4506</v>
      </c>
      <c r="C1910" s="36" t="s">
        <v>1495</v>
      </c>
      <c r="D1910" s="36" t="s">
        <v>1496</v>
      </c>
      <c r="E1910" s="36" t="s">
        <v>287</v>
      </c>
      <c r="F1910" s="36" t="s">
        <v>286</v>
      </c>
      <c r="G1910" s="36" t="s">
        <v>411</v>
      </c>
      <c r="H1910" s="37">
        <v>28.41</v>
      </c>
      <c r="I1910" s="36" t="s">
        <v>1301</v>
      </c>
      <c r="J1910" s="39" t="s">
        <v>286</v>
      </c>
      <c r="K1910" s="38"/>
      <c r="L1910" s="38"/>
    </row>
    <row r="1911" ht="22.5" customHeight="1">
      <c r="A1911" s="36" t="s">
        <v>4507</v>
      </c>
      <c r="B1911" s="36" t="s">
        <v>4508</v>
      </c>
      <c r="C1911" s="36" t="s">
        <v>1495</v>
      </c>
      <c r="D1911" s="36" t="s">
        <v>1496</v>
      </c>
      <c r="E1911" s="36" t="s">
        <v>287</v>
      </c>
      <c r="F1911" s="36" t="s">
        <v>286</v>
      </c>
      <c r="G1911" s="36" t="s">
        <v>411</v>
      </c>
      <c r="H1911" s="37">
        <v>26.76</v>
      </c>
      <c r="I1911" s="36" t="s">
        <v>1301</v>
      </c>
      <c r="J1911" s="39" t="s">
        <v>286</v>
      </c>
      <c r="K1911" s="38"/>
      <c r="L1911" s="38"/>
    </row>
    <row r="1912" ht="22.5" customHeight="1">
      <c r="A1912" s="36" t="s">
        <v>4509</v>
      </c>
      <c r="B1912" s="36" t="s">
        <v>4510</v>
      </c>
      <c r="C1912" s="36" t="s">
        <v>1495</v>
      </c>
      <c r="D1912" s="36" t="s">
        <v>1496</v>
      </c>
      <c r="E1912" s="36" t="s">
        <v>287</v>
      </c>
      <c r="F1912" s="36" t="s">
        <v>286</v>
      </c>
      <c r="G1912" s="36" t="s">
        <v>411</v>
      </c>
      <c r="H1912" s="37">
        <v>24.19</v>
      </c>
      <c r="I1912" s="36" t="s">
        <v>1301</v>
      </c>
      <c r="J1912" s="39" t="s">
        <v>286</v>
      </c>
      <c r="K1912" s="38"/>
      <c r="L1912" s="38"/>
    </row>
    <row r="1913" ht="22.5" customHeight="1">
      <c r="A1913" s="36" t="s">
        <v>4511</v>
      </c>
      <c r="B1913" s="36" t="s">
        <v>4512</v>
      </c>
      <c r="C1913" s="36" t="s">
        <v>1495</v>
      </c>
      <c r="D1913" s="36" t="s">
        <v>1496</v>
      </c>
      <c r="E1913" s="36" t="s">
        <v>287</v>
      </c>
      <c r="F1913" s="36" t="s">
        <v>286</v>
      </c>
      <c r="G1913" s="36" t="s">
        <v>411</v>
      </c>
      <c r="H1913" s="37">
        <v>36.08</v>
      </c>
      <c r="I1913" s="36" t="s">
        <v>1301</v>
      </c>
      <c r="J1913" s="39" t="s">
        <v>286</v>
      </c>
      <c r="K1913" s="38"/>
      <c r="L1913" s="38"/>
    </row>
    <row r="1914" ht="22.5" customHeight="1">
      <c r="A1914" s="36" t="s">
        <v>4513</v>
      </c>
      <c r="B1914" s="36" t="s">
        <v>4514</v>
      </c>
      <c r="C1914" s="36" t="s">
        <v>1495</v>
      </c>
      <c r="D1914" s="36" t="s">
        <v>1496</v>
      </c>
      <c r="E1914" s="36" t="s">
        <v>287</v>
      </c>
      <c r="F1914" s="36" t="s">
        <v>286</v>
      </c>
      <c r="G1914" s="36" t="s">
        <v>411</v>
      </c>
      <c r="H1914" s="37">
        <v>104.57</v>
      </c>
      <c r="I1914" s="36" t="s">
        <v>1301</v>
      </c>
      <c r="J1914" s="39" t="s">
        <v>286</v>
      </c>
      <c r="K1914" s="38"/>
      <c r="L1914" s="38"/>
    </row>
    <row r="1915" ht="22.5" customHeight="1">
      <c r="A1915" s="36" t="s">
        <v>4515</v>
      </c>
      <c r="B1915" s="36" t="s">
        <v>4516</v>
      </c>
      <c r="C1915" s="36" t="s">
        <v>1495</v>
      </c>
      <c r="D1915" s="36" t="s">
        <v>1496</v>
      </c>
      <c r="E1915" s="36" t="s">
        <v>287</v>
      </c>
      <c r="F1915" s="36" t="s">
        <v>286</v>
      </c>
      <c r="G1915" s="36" t="s">
        <v>411</v>
      </c>
      <c r="H1915" s="37">
        <v>44.0</v>
      </c>
      <c r="I1915" s="36" t="s">
        <v>1301</v>
      </c>
      <c r="J1915" s="39" t="s">
        <v>286</v>
      </c>
      <c r="K1915" s="38"/>
      <c r="L1915" s="38"/>
    </row>
    <row r="1916" ht="22.5" customHeight="1">
      <c r="A1916" s="36" t="s">
        <v>4517</v>
      </c>
      <c r="B1916" s="36" t="s">
        <v>4518</v>
      </c>
      <c r="C1916" s="36" t="s">
        <v>1495</v>
      </c>
      <c r="D1916" s="36" t="s">
        <v>1496</v>
      </c>
      <c r="E1916" s="36" t="s">
        <v>287</v>
      </c>
      <c r="F1916" s="36" t="s">
        <v>286</v>
      </c>
      <c r="G1916" s="36" t="s">
        <v>411</v>
      </c>
      <c r="H1916" s="37">
        <v>43.16</v>
      </c>
      <c r="I1916" s="36" t="s">
        <v>1301</v>
      </c>
      <c r="J1916" s="39" t="s">
        <v>286</v>
      </c>
      <c r="K1916" s="38"/>
      <c r="L1916" s="38"/>
    </row>
    <row r="1917" ht="22.5" customHeight="1">
      <c r="A1917" s="36" t="s">
        <v>4519</v>
      </c>
      <c r="B1917" s="36" t="s">
        <v>4520</v>
      </c>
      <c r="C1917" s="36" t="s">
        <v>1495</v>
      </c>
      <c r="D1917" s="36" t="s">
        <v>1496</v>
      </c>
      <c r="E1917" s="36" t="s">
        <v>287</v>
      </c>
      <c r="F1917" s="36" t="s">
        <v>286</v>
      </c>
      <c r="G1917" s="36" t="s">
        <v>411</v>
      </c>
      <c r="H1917" s="37">
        <v>68.79</v>
      </c>
      <c r="I1917" s="36" t="s">
        <v>356</v>
      </c>
      <c r="J1917" s="39" t="s">
        <v>286</v>
      </c>
      <c r="K1917" s="38"/>
      <c r="L1917" s="38"/>
    </row>
    <row r="1918" ht="22.5" customHeight="1">
      <c r="A1918" s="36" t="s">
        <v>4521</v>
      </c>
      <c r="B1918" s="36" t="s">
        <v>4522</v>
      </c>
      <c r="C1918" s="36" t="s">
        <v>1495</v>
      </c>
      <c r="D1918" s="36" t="s">
        <v>1496</v>
      </c>
      <c r="E1918" s="36" t="s">
        <v>287</v>
      </c>
      <c r="F1918" s="36" t="s">
        <v>286</v>
      </c>
      <c r="G1918" s="36" t="s">
        <v>411</v>
      </c>
      <c r="H1918" s="37">
        <v>24.89</v>
      </c>
      <c r="I1918" s="36" t="s">
        <v>1301</v>
      </c>
      <c r="J1918" s="39" t="s">
        <v>286</v>
      </c>
      <c r="K1918" s="38"/>
      <c r="L1918" s="38"/>
    </row>
    <row r="1919" ht="22.5" customHeight="1">
      <c r="A1919" s="36" t="s">
        <v>4523</v>
      </c>
      <c r="B1919" s="36" t="s">
        <v>4524</v>
      </c>
      <c r="C1919" s="36" t="s">
        <v>1495</v>
      </c>
      <c r="D1919" s="36" t="s">
        <v>1496</v>
      </c>
      <c r="E1919" s="36" t="s">
        <v>287</v>
      </c>
      <c r="F1919" s="36" t="s">
        <v>286</v>
      </c>
      <c r="G1919" s="36" t="s">
        <v>411</v>
      </c>
      <c r="H1919" s="37">
        <v>24.05</v>
      </c>
      <c r="I1919" s="36" t="s">
        <v>1301</v>
      </c>
      <c r="J1919" s="39" t="s">
        <v>286</v>
      </c>
      <c r="K1919" s="38"/>
      <c r="L1919" s="38"/>
    </row>
    <row r="1920" ht="22.5" customHeight="1">
      <c r="A1920" s="36" t="s">
        <v>4525</v>
      </c>
      <c r="B1920" s="36" t="s">
        <v>4526</v>
      </c>
      <c r="C1920" s="36" t="s">
        <v>1495</v>
      </c>
      <c r="D1920" s="36" t="s">
        <v>1496</v>
      </c>
      <c r="E1920" s="36" t="s">
        <v>287</v>
      </c>
      <c r="F1920" s="36" t="s">
        <v>286</v>
      </c>
      <c r="G1920" s="36" t="s">
        <v>411</v>
      </c>
      <c r="H1920" s="37">
        <v>75.28</v>
      </c>
      <c r="I1920" s="36" t="s">
        <v>1301</v>
      </c>
      <c r="J1920" s="39" t="s">
        <v>286</v>
      </c>
      <c r="K1920" s="38"/>
      <c r="L1920" s="38"/>
    </row>
    <row r="1921" ht="22.5" customHeight="1">
      <c r="A1921" s="36" t="s">
        <v>4527</v>
      </c>
      <c r="B1921" s="36" t="s">
        <v>4528</v>
      </c>
      <c r="C1921" s="36" t="s">
        <v>1495</v>
      </c>
      <c r="D1921" s="36" t="s">
        <v>1496</v>
      </c>
      <c r="E1921" s="36" t="s">
        <v>287</v>
      </c>
      <c r="F1921" s="36" t="s">
        <v>286</v>
      </c>
      <c r="G1921" s="36" t="s">
        <v>411</v>
      </c>
      <c r="H1921" s="37">
        <v>15.96</v>
      </c>
      <c r="I1921" s="36" t="s">
        <v>1301</v>
      </c>
      <c r="J1921" s="39" t="s">
        <v>286</v>
      </c>
      <c r="K1921" s="38"/>
      <c r="L1921" s="38"/>
    </row>
    <row r="1922" ht="22.5" customHeight="1">
      <c r="A1922" s="36" t="s">
        <v>4529</v>
      </c>
      <c r="B1922" s="36" t="s">
        <v>4530</v>
      </c>
      <c r="C1922" s="36" t="s">
        <v>1495</v>
      </c>
      <c r="D1922" s="36" t="s">
        <v>1496</v>
      </c>
      <c r="E1922" s="36" t="s">
        <v>287</v>
      </c>
      <c r="F1922" s="36" t="s">
        <v>286</v>
      </c>
      <c r="G1922" s="36" t="s">
        <v>411</v>
      </c>
      <c r="H1922" s="37">
        <v>51.02</v>
      </c>
      <c r="I1922" s="36" t="s">
        <v>1301</v>
      </c>
      <c r="J1922" s="39" t="s">
        <v>286</v>
      </c>
      <c r="K1922" s="38"/>
      <c r="L1922" s="38"/>
    </row>
    <row r="1923" ht="22.5" customHeight="1">
      <c r="A1923" s="36" t="s">
        <v>4531</v>
      </c>
      <c r="B1923" s="36" t="s">
        <v>4532</v>
      </c>
      <c r="C1923" s="36" t="s">
        <v>1495</v>
      </c>
      <c r="D1923" s="36" t="s">
        <v>1496</v>
      </c>
      <c r="E1923" s="36" t="s">
        <v>287</v>
      </c>
      <c r="F1923" s="36" t="s">
        <v>286</v>
      </c>
      <c r="G1923" s="36" t="s">
        <v>411</v>
      </c>
      <c r="H1923" s="37">
        <v>26.39</v>
      </c>
      <c r="I1923" s="36" t="s">
        <v>1301</v>
      </c>
      <c r="J1923" s="39" t="s">
        <v>286</v>
      </c>
      <c r="K1923" s="38"/>
      <c r="L1923" s="38"/>
    </row>
    <row r="1924" ht="22.5" customHeight="1">
      <c r="A1924" s="36" t="s">
        <v>4533</v>
      </c>
      <c r="B1924" s="36" t="s">
        <v>4534</v>
      </c>
      <c r="C1924" s="36" t="s">
        <v>1495</v>
      </c>
      <c r="D1924" s="36" t="s">
        <v>1496</v>
      </c>
      <c r="E1924" s="36" t="s">
        <v>287</v>
      </c>
      <c r="F1924" s="36" t="s">
        <v>286</v>
      </c>
      <c r="G1924" s="36" t="s">
        <v>411</v>
      </c>
      <c r="H1924" s="37">
        <v>24.1</v>
      </c>
      <c r="I1924" s="36" t="s">
        <v>1301</v>
      </c>
      <c r="J1924" s="39" t="s">
        <v>286</v>
      </c>
      <c r="K1924" s="38"/>
      <c r="L1924" s="38"/>
    </row>
    <row r="1925" ht="22.5" customHeight="1">
      <c r="A1925" s="36" t="s">
        <v>4535</v>
      </c>
      <c r="B1925" s="36" t="s">
        <v>4536</v>
      </c>
      <c r="C1925" s="36" t="s">
        <v>286</v>
      </c>
      <c r="D1925" s="36" t="s">
        <v>286</v>
      </c>
      <c r="E1925" s="36" t="s">
        <v>287</v>
      </c>
      <c r="F1925" s="36" t="s">
        <v>286</v>
      </c>
      <c r="G1925" s="36" t="s">
        <v>411</v>
      </c>
      <c r="H1925" s="37">
        <v>129.5</v>
      </c>
      <c r="I1925" s="36" t="s">
        <v>1301</v>
      </c>
      <c r="J1925" s="39" t="s">
        <v>286</v>
      </c>
      <c r="K1925" s="38"/>
      <c r="L1925" s="38"/>
    </row>
    <row r="1926" ht="22.5" customHeight="1">
      <c r="A1926" s="36" t="s">
        <v>4537</v>
      </c>
      <c r="B1926" s="36" t="s">
        <v>4538</v>
      </c>
      <c r="C1926" s="36" t="s">
        <v>1495</v>
      </c>
      <c r="D1926" s="36" t="s">
        <v>1496</v>
      </c>
      <c r="E1926" s="36" t="s">
        <v>287</v>
      </c>
      <c r="F1926" s="36" t="s">
        <v>286</v>
      </c>
      <c r="G1926" s="36" t="s">
        <v>411</v>
      </c>
      <c r="H1926" s="37">
        <v>26.39</v>
      </c>
      <c r="I1926" s="36" t="s">
        <v>1301</v>
      </c>
      <c r="J1926" s="39" t="s">
        <v>286</v>
      </c>
      <c r="K1926" s="38"/>
      <c r="L1926" s="38"/>
    </row>
    <row r="1927" ht="22.5" customHeight="1">
      <c r="A1927" s="36" t="s">
        <v>4539</v>
      </c>
      <c r="B1927" s="36" t="s">
        <v>4540</v>
      </c>
      <c r="C1927" s="36" t="s">
        <v>1495</v>
      </c>
      <c r="D1927" s="36" t="s">
        <v>1496</v>
      </c>
      <c r="E1927" s="36" t="s">
        <v>287</v>
      </c>
      <c r="F1927" s="36" t="s">
        <v>286</v>
      </c>
      <c r="G1927" s="36" t="s">
        <v>411</v>
      </c>
      <c r="H1927" s="37">
        <v>24.1</v>
      </c>
      <c r="I1927" s="36" t="s">
        <v>1301</v>
      </c>
      <c r="J1927" s="39" t="s">
        <v>286</v>
      </c>
      <c r="K1927" s="38"/>
      <c r="L1927" s="38"/>
    </row>
    <row r="1928" ht="22.5" customHeight="1">
      <c r="A1928" s="36" t="s">
        <v>4541</v>
      </c>
      <c r="B1928" s="36" t="s">
        <v>4542</v>
      </c>
      <c r="C1928" s="36" t="s">
        <v>1495</v>
      </c>
      <c r="D1928" s="36" t="s">
        <v>1496</v>
      </c>
      <c r="E1928" s="36" t="s">
        <v>287</v>
      </c>
      <c r="F1928" s="36" t="s">
        <v>286</v>
      </c>
      <c r="G1928" s="36" t="s">
        <v>411</v>
      </c>
      <c r="H1928" s="37">
        <v>150.6</v>
      </c>
      <c r="I1928" s="36" t="s">
        <v>1301</v>
      </c>
      <c r="J1928" s="39" t="s">
        <v>286</v>
      </c>
      <c r="K1928" s="38"/>
      <c r="L1928" s="38"/>
    </row>
    <row r="1929" ht="22.5" customHeight="1">
      <c r="A1929" s="36" t="s">
        <v>4543</v>
      </c>
      <c r="B1929" s="36" t="s">
        <v>4544</v>
      </c>
      <c r="C1929" s="36" t="s">
        <v>1495</v>
      </c>
      <c r="D1929" s="36" t="s">
        <v>1496</v>
      </c>
      <c r="E1929" s="36" t="s">
        <v>287</v>
      </c>
      <c r="F1929" s="36" t="s">
        <v>286</v>
      </c>
      <c r="G1929" s="36" t="s">
        <v>411</v>
      </c>
      <c r="H1929" s="37">
        <v>230.8</v>
      </c>
      <c r="I1929" s="36" t="s">
        <v>1301</v>
      </c>
      <c r="J1929" s="39" t="s">
        <v>286</v>
      </c>
      <c r="K1929" s="38"/>
      <c r="L1929" s="38"/>
    </row>
    <row r="1930" ht="22.5" customHeight="1">
      <c r="A1930" s="36" t="s">
        <v>4545</v>
      </c>
      <c r="B1930" s="36" t="s">
        <v>4546</v>
      </c>
      <c r="C1930" s="36" t="s">
        <v>1495</v>
      </c>
      <c r="D1930" s="36" t="s">
        <v>1496</v>
      </c>
      <c r="E1930" s="36" t="s">
        <v>287</v>
      </c>
      <c r="F1930" s="36" t="s">
        <v>286</v>
      </c>
      <c r="G1930" s="36" t="s">
        <v>411</v>
      </c>
      <c r="H1930" s="37">
        <v>69.92</v>
      </c>
      <c r="I1930" s="36" t="s">
        <v>1301</v>
      </c>
      <c r="J1930" s="39" t="s">
        <v>286</v>
      </c>
      <c r="K1930" s="38"/>
      <c r="L1930" s="38"/>
    </row>
    <row r="1931" ht="22.5" customHeight="1">
      <c r="A1931" s="36" t="s">
        <v>4547</v>
      </c>
      <c r="B1931" s="36" t="s">
        <v>4548</v>
      </c>
      <c r="C1931" s="36" t="s">
        <v>1495</v>
      </c>
      <c r="D1931" s="36" t="s">
        <v>1496</v>
      </c>
      <c r="E1931" s="36" t="s">
        <v>287</v>
      </c>
      <c r="F1931" s="36" t="s">
        <v>286</v>
      </c>
      <c r="G1931" s="36" t="s">
        <v>411</v>
      </c>
      <c r="H1931" s="37">
        <v>113.45</v>
      </c>
      <c r="I1931" s="36" t="s">
        <v>1301</v>
      </c>
      <c r="J1931" s="39" t="s">
        <v>286</v>
      </c>
      <c r="K1931" s="38"/>
      <c r="L1931" s="38"/>
    </row>
    <row r="1932" ht="22.5" customHeight="1">
      <c r="A1932" s="36" t="s">
        <v>4549</v>
      </c>
      <c r="B1932" s="36" t="s">
        <v>4550</v>
      </c>
      <c r="C1932" s="36" t="s">
        <v>1495</v>
      </c>
      <c r="D1932" s="36" t="s">
        <v>1496</v>
      </c>
      <c r="E1932" s="36" t="s">
        <v>287</v>
      </c>
      <c r="F1932" s="36" t="s">
        <v>286</v>
      </c>
      <c r="G1932" s="36" t="s">
        <v>411</v>
      </c>
      <c r="H1932" s="37">
        <v>229.02</v>
      </c>
      <c r="I1932" s="36" t="s">
        <v>1301</v>
      </c>
      <c r="J1932" s="39" t="s">
        <v>286</v>
      </c>
      <c r="K1932" s="38"/>
      <c r="L1932" s="38"/>
    </row>
    <row r="1933" ht="22.5" customHeight="1">
      <c r="A1933" s="36" t="s">
        <v>4551</v>
      </c>
      <c r="B1933" s="36" t="s">
        <v>4552</v>
      </c>
      <c r="C1933" s="36" t="s">
        <v>1495</v>
      </c>
      <c r="D1933" s="36" t="s">
        <v>1496</v>
      </c>
      <c r="E1933" s="36" t="s">
        <v>287</v>
      </c>
      <c r="F1933" s="36" t="s">
        <v>286</v>
      </c>
      <c r="G1933" s="36" t="s">
        <v>411</v>
      </c>
      <c r="H1933" s="37">
        <v>68.14</v>
      </c>
      <c r="I1933" s="36" t="s">
        <v>1301</v>
      </c>
      <c r="J1933" s="39" t="s">
        <v>286</v>
      </c>
      <c r="K1933" s="38"/>
      <c r="L1933" s="38"/>
    </row>
    <row r="1934" ht="22.5" customHeight="1">
      <c r="A1934" s="36" t="s">
        <v>4553</v>
      </c>
      <c r="B1934" s="36" t="s">
        <v>4554</v>
      </c>
      <c r="C1934" s="36" t="s">
        <v>1495</v>
      </c>
      <c r="D1934" s="36" t="s">
        <v>1496</v>
      </c>
      <c r="E1934" s="36" t="s">
        <v>287</v>
      </c>
      <c r="F1934" s="36" t="s">
        <v>286</v>
      </c>
      <c r="G1934" s="36" t="s">
        <v>411</v>
      </c>
      <c r="H1934" s="37">
        <v>111.67</v>
      </c>
      <c r="I1934" s="36" t="s">
        <v>1301</v>
      </c>
      <c r="J1934" s="39" t="s">
        <v>286</v>
      </c>
      <c r="K1934" s="38"/>
      <c r="L1934" s="38"/>
    </row>
    <row r="1935" ht="22.5" customHeight="1">
      <c r="A1935" s="36" t="s">
        <v>4555</v>
      </c>
      <c r="B1935" s="36" t="s">
        <v>4556</v>
      </c>
      <c r="C1935" s="36" t="s">
        <v>1495</v>
      </c>
      <c r="D1935" s="36" t="s">
        <v>1496</v>
      </c>
      <c r="E1935" s="36" t="s">
        <v>287</v>
      </c>
      <c r="F1935" s="36" t="s">
        <v>286</v>
      </c>
      <c r="G1935" s="36" t="s">
        <v>411</v>
      </c>
      <c r="H1935" s="37">
        <v>150.0</v>
      </c>
      <c r="I1935" s="36" t="s">
        <v>1301</v>
      </c>
      <c r="J1935" s="39" t="s">
        <v>286</v>
      </c>
      <c r="K1935" s="38"/>
      <c r="L1935" s="38"/>
    </row>
    <row r="1936" ht="22.5" customHeight="1">
      <c r="A1936" s="36" t="s">
        <v>4557</v>
      </c>
      <c r="B1936" s="36" t="s">
        <v>4558</v>
      </c>
      <c r="C1936" s="36" t="s">
        <v>1495</v>
      </c>
      <c r="D1936" s="36" t="s">
        <v>1496</v>
      </c>
      <c r="E1936" s="36" t="s">
        <v>287</v>
      </c>
      <c r="F1936" s="36" t="s">
        <v>286</v>
      </c>
      <c r="G1936" s="36" t="s">
        <v>411</v>
      </c>
      <c r="H1936" s="37">
        <v>19.0</v>
      </c>
      <c r="I1936" s="36" t="s">
        <v>1301</v>
      </c>
      <c r="J1936" s="39" t="s">
        <v>286</v>
      </c>
      <c r="K1936" s="38"/>
      <c r="L1936" s="38"/>
    </row>
    <row r="1937" ht="22.5" customHeight="1">
      <c r="A1937" s="36" t="s">
        <v>4559</v>
      </c>
      <c r="B1937" s="36" t="s">
        <v>4560</v>
      </c>
      <c r="C1937" s="36" t="s">
        <v>1495</v>
      </c>
      <c r="D1937" s="36" t="s">
        <v>1496</v>
      </c>
      <c r="E1937" s="36" t="s">
        <v>287</v>
      </c>
      <c r="F1937" s="36" t="s">
        <v>286</v>
      </c>
      <c r="G1937" s="36" t="s">
        <v>411</v>
      </c>
      <c r="H1937" s="37">
        <v>275.0</v>
      </c>
      <c r="I1937" s="36" t="s">
        <v>1301</v>
      </c>
      <c r="J1937" s="39" t="s">
        <v>286</v>
      </c>
      <c r="K1937" s="38"/>
      <c r="L1937" s="38"/>
    </row>
    <row r="1938" ht="22.5" customHeight="1">
      <c r="A1938" s="36" t="s">
        <v>4561</v>
      </c>
      <c r="B1938" s="36" t="s">
        <v>4562</v>
      </c>
      <c r="C1938" s="36" t="s">
        <v>1495</v>
      </c>
      <c r="D1938" s="36" t="s">
        <v>1496</v>
      </c>
      <c r="E1938" s="36" t="s">
        <v>287</v>
      </c>
      <c r="F1938" s="36" t="s">
        <v>286</v>
      </c>
      <c r="G1938" s="36" t="s">
        <v>411</v>
      </c>
      <c r="H1938" s="37">
        <v>32.0</v>
      </c>
      <c r="I1938" s="36" t="s">
        <v>1301</v>
      </c>
      <c r="J1938" s="39" t="s">
        <v>286</v>
      </c>
      <c r="K1938" s="38"/>
      <c r="L1938" s="38"/>
    </row>
    <row r="1939" ht="22.5" customHeight="1">
      <c r="A1939" s="36" t="s">
        <v>4563</v>
      </c>
      <c r="B1939" s="36" t="s">
        <v>4564</v>
      </c>
      <c r="C1939" s="36" t="s">
        <v>1495</v>
      </c>
      <c r="D1939" s="36" t="s">
        <v>1496</v>
      </c>
      <c r="E1939" s="36" t="s">
        <v>287</v>
      </c>
      <c r="F1939" s="36" t="s">
        <v>286</v>
      </c>
      <c r="G1939" s="36" t="s">
        <v>411</v>
      </c>
      <c r="H1939" s="37">
        <v>23.85</v>
      </c>
      <c r="I1939" s="36" t="s">
        <v>1301</v>
      </c>
      <c r="J1939" s="39" t="s">
        <v>286</v>
      </c>
      <c r="K1939" s="38"/>
      <c r="L1939" s="38"/>
    </row>
    <row r="1940" ht="22.5" customHeight="1">
      <c r="A1940" s="36" t="s">
        <v>4565</v>
      </c>
      <c r="B1940" s="36" t="s">
        <v>4566</v>
      </c>
      <c r="C1940" s="36" t="s">
        <v>1495</v>
      </c>
      <c r="D1940" s="36" t="s">
        <v>1496</v>
      </c>
      <c r="E1940" s="36" t="s">
        <v>287</v>
      </c>
      <c r="F1940" s="36" t="s">
        <v>286</v>
      </c>
      <c r="G1940" s="36" t="s">
        <v>411</v>
      </c>
      <c r="H1940" s="37">
        <v>350.0</v>
      </c>
      <c r="I1940" s="36" t="s">
        <v>1301</v>
      </c>
      <c r="J1940" s="39" t="s">
        <v>286</v>
      </c>
      <c r="K1940" s="38"/>
      <c r="L1940" s="38"/>
    </row>
    <row r="1941" ht="22.5" customHeight="1">
      <c r="A1941" s="36" t="s">
        <v>4567</v>
      </c>
      <c r="B1941" s="36" t="s">
        <v>4568</v>
      </c>
      <c r="C1941" s="36" t="s">
        <v>1495</v>
      </c>
      <c r="D1941" s="36" t="s">
        <v>1496</v>
      </c>
      <c r="E1941" s="36" t="s">
        <v>287</v>
      </c>
      <c r="F1941" s="36" t="s">
        <v>286</v>
      </c>
      <c r="G1941" s="36" t="s">
        <v>411</v>
      </c>
      <c r="H1941" s="37">
        <v>780.0</v>
      </c>
      <c r="I1941" s="36" t="s">
        <v>1301</v>
      </c>
      <c r="J1941" s="39" t="s">
        <v>286</v>
      </c>
      <c r="K1941" s="38"/>
      <c r="L1941" s="38"/>
    </row>
    <row r="1942" ht="22.5" customHeight="1">
      <c r="A1942" s="36" t="s">
        <v>4569</v>
      </c>
      <c r="B1942" s="36" t="s">
        <v>4570</v>
      </c>
      <c r="C1942" s="36" t="s">
        <v>1495</v>
      </c>
      <c r="D1942" s="36" t="s">
        <v>1496</v>
      </c>
      <c r="E1942" s="36" t="s">
        <v>287</v>
      </c>
      <c r="F1942" s="36" t="s">
        <v>286</v>
      </c>
      <c r="G1942" s="36" t="s">
        <v>411</v>
      </c>
      <c r="H1942" s="37">
        <v>40.0</v>
      </c>
      <c r="I1942" s="36" t="s">
        <v>1301</v>
      </c>
      <c r="J1942" s="39" t="s">
        <v>286</v>
      </c>
      <c r="K1942" s="38"/>
      <c r="L1942" s="38"/>
    </row>
    <row r="1943" ht="22.5" customHeight="1">
      <c r="A1943" s="36" t="s">
        <v>4571</v>
      </c>
      <c r="B1943" s="36" t="s">
        <v>4572</v>
      </c>
      <c r="C1943" s="36" t="s">
        <v>1495</v>
      </c>
      <c r="D1943" s="36" t="s">
        <v>1496</v>
      </c>
      <c r="E1943" s="36" t="s">
        <v>287</v>
      </c>
      <c r="F1943" s="36" t="s">
        <v>286</v>
      </c>
      <c r="G1943" s="36" t="s">
        <v>411</v>
      </c>
      <c r="H1943" s="37">
        <v>40.0</v>
      </c>
      <c r="I1943" s="36" t="s">
        <v>1301</v>
      </c>
      <c r="J1943" s="39" t="s">
        <v>286</v>
      </c>
      <c r="K1943" s="38"/>
      <c r="L1943" s="38"/>
    </row>
    <row r="1944" ht="22.5" customHeight="1">
      <c r="A1944" s="36" t="s">
        <v>4573</v>
      </c>
      <c r="B1944" s="36" t="s">
        <v>4574</v>
      </c>
      <c r="C1944" s="36" t="s">
        <v>1495</v>
      </c>
      <c r="D1944" s="36" t="s">
        <v>1496</v>
      </c>
      <c r="E1944" s="36" t="s">
        <v>287</v>
      </c>
      <c r="F1944" s="36" t="s">
        <v>286</v>
      </c>
      <c r="G1944" s="36" t="s">
        <v>411</v>
      </c>
      <c r="H1944" s="37">
        <v>35.0</v>
      </c>
      <c r="I1944" s="36" t="s">
        <v>1301</v>
      </c>
      <c r="J1944" s="39" t="s">
        <v>286</v>
      </c>
      <c r="K1944" s="38"/>
      <c r="L1944" s="38"/>
    </row>
    <row r="1945" ht="22.5" customHeight="1">
      <c r="A1945" s="36" t="s">
        <v>4575</v>
      </c>
      <c r="B1945" s="36" t="s">
        <v>4576</v>
      </c>
      <c r="C1945" s="36" t="s">
        <v>1495</v>
      </c>
      <c r="D1945" s="36" t="s">
        <v>1496</v>
      </c>
      <c r="E1945" s="36" t="s">
        <v>287</v>
      </c>
      <c r="F1945" s="36" t="s">
        <v>286</v>
      </c>
      <c r="G1945" s="36" t="s">
        <v>411</v>
      </c>
      <c r="H1945" s="37">
        <v>125.0</v>
      </c>
      <c r="I1945" s="36" t="s">
        <v>1301</v>
      </c>
      <c r="J1945" s="39" t="s">
        <v>286</v>
      </c>
      <c r="K1945" s="38"/>
      <c r="L1945" s="38"/>
    </row>
    <row r="1946" ht="22.5" customHeight="1">
      <c r="A1946" s="36" t="s">
        <v>4577</v>
      </c>
      <c r="B1946" s="36" t="s">
        <v>4578</v>
      </c>
      <c r="C1946" s="36" t="s">
        <v>1495</v>
      </c>
      <c r="D1946" s="36" t="s">
        <v>1496</v>
      </c>
      <c r="E1946" s="36" t="s">
        <v>287</v>
      </c>
      <c r="F1946" s="36" t="s">
        <v>286</v>
      </c>
      <c r="G1946" s="36" t="s">
        <v>411</v>
      </c>
      <c r="H1946" s="37">
        <v>319.0</v>
      </c>
      <c r="I1946" s="36" t="s">
        <v>1301</v>
      </c>
      <c r="J1946" s="39" t="s">
        <v>286</v>
      </c>
      <c r="K1946" s="38"/>
      <c r="L1946" s="38"/>
    </row>
    <row r="1947" ht="22.5" customHeight="1">
      <c r="A1947" s="36" t="s">
        <v>4579</v>
      </c>
      <c r="B1947" s="36" t="s">
        <v>4580</v>
      </c>
      <c r="C1947" s="36" t="s">
        <v>1495</v>
      </c>
      <c r="D1947" s="36" t="s">
        <v>1496</v>
      </c>
      <c r="E1947" s="36" t="s">
        <v>287</v>
      </c>
      <c r="F1947" s="36" t="s">
        <v>286</v>
      </c>
      <c r="G1947" s="36" t="s">
        <v>411</v>
      </c>
      <c r="H1947" s="37">
        <v>245.0</v>
      </c>
      <c r="I1947" s="36" t="s">
        <v>1301</v>
      </c>
      <c r="J1947" s="39" t="s">
        <v>286</v>
      </c>
      <c r="K1947" s="38"/>
      <c r="L1947" s="38"/>
    </row>
    <row r="1948" ht="22.5" customHeight="1">
      <c r="A1948" s="36" t="s">
        <v>4581</v>
      </c>
      <c r="B1948" s="36" t="s">
        <v>4582</v>
      </c>
      <c r="C1948" s="36" t="s">
        <v>1495</v>
      </c>
      <c r="D1948" s="36" t="s">
        <v>1496</v>
      </c>
      <c r="E1948" s="36" t="s">
        <v>287</v>
      </c>
      <c r="F1948" s="36" t="s">
        <v>286</v>
      </c>
      <c r="G1948" s="36" t="s">
        <v>411</v>
      </c>
      <c r="H1948" s="37">
        <v>340.0</v>
      </c>
      <c r="I1948" s="36" t="s">
        <v>1301</v>
      </c>
      <c r="J1948" s="39" t="s">
        <v>286</v>
      </c>
      <c r="K1948" s="38"/>
      <c r="L1948" s="38"/>
    </row>
    <row r="1949" ht="22.5" customHeight="1">
      <c r="A1949" s="36" t="s">
        <v>4583</v>
      </c>
      <c r="B1949" s="36" t="s">
        <v>4584</v>
      </c>
      <c r="C1949" s="36" t="s">
        <v>1495</v>
      </c>
      <c r="D1949" s="36" t="s">
        <v>1496</v>
      </c>
      <c r="E1949" s="36" t="s">
        <v>287</v>
      </c>
      <c r="F1949" s="36" t="s">
        <v>286</v>
      </c>
      <c r="G1949" s="36" t="s">
        <v>411</v>
      </c>
      <c r="H1949" s="37">
        <v>338.0</v>
      </c>
      <c r="I1949" s="36" t="s">
        <v>1301</v>
      </c>
      <c r="J1949" s="39" t="s">
        <v>286</v>
      </c>
      <c r="K1949" s="38"/>
      <c r="L1949" s="38"/>
    </row>
    <row r="1950" ht="22.5" customHeight="1">
      <c r="A1950" s="36" t="s">
        <v>4585</v>
      </c>
      <c r="B1950" s="36" t="s">
        <v>4586</v>
      </c>
      <c r="C1950" s="36" t="s">
        <v>1495</v>
      </c>
      <c r="D1950" s="36" t="s">
        <v>1496</v>
      </c>
      <c r="E1950" s="36" t="s">
        <v>287</v>
      </c>
      <c r="F1950" s="36" t="s">
        <v>286</v>
      </c>
      <c r="G1950" s="36" t="s">
        <v>411</v>
      </c>
      <c r="H1950" s="37">
        <v>248.0</v>
      </c>
      <c r="I1950" s="36" t="s">
        <v>1301</v>
      </c>
      <c r="J1950" s="39" t="s">
        <v>286</v>
      </c>
      <c r="K1950" s="38"/>
      <c r="L1950" s="38"/>
    </row>
    <row r="1951" ht="22.5" customHeight="1">
      <c r="A1951" s="36" t="s">
        <v>4587</v>
      </c>
      <c r="B1951" s="36" t="s">
        <v>4588</v>
      </c>
      <c r="C1951" s="36" t="s">
        <v>1495</v>
      </c>
      <c r="D1951" s="36" t="s">
        <v>1496</v>
      </c>
      <c r="E1951" s="36" t="s">
        <v>287</v>
      </c>
      <c r="F1951" s="36" t="s">
        <v>286</v>
      </c>
      <c r="G1951" s="36" t="s">
        <v>411</v>
      </c>
      <c r="H1951" s="37">
        <v>323.0</v>
      </c>
      <c r="I1951" s="36" t="s">
        <v>1301</v>
      </c>
      <c r="J1951" s="39" t="s">
        <v>286</v>
      </c>
      <c r="K1951" s="38"/>
      <c r="L1951" s="38"/>
    </row>
    <row r="1952" ht="22.5" customHeight="1">
      <c r="A1952" s="36" t="s">
        <v>4589</v>
      </c>
      <c r="B1952" s="36" t="s">
        <v>4590</v>
      </c>
      <c r="C1952" s="36" t="s">
        <v>1495</v>
      </c>
      <c r="D1952" s="36" t="s">
        <v>1496</v>
      </c>
      <c r="E1952" s="36" t="s">
        <v>287</v>
      </c>
      <c r="F1952" s="36" t="s">
        <v>286</v>
      </c>
      <c r="G1952" s="36" t="s">
        <v>411</v>
      </c>
      <c r="H1952" s="37">
        <v>258.0</v>
      </c>
      <c r="I1952" s="36" t="s">
        <v>1301</v>
      </c>
      <c r="J1952" s="39" t="s">
        <v>286</v>
      </c>
      <c r="K1952" s="38"/>
      <c r="L1952" s="38"/>
    </row>
    <row r="1953" ht="22.5" customHeight="1">
      <c r="A1953" s="36" t="s">
        <v>4591</v>
      </c>
      <c r="B1953" s="36" t="s">
        <v>4592</v>
      </c>
      <c r="C1953" s="36" t="s">
        <v>1495</v>
      </c>
      <c r="D1953" s="36" t="s">
        <v>1496</v>
      </c>
      <c r="E1953" s="36" t="s">
        <v>287</v>
      </c>
      <c r="F1953" s="36" t="s">
        <v>286</v>
      </c>
      <c r="G1953" s="36" t="s">
        <v>411</v>
      </c>
      <c r="H1953" s="37">
        <v>255.0</v>
      </c>
      <c r="I1953" s="36" t="s">
        <v>1301</v>
      </c>
      <c r="J1953" s="39" t="s">
        <v>286</v>
      </c>
      <c r="K1953" s="38"/>
      <c r="L1953" s="38"/>
    </row>
    <row r="1954" ht="22.5" customHeight="1">
      <c r="A1954" s="36" t="s">
        <v>4593</v>
      </c>
      <c r="B1954" s="36" t="s">
        <v>4594</v>
      </c>
      <c r="C1954" s="36" t="s">
        <v>1495</v>
      </c>
      <c r="D1954" s="36" t="s">
        <v>1496</v>
      </c>
      <c r="E1954" s="36" t="s">
        <v>287</v>
      </c>
      <c r="F1954" s="36" t="s">
        <v>286</v>
      </c>
      <c r="G1954" s="36" t="s">
        <v>411</v>
      </c>
      <c r="H1954" s="37">
        <v>22.0</v>
      </c>
      <c r="I1954" s="36" t="s">
        <v>1301</v>
      </c>
      <c r="J1954" s="39" t="s">
        <v>286</v>
      </c>
      <c r="K1954" s="38"/>
      <c r="L1954" s="38"/>
    </row>
    <row r="1955" ht="22.5" customHeight="1">
      <c r="A1955" s="36" t="s">
        <v>4595</v>
      </c>
      <c r="B1955" s="36" t="s">
        <v>4596</v>
      </c>
      <c r="C1955" s="36" t="s">
        <v>1495</v>
      </c>
      <c r="D1955" s="36" t="s">
        <v>1496</v>
      </c>
      <c r="E1955" s="36" t="s">
        <v>287</v>
      </c>
      <c r="F1955" s="36" t="s">
        <v>286</v>
      </c>
      <c r="G1955" s="36" t="s">
        <v>411</v>
      </c>
      <c r="H1955" s="37">
        <v>104.53</v>
      </c>
      <c r="I1955" s="36" t="s">
        <v>1301</v>
      </c>
      <c r="J1955" s="39" t="s">
        <v>286</v>
      </c>
      <c r="K1955" s="38"/>
      <c r="L1955" s="38"/>
    </row>
    <row r="1956" ht="22.5" customHeight="1">
      <c r="A1956" s="36" t="s">
        <v>4597</v>
      </c>
      <c r="B1956" s="36" t="s">
        <v>4598</v>
      </c>
      <c r="C1956" s="36" t="s">
        <v>1495</v>
      </c>
      <c r="D1956" s="36" t="s">
        <v>1496</v>
      </c>
      <c r="E1956" s="36" t="s">
        <v>287</v>
      </c>
      <c r="F1956" s="36" t="s">
        <v>286</v>
      </c>
      <c r="G1956" s="36" t="s">
        <v>411</v>
      </c>
      <c r="H1956" s="37">
        <v>200.0</v>
      </c>
      <c r="I1956" s="36" t="s">
        <v>1301</v>
      </c>
      <c r="J1956" s="39" t="s">
        <v>286</v>
      </c>
      <c r="K1956" s="38"/>
      <c r="L1956" s="38"/>
    </row>
    <row r="1957" ht="22.5" customHeight="1">
      <c r="A1957" s="36" t="s">
        <v>4599</v>
      </c>
      <c r="B1957" s="36" t="s">
        <v>4600</v>
      </c>
      <c r="C1957" s="36" t="s">
        <v>1495</v>
      </c>
      <c r="D1957" s="36" t="s">
        <v>1496</v>
      </c>
      <c r="E1957" s="36" t="s">
        <v>287</v>
      </c>
      <c r="F1957" s="36" t="s">
        <v>286</v>
      </c>
      <c r="G1957" s="36" t="s">
        <v>411</v>
      </c>
      <c r="H1957" s="37">
        <v>275.0</v>
      </c>
      <c r="I1957" s="36" t="s">
        <v>1301</v>
      </c>
      <c r="J1957" s="39" t="s">
        <v>286</v>
      </c>
      <c r="K1957" s="38"/>
      <c r="L1957" s="38"/>
    </row>
    <row r="1958" ht="22.5" customHeight="1">
      <c r="A1958" s="36" t="s">
        <v>4601</v>
      </c>
      <c r="B1958" s="36" t="s">
        <v>4602</v>
      </c>
      <c r="C1958" s="36" t="s">
        <v>1495</v>
      </c>
      <c r="D1958" s="36" t="s">
        <v>1496</v>
      </c>
      <c r="E1958" s="36" t="s">
        <v>287</v>
      </c>
      <c r="F1958" s="36" t="s">
        <v>286</v>
      </c>
      <c r="G1958" s="36" t="s">
        <v>411</v>
      </c>
      <c r="H1958" s="37">
        <v>519.58</v>
      </c>
      <c r="I1958" s="36" t="s">
        <v>1301</v>
      </c>
      <c r="J1958" s="39" t="s">
        <v>286</v>
      </c>
      <c r="K1958" s="38"/>
      <c r="L1958" s="38"/>
    </row>
    <row r="1959" ht="22.5" customHeight="1">
      <c r="A1959" s="36" t="s">
        <v>4603</v>
      </c>
      <c r="B1959" s="36" t="s">
        <v>4604</v>
      </c>
      <c r="C1959" s="36" t="s">
        <v>1495</v>
      </c>
      <c r="D1959" s="36" t="s">
        <v>1496</v>
      </c>
      <c r="E1959" s="36" t="s">
        <v>287</v>
      </c>
      <c r="F1959" s="36" t="s">
        <v>286</v>
      </c>
      <c r="G1959" s="36" t="s">
        <v>411</v>
      </c>
      <c r="H1959" s="37">
        <v>712.81</v>
      </c>
      <c r="I1959" s="36" t="s">
        <v>1301</v>
      </c>
      <c r="J1959" s="39" t="s">
        <v>286</v>
      </c>
      <c r="K1959" s="38"/>
      <c r="L1959" s="38"/>
    </row>
    <row r="1960" ht="22.5" customHeight="1">
      <c r="A1960" s="36" t="s">
        <v>4605</v>
      </c>
      <c r="B1960" s="36" t="s">
        <v>4606</v>
      </c>
      <c r="C1960" s="36" t="s">
        <v>1495</v>
      </c>
      <c r="D1960" s="36" t="s">
        <v>1496</v>
      </c>
      <c r="E1960" s="36" t="s">
        <v>287</v>
      </c>
      <c r="F1960" s="36" t="s">
        <v>286</v>
      </c>
      <c r="G1960" s="36" t="s">
        <v>411</v>
      </c>
      <c r="H1960" s="37">
        <v>495.22</v>
      </c>
      <c r="I1960" s="36" t="s">
        <v>1301</v>
      </c>
      <c r="J1960" s="39" t="s">
        <v>286</v>
      </c>
      <c r="K1960" s="38"/>
      <c r="L1960" s="38"/>
    </row>
    <row r="1961" ht="22.5" customHeight="1">
      <c r="A1961" s="36" t="s">
        <v>4607</v>
      </c>
      <c r="B1961" s="36" t="s">
        <v>4608</v>
      </c>
      <c r="C1961" s="36" t="s">
        <v>1495</v>
      </c>
      <c r="D1961" s="36" t="s">
        <v>1496</v>
      </c>
      <c r="E1961" s="36" t="s">
        <v>287</v>
      </c>
      <c r="F1961" s="36" t="s">
        <v>286</v>
      </c>
      <c r="G1961" s="36" t="s">
        <v>411</v>
      </c>
      <c r="H1961" s="37">
        <v>177.21</v>
      </c>
      <c r="I1961" s="36" t="s">
        <v>1301</v>
      </c>
      <c r="J1961" s="39" t="s">
        <v>286</v>
      </c>
      <c r="K1961" s="38"/>
      <c r="L1961" s="38"/>
    </row>
    <row r="1962" ht="22.5" customHeight="1">
      <c r="A1962" s="36" t="s">
        <v>4609</v>
      </c>
      <c r="B1962" s="36" t="s">
        <v>4610</v>
      </c>
      <c r="C1962" s="36" t="s">
        <v>1495</v>
      </c>
      <c r="D1962" s="36" t="s">
        <v>1496</v>
      </c>
      <c r="E1962" s="36" t="s">
        <v>287</v>
      </c>
      <c r="F1962" s="36" t="s">
        <v>286</v>
      </c>
      <c r="G1962" s="36" t="s">
        <v>411</v>
      </c>
      <c r="H1962" s="37">
        <v>165.15</v>
      </c>
      <c r="I1962" s="36" t="s">
        <v>1301</v>
      </c>
      <c r="J1962" s="39" t="s">
        <v>286</v>
      </c>
      <c r="K1962" s="38"/>
      <c r="L1962" s="38"/>
    </row>
    <row r="1963" ht="22.5" customHeight="1">
      <c r="A1963" s="36" t="s">
        <v>4611</v>
      </c>
      <c r="B1963" s="36" t="s">
        <v>4612</v>
      </c>
      <c r="C1963" s="36" t="s">
        <v>1495</v>
      </c>
      <c r="D1963" s="36" t="s">
        <v>1496</v>
      </c>
      <c r="E1963" s="36" t="s">
        <v>287</v>
      </c>
      <c r="F1963" s="36" t="s">
        <v>286</v>
      </c>
      <c r="G1963" s="36" t="s">
        <v>411</v>
      </c>
      <c r="H1963" s="37">
        <v>96.45</v>
      </c>
      <c r="I1963" s="36" t="s">
        <v>1301</v>
      </c>
      <c r="J1963" s="39" t="s">
        <v>286</v>
      </c>
      <c r="K1963" s="38"/>
      <c r="L1963" s="38"/>
    </row>
    <row r="1964" ht="22.5" customHeight="1">
      <c r="A1964" s="36" t="s">
        <v>4613</v>
      </c>
      <c r="B1964" s="36" t="s">
        <v>4614</v>
      </c>
      <c r="C1964" s="36" t="s">
        <v>1495</v>
      </c>
      <c r="D1964" s="36" t="s">
        <v>1496</v>
      </c>
      <c r="E1964" s="36" t="s">
        <v>287</v>
      </c>
      <c r="F1964" s="36" t="s">
        <v>286</v>
      </c>
      <c r="G1964" s="36" t="s">
        <v>411</v>
      </c>
      <c r="H1964" s="37">
        <v>24.28</v>
      </c>
      <c r="I1964" s="36" t="s">
        <v>1301</v>
      </c>
      <c r="J1964" s="39" t="s">
        <v>286</v>
      </c>
      <c r="K1964" s="38"/>
      <c r="L1964" s="38"/>
    </row>
    <row r="1965" ht="22.5" customHeight="1">
      <c r="A1965" s="36" t="s">
        <v>4615</v>
      </c>
      <c r="B1965" s="36" t="s">
        <v>4616</v>
      </c>
      <c r="C1965" s="36" t="s">
        <v>1495</v>
      </c>
      <c r="D1965" s="36" t="s">
        <v>1496</v>
      </c>
      <c r="E1965" s="36" t="s">
        <v>287</v>
      </c>
      <c r="F1965" s="36" t="s">
        <v>286</v>
      </c>
      <c r="G1965" s="36" t="s">
        <v>411</v>
      </c>
      <c r="H1965" s="37">
        <v>15.0</v>
      </c>
      <c r="I1965" s="36" t="s">
        <v>1301</v>
      </c>
      <c r="J1965" s="39" t="s">
        <v>286</v>
      </c>
      <c r="K1965" s="38"/>
      <c r="L1965" s="38"/>
    </row>
    <row r="1966" ht="22.5" customHeight="1">
      <c r="A1966" s="36" t="s">
        <v>4617</v>
      </c>
      <c r="B1966" s="36" t="s">
        <v>4618</v>
      </c>
      <c r="C1966" s="36" t="s">
        <v>1495</v>
      </c>
      <c r="D1966" s="36" t="s">
        <v>1496</v>
      </c>
      <c r="E1966" s="36" t="s">
        <v>287</v>
      </c>
      <c r="F1966" s="36" t="s">
        <v>286</v>
      </c>
      <c r="G1966" s="36" t="s">
        <v>411</v>
      </c>
      <c r="H1966" s="37">
        <v>74.0</v>
      </c>
      <c r="I1966" s="36" t="s">
        <v>1301</v>
      </c>
      <c r="J1966" s="39" t="s">
        <v>286</v>
      </c>
      <c r="K1966" s="38"/>
      <c r="L1966" s="38"/>
    </row>
    <row r="1967" ht="22.5" customHeight="1">
      <c r="A1967" s="36" t="s">
        <v>4619</v>
      </c>
      <c r="B1967" s="36" t="s">
        <v>4620</v>
      </c>
      <c r="C1967" s="36" t="s">
        <v>1495</v>
      </c>
      <c r="D1967" s="36" t="s">
        <v>1496</v>
      </c>
      <c r="E1967" s="36" t="s">
        <v>287</v>
      </c>
      <c r="F1967" s="36" t="s">
        <v>286</v>
      </c>
      <c r="G1967" s="36" t="s">
        <v>411</v>
      </c>
      <c r="H1967" s="37">
        <v>8.59</v>
      </c>
      <c r="I1967" s="36" t="s">
        <v>1301</v>
      </c>
      <c r="J1967" s="39" t="s">
        <v>286</v>
      </c>
      <c r="K1967" s="38"/>
      <c r="L1967" s="38"/>
    </row>
    <row r="1968" ht="22.5" customHeight="1">
      <c r="A1968" s="36" t="s">
        <v>4621</v>
      </c>
      <c r="B1968" s="36" t="s">
        <v>4622</v>
      </c>
      <c r="C1968" s="36" t="s">
        <v>1495</v>
      </c>
      <c r="D1968" s="36" t="s">
        <v>1496</v>
      </c>
      <c r="E1968" s="36" t="s">
        <v>287</v>
      </c>
      <c r="F1968" s="36" t="s">
        <v>286</v>
      </c>
      <c r="G1968" s="36" t="s">
        <v>411</v>
      </c>
      <c r="H1968" s="37">
        <v>555.0</v>
      </c>
      <c r="I1968" s="36" t="s">
        <v>1301</v>
      </c>
      <c r="J1968" s="39" t="s">
        <v>286</v>
      </c>
      <c r="K1968" s="38"/>
      <c r="L1968" s="38"/>
    </row>
    <row r="1969" ht="22.5" customHeight="1">
      <c r="A1969" s="36" t="s">
        <v>4623</v>
      </c>
      <c r="B1969" s="36" t="s">
        <v>4624</v>
      </c>
      <c r="C1969" s="36" t="s">
        <v>1495</v>
      </c>
      <c r="D1969" s="36" t="s">
        <v>1496</v>
      </c>
      <c r="E1969" s="36" t="s">
        <v>287</v>
      </c>
      <c r="F1969" s="36" t="s">
        <v>286</v>
      </c>
      <c r="G1969" s="36" t="s">
        <v>411</v>
      </c>
      <c r="H1969" s="37">
        <v>120.09</v>
      </c>
      <c r="I1969" s="36" t="s">
        <v>1301</v>
      </c>
      <c r="J1969" s="39" t="s">
        <v>286</v>
      </c>
      <c r="K1969" s="38"/>
      <c r="L1969" s="38"/>
    </row>
    <row r="1970" ht="22.5" customHeight="1">
      <c r="A1970" s="36" t="s">
        <v>4625</v>
      </c>
      <c r="B1970" s="36" t="s">
        <v>4626</v>
      </c>
      <c r="C1970" s="36" t="s">
        <v>1495</v>
      </c>
      <c r="D1970" s="36" t="s">
        <v>1496</v>
      </c>
      <c r="E1970" s="36" t="s">
        <v>287</v>
      </c>
      <c r="F1970" s="36" t="s">
        <v>286</v>
      </c>
      <c r="G1970" s="36" t="s">
        <v>411</v>
      </c>
      <c r="H1970" s="37">
        <v>96.07</v>
      </c>
      <c r="I1970" s="36" t="s">
        <v>1301</v>
      </c>
      <c r="J1970" s="39" t="s">
        <v>286</v>
      </c>
      <c r="K1970" s="38"/>
      <c r="L1970" s="38"/>
    </row>
    <row r="1971" ht="22.5" customHeight="1">
      <c r="A1971" s="36" t="s">
        <v>4627</v>
      </c>
      <c r="B1971" s="36" t="s">
        <v>4628</v>
      </c>
      <c r="C1971" s="36" t="s">
        <v>1495</v>
      </c>
      <c r="D1971" s="36" t="s">
        <v>1496</v>
      </c>
      <c r="E1971" s="36" t="s">
        <v>287</v>
      </c>
      <c r="F1971" s="36" t="s">
        <v>286</v>
      </c>
      <c r="G1971" s="36" t="s">
        <v>411</v>
      </c>
      <c r="H1971" s="37">
        <v>84.5</v>
      </c>
      <c r="I1971" s="36" t="s">
        <v>1301</v>
      </c>
      <c r="J1971" s="39" t="s">
        <v>286</v>
      </c>
      <c r="K1971" s="38"/>
      <c r="L1971" s="38"/>
    </row>
    <row r="1972" ht="22.5" customHeight="1">
      <c r="A1972" s="36" t="s">
        <v>4629</v>
      </c>
      <c r="B1972" s="36" t="s">
        <v>4630</v>
      </c>
      <c r="C1972" s="36" t="s">
        <v>1495</v>
      </c>
      <c r="D1972" s="36" t="s">
        <v>1496</v>
      </c>
      <c r="E1972" s="36" t="s">
        <v>287</v>
      </c>
      <c r="F1972" s="36" t="s">
        <v>286</v>
      </c>
      <c r="G1972" s="36" t="s">
        <v>411</v>
      </c>
      <c r="H1972" s="37">
        <v>11.18</v>
      </c>
      <c r="I1972" s="36" t="s">
        <v>1301</v>
      </c>
      <c r="J1972" s="39" t="s">
        <v>286</v>
      </c>
      <c r="K1972" s="38"/>
      <c r="L1972" s="38"/>
    </row>
    <row r="1973" ht="22.5" customHeight="1">
      <c r="A1973" s="36" t="s">
        <v>4631</v>
      </c>
      <c r="B1973" s="36" t="s">
        <v>4632</v>
      </c>
      <c r="C1973" s="36" t="s">
        <v>1495</v>
      </c>
      <c r="D1973" s="36" t="s">
        <v>1496</v>
      </c>
      <c r="E1973" s="36" t="s">
        <v>287</v>
      </c>
      <c r="F1973" s="36" t="s">
        <v>286</v>
      </c>
      <c r="G1973" s="36" t="s">
        <v>411</v>
      </c>
      <c r="H1973" s="37">
        <v>11.84</v>
      </c>
      <c r="I1973" s="36" t="s">
        <v>1301</v>
      </c>
      <c r="J1973" s="39" t="s">
        <v>286</v>
      </c>
      <c r="K1973" s="38"/>
      <c r="L1973" s="38"/>
    </row>
    <row r="1974" ht="22.5" customHeight="1">
      <c r="A1974" s="36" t="s">
        <v>4633</v>
      </c>
      <c r="B1974" s="36" t="s">
        <v>4634</v>
      </c>
      <c r="C1974" s="36" t="s">
        <v>1495</v>
      </c>
      <c r="D1974" s="36" t="s">
        <v>1496</v>
      </c>
      <c r="E1974" s="36" t="s">
        <v>287</v>
      </c>
      <c r="F1974" s="36" t="s">
        <v>286</v>
      </c>
      <c r="G1974" s="36" t="s">
        <v>411</v>
      </c>
      <c r="H1974" s="37">
        <v>145.0</v>
      </c>
      <c r="I1974" s="36" t="s">
        <v>1301</v>
      </c>
      <c r="J1974" s="39" t="s">
        <v>286</v>
      </c>
      <c r="K1974" s="38"/>
      <c r="L1974" s="38"/>
    </row>
    <row r="1975" ht="22.5" customHeight="1">
      <c r="A1975" s="36" t="s">
        <v>4635</v>
      </c>
      <c r="B1975" s="36" t="s">
        <v>4636</v>
      </c>
      <c r="C1975" s="36" t="s">
        <v>1495</v>
      </c>
      <c r="D1975" s="36" t="s">
        <v>1496</v>
      </c>
      <c r="E1975" s="36" t="s">
        <v>287</v>
      </c>
      <c r="F1975" s="36" t="s">
        <v>286</v>
      </c>
      <c r="G1975" s="36" t="s">
        <v>411</v>
      </c>
      <c r="H1975" s="37">
        <v>764.57</v>
      </c>
      <c r="I1975" s="36" t="s">
        <v>1301</v>
      </c>
      <c r="J1975" s="39" t="s">
        <v>286</v>
      </c>
      <c r="K1975" s="38"/>
      <c r="L1975" s="38"/>
    </row>
    <row r="1976" ht="22.5" customHeight="1">
      <c r="A1976" s="36" t="s">
        <v>4637</v>
      </c>
      <c r="B1976" s="36" t="s">
        <v>4638</v>
      </c>
      <c r="C1976" s="36" t="s">
        <v>1495</v>
      </c>
      <c r="D1976" s="36" t="s">
        <v>1496</v>
      </c>
      <c r="E1976" s="36" t="s">
        <v>287</v>
      </c>
      <c r="F1976" s="36" t="s">
        <v>286</v>
      </c>
      <c r="G1976" s="36" t="s">
        <v>411</v>
      </c>
      <c r="H1976" s="37">
        <v>492.43</v>
      </c>
      <c r="I1976" s="36" t="s">
        <v>1301</v>
      </c>
      <c r="J1976" s="39" t="s">
        <v>286</v>
      </c>
      <c r="K1976" s="38"/>
      <c r="L1976" s="38"/>
    </row>
    <row r="1977" ht="22.5" customHeight="1">
      <c r="A1977" s="36" t="s">
        <v>4639</v>
      </c>
      <c r="B1977" s="36" t="s">
        <v>4640</v>
      </c>
      <c r="C1977" s="36" t="s">
        <v>1495</v>
      </c>
      <c r="D1977" s="36" t="s">
        <v>1496</v>
      </c>
      <c r="E1977" s="36" t="s">
        <v>287</v>
      </c>
      <c r="F1977" s="36" t="s">
        <v>286</v>
      </c>
      <c r="G1977" s="36" t="s">
        <v>411</v>
      </c>
      <c r="H1977" s="37">
        <v>169.07</v>
      </c>
      <c r="I1977" s="36" t="s">
        <v>1301</v>
      </c>
      <c r="J1977" s="39" t="s">
        <v>286</v>
      </c>
      <c r="K1977" s="38"/>
      <c r="L1977" s="38"/>
    </row>
    <row r="1978" ht="22.5" customHeight="1">
      <c r="A1978" s="36" t="s">
        <v>4641</v>
      </c>
      <c r="B1978" s="36" t="s">
        <v>4642</v>
      </c>
      <c r="C1978" s="36" t="s">
        <v>1495</v>
      </c>
      <c r="D1978" s="36" t="s">
        <v>1496</v>
      </c>
      <c r="E1978" s="36" t="s">
        <v>287</v>
      </c>
      <c r="F1978" s="36" t="s">
        <v>286</v>
      </c>
      <c r="G1978" s="36" t="s">
        <v>411</v>
      </c>
      <c r="H1978" s="37">
        <v>218.55</v>
      </c>
      <c r="I1978" s="36" t="s">
        <v>1301</v>
      </c>
      <c r="J1978" s="39" t="s">
        <v>286</v>
      </c>
      <c r="K1978" s="38"/>
      <c r="L1978" s="38"/>
    </row>
    <row r="1979" ht="22.5" customHeight="1">
      <c r="A1979" s="36" t="s">
        <v>4643</v>
      </c>
      <c r="B1979" s="36" t="s">
        <v>4644</v>
      </c>
      <c r="C1979" s="36" t="s">
        <v>1495</v>
      </c>
      <c r="D1979" s="36" t="s">
        <v>1496</v>
      </c>
      <c r="E1979" s="36" t="s">
        <v>287</v>
      </c>
      <c r="F1979" s="36" t="s">
        <v>286</v>
      </c>
      <c r="G1979" s="36" t="s">
        <v>411</v>
      </c>
      <c r="H1979" s="37">
        <v>4.3</v>
      </c>
      <c r="I1979" s="36" t="s">
        <v>1301</v>
      </c>
      <c r="J1979" s="39" t="s">
        <v>286</v>
      </c>
      <c r="K1979" s="38"/>
      <c r="L1979" s="38"/>
    </row>
    <row r="1980" ht="22.5" customHeight="1">
      <c r="A1980" s="36" t="s">
        <v>4645</v>
      </c>
      <c r="B1980" s="36" t="s">
        <v>4646</v>
      </c>
      <c r="C1980" s="36" t="s">
        <v>1495</v>
      </c>
      <c r="D1980" s="36" t="s">
        <v>1496</v>
      </c>
      <c r="E1980" s="36" t="s">
        <v>287</v>
      </c>
      <c r="F1980" s="36" t="s">
        <v>286</v>
      </c>
      <c r="G1980" s="36" t="s">
        <v>411</v>
      </c>
      <c r="H1980" s="37">
        <v>32.68</v>
      </c>
      <c r="I1980" s="36" t="s">
        <v>1301</v>
      </c>
      <c r="J1980" s="39" t="s">
        <v>286</v>
      </c>
      <c r="K1980" s="38"/>
      <c r="L1980" s="38"/>
    </row>
    <row r="1981" ht="22.5" customHeight="1">
      <c r="A1981" s="36" t="s">
        <v>4647</v>
      </c>
      <c r="B1981" s="36" t="s">
        <v>4648</v>
      </c>
      <c r="C1981" s="36" t="s">
        <v>1495</v>
      </c>
      <c r="D1981" s="36" t="s">
        <v>1496</v>
      </c>
      <c r="E1981" s="36" t="s">
        <v>287</v>
      </c>
      <c r="F1981" s="36" t="s">
        <v>286</v>
      </c>
      <c r="G1981" s="36" t="s">
        <v>411</v>
      </c>
      <c r="H1981" s="37">
        <v>91.11</v>
      </c>
      <c r="I1981" s="36" t="s">
        <v>1301</v>
      </c>
      <c r="J1981" s="39" t="s">
        <v>286</v>
      </c>
      <c r="K1981" s="38"/>
      <c r="L1981" s="38"/>
    </row>
    <row r="1982" ht="22.5" customHeight="1">
      <c r="A1982" s="36" t="s">
        <v>4649</v>
      </c>
      <c r="B1982" s="36" t="s">
        <v>4650</v>
      </c>
      <c r="C1982" s="36" t="s">
        <v>1495</v>
      </c>
      <c r="D1982" s="36" t="s">
        <v>1496</v>
      </c>
      <c r="E1982" s="36" t="s">
        <v>287</v>
      </c>
      <c r="F1982" s="36" t="s">
        <v>286</v>
      </c>
      <c r="G1982" s="36" t="s">
        <v>411</v>
      </c>
      <c r="H1982" s="37">
        <v>99.18</v>
      </c>
      <c r="I1982" s="36" t="s">
        <v>1301</v>
      </c>
      <c r="J1982" s="39" t="s">
        <v>286</v>
      </c>
      <c r="K1982" s="38"/>
      <c r="L1982" s="38"/>
    </row>
    <row r="1983" ht="22.5" customHeight="1">
      <c r="A1983" s="36" t="s">
        <v>4651</v>
      </c>
      <c r="B1983" s="36" t="s">
        <v>4652</v>
      </c>
      <c r="C1983" s="36" t="s">
        <v>1495</v>
      </c>
      <c r="D1983" s="36" t="s">
        <v>1496</v>
      </c>
      <c r="E1983" s="36" t="s">
        <v>287</v>
      </c>
      <c r="F1983" s="36" t="s">
        <v>286</v>
      </c>
      <c r="G1983" s="36" t="s">
        <v>411</v>
      </c>
      <c r="H1983" s="37">
        <v>1648.58</v>
      </c>
      <c r="I1983" s="36" t="s">
        <v>1301</v>
      </c>
      <c r="J1983" s="39" t="s">
        <v>286</v>
      </c>
      <c r="K1983" s="38"/>
      <c r="L1983" s="38"/>
    </row>
    <row r="1984" ht="22.5" customHeight="1">
      <c r="A1984" s="36" t="s">
        <v>4653</v>
      </c>
      <c r="B1984" s="36" t="s">
        <v>4654</v>
      </c>
      <c r="C1984" s="36" t="s">
        <v>1495</v>
      </c>
      <c r="D1984" s="36" t="s">
        <v>1496</v>
      </c>
      <c r="E1984" s="36" t="s">
        <v>287</v>
      </c>
      <c r="F1984" s="36" t="s">
        <v>286</v>
      </c>
      <c r="G1984" s="36" t="s">
        <v>411</v>
      </c>
      <c r="H1984" s="37">
        <v>2110.18</v>
      </c>
      <c r="I1984" s="36" t="s">
        <v>1301</v>
      </c>
      <c r="J1984" s="39" t="s">
        <v>286</v>
      </c>
      <c r="K1984" s="38"/>
      <c r="L1984" s="38"/>
    </row>
    <row r="1985" ht="22.5" customHeight="1">
      <c r="A1985" s="36" t="s">
        <v>4655</v>
      </c>
      <c r="B1985" s="36" t="s">
        <v>4656</v>
      </c>
      <c r="C1985" s="36" t="s">
        <v>1495</v>
      </c>
      <c r="D1985" s="36" t="s">
        <v>1496</v>
      </c>
      <c r="E1985" s="36" t="s">
        <v>287</v>
      </c>
      <c r="F1985" s="36" t="s">
        <v>286</v>
      </c>
      <c r="G1985" s="36" t="s">
        <v>411</v>
      </c>
      <c r="H1985" s="37">
        <v>100.0</v>
      </c>
      <c r="I1985" s="36" t="s">
        <v>1301</v>
      </c>
      <c r="J1985" s="39" t="s">
        <v>286</v>
      </c>
      <c r="K1985" s="38"/>
      <c r="L1985" s="38"/>
    </row>
    <row r="1986" ht="22.5" customHeight="1">
      <c r="A1986" s="36" t="s">
        <v>4657</v>
      </c>
      <c r="B1986" s="36" t="s">
        <v>4658</v>
      </c>
      <c r="C1986" s="36" t="s">
        <v>1495</v>
      </c>
      <c r="D1986" s="36" t="s">
        <v>1496</v>
      </c>
      <c r="E1986" s="36" t="s">
        <v>287</v>
      </c>
      <c r="F1986" s="36" t="s">
        <v>286</v>
      </c>
      <c r="G1986" s="36" t="s">
        <v>411</v>
      </c>
      <c r="H1986" s="37">
        <v>300.0</v>
      </c>
      <c r="I1986" s="36" t="s">
        <v>1301</v>
      </c>
      <c r="J1986" s="39" t="s">
        <v>286</v>
      </c>
      <c r="K1986" s="38"/>
      <c r="L1986" s="38"/>
    </row>
    <row r="1987" ht="22.5" customHeight="1">
      <c r="A1987" s="36" t="s">
        <v>4659</v>
      </c>
      <c r="B1987" s="36" t="s">
        <v>4660</v>
      </c>
      <c r="C1987" s="36" t="s">
        <v>1495</v>
      </c>
      <c r="D1987" s="36" t="s">
        <v>1496</v>
      </c>
      <c r="E1987" s="36" t="s">
        <v>1285</v>
      </c>
      <c r="F1987" s="36" t="s">
        <v>286</v>
      </c>
      <c r="G1987" s="36" t="s">
        <v>411</v>
      </c>
      <c r="H1987" s="37">
        <v>93.24</v>
      </c>
      <c r="I1987" s="36" t="s">
        <v>1301</v>
      </c>
      <c r="J1987" s="39" t="s">
        <v>286</v>
      </c>
      <c r="K1987" s="38"/>
      <c r="L1987" s="38"/>
    </row>
    <row r="1988" ht="22.5" customHeight="1">
      <c r="A1988" s="36" t="s">
        <v>4661</v>
      </c>
      <c r="B1988" s="36" t="s">
        <v>4662</v>
      </c>
      <c r="C1988" s="36" t="s">
        <v>1495</v>
      </c>
      <c r="D1988" s="36" t="s">
        <v>1496</v>
      </c>
      <c r="E1988" s="36" t="s">
        <v>1285</v>
      </c>
      <c r="F1988" s="36" t="s">
        <v>286</v>
      </c>
      <c r="G1988" s="36" t="s">
        <v>411</v>
      </c>
      <c r="H1988" s="37">
        <v>23.29</v>
      </c>
      <c r="I1988" s="36" t="s">
        <v>1301</v>
      </c>
      <c r="J1988" s="39" t="s">
        <v>286</v>
      </c>
      <c r="K1988" s="38"/>
      <c r="L1988" s="38"/>
    </row>
    <row r="1989" ht="22.5" customHeight="1">
      <c r="A1989" s="36" t="s">
        <v>4663</v>
      </c>
      <c r="B1989" s="36" t="s">
        <v>4664</v>
      </c>
      <c r="C1989" s="36" t="s">
        <v>1495</v>
      </c>
      <c r="D1989" s="36" t="s">
        <v>1496</v>
      </c>
      <c r="E1989" s="36" t="s">
        <v>1285</v>
      </c>
      <c r="F1989" s="36" t="s">
        <v>286</v>
      </c>
      <c r="G1989" s="36" t="s">
        <v>411</v>
      </c>
      <c r="H1989" s="37">
        <v>100.0</v>
      </c>
      <c r="I1989" s="36" t="s">
        <v>1301</v>
      </c>
      <c r="J1989" s="39" t="s">
        <v>286</v>
      </c>
      <c r="K1989" s="38"/>
      <c r="L1989" s="38"/>
    </row>
    <row r="1990" ht="22.5" customHeight="1">
      <c r="A1990" s="36" t="s">
        <v>4665</v>
      </c>
      <c r="B1990" s="36" t="s">
        <v>4666</v>
      </c>
      <c r="C1990" s="36" t="s">
        <v>1495</v>
      </c>
      <c r="D1990" s="36" t="s">
        <v>1496</v>
      </c>
      <c r="E1990" s="36" t="s">
        <v>1285</v>
      </c>
      <c r="F1990" s="36" t="s">
        <v>286</v>
      </c>
      <c r="G1990" s="36" t="s">
        <v>411</v>
      </c>
      <c r="H1990" s="37">
        <v>119.0</v>
      </c>
      <c r="I1990" s="36" t="s">
        <v>1301</v>
      </c>
      <c r="J1990" s="39" t="s">
        <v>286</v>
      </c>
      <c r="K1990" s="38"/>
      <c r="L1990" s="38"/>
    </row>
    <row r="1991" ht="22.5" customHeight="1">
      <c r="A1991" s="36" t="s">
        <v>4667</v>
      </c>
      <c r="B1991" s="36" t="s">
        <v>4668</v>
      </c>
      <c r="C1991" s="36" t="s">
        <v>1495</v>
      </c>
      <c r="D1991" s="36" t="s">
        <v>1496</v>
      </c>
      <c r="E1991" s="36" t="s">
        <v>1285</v>
      </c>
      <c r="F1991" s="36" t="s">
        <v>286</v>
      </c>
      <c r="G1991" s="36" t="s">
        <v>411</v>
      </c>
      <c r="H1991" s="37">
        <v>10.13</v>
      </c>
      <c r="I1991" s="36" t="s">
        <v>1301</v>
      </c>
      <c r="J1991" s="39" t="s">
        <v>286</v>
      </c>
      <c r="K1991" s="38"/>
      <c r="L1991" s="38"/>
    </row>
    <row r="1992" ht="22.5" customHeight="1">
      <c r="A1992" s="36" t="s">
        <v>4669</v>
      </c>
      <c r="B1992" s="36" t="s">
        <v>4670</v>
      </c>
      <c r="C1992" s="36" t="s">
        <v>1495</v>
      </c>
      <c r="D1992" s="36" t="s">
        <v>1496</v>
      </c>
      <c r="E1992" s="36" t="s">
        <v>1285</v>
      </c>
      <c r="F1992" s="36" t="s">
        <v>286</v>
      </c>
      <c r="G1992" s="36" t="s">
        <v>411</v>
      </c>
      <c r="H1992" s="37">
        <v>40.08</v>
      </c>
      <c r="I1992" s="36" t="s">
        <v>1301</v>
      </c>
      <c r="J1992" s="39" t="s">
        <v>286</v>
      </c>
      <c r="K1992" s="38"/>
      <c r="L1992" s="38"/>
    </row>
    <row r="1993" ht="22.5" customHeight="1">
      <c r="A1993" s="36" t="s">
        <v>4671</v>
      </c>
      <c r="B1993" s="36" t="s">
        <v>4672</v>
      </c>
      <c r="C1993" s="36" t="s">
        <v>1495</v>
      </c>
      <c r="D1993" s="36" t="s">
        <v>1496</v>
      </c>
      <c r="E1993" s="36" t="s">
        <v>1285</v>
      </c>
      <c r="F1993" s="36" t="s">
        <v>286</v>
      </c>
      <c r="G1993" s="36" t="s">
        <v>411</v>
      </c>
      <c r="H1993" s="37">
        <v>31.86</v>
      </c>
      <c r="I1993" s="36" t="s">
        <v>1301</v>
      </c>
      <c r="J1993" s="39" t="s">
        <v>286</v>
      </c>
      <c r="K1993" s="38"/>
      <c r="L1993" s="38"/>
    </row>
    <row r="1994" ht="22.5" customHeight="1">
      <c r="A1994" s="36" t="s">
        <v>4673</v>
      </c>
      <c r="B1994" s="36" t="s">
        <v>4674</v>
      </c>
      <c r="C1994" s="36" t="s">
        <v>1495</v>
      </c>
      <c r="D1994" s="36" t="s">
        <v>1496</v>
      </c>
      <c r="E1994" s="36" t="s">
        <v>1285</v>
      </c>
      <c r="F1994" s="36" t="s">
        <v>286</v>
      </c>
      <c r="G1994" s="36" t="s">
        <v>411</v>
      </c>
      <c r="H1994" s="37">
        <v>33.92</v>
      </c>
      <c r="I1994" s="36" t="s">
        <v>1301</v>
      </c>
      <c r="J1994" s="39" t="s">
        <v>286</v>
      </c>
      <c r="K1994" s="38"/>
      <c r="L1994" s="38"/>
    </row>
    <row r="1995" ht="22.5" customHeight="1">
      <c r="A1995" s="36" t="s">
        <v>4675</v>
      </c>
      <c r="B1995" s="36" t="s">
        <v>4676</v>
      </c>
      <c r="C1995" s="36" t="s">
        <v>1495</v>
      </c>
      <c r="D1995" s="36" t="s">
        <v>1496</v>
      </c>
      <c r="E1995" s="36" t="s">
        <v>1285</v>
      </c>
      <c r="F1995" s="36" t="s">
        <v>286</v>
      </c>
      <c r="G1995" s="36" t="s">
        <v>411</v>
      </c>
      <c r="H1995" s="37">
        <v>33.92</v>
      </c>
      <c r="I1995" s="36" t="s">
        <v>1301</v>
      </c>
      <c r="J1995" s="39" t="s">
        <v>286</v>
      </c>
      <c r="K1995" s="38"/>
      <c r="L1995" s="38"/>
    </row>
    <row r="1996" ht="22.5" customHeight="1">
      <c r="A1996" s="36" t="s">
        <v>4677</v>
      </c>
      <c r="B1996" s="36" t="s">
        <v>4678</v>
      </c>
      <c r="C1996" s="36" t="s">
        <v>1495</v>
      </c>
      <c r="D1996" s="36" t="s">
        <v>1496</v>
      </c>
      <c r="E1996" s="36" t="s">
        <v>1285</v>
      </c>
      <c r="F1996" s="36" t="s">
        <v>286</v>
      </c>
      <c r="G1996" s="36" t="s">
        <v>411</v>
      </c>
      <c r="H1996" s="37">
        <v>11.82</v>
      </c>
      <c r="I1996" s="36" t="s">
        <v>1301</v>
      </c>
      <c r="J1996" s="39" t="s">
        <v>286</v>
      </c>
      <c r="K1996" s="38"/>
      <c r="L1996" s="38"/>
    </row>
    <row r="1997" ht="22.5" customHeight="1">
      <c r="A1997" s="36" t="s">
        <v>4679</v>
      </c>
      <c r="B1997" s="36" t="s">
        <v>4680</v>
      </c>
      <c r="C1997" s="36" t="s">
        <v>1495</v>
      </c>
      <c r="D1997" s="36" t="s">
        <v>1496</v>
      </c>
      <c r="E1997" s="36" t="s">
        <v>1285</v>
      </c>
      <c r="F1997" s="36" t="s">
        <v>286</v>
      </c>
      <c r="G1997" s="36" t="s">
        <v>411</v>
      </c>
      <c r="H1997" s="37">
        <v>85.0</v>
      </c>
      <c r="I1997" s="36" t="s">
        <v>1301</v>
      </c>
      <c r="J1997" s="39" t="s">
        <v>286</v>
      </c>
      <c r="K1997" s="38"/>
      <c r="L1997" s="38"/>
    </row>
    <row r="1998" ht="22.5" customHeight="1">
      <c r="A1998" s="36" t="s">
        <v>4681</v>
      </c>
      <c r="B1998" s="36" t="s">
        <v>4682</v>
      </c>
      <c r="C1998" s="36" t="s">
        <v>1495</v>
      </c>
      <c r="D1998" s="36" t="s">
        <v>1496</v>
      </c>
      <c r="E1998" s="36" t="s">
        <v>1285</v>
      </c>
      <c r="F1998" s="36" t="s">
        <v>286</v>
      </c>
      <c r="G1998" s="36" t="s">
        <v>411</v>
      </c>
      <c r="H1998" s="37">
        <v>131.25</v>
      </c>
      <c r="I1998" s="36" t="s">
        <v>1301</v>
      </c>
      <c r="J1998" s="39" t="s">
        <v>286</v>
      </c>
      <c r="K1998" s="38"/>
      <c r="L1998" s="38"/>
    </row>
    <row r="1999" ht="22.5" customHeight="1">
      <c r="A1999" s="36" t="s">
        <v>4683</v>
      </c>
      <c r="B1999" s="36" t="s">
        <v>4684</v>
      </c>
      <c r="C1999" s="36" t="s">
        <v>1495</v>
      </c>
      <c r="D1999" s="36" t="s">
        <v>1496</v>
      </c>
      <c r="E1999" s="36" t="s">
        <v>1285</v>
      </c>
      <c r="F1999" s="36" t="s">
        <v>286</v>
      </c>
      <c r="G1999" s="36" t="s">
        <v>411</v>
      </c>
      <c r="H1999" s="37">
        <v>130.42</v>
      </c>
      <c r="I1999" s="36" t="s">
        <v>1301</v>
      </c>
      <c r="J1999" s="39" t="s">
        <v>286</v>
      </c>
      <c r="K1999" s="38"/>
      <c r="L1999" s="38"/>
    </row>
    <row r="2000" ht="22.5" customHeight="1">
      <c r="A2000" s="36" t="s">
        <v>4685</v>
      </c>
      <c r="B2000" s="36" t="s">
        <v>4686</v>
      </c>
      <c r="C2000" s="36" t="s">
        <v>1495</v>
      </c>
      <c r="D2000" s="36" t="s">
        <v>1496</v>
      </c>
      <c r="E2000" s="36" t="s">
        <v>1285</v>
      </c>
      <c r="F2000" s="36" t="s">
        <v>286</v>
      </c>
      <c r="G2000" s="36" t="s">
        <v>411</v>
      </c>
      <c r="H2000" s="37">
        <v>29.81</v>
      </c>
      <c r="I2000" s="36" t="s">
        <v>1301</v>
      </c>
      <c r="J2000" s="39" t="s">
        <v>286</v>
      </c>
      <c r="K2000" s="38"/>
      <c r="L2000" s="38"/>
    </row>
    <row r="2001" ht="22.5" customHeight="1">
      <c r="A2001" s="36" t="s">
        <v>4687</v>
      </c>
      <c r="B2001" s="36" t="s">
        <v>4688</v>
      </c>
      <c r="C2001" s="36" t="s">
        <v>1495</v>
      </c>
      <c r="D2001" s="36" t="s">
        <v>1496</v>
      </c>
      <c r="E2001" s="36" t="s">
        <v>1285</v>
      </c>
      <c r="F2001" s="36" t="s">
        <v>286</v>
      </c>
      <c r="G2001" s="36" t="s">
        <v>411</v>
      </c>
      <c r="H2001" s="37">
        <v>22.93</v>
      </c>
      <c r="I2001" s="36" t="s">
        <v>1301</v>
      </c>
      <c r="J2001" s="39" t="s">
        <v>286</v>
      </c>
      <c r="K2001" s="38"/>
      <c r="L2001" s="38"/>
    </row>
    <row r="2002" ht="22.5" customHeight="1">
      <c r="A2002" s="36" t="s">
        <v>4689</v>
      </c>
      <c r="B2002" s="36" t="s">
        <v>4690</v>
      </c>
      <c r="C2002" s="36" t="s">
        <v>1495</v>
      </c>
      <c r="D2002" s="36" t="s">
        <v>1496</v>
      </c>
      <c r="E2002" s="36" t="s">
        <v>1285</v>
      </c>
      <c r="F2002" s="36" t="s">
        <v>286</v>
      </c>
      <c r="G2002" s="36" t="s">
        <v>411</v>
      </c>
      <c r="H2002" s="37">
        <v>31.89</v>
      </c>
      <c r="I2002" s="36" t="s">
        <v>1301</v>
      </c>
      <c r="J2002" s="39" t="s">
        <v>286</v>
      </c>
      <c r="K2002" s="38"/>
      <c r="L2002" s="38"/>
    </row>
    <row r="2003" ht="22.5" customHeight="1">
      <c r="A2003" s="36" t="s">
        <v>4691</v>
      </c>
      <c r="B2003" s="36" t="s">
        <v>4692</v>
      </c>
      <c r="C2003" s="36" t="s">
        <v>1495</v>
      </c>
      <c r="D2003" s="36" t="s">
        <v>1496</v>
      </c>
      <c r="E2003" s="36" t="s">
        <v>1285</v>
      </c>
      <c r="F2003" s="36" t="s">
        <v>286</v>
      </c>
      <c r="G2003" s="36" t="s">
        <v>411</v>
      </c>
      <c r="H2003" s="37">
        <v>10.47</v>
      </c>
      <c r="I2003" s="36" t="s">
        <v>1301</v>
      </c>
      <c r="J2003" s="39" t="s">
        <v>286</v>
      </c>
      <c r="K2003" s="38"/>
      <c r="L2003" s="38"/>
    </row>
    <row r="2004" ht="22.5" customHeight="1">
      <c r="A2004" s="36" t="s">
        <v>4693</v>
      </c>
      <c r="B2004" s="36" t="s">
        <v>4694</v>
      </c>
      <c r="C2004" s="36" t="s">
        <v>1495</v>
      </c>
      <c r="D2004" s="36" t="s">
        <v>1496</v>
      </c>
      <c r="E2004" s="36" t="s">
        <v>1285</v>
      </c>
      <c r="F2004" s="36" t="s">
        <v>286</v>
      </c>
      <c r="G2004" s="36" t="s">
        <v>411</v>
      </c>
      <c r="H2004" s="37">
        <v>52.97</v>
      </c>
      <c r="I2004" s="36" t="s">
        <v>1301</v>
      </c>
      <c r="J2004" s="39" t="s">
        <v>286</v>
      </c>
      <c r="K2004" s="38"/>
      <c r="L2004" s="38"/>
    </row>
    <row r="2005" ht="22.5" customHeight="1">
      <c r="A2005" s="36" t="s">
        <v>4695</v>
      </c>
      <c r="B2005" s="36" t="s">
        <v>4696</v>
      </c>
      <c r="C2005" s="36" t="s">
        <v>1495</v>
      </c>
      <c r="D2005" s="36" t="s">
        <v>1496</v>
      </c>
      <c r="E2005" s="36" t="s">
        <v>1285</v>
      </c>
      <c r="F2005" s="36" t="s">
        <v>286</v>
      </c>
      <c r="G2005" s="36" t="s">
        <v>411</v>
      </c>
      <c r="H2005" s="37">
        <v>3.69</v>
      </c>
      <c r="I2005" s="36" t="s">
        <v>1301</v>
      </c>
      <c r="J2005" s="39" t="s">
        <v>286</v>
      </c>
      <c r="K2005" s="38"/>
      <c r="L2005" s="38"/>
    </row>
    <row r="2006" ht="22.5" customHeight="1">
      <c r="A2006" s="36" t="s">
        <v>4697</v>
      </c>
      <c r="B2006" s="36" t="s">
        <v>4698</v>
      </c>
      <c r="C2006" s="36" t="s">
        <v>1495</v>
      </c>
      <c r="D2006" s="36" t="s">
        <v>1496</v>
      </c>
      <c r="E2006" s="36" t="s">
        <v>1285</v>
      </c>
      <c r="F2006" s="36" t="s">
        <v>286</v>
      </c>
      <c r="G2006" s="36" t="s">
        <v>411</v>
      </c>
      <c r="H2006" s="37">
        <v>2.91</v>
      </c>
      <c r="I2006" s="36" t="s">
        <v>1301</v>
      </c>
      <c r="J2006" s="39" t="s">
        <v>286</v>
      </c>
      <c r="K2006" s="38"/>
      <c r="L2006" s="38"/>
    </row>
    <row r="2007" ht="22.5" customHeight="1">
      <c r="A2007" s="36" t="s">
        <v>4699</v>
      </c>
      <c r="B2007" s="36" t="s">
        <v>4700</v>
      </c>
      <c r="C2007" s="36" t="s">
        <v>1495</v>
      </c>
      <c r="D2007" s="36" t="s">
        <v>1496</v>
      </c>
      <c r="E2007" s="36" t="s">
        <v>1285</v>
      </c>
      <c r="F2007" s="36" t="s">
        <v>286</v>
      </c>
      <c r="G2007" s="36" t="s">
        <v>411</v>
      </c>
      <c r="H2007" s="37">
        <v>8.11</v>
      </c>
      <c r="I2007" s="36" t="s">
        <v>1301</v>
      </c>
      <c r="J2007" s="39" t="s">
        <v>286</v>
      </c>
      <c r="K2007" s="38"/>
      <c r="L2007" s="38"/>
    </row>
    <row r="2008" ht="22.5" customHeight="1">
      <c r="A2008" s="36" t="s">
        <v>4701</v>
      </c>
      <c r="B2008" s="36" t="s">
        <v>4702</v>
      </c>
      <c r="C2008" s="36" t="s">
        <v>1495</v>
      </c>
      <c r="D2008" s="36" t="s">
        <v>1496</v>
      </c>
      <c r="E2008" s="36" t="s">
        <v>1285</v>
      </c>
      <c r="F2008" s="36" t="s">
        <v>286</v>
      </c>
      <c r="G2008" s="36" t="s">
        <v>411</v>
      </c>
      <c r="H2008" s="37">
        <v>46.26</v>
      </c>
      <c r="I2008" s="36" t="s">
        <v>1301</v>
      </c>
      <c r="J2008" s="39" t="s">
        <v>286</v>
      </c>
      <c r="K2008" s="38"/>
      <c r="L2008" s="38"/>
    </row>
    <row r="2009" ht="22.5" customHeight="1">
      <c r="A2009" s="36" t="s">
        <v>4703</v>
      </c>
      <c r="B2009" s="36" t="s">
        <v>4704</v>
      </c>
      <c r="C2009" s="36" t="s">
        <v>1495</v>
      </c>
      <c r="D2009" s="36" t="s">
        <v>1496</v>
      </c>
      <c r="E2009" s="36" t="s">
        <v>1285</v>
      </c>
      <c r="F2009" s="36" t="s">
        <v>286</v>
      </c>
      <c r="G2009" s="36" t="s">
        <v>411</v>
      </c>
      <c r="H2009" s="37">
        <v>45.03</v>
      </c>
      <c r="I2009" s="36" t="s">
        <v>1301</v>
      </c>
      <c r="J2009" s="39" t="s">
        <v>286</v>
      </c>
      <c r="K2009" s="38"/>
      <c r="L2009" s="38"/>
    </row>
    <row r="2010" ht="22.5" customHeight="1">
      <c r="A2010" s="36" t="s">
        <v>4705</v>
      </c>
      <c r="B2010" s="36" t="s">
        <v>4706</v>
      </c>
      <c r="C2010" s="36" t="s">
        <v>1495</v>
      </c>
      <c r="D2010" s="36" t="s">
        <v>1496</v>
      </c>
      <c r="E2010" s="36" t="s">
        <v>1285</v>
      </c>
      <c r="F2010" s="36" t="s">
        <v>286</v>
      </c>
      <c r="G2010" s="36" t="s">
        <v>411</v>
      </c>
      <c r="H2010" s="37">
        <v>73.69</v>
      </c>
      <c r="I2010" s="36" t="s">
        <v>1301</v>
      </c>
      <c r="J2010" s="39" t="s">
        <v>286</v>
      </c>
      <c r="K2010" s="38"/>
      <c r="L2010" s="38"/>
    </row>
    <row r="2011" ht="22.5" customHeight="1">
      <c r="A2011" s="36" t="s">
        <v>4707</v>
      </c>
      <c r="B2011" s="36" t="s">
        <v>4708</v>
      </c>
      <c r="C2011" s="36" t="s">
        <v>1495</v>
      </c>
      <c r="D2011" s="36" t="s">
        <v>1496</v>
      </c>
      <c r="E2011" s="36" t="s">
        <v>1285</v>
      </c>
      <c r="F2011" s="36" t="s">
        <v>286</v>
      </c>
      <c r="G2011" s="36" t="s">
        <v>411</v>
      </c>
      <c r="H2011" s="37">
        <v>29.19</v>
      </c>
      <c r="I2011" s="36" t="s">
        <v>1301</v>
      </c>
      <c r="J2011" s="39" t="s">
        <v>286</v>
      </c>
      <c r="K2011" s="38"/>
      <c r="L2011" s="38"/>
    </row>
    <row r="2012" ht="22.5" customHeight="1">
      <c r="A2012" s="36" t="s">
        <v>4709</v>
      </c>
      <c r="B2012" s="36" t="s">
        <v>4710</v>
      </c>
      <c r="C2012" s="36" t="s">
        <v>1495</v>
      </c>
      <c r="D2012" s="36" t="s">
        <v>1496</v>
      </c>
      <c r="E2012" s="36" t="s">
        <v>1285</v>
      </c>
      <c r="F2012" s="36" t="s">
        <v>286</v>
      </c>
      <c r="G2012" s="36" t="s">
        <v>411</v>
      </c>
      <c r="H2012" s="37">
        <v>48.76</v>
      </c>
      <c r="I2012" s="36" t="s">
        <v>1301</v>
      </c>
      <c r="J2012" s="39" t="s">
        <v>286</v>
      </c>
      <c r="K2012" s="38"/>
      <c r="L2012" s="38"/>
    </row>
    <row r="2013" ht="22.5" customHeight="1">
      <c r="A2013" s="36" t="s">
        <v>4711</v>
      </c>
      <c r="B2013" s="36" t="s">
        <v>4712</v>
      </c>
      <c r="C2013" s="36" t="s">
        <v>1495</v>
      </c>
      <c r="D2013" s="36" t="s">
        <v>1496</v>
      </c>
      <c r="E2013" s="36" t="s">
        <v>1285</v>
      </c>
      <c r="F2013" s="36" t="s">
        <v>286</v>
      </c>
      <c r="G2013" s="36" t="s">
        <v>411</v>
      </c>
      <c r="H2013" s="37">
        <v>67.07</v>
      </c>
      <c r="I2013" s="36" t="s">
        <v>1301</v>
      </c>
      <c r="J2013" s="39" t="s">
        <v>286</v>
      </c>
      <c r="K2013" s="38"/>
      <c r="L2013" s="38"/>
    </row>
    <row r="2014" ht="22.5" customHeight="1">
      <c r="A2014" s="36" t="s">
        <v>4713</v>
      </c>
      <c r="B2014" s="36" t="s">
        <v>4714</v>
      </c>
      <c r="C2014" s="36" t="s">
        <v>1495</v>
      </c>
      <c r="D2014" s="36" t="s">
        <v>1496</v>
      </c>
      <c r="E2014" s="36" t="s">
        <v>1285</v>
      </c>
      <c r="F2014" s="36" t="s">
        <v>286</v>
      </c>
      <c r="G2014" s="36" t="s">
        <v>411</v>
      </c>
      <c r="H2014" s="37">
        <v>45.99</v>
      </c>
      <c r="I2014" s="36" t="s">
        <v>1301</v>
      </c>
      <c r="J2014" s="39" t="s">
        <v>286</v>
      </c>
      <c r="K2014" s="38"/>
      <c r="L2014" s="38"/>
    </row>
    <row r="2015" ht="22.5" customHeight="1">
      <c r="A2015" s="36" t="s">
        <v>4715</v>
      </c>
      <c r="B2015" s="36" t="s">
        <v>4716</v>
      </c>
      <c r="C2015" s="36" t="s">
        <v>1495</v>
      </c>
      <c r="D2015" s="36" t="s">
        <v>1496</v>
      </c>
      <c r="E2015" s="36" t="s">
        <v>1285</v>
      </c>
      <c r="F2015" s="36" t="s">
        <v>286</v>
      </c>
      <c r="G2015" s="36" t="s">
        <v>411</v>
      </c>
      <c r="H2015" s="37">
        <v>390.0</v>
      </c>
      <c r="I2015" s="36" t="s">
        <v>1301</v>
      </c>
      <c r="J2015" s="39" t="s">
        <v>286</v>
      </c>
      <c r="K2015" s="38"/>
      <c r="L2015" s="38"/>
    </row>
    <row r="2016" ht="22.5" customHeight="1">
      <c r="A2016" s="36" t="s">
        <v>4717</v>
      </c>
      <c r="B2016" s="36" t="s">
        <v>4718</v>
      </c>
      <c r="C2016" s="36" t="s">
        <v>1495</v>
      </c>
      <c r="D2016" s="36" t="s">
        <v>1496</v>
      </c>
      <c r="E2016" s="36" t="s">
        <v>1285</v>
      </c>
      <c r="F2016" s="36" t="s">
        <v>286</v>
      </c>
      <c r="G2016" s="36" t="s">
        <v>411</v>
      </c>
      <c r="H2016" s="37">
        <v>34.17</v>
      </c>
      <c r="I2016" s="36" t="s">
        <v>1301</v>
      </c>
      <c r="J2016" s="39" t="s">
        <v>286</v>
      </c>
      <c r="K2016" s="38"/>
      <c r="L2016" s="38"/>
    </row>
    <row r="2017" ht="22.5" customHeight="1">
      <c r="A2017" s="36" t="s">
        <v>4719</v>
      </c>
      <c r="B2017" s="36" t="s">
        <v>4720</v>
      </c>
      <c r="C2017" s="36" t="s">
        <v>1495</v>
      </c>
      <c r="D2017" s="36" t="s">
        <v>1496</v>
      </c>
      <c r="E2017" s="36" t="s">
        <v>1285</v>
      </c>
      <c r="F2017" s="36" t="s">
        <v>286</v>
      </c>
      <c r="G2017" s="36" t="s">
        <v>411</v>
      </c>
      <c r="H2017" s="37">
        <v>27.0</v>
      </c>
      <c r="I2017" s="36" t="s">
        <v>1301</v>
      </c>
      <c r="J2017" s="39" t="s">
        <v>286</v>
      </c>
      <c r="K2017" s="38"/>
      <c r="L2017" s="38"/>
    </row>
    <row r="2018" ht="22.5" customHeight="1">
      <c r="A2018" s="36" t="s">
        <v>4721</v>
      </c>
      <c r="B2018" s="36" t="s">
        <v>4722</v>
      </c>
      <c r="C2018" s="36" t="s">
        <v>1495</v>
      </c>
      <c r="D2018" s="36" t="s">
        <v>1496</v>
      </c>
      <c r="E2018" s="36" t="s">
        <v>1285</v>
      </c>
      <c r="F2018" s="36" t="s">
        <v>286</v>
      </c>
      <c r="G2018" s="36" t="s">
        <v>411</v>
      </c>
      <c r="H2018" s="37">
        <v>65.54</v>
      </c>
      <c r="I2018" s="36" t="s">
        <v>1301</v>
      </c>
      <c r="J2018" s="39" t="s">
        <v>286</v>
      </c>
      <c r="K2018" s="38"/>
      <c r="L2018" s="38"/>
    </row>
    <row r="2019" ht="22.5" customHeight="1">
      <c r="A2019" s="36" t="s">
        <v>4723</v>
      </c>
      <c r="B2019" s="36" t="s">
        <v>4724</v>
      </c>
      <c r="C2019" s="36" t="s">
        <v>1495</v>
      </c>
      <c r="D2019" s="36" t="s">
        <v>1496</v>
      </c>
      <c r="E2019" s="36" t="s">
        <v>1285</v>
      </c>
      <c r="F2019" s="36" t="s">
        <v>286</v>
      </c>
      <c r="G2019" s="36" t="s">
        <v>411</v>
      </c>
      <c r="H2019" s="37">
        <v>78.72</v>
      </c>
      <c r="I2019" s="36" t="s">
        <v>1301</v>
      </c>
      <c r="J2019" s="39" t="s">
        <v>286</v>
      </c>
      <c r="K2019" s="38"/>
      <c r="L2019" s="38"/>
    </row>
    <row r="2020" ht="22.5" customHeight="1">
      <c r="A2020" s="36" t="s">
        <v>4725</v>
      </c>
      <c r="B2020" s="36" t="s">
        <v>4726</v>
      </c>
      <c r="C2020" s="36" t="s">
        <v>1495</v>
      </c>
      <c r="D2020" s="36" t="s">
        <v>1496</v>
      </c>
      <c r="E2020" s="36" t="s">
        <v>1285</v>
      </c>
      <c r="F2020" s="36" t="s">
        <v>286</v>
      </c>
      <c r="G2020" s="36" t="s">
        <v>411</v>
      </c>
      <c r="H2020" s="37">
        <v>147.33</v>
      </c>
      <c r="I2020" s="36" t="s">
        <v>1301</v>
      </c>
      <c r="J2020" s="39" t="s">
        <v>286</v>
      </c>
      <c r="K2020" s="38"/>
      <c r="L2020" s="38"/>
    </row>
    <row r="2021" ht="22.5" customHeight="1">
      <c r="A2021" s="36" t="s">
        <v>4727</v>
      </c>
      <c r="B2021" s="36" t="s">
        <v>4728</v>
      </c>
      <c r="C2021" s="36" t="s">
        <v>1495</v>
      </c>
      <c r="D2021" s="36" t="s">
        <v>1496</v>
      </c>
      <c r="E2021" s="36" t="s">
        <v>1285</v>
      </c>
      <c r="F2021" s="36" t="s">
        <v>286</v>
      </c>
      <c r="G2021" s="36" t="s">
        <v>411</v>
      </c>
      <c r="H2021" s="37">
        <v>165.42</v>
      </c>
      <c r="I2021" s="36" t="s">
        <v>1301</v>
      </c>
      <c r="J2021" s="39" t="s">
        <v>286</v>
      </c>
      <c r="K2021" s="38"/>
      <c r="L2021" s="38"/>
    </row>
    <row r="2022" ht="22.5" customHeight="1">
      <c r="A2022" s="36" t="s">
        <v>4729</v>
      </c>
      <c r="B2022" s="36" t="s">
        <v>4730</v>
      </c>
      <c r="C2022" s="36" t="s">
        <v>1495</v>
      </c>
      <c r="D2022" s="36" t="s">
        <v>1496</v>
      </c>
      <c r="E2022" s="36" t="s">
        <v>1285</v>
      </c>
      <c r="F2022" s="36" t="s">
        <v>286</v>
      </c>
      <c r="G2022" s="36" t="s">
        <v>411</v>
      </c>
      <c r="H2022" s="37">
        <v>216.79</v>
      </c>
      <c r="I2022" s="36" t="s">
        <v>1301</v>
      </c>
      <c r="J2022" s="39" t="s">
        <v>286</v>
      </c>
      <c r="K2022" s="38"/>
      <c r="L2022" s="38"/>
    </row>
    <row r="2023" ht="22.5" customHeight="1">
      <c r="A2023" s="36" t="s">
        <v>4731</v>
      </c>
      <c r="B2023" s="36" t="s">
        <v>4732</v>
      </c>
      <c r="C2023" s="36" t="s">
        <v>1495</v>
      </c>
      <c r="D2023" s="36" t="s">
        <v>1496</v>
      </c>
      <c r="E2023" s="36" t="s">
        <v>1285</v>
      </c>
      <c r="F2023" s="36" t="s">
        <v>286</v>
      </c>
      <c r="G2023" s="36" t="s">
        <v>411</v>
      </c>
      <c r="H2023" s="37">
        <v>216.79</v>
      </c>
      <c r="I2023" s="36" t="s">
        <v>1301</v>
      </c>
      <c r="J2023" s="39" t="s">
        <v>286</v>
      </c>
      <c r="K2023" s="38"/>
      <c r="L2023" s="38"/>
    </row>
    <row r="2024" ht="22.5" customHeight="1">
      <c r="A2024" s="36" t="s">
        <v>4733</v>
      </c>
      <c r="B2024" s="36" t="s">
        <v>4734</v>
      </c>
      <c r="C2024" s="36" t="s">
        <v>1495</v>
      </c>
      <c r="D2024" s="36" t="s">
        <v>1496</v>
      </c>
      <c r="E2024" s="36" t="s">
        <v>1285</v>
      </c>
      <c r="F2024" s="36" t="s">
        <v>286</v>
      </c>
      <c r="G2024" s="36" t="s">
        <v>411</v>
      </c>
      <c r="H2024" s="37">
        <v>168.65</v>
      </c>
      <c r="I2024" s="36" t="s">
        <v>1301</v>
      </c>
      <c r="J2024" s="39" t="s">
        <v>286</v>
      </c>
      <c r="K2024" s="38"/>
      <c r="L2024" s="38"/>
    </row>
    <row r="2025" ht="22.5" customHeight="1">
      <c r="A2025" s="36" t="s">
        <v>4735</v>
      </c>
      <c r="B2025" s="36" t="s">
        <v>4736</v>
      </c>
      <c r="C2025" s="36" t="s">
        <v>1495</v>
      </c>
      <c r="D2025" s="36" t="s">
        <v>1496</v>
      </c>
      <c r="E2025" s="36" t="s">
        <v>1285</v>
      </c>
      <c r="F2025" s="36" t="s">
        <v>286</v>
      </c>
      <c r="G2025" s="36" t="s">
        <v>411</v>
      </c>
      <c r="H2025" s="37">
        <v>168.65</v>
      </c>
      <c r="I2025" s="36" t="s">
        <v>1301</v>
      </c>
      <c r="J2025" s="39" t="s">
        <v>286</v>
      </c>
      <c r="K2025" s="38"/>
      <c r="L2025" s="38"/>
    </row>
    <row r="2026" ht="22.5" customHeight="1">
      <c r="A2026" s="36" t="s">
        <v>4737</v>
      </c>
      <c r="B2026" s="36" t="s">
        <v>4738</v>
      </c>
      <c r="C2026" s="36" t="s">
        <v>1495</v>
      </c>
      <c r="D2026" s="36" t="s">
        <v>1496</v>
      </c>
      <c r="E2026" s="36" t="s">
        <v>1285</v>
      </c>
      <c r="F2026" s="36" t="s">
        <v>286</v>
      </c>
      <c r="G2026" s="36" t="s">
        <v>411</v>
      </c>
      <c r="H2026" s="37">
        <v>189.49</v>
      </c>
      <c r="I2026" s="36" t="s">
        <v>1301</v>
      </c>
      <c r="J2026" s="39" t="s">
        <v>286</v>
      </c>
      <c r="K2026" s="38"/>
      <c r="L2026" s="38"/>
    </row>
    <row r="2027" ht="22.5" customHeight="1">
      <c r="A2027" s="36" t="s">
        <v>4739</v>
      </c>
      <c r="B2027" s="36" t="s">
        <v>4740</v>
      </c>
      <c r="C2027" s="36" t="s">
        <v>1495</v>
      </c>
      <c r="D2027" s="36" t="s">
        <v>1496</v>
      </c>
      <c r="E2027" s="36" t="s">
        <v>1285</v>
      </c>
      <c r="F2027" s="36" t="s">
        <v>286</v>
      </c>
      <c r="G2027" s="36" t="s">
        <v>411</v>
      </c>
      <c r="H2027" s="37">
        <v>189.94</v>
      </c>
      <c r="I2027" s="36" t="s">
        <v>1301</v>
      </c>
      <c r="J2027" s="39" t="s">
        <v>286</v>
      </c>
      <c r="K2027" s="38"/>
      <c r="L2027" s="38"/>
    </row>
    <row r="2028" ht="22.5" customHeight="1">
      <c r="A2028" s="36" t="s">
        <v>4741</v>
      </c>
      <c r="B2028" s="36" t="s">
        <v>4742</v>
      </c>
      <c r="C2028" s="36" t="s">
        <v>1495</v>
      </c>
      <c r="D2028" s="36" t="s">
        <v>1496</v>
      </c>
      <c r="E2028" s="36" t="s">
        <v>1285</v>
      </c>
      <c r="F2028" s="36" t="s">
        <v>286</v>
      </c>
      <c r="G2028" s="36" t="s">
        <v>411</v>
      </c>
      <c r="H2028" s="37">
        <v>3.21</v>
      </c>
      <c r="I2028" s="36" t="s">
        <v>1301</v>
      </c>
      <c r="J2028" s="39" t="s">
        <v>286</v>
      </c>
      <c r="K2028" s="38"/>
      <c r="L2028" s="38"/>
    </row>
    <row r="2029" ht="22.5" customHeight="1">
      <c r="A2029" s="36" t="s">
        <v>4743</v>
      </c>
      <c r="B2029" s="36" t="s">
        <v>4744</v>
      </c>
      <c r="C2029" s="36" t="s">
        <v>1495</v>
      </c>
      <c r="D2029" s="36" t="s">
        <v>1496</v>
      </c>
      <c r="E2029" s="36" t="s">
        <v>1285</v>
      </c>
      <c r="F2029" s="36" t="s">
        <v>286</v>
      </c>
      <c r="G2029" s="36" t="s">
        <v>411</v>
      </c>
      <c r="H2029" s="37">
        <v>370.0</v>
      </c>
      <c r="I2029" s="36" t="s">
        <v>1301</v>
      </c>
      <c r="J2029" s="39" t="s">
        <v>286</v>
      </c>
      <c r="K2029" s="38"/>
      <c r="L2029" s="38"/>
    </row>
    <row r="2030" ht="22.5" customHeight="1">
      <c r="A2030" s="36" t="s">
        <v>4745</v>
      </c>
      <c r="B2030" s="36" t="s">
        <v>4746</v>
      </c>
      <c r="C2030" s="36" t="s">
        <v>1495</v>
      </c>
      <c r="D2030" s="36" t="s">
        <v>1496</v>
      </c>
      <c r="E2030" s="36" t="s">
        <v>1285</v>
      </c>
      <c r="F2030" s="36" t="s">
        <v>286</v>
      </c>
      <c r="G2030" s="36" t="s">
        <v>411</v>
      </c>
      <c r="H2030" s="37">
        <v>340.0</v>
      </c>
      <c r="I2030" s="36" t="s">
        <v>1301</v>
      </c>
      <c r="J2030" s="39" t="s">
        <v>286</v>
      </c>
      <c r="K2030" s="38"/>
      <c r="L2030" s="38"/>
    </row>
    <row r="2031" ht="22.5" customHeight="1">
      <c r="A2031" s="36" t="s">
        <v>4747</v>
      </c>
      <c r="B2031" s="36" t="s">
        <v>4748</v>
      </c>
      <c r="C2031" s="36" t="s">
        <v>1495</v>
      </c>
      <c r="D2031" s="36" t="s">
        <v>1496</v>
      </c>
      <c r="E2031" s="36" t="s">
        <v>287</v>
      </c>
      <c r="F2031" s="36" t="s">
        <v>286</v>
      </c>
      <c r="G2031" s="36" t="s">
        <v>411</v>
      </c>
      <c r="H2031" s="37">
        <v>1800.0</v>
      </c>
      <c r="I2031" s="36" t="s">
        <v>1301</v>
      </c>
      <c r="J2031" s="39" t="s">
        <v>286</v>
      </c>
      <c r="K2031" s="38"/>
      <c r="L2031" s="38"/>
    </row>
    <row r="2032" ht="22.5" customHeight="1">
      <c r="A2032" s="36" t="s">
        <v>4749</v>
      </c>
      <c r="B2032" s="36" t="s">
        <v>4750</v>
      </c>
      <c r="C2032" s="36" t="s">
        <v>1495</v>
      </c>
      <c r="D2032" s="36" t="s">
        <v>1496</v>
      </c>
      <c r="E2032" s="36" t="s">
        <v>287</v>
      </c>
      <c r="F2032" s="36" t="s">
        <v>286</v>
      </c>
      <c r="G2032" s="36" t="s">
        <v>411</v>
      </c>
      <c r="H2032" s="37">
        <v>500.0</v>
      </c>
      <c r="I2032" s="36" t="s">
        <v>1301</v>
      </c>
      <c r="J2032" s="39" t="s">
        <v>286</v>
      </c>
      <c r="K2032" s="38"/>
      <c r="L2032" s="38"/>
    </row>
    <row r="2033" ht="22.5" customHeight="1">
      <c r="A2033" s="36" t="s">
        <v>4751</v>
      </c>
      <c r="B2033" s="36" t="s">
        <v>4752</v>
      </c>
      <c r="C2033" s="36" t="s">
        <v>1495</v>
      </c>
      <c r="D2033" s="36" t="s">
        <v>1496</v>
      </c>
      <c r="E2033" s="36" t="s">
        <v>287</v>
      </c>
      <c r="F2033" s="36" t="s">
        <v>286</v>
      </c>
      <c r="G2033" s="36" t="s">
        <v>411</v>
      </c>
      <c r="H2033" s="37">
        <v>20.53</v>
      </c>
      <c r="I2033" s="36" t="s">
        <v>1301</v>
      </c>
      <c r="J2033" s="39" t="s">
        <v>286</v>
      </c>
      <c r="K2033" s="38"/>
      <c r="L2033" s="38"/>
    </row>
    <row r="2034" ht="22.5" customHeight="1">
      <c r="A2034" s="36" t="s">
        <v>4753</v>
      </c>
      <c r="B2034" s="36" t="s">
        <v>4754</v>
      </c>
      <c r="C2034" s="36" t="s">
        <v>1495</v>
      </c>
      <c r="D2034" s="36" t="s">
        <v>1496</v>
      </c>
      <c r="E2034" s="36" t="s">
        <v>287</v>
      </c>
      <c r="F2034" s="36" t="s">
        <v>286</v>
      </c>
      <c r="G2034" s="36" t="s">
        <v>411</v>
      </c>
      <c r="H2034" s="37">
        <v>14.75</v>
      </c>
      <c r="I2034" s="36" t="s">
        <v>1301</v>
      </c>
      <c r="J2034" s="39" t="s">
        <v>286</v>
      </c>
      <c r="K2034" s="38"/>
      <c r="L2034" s="38"/>
    </row>
    <row r="2035" ht="22.5" customHeight="1">
      <c r="A2035" s="36" t="s">
        <v>4755</v>
      </c>
      <c r="B2035" s="36" t="s">
        <v>4756</v>
      </c>
      <c r="C2035" s="36" t="s">
        <v>1495</v>
      </c>
      <c r="D2035" s="36" t="s">
        <v>1496</v>
      </c>
      <c r="E2035" s="36" t="s">
        <v>287</v>
      </c>
      <c r="F2035" s="36" t="s">
        <v>286</v>
      </c>
      <c r="G2035" s="36" t="s">
        <v>411</v>
      </c>
      <c r="H2035" s="37">
        <v>21.53</v>
      </c>
      <c r="I2035" s="36" t="s">
        <v>1301</v>
      </c>
      <c r="J2035" s="39" t="s">
        <v>286</v>
      </c>
      <c r="K2035" s="38"/>
      <c r="L2035" s="38"/>
    </row>
    <row r="2036" ht="22.5" customHeight="1">
      <c r="A2036" s="36" t="s">
        <v>4757</v>
      </c>
      <c r="B2036" s="36" t="s">
        <v>4758</v>
      </c>
      <c r="C2036" s="36" t="s">
        <v>1495</v>
      </c>
      <c r="D2036" s="36" t="s">
        <v>1496</v>
      </c>
      <c r="E2036" s="36" t="s">
        <v>287</v>
      </c>
      <c r="F2036" s="36" t="s">
        <v>286</v>
      </c>
      <c r="G2036" s="36" t="s">
        <v>411</v>
      </c>
      <c r="H2036" s="37">
        <v>16.75</v>
      </c>
      <c r="I2036" s="36" t="s">
        <v>1301</v>
      </c>
      <c r="J2036" s="39" t="s">
        <v>286</v>
      </c>
      <c r="K2036" s="38"/>
      <c r="L2036" s="38"/>
    </row>
    <row r="2037" ht="22.5" customHeight="1">
      <c r="A2037" s="36" t="s">
        <v>4759</v>
      </c>
      <c r="B2037" s="36" t="s">
        <v>4760</v>
      </c>
      <c r="C2037" s="36" t="s">
        <v>1495</v>
      </c>
      <c r="D2037" s="36" t="s">
        <v>1496</v>
      </c>
      <c r="E2037" s="36" t="s">
        <v>287</v>
      </c>
      <c r="F2037" s="36" t="s">
        <v>286</v>
      </c>
      <c r="G2037" s="36" t="s">
        <v>411</v>
      </c>
      <c r="H2037" s="37">
        <v>332.0</v>
      </c>
      <c r="I2037" s="36" t="s">
        <v>1301</v>
      </c>
      <c r="J2037" s="39" t="s">
        <v>286</v>
      </c>
      <c r="K2037" s="38"/>
      <c r="L2037" s="38"/>
    </row>
    <row r="2038" ht="22.5" customHeight="1">
      <c r="A2038" s="36" t="s">
        <v>4761</v>
      </c>
      <c r="B2038" s="36" t="s">
        <v>4762</v>
      </c>
      <c r="C2038" s="36" t="s">
        <v>1495</v>
      </c>
      <c r="D2038" s="36" t="s">
        <v>1496</v>
      </c>
      <c r="E2038" s="36" t="s">
        <v>287</v>
      </c>
      <c r="F2038" s="36" t="s">
        <v>286</v>
      </c>
      <c r="G2038" s="36" t="s">
        <v>411</v>
      </c>
      <c r="H2038" s="37">
        <v>308.0</v>
      </c>
      <c r="I2038" s="36" t="s">
        <v>1301</v>
      </c>
      <c r="J2038" s="39" t="s">
        <v>286</v>
      </c>
      <c r="K2038" s="38"/>
      <c r="L2038" s="38"/>
    </row>
    <row r="2039" ht="22.5" customHeight="1">
      <c r="A2039" s="36" t="s">
        <v>4763</v>
      </c>
      <c r="B2039" s="36" t="s">
        <v>4764</v>
      </c>
      <c r="C2039" s="36" t="s">
        <v>1495</v>
      </c>
      <c r="D2039" s="36" t="s">
        <v>1496</v>
      </c>
      <c r="E2039" s="36" t="s">
        <v>287</v>
      </c>
      <c r="F2039" s="36" t="s">
        <v>286</v>
      </c>
      <c r="G2039" s="36" t="s">
        <v>411</v>
      </c>
      <c r="H2039" s="37">
        <v>156.94</v>
      </c>
      <c r="I2039" s="36" t="s">
        <v>1301</v>
      </c>
      <c r="J2039" s="39" t="s">
        <v>286</v>
      </c>
      <c r="K2039" s="38"/>
      <c r="L2039" s="38"/>
    </row>
    <row r="2040" ht="22.5" customHeight="1">
      <c r="A2040" s="36" t="s">
        <v>4765</v>
      </c>
      <c r="B2040" s="36" t="s">
        <v>4766</v>
      </c>
      <c r="C2040" s="36" t="s">
        <v>1495</v>
      </c>
      <c r="D2040" s="36" t="s">
        <v>1496</v>
      </c>
      <c r="E2040" s="36" t="s">
        <v>287</v>
      </c>
      <c r="F2040" s="36" t="s">
        <v>286</v>
      </c>
      <c r="G2040" s="36" t="s">
        <v>411</v>
      </c>
      <c r="H2040" s="37">
        <v>156.94</v>
      </c>
      <c r="I2040" s="36" t="s">
        <v>1301</v>
      </c>
      <c r="J2040" s="39" t="s">
        <v>286</v>
      </c>
      <c r="K2040" s="38"/>
      <c r="L2040" s="38"/>
    </row>
    <row r="2041" ht="22.5" customHeight="1">
      <c r="A2041" s="36" t="s">
        <v>4767</v>
      </c>
      <c r="B2041" s="36" t="s">
        <v>4768</v>
      </c>
      <c r="C2041" s="36" t="s">
        <v>1495</v>
      </c>
      <c r="D2041" s="36" t="s">
        <v>1496</v>
      </c>
      <c r="E2041" s="36" t="s">
        <v>287</v>
      </c>
      <c r="F2041" s="36" t="s">
        <v>286</v>
      </c>
      <c r="G2041" s="36" t="s">
        <v>411</v>
      </c>
      <c r="H2041" s="37">
        <v>15.35</v>
      </c>
      <c r="I2041" s="36" t="s">
        <v>1301</v>
      </c>
      <c r="J2041" s="39" t="s">
        <v>286</v>
      </c>
      <c r="K2041" s="38"/>
      <c r="L2041" s="38"/>
    </row>
    <row r="2042" ht="22.5" customHeight="1">
      <c r="A2042" s="36" t="s">
        <v>4769</v>
      </c>
      <c r="B2042" s="36" t="s">
        <v>4770</v>
      </c>
      <c r="C2042" s="36" t="s">
        <v>1495</v>
      </c>
      <c r="D2042" s="36" t="s">
        <v>1496</v>
      </c>
      <c r="E2042" s="36" t="s">
        <v>287</v>
      </c>
      <c r="F2042" s="36" t="s">
        <v>286</v>
      </c>
      <c r="G2042" s="36" t="s">
        <v>411</v>
      </c>
      <c r="H2042" s="37">
        <v>32.88</v>
      </c>
      <c r="I2042" s="36" t="s">
        <v>1301</v>
      </c>
      <c r="J2042" s="39" t="s">
        <v>286</v>
      </c>
      <c r="K2042" s="38"/>
      <c r="L2042" s="38"/>
    </row>
    <row r="2043" ht="22.5" customHeight="1">
      <c r="A2043" s="36" t="s">
        <v>4771</v>
      </c>
      <c r="B2043" s="36" t="s">
        <v>4772</v>
      </c>
      <c r="C2043" s="36" t="s">
        <v>1495</v>
      </c>
      <c r="D2043" s="36" t="s">
        <v>1496</v>
      </c>
      <c r="E2043" s="36" t="s">
        <v>287</v>
      </c>
      <c r="F2043" s="36" t="s">
        <v>286</v>
      </c>
      <c r="G2043" s="36" t="s">
        <v>411</v>
      </c>
      <c r="H2043" s="37">
        <v>9.0</v>
      </c>
      <c r="I2043" s="36" t="s">
        <v>1301</v>
      </c>
      <c r="J2043" s="39" t="s">
        <v>286</v>
      </c>
      <c r="K2043" s="38"/>
      <c r="L2043" s="38"/>
    </row>
    <row r="2044" ht="22.5" customHeight="1">
      <c r="A2044" s="36" t="s">
        <v>4773</v>
      </c>
      <c r="B2044" s="36" t="s">
        <v>4774</v>
      </c>
      <c r="C2044" s="36" t="s">
        <v>1495</v>
      </c>
      <c r="D2044" s="36" t="s">
        <v>1496</v>
      </c>
      <c r="E2044" s="36" t="s">
        <v>287</v>
      </c>
      <c r="F2044" s="36" t="s">
        <v>286</v>
      </c>
      <c r="G2044" s="36" t="s">
        <v>411</v>
      </c>
      <c r="H2044" s="37">
        <v>98.0</v>
      </c>
      <c r="I2044" s="36" t="s">
        <v>1301</v>
      </c>
      <c r="J2044" s="39" t="s">
        <v>286</v>
      </c>
      <c r="K2044" s="38"/>
      <c r="L2044" s="38"/>
    </row>
    <row r="2045" ht="22.5" customHeight="1">
      <c r="A2045" s="36" t="s">
        <v>4775</v>
      </c>
      <c r="B2045" s="36" t="s">
        <v>4776</v>
      </c>
      <c r="C2045" s="36" t="s">
        <v>1495</v>
      </c>
      <c r="D2045" s="36" t="s">
        <v>1496</v>
      </c>
      <c r="E2045" s="36" t="s">
        <v>287</v>
      </c>
      <c r="F2045" s="36" t="s">
        <v>286</v>
      </c>
      <c r="G2045" s="36" t="s">
        <v>411</v>
      </c>
      <c r="H2045" s="37">
        <v>361.0</v>
      </c>
      <c r="I2045" s="36" t="s">
        <v>1301</v>
      </c>
      <c r="J2045" s="39" t="s">
        <v>286</v>
      </c>
      <c r="K2045" s="38"/>
      <c r="L2045" s="38"/>
    </row>
    <row r="2046" ht="22.5" customHeight="1">
      <c r="A2046" s="36" t="s">
        <v>4777</v>
      </c>
      <c r="B2046" s="36" t="s">
        <v>4778</v>
      </c>
      <c r="C2046" s="36" t="s">
        <v>1495</v>
      </c>
      <c r="D2046" s="36" t="s">
        <v>1496</v>
      </c>
      <c r="E2046" s="36" t="s">
        <v>287</v>
      </c>
      <c r="F2046" s="36" t="s">
        <v>286</v>
      </c>
      <c r="G2046" s="36" t="s">
        <v>411</v>
      </c>
      <c r="H2046" s="37">
        <v>83.8</v>
      </c>
      <c r="I2046" s="36" t="s">
        <v>1301</v>
      </c>
      <c r="J2046" s="39" t="s">
        <v>286</v>
      </c>
      <c r="K2046" s="38"/>
      <c r="L2046" s="38"/>
    </row>
    <row r="2047" ht="22.5" customHeight="1">
      <c r="A2047" s="36" t="s">
        <v>4779</v>
      </c>
      <c r="B2047" s="36" t="s">
        <v>4780</v>
      </c>
      <c r="C2047" s="36" t="s">
        <v>1495</v>
      </c>
      <c r="D2047" s="36" t="s">
        <v>1496</v>
      </c>
      <c r="E2047" s="36" t="s">
        <v>287</v>
      </c>
      <c r="F2047" s="36" t="s">
        <v>286</v>
      </c>
      <c r="G2047" s="36" t="s">
        <v>411</v>
      </c>
      <c r="H2047" s="37">
        <v>75.0</v>
      </c>
      <c r="I2047" s="36" t="s">
        <v>1301</v>
      </c>
      <c r="J2047" s="39" t="s">
        <v>286</v>
      </c>
      <c r="K2047" s="38"/>
      <c r="L2047" s="38"/>
    </row>
    <row r="2048" ht="22.5" customHeight="1">
      <c r="A2048" s="36" t="s">
        <v>4781</v>
      </c>
      <c r="B2048" s="36" t="s">
        <v>4782</v>
      </c>
      <c r="C2048" s="36" t="s">
        <v>1495</v>
      </c>
      <c r="D2048" s="36" t="s">
        <v>1496</v>
      </c>
      <c r="E2048" s="36" t="s">
        <v>287</v>
      </c>
      <c r="F2048" s="36" t="s">
        <v>286</v>
      </c>
      <c r="G2048" s="36" t="s">
        <v>411</v>
      </c>
      <c r="H2048" s="37">
        <v>140.0</v>
      </c>
      <c r="I2048" s="36" t="s">
        <v>1301</v>
      </c>
      <c r="J2048" s="39" t="s">
        <v>286</v>
      </c>
      <c r="K2048" s="38"/>
      <c r="L2048" s="38"/>
    </row>
    <row r="2049" ht="22.5" customHeight="1">
      <c r="A2049" s="36" t="s">
        <v>4783</v>
      </c>
      <c r="B2049" s="36" t="s">
        <v>4784</v>
      </c>
      <c r="C2049" s="36" t="s">
        <v>1495</v>
      </c>
      <c r="D2049" s="36" t="s">
        <v>1496</v>
      </c>
      <c r="E2049" s="36" t="s">
        <v>287</v>
      </c>
      <c r="F2049" s="36" t="s">
        <v>286</v>
      </c>
      <c r="G2049" s="36" t="s">
        <v>411</v>
      </c>
      <c r="H2049" s="37">
        <v>54.0</v>
      </c>
      <c r="I2049" s="36" t="s">
        <v>1301</v>
      </c>
      <c r="J2049" s="39" t="s">
        <v>286</v>
      </c>
      <c r="K2049" s="38"/>
      <c r="L2049" s="38"/>
    </row>
    <row r="2050" ht="22.5" customHeight="1">
      <c r="A2050" s="36" t="s">
        <v>4785</v>
      </c>
      <c r="B2050" s="36" t="s">
        <v>4786</v>
      </c>
      <c r="C2050" s="36" t="s">
        <v>1495</v>
      </c>
      <c r="D2050" s="36" t="s">
        <v>1496</v>
      </c>
      <c r="E2050" s="36" t="s">
        <v>287</v>
      </c>
      <c r="F2050" s="36" t="s">
        <v>286</v>
      </c>
      <c r="G2050" s="36" t="s">
        <v>411</v>
      </c>
      <c r="H2050" s="37">
        <v>279.0</v>
      </c>
      <c r="I2050" s="36" t="s">
        <v>1301</v>
      </c>
      <c r="J2050" s="39" t="s">
        <v>286</v>
      </c>
      <c r="K2050" s="38"/>
      <c r="L2050" s="38"/>
    </row>
    <row r="2051" ht="22.5" customHeight="1">
      <c r="A2051" s="36" t="s">
        <v>4787</v>
      </c>
      <c r="B2051" s="36" t="s">
        <v>4788</v>
      </c>
      <c r="C2051" s="36" t="s">
        <v>1495</v>
      </c>
      <c r="D2051" s="36" t="s">
        <v>1496</v>
      </c>
      <c r="E2051" s="36" t="s">
        <v>287</v>
      </c>
      <c r="F2051" s="36" t="s">
        <v>286</v>
      </c>
      <c r="G2051" s="36" t="s">
        <v>411</v>
      </c>
      <c r="H2051" s="37">
        <v>86.0</v>
      </c>
      <c r="I2051" s="36" t="s">
        <v>1301</v>
      </c>
      <c r="J2051" s="39" t="s">
        <v>286</v>
      </c>
      <c r="K2051" s="38"/>
      <c r="L2051" s="38"/>
    </row>
    <row r="2052" ht="22.5" customHeight="1">
      <c r="A2052" s="36" t="s">
        <v>4789</v>
      </c>
      <c r="B2052" s="36" t="s">
        <v>4790</v>
      </c>
      <c r="C2052" s="36" t="s">
        <v>1495</v>
      </c>
      <c r="D2052" s="36" t="s">
        <v>1496</v>
      </c>
      <c r="E2052" s="36" t="s">
        <v>287</v>
      </c>
      <c r="F2052" s="36" t="s">
        <v>286</v>
      </c>
      <c r="G2052" s="36" t="s">
        <v>411</v>
      </c>
      <c r="H2052" s="37">
        <v>77.0</v>
      </c>
      <c r="I2052" s="36" t="s">
        <v>1301</v>
      </c>
      <c r="J2052" s="39" t="s">
        <v>286</v>
      </c>
      <c r="K2052" s="38"/>
      <c r="L2052" s="38"/>
    </row>
    <row r="2053" ht="22.5" customHeight="1">
      <c r="A2053" s="36" t="s">
        <v>4791</v>
      </c>
      <c r="B2053" s="36" t="s">
        <v>4792</v>
      </c>
      <c r="C2053" s="36" t="s">
        <v>1495</v>
      </c>
      <c r="D2053" s="36" t="s">
        <v>1496</v>
      </c>
      <c r="E2053" s="36" t="s">
        <v>287</v>
      </c>
      <c r="F2053" s="36" t="s">
        <v>286</v>
      </c>
      <c r="G2053" s="36" t="s">
        <v>411</v>
      </c>
      <c r="H2053" s="37">
        <v>87.0</v>
      </c>
      <c r="I2053" s="36" t="s">
        <v>1301</v>
      </c>
      <c r="J2053" s="39" t="s">
        <v>286</v>
      </c>
      <c r="K2053" s="38"/>
      <c r="L2053" s="38"/>
    </row>
    <row r="2054" ht="22.5" customHeight="1">
      <c r="A2054" s="36" t="s">
        <v>4793</v>
      </c>
      <c r="B2054" s="36" t="s">
        <v>4794</v>
      </c>
      <c r="C2054" s="36" t="s">
        <v>1495</v>
      </c>
      <c r="D2054" s="36" t="s">
        <v>1496</v>
      </c>
      <c r="E2054" s="36" t="s">
        <v>287</v>
      </c>
      <c r="F2054" s="36" t="s">
        <v>286</v>
      </c>
      <c r="G2054" s="36" t="s">
        <v>411</v>
      </c>
      <c r="H2054" s="37">
        <v>207.0</v>
      </c>
      <c r="I2054" s="36" t="s">
        <v>1301</v>
      </c>
      <c r="J2054" s="39" t="s">
        <v>286</v>
      </c>
      <c r="K2054" s="38"/>
      <c r="L2054" s="38"/>
    </row>
    <row r="2055" ht="22.5" customHeight="1">
      <c r="A2055" s="36" t="s">
        <v>4795</v>
      </c>
      <c r="B2055" s="36" t="s">
        <v>4796</v>
      </c>
      <c r="C2055" s="36" t="s">
        <v>1495</v>
      </c>
      <c r="D2055" s="36" t="s">
        <v>1496</v>
      </c>
      <c r="E2055" s="36" t="s">
        <v>287</v>
      </c>
      <c r="F2055" s="36" t="s">
        <v>286</v>
      </c>
      <c r="G2055" s="36" t="s">
        <v>411</v>
      </c>
      <c r="H2055" s="37">
        <v>26.5</v>
      </c>
      <c r="I2055" s="36" t="s">
        <v>1301</v>
      </c>
      <c r="J2055" s="39" t="s">
        <v>286</v>
      </c>
      <c r="K2055" s="38"/>
      <c r="L2055" s="38"/>
    </row>
    <row r="2056" ht="22.5" customHeight="1">
      <c r="A2056" s="36" t="s">
        <v>4797</v>
      </c>
      <c r="B2056" s="36" t="s">
        <v>4798</v>
      </c>
      <c r="C2056" s="36" t="s">
        <v>1495</v>
      </c>
      <c r="D2056" s="36" t="s">
        <v>1496</v>
      </c>
      <c r="E2056" s="36" t="s">
        <v>287</v>
      </c>
      <c r="F2056" s="36" t="s">
        <v>286</v>
      </c>
      <c r="G2056" s="36" t="s">
        <v>411</v>
      </c>
      <c r="H2056" s="37">
        <v>464.0</v>
      </c>
      <c r="I2056" s="36" t="s">
        <v>1301</v>
      </c>
      <c r="J2056" s="39" t="s">
        <v>286</v>
      </c>
      <c r="K2056" s="38"/>
      <c r="L2056" s="38"/>
    </row>
    <row r="2057" ht="22.5" customHeight="1">
      <c r="A2057" s="36" t="s">
        <v>4799</v>
      </c>
      <c r="B2057" s="36" t="s">
        <v>4800</v>
      </c>
      <c r="C2057" s="36" t="s">
        <v>1495</v>
      </c>
      <c r="D2057" s="36" t="s">
        <v>1496</v>
      </c>
      <c r="E2057" s="36" t="s">
        <v>287</v>
      </c>
      <c r="F2057" s="36" t="s">
        <v>286</v>
      </c>
      <c r="G2057" s="36" t="s">
        <v>411</v>
      </c>
      <c r="H2057" s="37">
        <v>66.0</v>
      </c>
      <c r="I2057" s="36" t="s">
        <v>1301</v>
      </c>
      <c r="J2057" s="39" t="s">
        <v>286</v>
      </c>
      <c r="K2057" s="38"/>
      <c r="L2057" s="38"/>
    </row>
    <row r="2058" ht="22.5" customHeight="1">
      <c r="A2058" s="36" t="s">
        <v>4801</v>
      </c>
      <c r="B2058" s="36" t="s">
        <v>4802</v>
      </c>
      <c r="C2058" s="36" t="s">
        <v>1495</v>
      </c>
      <c r="D2058" s="36" t="s">
        <v>1496</v>
      </c>
      <c r="E2058" s="36" t="s">
        <v>287</v>
      </c>
      <c r="F2058" s="36" t="s">
        <v>286</v>
      </c>
      <c r="G2058" s="36" t="s">
        <v>411</v>
      </c>
      <c r="H2058" s="37">
        <v>4.67</v>
      </c>
      <c r="I2058" s="36" t="s">
        <v>1301</v>
      </c>
      <c r="J2058" s="39" t="s">
        <v>286</v>
      </c>
      <c r="K2058" s="38"/>
      <c r="L2058" s="38"/>
    </row>
    <row r="2059" ht="22.5" customHeight="1">
      <c r="A2059" s="36" t="s">
        <v>4803</v>
      </c>
      <c r="B2059" s="36" t="s">
        <v>4804</v>
      </c>
      <c r="C2059" s="36" t="s">
        <v>1495</v>
      </c>
      <c r="D2059" s="36" t="s">
        <v>1496</v>
      </c>
      <c r="E2059" s="36" t="s">
        <v>287</v>
      </c>
      <c r="F2059" s="36" t="s">
        <v>286</v>
      </c>
      <c r="G2059" s="36" t="s">
        <v>411</v>
      </c>
      <c r="H2059" s="37">
        <v>6.22</v>
      </c>
      <c r="I2059" s="36" t="s">
        <v>1301</v>
      </c>
      <c r="J2059" s="39" t="s">
        <v>286</v>
      </c>
      <c r="K2059" s="38"/>
      <c r="L2059" s="38"/>
    </row>
    <row r="2060" ht="22.5" customHeight="1">
      <c r="A2060" s="36" t="s">
        <v>4805</v>
      </c>
      <c r="B2060" s="36" t="s">
        <v>4806</v>
      </c>
      <c r="C2060" s="36" t="s">
        <v>1495</v>
      </c>
      <c r="D2060" s="36" t="s">
        <v>1496</v>
      </c>
      <c r="E2060" s="36" t="s">
        <v>287</v>
      </c>
      <c r="F2060" s="36" t="s">
        <v>286</v>
      </c>
      <c r="G2060" s="36" t="s">
        <v>411</v>
      </c>
      <c r="H2060" s="37">
        <v>5.06</v>
      </c>
      <c r="I2060" s="36" t="s">
        <v>1301</v>
      </c>
      <c r="J2060" s="39" t="s">
        <v>286</v>
      </c>
      <c r="K2060" s="38"/>
      <c r="L2060" s="38"/>
    </row>
    <row r="2061" ht="22.5" customHeight="1">
      <c r="A2061" s="36" t="s">
        <v>4807</v>
      </c>
      <c r="B2061" s="36" t="s">
        <v>4808</v>
      </c>
      <c r="C2061" s="36" t="s">
        <v>1495</v>
      </c>
      <c r="D2061" s="36" t="s">
        <v>1496</v>
      </c>
      <c r="E2061" s="36" t="s">
        <v>287</v>
      </c>
      <c r="F2061" s="36" t="s">
        <v>286</v>
      </c>
      <c r="G2061" s="36" t="s">
        <v>411</v>
      </c>
      <c r="H2061" s="37">
        <v>9.99</v>
      </c>
      <c r="I2061" s="36" t="s">
        <v>1301</v>
      </c>
      <c r="J2061" s="39" t="s">
        <v>286</v>
      </c>
      <c r="K2061" s="38"/>
      <c r="L2061" s="38"/>
    </row>
    <row r="2062" ht="22.5" customHeight="1">
      <c r="A2062" s="36" t="s">
        <v>4809</v>
      </c>
      <c r="B2062" s="36" t="s">
        <v>4810</v>
      </c>
      <c r="C2062" s="36" t="s">
        <v>1495</v>
      </c>
      <c r="D2062" s="36" t="s">
        <v>1496</v>
      </c>
      <c r="E2062" s="36" t="s">
        <v>287</v>
      </c>
      <c r="F2062" s="36" t="s">
        <v>286</v>
      </c>
      <c r="G2062" s="36" t="s">
        <v>411</v>
      </c>
      <c r="H2062" s="37">
        <v>8.52</v>
      </c>
      <c r="I2062" s="36" t="s">
        <v>1301</v>
      </c>
      <c r="J2062" s="39" t="s">
        <v>286</v>
      </c>
      <c r="K2062" s="38"/>
      <c r="L2062" s="38"/>
    </row>
    <row r="2063" ht="22.5" customHeight="1">
      <c r="A2063" s="36" t="s">
        <v>4811</v>
      </c>
      <c r="B2063" s="36" t="s">
        <v>4812</v>
      </c>
      <c r="C2063" s="36" t="s">
        <v>1495</v>
      </c>
      <c r="D2063" s="36" t="s">
        <v>1496</v>
      </c>
      <c r="E2063" s="36" t="s">
        <v>287</v>
      </c>
      <c r="F2063" s="36" t="s">
        <v>286</v>
      </c>
      <c r="G2063" s="36" t="s">
        <v>411</v>
      </c>
      <c r="H2063" s="37">
        <v>15.25</v>
      </c>
      <c r="I2063" s="36" t="s">
        <v>1301</v>
      </c>
      <c r="J2063" s="39" t="s">
        <v>286</v>
      </c>
      <c r="K2063" s="38"/>
      <c r="L2063" s="38"/>
    </row>
    <row r="2064" ht="22.5" customHeight="1">
      <c r="A2064" s="36" t="s">
        <v>4813</v>
      </c>
      <c r="B2064" s="36" t="s">
        <v>4814</v>
      </c>
      <c r="C2064" s="36" t="s">
        <v>1495</v>
      </c>
      <c r="D2064" s="36" t="s">
        <v>1496</v>
      </c>
      <c r="E2064" s="36" t="s">
        <v>287</v>
      </c>
      <c r="F2064" s="36" t="s">
        <v>286</v>
      </c>
      <c r="G2064" s="36" t="s">
        <v>411</v>
      </c>
      <c r="H2064" s="37">
        <v>5.44</v>
      </c>
      <c r="I2064" s="36" t="s">
        <v>1301</v>
      </c>
      <c r="J2064" s="39" t="s">
        <v>286</v>
      </c>
      <c r="K2064" s="38"/>
      <c r="L2064" s="38"/>
    </row>
    <row r="2065" ht="22.5" customHeight="1">
      <c r="A2065" s="36" t="s">
        <v>4815</v>
      </c>
      <c r="B2065" s="36" t="s">
        <v>4816</v>
      </c>
      <c r="C2065" s="36" t="s">
        <v>1495</v>
      </c>
      <c r="D2065" s="36" t="s">
        <v>1496</v>
      </c>
      <c r="E2065" s="36" t="s">
        <v>287</v>
      </c>
      <c r="F2065" s="36" t="s">
        <v>286</v>
      </c>
      <c r="G2065" s="36" t="s">
        <v>411</v>
      </c>
      <c r="H2065" s="37">
        <v>28.57</v>
      </c>
      <c r="I2065" s="36" t="s">
        <v>1301</v>
      </c>
      <c r="J2065" s="39" t="s">
        <v>286</v>
      </c>
      <c r="K2065" s="38"/>
      <c r="L2065" s="38"/>
    </row>
    <row r="2066" ht="22.5" customHeight="1">
      <c r="A2066" s="36" t="s">
        <v>4817</v>
      </c>
      <c r="B2066" s="36" t="s">
        <v>4818</v>
      </c>
      <c r="C2066" s="36" t="s">
        <v>1495</v>
      </c>
      <c r="D2066" s="36" t="s">
        <v>1496</v>
      </c>
      <c r="E2066" s="36" t="s">
        <v>287</v>
      </c>
      <c r="F2066" s="36" t="s">
        <v>286</v>
      </c>
      <c r="G2066" s="36" t="s">
        <v>411</v>
      </c>
      <c r="H2066" s="37">
        <v>23.03</v>
      </c>
      <c r="I2066" s="36" t="s">
        <v>1301</v>
      </c>
      <c r="J2066" s="39" t="s">
        <v>286</v>
      </c>
      <c r="K2066" s="38"/>
      <c r="L2066" s="38"/>
    </row>
    <row r="2067" ht="22.5" customHeight="1">
      <c r="A2067" s="36" t="s">
        <v>4819</v>
      </c>
      <c r="B2067" s="36" t="s">
        <v>4820</v>
      </c>
      <c r="C2067" s="36" t="s">
        <v>1495</v>
      </c>
      <c r="D2067" s="36" t="s">
        <v>1496</v>
      </c>
      <c r="E2067" s="36" t="s">
        <v>287</v>
      </c>
      <c r="F2067" s="36" t="s">
        <v>286</v>
      </c>
      <c r="G2067" s="36" t="s">
        <v>411</v>
      </c>
      <c r="H2067" s="37">
        <v>12.18</v>
      </c>
      <c r="I2067" s="36" t="s">
        <v>1301</v>
      </c>
      <c r="J2067" s="39" t="s">
        <v>286</v>
      </c>
      <c r="K2067" s="38"/>
      <c r="L2067" s="38"/>
    </row>
    <row r="2068" ht="22.5" customHeight="1">
      <c r="A2068" s="36" t="s">
        <v>4821</v>
      </c>
      <c r="B2068" s="36" t="s">
        <v>4822</v>
      </c>
      <c r="C2068" s="36" t="s">
        <v>1495</v>
      </c>
      <c r="D2068" s="36" t="s">
        <v>1496</v>
      </c>
      <c r="E2068" s="36" t="s">
        <v>287</v>
      </c>
      <c r="F2068" s="36" t="s">
        <v>286</v>
      </c>
      <c r="G2068" s="36" t="s">
        <v>411</v>
      </c>
      <c r="H2068" s="37">
        <v>356.71</v>
      </c>
      <c r="I2068" s="36" t="s">
        <v>1301</v>
      </c>
      <c r="J2068" s="39" t="s">
        <v>286</v>
      </c>
      <c r="K2068" s="38"/>
      <c r="L2068" s="38"/>
    </row>
    <row r="2069" ht="22.5" customHeight="1">
      <c r="A2069" s="36" t="s">
        <v>4823</v>
      </c>
      <c r="B2069" s="36" t="s">
        <v>4824</v>
      </c>
      <c r="C2069" s="36" t="s">
        <v>1495</v>
      </c>
      <c r="D2069" s="36" t="s">
        <v>1496</v>
      </c>
      <c r="E2069" s="36" t="s">
        <v>287</v>
      </c>
      <c r="F2069" s="36" t="s">
        <v>286</v>
      </c>
      <c r="G2069" s="36" t="s">
        <v>411</v>
      </c>
      <c r="H2069" s="37">
        <v>48.66</v>
      </c>
      <c r="I2069" s="36" t="s">
        <v>1301</v>
      </c>
      <c r="J2069" s="39" t="s">
        <v>286</v>
      </c>
      <c r="K2069" s="38"/>
      <c r="L2069" s="38"/>
    </row>
    <row r="2070" ht="22.5" customHeight="1">
      <c r="A2070" s="36" t="s">
        <v>4825</v>
      </c>
      <c r="B2070" s="36" t="s">
        <v>4826</v>
      </c>
      <c r="C2070" s="36" t="s">
        <v>1495</v>
      </c>
      <c r="D2070" s="36" t="s">
        <v>1496</v>
      </c>
      <c r="E2070" s="36" t="s">
        <v>287</v>
      </c>
      <c r="F2070" s="36" t="s">
        <v>286</v>
      </c>
      <c r="G2070" s="36" t="s">
        <v>411</v>
      </c>
      <c r="H2070" s="37">
        <v>23.83</v>
      </c>
      <c r="I2070" s="36" t="s">
        <v>1301</v>
      </c>
      <c r="J2070" s="39" t="s">
        <v>286</v>
      </c>
      <c r="K2070" s="38"/>
      <c r="L2070" s="38"/>
    </row>
    <row r="2071" ht="22.5" customHeight="1">
      <c r="A2071" s="36" t="s">
        <v>4827</v>
      </c>
      <c r="B2071" s="36" t="s">
        <v>4828</v>
      </c>
      <c r="C2071" s="36" t="s">
        <v>1495</v>
      </c>
      <c r="D2071" s="36" t="s">
        <v>1496</v>
      </c>
      <c r="E2071" s="36" t="s">
        <v>287</v>
      </c>
      <c r="F2071" s="36" t="s">
        <v>286</v>
      </c>
      <c r="G2071" s="36" t="s">
        <v>411</v>
      </c>
      <c r="H2071" s="37">
        <v>22.0</v>
      </c>
      <c r="I2071" s="36" t="s">
        <v>1301</v>
      </c>
      <c r="J2071" s="39" t="s">
        <v>286</v>
      </c>
      <c r="K2071" s="38"/>
      <c r="L2071" s="38"/>
    </row>
    <row r="2072" ht="22.5" customHeight="1">
      <c r="A2072" s="36" t="s">
        <v>4829</v>
      </c>
      <c r="B2072" s="36" t="s">
        <v>4830</v>
      </c>
      <c r="C2072" s="36" t="s">
        <v>1495</v>
      </c>
      <c r="D2072" s="36" t="s">
        <v>1496</v>
      </c>
      <c r="E2072" s="36" t="s">
        <v>287</v>
      </c>
      <c r="F2072" s="36" t="s">
        <v>286</v>
      </c>
      <c r="G2072" s="36" t="s">
        <v>411</v>
      </c>
      <c r="H2072" s="37">
        <v>17.11</v>
      </c>
      <c r="I2072" s="36" t="s">
        <v>1301</v>
      </c>
      <c r="J2072" s="39" t="s">
        <v>286</v>
      </c>
      <c r="K2072" s="38"/>
      <c r="L2072" s="38"/>
    </row>
    <row r="2073" ht="22.5" customHeight="1">
      <c r="A2073" s="36" t="s">
        <v>4831</v>
      </c>
      <c r="B2073" s="36" t="s">
        <v>4832</v>
      </c>
      <c r="C2073" s="36" t="s">
        <v>1495</v>
      </c>
      <c r="D2073" s="36" t="s">
        <v>1496</v>
      </c>
      <c r="E2073" s="36" t="s">
        <v>287</v>
      </c>
      <c r="F2073" s="36" t="s">
        <v>286</v>
      </c>
      <c r="G2073" s="36" t="s">
        <v>411</v>
      </c>
      <c r="H2073" s="37">
        <v>15.89</v>
      </c>
      <c r="I2073" s="36" t="s">
        <v>1301</v>
      </c>
      <c r="J2073" s="39" t="s">
        <v>286</v>
      </c>
      <c r="K2073" s="38"/>
      <c r="L2073" s="38"/>
    </row>
    <row r="2074" ht="22.5" customHeight="1">
      <c r="A2074" s="36" t="s">
        <v>4833</v>
      </c>
      <c r="B2074" s="36" t="s">
        <v>4834</v>
      </c>
      <c r="C2074" s="36" t="s">
        <v>1495</v>
      </c>
      <c r="D2074" s="36" t="s">
        <v>1496</v>
      </c>
      <c r="E2074" s="36" t="s">
        <v>287</v>
      </c>
      <c r="F2074" s="36" t="s">
        <v>286</v>
      </c>
      <c r="G2074" s="36" t="s">
        <v>411</v>
      </c>
      <c r="H2074" s="37">
        <v>12.22</v>
      </c>
      <c r="I2074" s="36" t="s">
        <v>1301</v>
      </c>
      <c r="J2074" s="39" t="s">
        <v>286</v>
      </c>
      <c r="K2074" s="38"/>
      <c r="L2074" s="38"/>
    </row>
    <row r="2075" ht="22.5" customHeight="1">
      <c r="A2075" s="36" t="s">
        <v>4835</v>
      </c>
      <c r="B2075" s="36" t="s">
        <v>4836</v>
      </c>
      <c r="C2075" s="36" t="s">
        <v>1495</v>
      </c>
      <c r="D2075" s="36" t="s">
        <v>1496</v>
      </c>
      <c r="E2075" s="36" t="s">
        <v>287</v>
      </c>
      <c r="F2075" s="36" t="s">
        <v>286</v>
      </c>
      <c r="G2075" s="36" t="s">
        <v>411</v>
      </c>
      <c r="H2075" s="37">
        <v>11.0</v>
      </c>
      <c r="I2075" s="36" t="s">
        <v>1301</v>
      </c>
      <c r="J2075" s="39" t="s">
        <v>286</v>
      </c>
      <c r="K2075" s="38"/>
      <c r="L2075" s="38"/>
    </row>
    <row r="2076" ht="22.5" customHeight="1">
      <c r="A2076" s="36" t="s">
        <v>4837</v>
      </c>
      <c r="B2076" s="36" t="s">
        <v>4838</v>
      </c>
      <c r="C2076" s="36" t="s">
        <v>1495</v>
      </c>
      <c r="D2076" s="36" t="s">
        <v>1496</v>
      </c>
      <c r="E2076" s="36" t="s">
        <v>287</v>
      </c>
      <c r="F2076" s="36" t="s">
        <v>286</v>
      </c>
      <c r="G2076" s="36" t="s">
        <v>411</v>
      </c>
      <c r="H2076" s="37">
        <v>9.17</v>
      </c>
      <c r="I2076" s="36" t="s">
        <v>1301</v>
      </c>
      <c r="J2076" s="39" t="s">
        <v>286</v>
      </c>
      <c r="K2076" s="38"/>
      <c r="L2076" s="38"/>
    </row>
    <row r="2077" ht="22.5" customHeight="1">
      <c r="A2077" s="36" t="s">
        <v>4839</v>
      </c>
      <c r="B2077" s="36" t="s">
        <v>4840</v>
      </c>
      <c r="C2077" s="36" t="s">
        <v>1495</v>
      </c>
      <c r="D2077" s="36" t="s">
        <v>1496</v>
      </c>
      <c r="E2077" s="36" t="s">
        <v>287</v>
      </c>
      <c r="F2077" s="36" t="s">
        <v>286</v>
      </c>
      <c r="G2077" s="36" t="s">
        <v>411</v>
      </c>
      <c r="H2077" s="37">
        <v>7.94</v>
      </c>
      <c r="I2077" s="36" t="s">
        <v>1301</v>
      </c>
      <c r="J2077" s="39" t="s">
        <v>286</v>
      </c>
      <c r="K2077" s="38"/>
      <c r="L2077" s="38"/>
    </row>
    <row r="2078" ht="22.5" customHeight="1">
      <c r="A2078" s="36" t="s">
        <v>4841</v>
      </c>
      <c r="B2078" s="36" t="s">
        <v>4842</v>
      </c>
      <c r="C2078" s="36" t="s">
        <v>1495</v>
      </c>
      <c r="D2078" s="36" t="s">
        <v>1496</v>
      </c>
      <c r="E2078" s="36" t="s">
        <v>287</v>
      </c>
      <c r="F2078" s="36" t="s">
        <v>286</v>
      </c>
      <c r="G2078" s="36" t="s">
        <v>411</v>
      </c>
      <c r="H2078" s="37">
        <v>225.0</v>
      </c>
      <c r="I2078" s="36" t="s">
        <v>1301</v>
      </c>
      <c r="J2078" s="39" t="s">
        <v>286</v>
      </c>
      <c r="K2078" s="38"/>
      <c r="L2078" s="38"/>
    </row>
    <row r="2079" ht="22.5" customHeight="1">
      <c r="A2079" s="36" t="s">
        <v>4843</v>
      </c>
      <c r="B2079" s="36" t="s">
        <v>4844</v>
      </c>
      <c r="C2079" s="36" t="s">
        <v>1495</v>
      </c>
      <c r="D2079" s="36" t="s">
        <v>1496</v>
      </c>
      <c r="E2079" s="36" t="s">
        <v>287</v>
      </c>
      <c r="F2079" s="36" t="s">
        <v>286</v>
      </c>
      <c r="G2079" s="36" t="s">
        <v>411</v>
      </c>
      <c r="H2079" s="37">
        <v>107.96</v>
      </c>
      <c r="I2079" s="36" t="s">
        <v>1301</v>
      </c>
      <c r="J2079" s="39" t="s">
        <v>286</v>
      </c>
      <c r="K2079" s="38"/>
      <c r="L2079" s="38"/>
    </row>
    <row r="2080" ht="22.5" customHeight="1">
      <c r="A2080" s="36" t="s">
        <v>4845</v>
      </c>
      <c r="B2080" s="36" t="s">
        <v>4846</v>
      </c>
      <c r="C2080" s="36" t="s">
        <v>1495</v>
      </c>
      <c r="D2080" s="36" t="s">
        <v>1496</v>
      </c>
      <c r="E2080" s="36" t="s">
        <v>287</v>
      </c>
      <c r="F2080" s="36" t="s">
        <v>286</v>
      </c>
      <c r="G2080" s="36" t="s">
        <v>411</v>
      </c>
      <c r="H2080" s="37">
        <v>15.31</v>
      </c>
      <c r="I2080" s="36" t="s">
        <v>1301</v>
      </c>
      <c r="J2080" s="39" t="s">
        <v>286</v>
      </c>
      <c r="K2080" s="38"/>
      <c r="L2080" s="38"/>
    </row>
    <row r="2081" ht="22.5" customHeight="1">
      <c r="A2081" s="36" t="s">
        <v>4847</v>
      </c>
      <c r="B2081" s="36" t="s">
        <v>4848</v>
      </c>
      <c r="C2081" s="36" t="s">
        <v>1495</v>
      </c>
      <c r="D2081" s="36" t="s">
        <v>1496</v>
      </c>
      <c r="E2081" s="36" t="s">
        <v>287</v>
      </c>
      <c r="F2081" s="36" t="s">
        <v>286</v>
      </c>
      <c r="G2081" s="36" t="s">
        <v>411</v>
      </c>
      <c r="H2081" s="37">
        <v>74.0</v>
      </c>
      <c r="I2081" s="36" t="s">
        <v>1301</v>
      </c>
      <c r="J2081" s="39" t="s">
        <v>286</v>
      </c>
      <c r="K2081" s="38"/>
      <c r="L2081" s="38"/>
    </row>
    <row r="2082" ht="22.5" customHeight="1">
      <c r="A2082" s="36" t="s">
        <v>4849</v>
      </c>
      <c r="B2082" s="36" t="s">
        <v>4850</v>
      </c>
      <c r="C2082" s="36" t="s">
        <v>1495</v>
      </c>
      <c r="D2082" s="36" t="s">
        <v>1496</v>
      </c>
      <c r="E2082" s="36" t="s">
        <v>287</v>
      </c>
      <c r="F2082" s="36" t="s">
        <v>286</v>
      </c>
      <c r="G2082" s="36" t="s">
        <v>411</v>
      </c>
      <c r="H2082" s="37">
        <v>190.0</v>
      </c>
      <c r="I2082" s="36" t="s">
        <v>1301</v>
      </c>
      <c r="J2082" s="39" t="s">
        <v>286</v>
      </c>
      <c r="K2082" s="38"/>
      <c r="L2082" s="38"/>
    </row>
    <row r="2083" ht="22.5" customHeight="1">
      <c r="A2083" s="36" t="s">
        <v>4851</v>
      </c>
      <c r="B2083" s="36" t="s">
        <v>4852</v>
      </c>
      <c r="C2083" s="36" t="s">
        <v>1495</v>
      </c>
      <c r="D2083" s="36" t="s">
        <v>1496</v>
      </c>
      <c r="E2083" s="36" t="s">
        <v>287</v>
      </c>
      <c r="F2083" s="36" t="s">
        <v>286</v>
      </c>
      <c r="G2083" s="36" t="s">
        <v>411</v>
      </c>
      <c r="H2083" s="37">
        <v>89.0</v>
      </c>
      <c r="I2083" s="36" t="s">
        <v>1301</v>
      </c>
      <c r="J2083" s="39" t="s">
        <v>286</v>
      </c>
      <c r="K2083" s="38"/>
      <c r="L2083" s="38"/>
    </row>
    <row r="2084" ht="22.5" customHeight="1">
      <c r="A2084" s="36" t="s">
        <v>4853</v>
      </c>
      <c r="B2084" s="36" t="s">
        <v>4854</v>
      </c>
      <c r="C2084" s="36" t="s">
        <v>1495</v>
      </c>
      <c r="D2084" s="36" t="s">
        <v>1496</v>
      </c>
      <c r="E2084" s="36" t="s">
        <v>287</v>
      </c>
      <c r="F2084" s="36" t="s">
        <v>286</v>
      </c>
      <c r="G2084" s="36" t="s">
        <v>411</v>
      </c>
      <c r="H2084" s="37">
        <v>19.88</v>
      </c>
      <c r="I2084" s="36" t="s">
        <v>1301</v>
      </c>
      <c r="J2084" s="39" t="s">
        <v>286</v>
      </c>
      <c r="K2084" s="38"/>
      <c r="L2084" s="38"/>
    </row>
    <row r="2085" ht="22.5" customHeight="1">
      <c r="A2085" s="36" t="s">
        <v>4855</v>
      </c>
      <c r="B2085" s="36" t="s">
        <v>4856</v>
      </c>
      <c r="C2085" s="36" t="s">
        <v>1495</v>
      </c>
      <c r="D2085" s="36" t="s">
        <v>1496</v>
      </c>
      <c r="E2085" s="36" t="s">
        <v>287</v>
      </c>
      <c r="F2085" s="36" t="s">
        <v>286</v>
      </c>
      <c r="G2085" s="36" t="s">
        <v>411</v>
      </c>
      <c r="H2085" s="37">
        <v>31.55</v>
      </c>
      <c r="I2085" s="36" t="s">
        <v>1301</v>
      </c>
      <c r="J2085" s="39" t="s">
        <v>286</v>
      </c>
      <c r="K2085" s="38"/>
      <c r="L2085" s="38"/>
    </row>
    <row r="2086" ht="22.5" customHeight="1">
      <c r="A2086" s="36" t="s">
        <v>4857</v>
      </c>
      <c r="B2086" s="36" t="s">
        <v>4858</v>
      </c>
      <c r="C2086" s="36" t="s">
        <v>1495</v>
      </c>
      <c r="D2086" s="36" t="s">
        <v>1496</v>
      </c>
      <c r="E2086" s="36" t="s">
        <v>287</v>
      </c>
      <c r="F2086" s="36" t="s">
        <v>286</v>
      </c>
      <c r="G2086" s="36" t="s">
        <v>411</v>
      </c>
      <c r="H2086" s="37">
        <v>25.93</v>
      </c>
      <c r="I2086" s="36" t="s">
        <v>1301</v>
      </c>
      <c r="J2086" s="39" t="s">
        <v>286</v>
      </c>
      <c r="K2086" s="38"/>
      <c r="L2086" s="38"/>
    </row>
    <row r="2087" ht="22.5" customHeight="1">
      <c r="A2087" s="36" t="s">
        <v>4859</v>
      </c>
      <c r="B2087" s="36" t="s">
        <v>4860</v>
      </c>
      <c r="C2087" s="36" t="s">
        <v>1495</v>
      </c>
      <c r="D2087" s="36" t="s">
        <v>1496</v>
      </c>
      <c r="E2087" s="36" t="s">
        <v>287</v>
      </c>
      <c r="F2087" s="36" t="s">
        <v>286</v>
      </c>
      <c r="G2087" s="36" t="s">
        <v>411</v>
      </c>
      <c r="H2087" s="37">
        <v>129.7</v>
      </c>
      <c r="I2087" s="36" t="s">
        <v>1301</v>
      </c>
      <c r="J2087" s="39" t="s">
        <v>286</v>
      </c>
      <c r="K2087" s="38"/>
      <c r="L2087" s="38"/>
    </row>
    <row r="2088" ht="22.5" customHeight="1">
      <c r="A2088" s="36" t="s">
        <v>4861</v>
      </c>
      <c r="B2088" s="36" t="s">
        <v>4862</v>
      </c>
      <c r="C2088" s="36" t="s">
        <v>1495</v>
      </c>
      <c r="D2088" s="36" t="s">
        <v>1496</v>
      </c>
      <c r="E2088" s="36" t="s">
        <v>287</v>
      </c>
      <c r="F2088" s="36" t="s">
        <v>286</v>
      </c>
      <c r="G2088" s="36" t="s">
        <v>411</v>
      </c>
      <c r="H2088" s="37">
        <v>112.0</v>
      </c>
      <c r="I2088" s="36" t="s">
        <v>1301</v>
      </c>
      <c r="J2088" s="39" t="s">
        <v>286</v>
      </c>
      <c r="K2088" s="38"/>
      <c r="L2088" s="38"/>
    </row>
    <row r="2089" ht="22.5" customHeight="1">
      <c r="A2089" s="36" t="s">
        <v>4863</v>
      </c>
      <c r="B2089" s="36" t="s">
        <v>4864</v>
      </c>
      <c r="C2089" s="36" t="s">
        <v>1495</v>
      </c>
      <c r="D2089" s="36" t="s">
        <v>1496</v>
      </c>
      <c r="E2089" s="36" t="s">
        <v>287</v>
      </c>
      <c r="F2089" s="36" t="s">
        <v>286</v>
      </c>
      <c r="G2089" s="36" t="s">
        <v>411</v>
      </c>
      <c r="H2089" s="37">
        <v>64.17</v>
      </c>
      <c r="I2089" s="36" t="s">
        <v>1301</v>
      </c>
      <c r="J2089" s="39" t="s">
        <v>286</v>
      </c>
      <c r="K2089" s="38"/>
      <c r="L2089" s="38"/>
    </row>
    <row r="2090" ht="22.5" customHeight="1">
      <c r="A2090" s="36" t="s">
        <v>4865</v>
      </c>
      <c r="B2090" s="36" t="s">
        <v>4866</v>
      </c>
      <c r="C2090" s="36" t="s">
        <v>1495</v>
      </c>
      <c r="D2090" s="36" t="s">
        <v>1496</v>
      </c>
      <c r="E2090" s="36" t="s">
        <v>287</v>
      </c>
      <c r="F2090" s="36" t="s">
        <v>286</v>
      </c>
      <c r="G2090" s="36" t="s">
        <v>411</v>
      </c>
      <c r="H2090" s="37">
        <v>58.33</v>
      </c>
      <c r="I2090" s="36" t="s">
        <v>1301</v>
      </c>
      <c r="J2090" s="39" t="s">
        <v>286</v>
      </c>
      <c r="K2090" s="38"/>
      <c r="L2090" s="38"/>
    </row>
    <row r="2091" ht="22.5" customHeight="1">
      <c r="A2091" s="36" t="s">
        <v>4867</v>
      </c>
      <c r="B2091" s="36" t="s">
        <v>4868</v>
      </c>
      <c r="C2091" s="36" t="s">
        <v>1495</v>
      </c>
      <c r="D2091" s="36" t="s">
        <v>1496</v>
      </c>
      <c r="E2091" s="36" t="s">
        <v>287</v>
      </c>
      <c r="F2091" s="36" t="s">
        <v>286</v>
      </c>
      <c r="G2091" s="36" t="s">
        <v>411</v>
      </c>
      <c r="H2091" s="37">
        <v>95.15</v>
      </c>
      <c r="I2091" s="36" t="s">
        <v>1301</v>
      </c>
      <c r="J2091" s="39" t="s">
        <v>286</v>
      </c>
      <c r="K2091" s="38"/>
      <c r="L2091" s="38"/>
    </row>
    <row r="2092" ht="22.5" customHeight="1">
      <c r="A2092" s="36" t="s">
        <v>4869</v>
      </c>
      <c r="B2092" s="36" t="s">
        <v>4870</v>
      </c>
      <c r="C2092" s="36" t="s">
        <v>1495</v>
      </c>
      <c r="D2092" s="36" t="s">
        <v>1496</v>
      </c>
      <c r="E2092" s="36" t="s">
        <v>287</v>
      </c>
      <c r="F2092" s="36" t="s">
        <v>286</v>
      </c>
      <c r="G2092" s="36" t="s">
        <v>411</v>
      </c>
      <c r="H2092" s="37">
        <v>7.79</v>
      </c>
      <c r="I2092" s="36" t="s">
        <v>1301</v>
      </c>
      <c r="J2092" s="39" t="s">
        <v>286</v>
      </c>
      <c r="K2092" s="38"/>
      <c r="L2092" s="38"/>
    </row>
    <row r="2093" ht="22.5" customHeight="1">
      <c r="A2093" s="36" t="s">
        <v>4871</v>
      </c>
      <c r="B2093" s="36" t="s">
        <v>4872</v>
      </c>
      <c r="C2093" s="36" t="s">
        <v>1495</v>
      </c>
      <c r="D2093" s="36" t="s">
        <v>1496</v>
      </c>
      <c r="E2093" s="36" t="s">
        <v>287</v>
      </c>
      <c r="F2093" s="36" t="s">
        <v>286</v>
      </c>
      <c r="G2093" s="36" t="s">
        <v>411</v>
      </c>
      <c r="H2093" s="37">
        <v>8.07</v>
      </c>
      <c r="I2093" s="36" t="s">
        <v>1301</v>
      </c>
      <c r="J2093" s="39" t="s">
        <v>286</v>
      </c>
      <c r="K2093" s="38"/>
      <c r="L2093" s="38"/>
    </row>
    <row r="2094" ht="22.5" customHeight="1">
      <c r="A2094" s="36" t="s">
        <v>4873</v>
      </c>
      <c r="B2094" s="36" t="s">
        <v>4874</v>
      </c>
      <c r="C2094" s="36" t="s">
        <v>1495</v>
      </c>
      <c r="D2094" s="36" t="s">
        <v>1496</v>
      </c>
      <c r="E2094" s="36" t="s">
        <v>287</v>
      </c>
      <c r="F2094" s="36" t="s">
        <v>286</v>
      </c>
      <c r="G2094" s="36" t="s">
        <v>411</v>
      </c>
      <c r="H2094" s="37">
        <v>38.5</v>
      </c>
      <c r="I2094" s="36" t="s">
        <v>1301</v>
      </c>
      <c r="J2094" s="39" t="s">
        <v>286</v>
      </c>
      <c r="K2094" s="38"/>
      <c r="L2094" s="38"/>
    </row>
    <row r="2095" ht="22.5" customHeight="1">
      <c r="A2095" s="36" t="s">
        <v>4875</v>
      </c>
      <c r="B2095" s="36" t="s">
        <v>4876</v>
      </c>
      <c r="C2095" s="36" t="s">
        <v>1495</v>
      </c>
      <c r="D2095" s="36" t="s">
        <v>1496</v>
      </c>
      <c r="E2095" s="36" t="s">
        <v>287</v>
      </c>
      <c r="F2095" s="36" t="s">
        <v>286</v>
      </c>
      <c r="G2095" s="36" t="s">
        <v>411</v>
      </c>
      <c r="H2095" s="37">
        <v>4.13</v>
      </c>
      <c r="I2095" s="36" t="s">
        <v>1301</v>
      </c>
      <c r="J2095" s="39" t="s">
        <v>286</v>
      </c>
      <c r="K2095" s="38"/>
      <c r="L2095" s="38"/>
    </row>
    <row r="2096" ht="22.5" customHeight="1">
      <c r="A2096" s="36" t="s">
        <v>4877</v>
      </c>
      <c r="B2096" s="36" t="s">
        <v>4878</v>
      </c>
      <c r="C2096" s="36" t="s">
        <v>1495</v>
      </c>
      <c r="D2096" s="36" t="s">
        <v>1496</v>
      </c>
      <c r="E2096" s="36" t="s">
        <v>287</v>
      </c>
      <c r="F2096" s="36" t="s">
        <v>286</v>
      </c>
      <c r="G2096" s="36" t="s">
        <v>411</v>
      </c>
      <c r="H2096" s="37">
        <v>15.58</v>
      </c>
      <c r="I2096" s="36" t="s">
        <v>1301</v>
      </c>
      <c r="J2096" s="39" t="s">
        <v>286</v>
      </c>
      <c r="K2096" s="38"/>
      <c r="L2096" s="38"/>
    </row>
    <row r="2097" ht="22.5" customHeight="1">
      <c r="A2097" s="36" t="s">
        <v>4879</v>
      </c>
      <c r="B2097" s="36" t="s">
        <v>4880</v>
      </c>
      <c r="C2097" s="36" t="s">
        <v>1495</v>
      </c>
      <c r="D2097" s="36" t="s">
        <v>1496</v>
      </c>
      <c r="E2097" s="36" t="s">
        <v>287</v>
      </c>
      <c r="F2097" s="36" t="s">
        <v>286</v>
      </c>
      <c r="G2097" s="36" t="s">
        <v>411</v>
      </c>
      <c r="H2097" s="37">
        <v>13.29</v>
      </c>
      <c r="I2097" s="36" t="s">
        <v>1301</v>
      </c>
      <c r="J2097" s="39" t="s">
        <v>286</v>
      </c>
      <c r="K2097" s="38"/>
      <c r="L2097" s="38"/>
    </row>
    <row r="2098" ht="22.5" customHeight="1">
      <c r="A2098" s="36" t="s">
        <v>4881</v>
      </c>
      <c r="B2098" s="36" t="s">
        <v>4882</v>
      </c>
      <c r="C2098" s="36" t="s">
        <v>1495</v>
      </c>
      <c r="D2098" s="36" t="s">
        <v>1496</v>
      </c>
      <c r="E2098" s="36" t="s">
        <v>287</v>
      </c>
      <c r="F2098" s="36" t="s">
        <v>286</v>
      </c>
      <c r="G2098" s="36" t="s">
        <v>411</v>
      </c>
      <c r="H2098" s="37">
        <v>5.49</v>
      </c>
      <c r="I2098" s="36" t="s">
        <v>1301</v>
      </c>
      <c r="J2098" s="39" t="s">
        <v>286</v>
      </c>
      <c r="K2098" s="38"/>
      <c r="L2098" s="38"/>
    </row>
    <row r="2099" ht="22.5" customHeight="1">
      <c r="A2099" s="36" t="s">
        <v>4883</v>
      </c>
      <c r="B2099" s="36" t="s">
        <v>4884</v>
      </c>
      <c r="C2099" s="36" t="s">
        <v>1495</v>
      </c>
      <c r="D2099" s="36" t="s">
        <v>1496</v>
      </c>
      <c r="E2099" s="36" t="s">
        <v>287</v>
      </c>
      <c r="F2099" s="36" t="s">
        <v>286</v>
      </c>
      <c r="G2099" s="36" t="s">
        <v>411</v>
      </c>
      <c r="H2099" s="37">
        <v>98.75</v>
      </c>
      <c r="I2099" s="36" t="s">
        <v>1301</v>
      </c>
      <c r="J2099" s="39" t="s">
        <v>286</v>
      </c>
      <c r="K2099" s="38"/>
      <c r="L2099" s="38"/>
    </row>
    <row r="2100" ht="22.5" customHeight="1">
      <c r="A2100" s="36" t="s">
        <v>4885</v>
      </c>
      <c r="B2100" s="36" t="s">
        <v>4886</v>
      </c>
      <c r="C2100" s="36" t="s">
        <v>1495</v>
      </c>
      <c r="D2100" s="36" t="s">
        <v>1496</v>
      </c>
      <c r="E2100" s="36" t="s">
        <v>287</v>
      </c>
      <c r="F2100" s="36" t="s">
        <v>286</v>
      </c>
      <c r="G2100" s="36" t="s">
        <v>411</v>
      </c>
      <c r="H2100" s="37">
        <v>275.0</v>
      </c>
      <c r="I2100" s="36" t="s">
        <v>1301</v>
      </c>
      <c r="J2100" s="39" t="s">
        <v>286</v>
      </c>
      <c r="K2100" s="38"/>
      <c r="L2100" s="38"/>
    </row>
    <row r="2101" ht="22.5" customHeight="1">
      <c r="A2101" s="36" t="s">
        <v>4887</v>
      </c>
      <c r="B2101" s="36" t="s">
        <v>4888</v>
      </c>
      <c r="C2101" s="36" t="s">
        <v>1495</v>
      </c>
      <c r="D2101" s="36" t="s">
        <v>1496</v>
      </c>
      <c r="E2101" s="36" t="s">
        <v>287</v>
      </c>
      <c r="F2101" s="36" t="s">
        <v>286</v>
      </c>
      <c r="G2101" s="36" t="s">
        <v>411</v>
      </c>
      <c r="H2101" s="37">
        <v>275.0</v>
      </c>
      <c r="I2101" s="36" t="s">
        <v>1301</v>
      </c>
      <c r="J2101" s="39" t="s">
        <v>286</v>
      </c>
      <c r="K2101" s="38"/>
      <c r="L2101" s="38"/>
    </row>
    <row r="2102" ht="22.5" customHeight="1">
      <c r="A2102" s="36" t="s">
        <v>4889</v>
      </c>
      <c r="B2102" s="36" t="s">
        <v>4890</v>
      </c>
      <c r="C2102" s="36" t="s">
        <v>1495</v>
      </c>
      <c r="D2102" s="36" t="s">
        <v>1496</v>
      </c>
      <c r="E2102" s="36" t="s">
        <v>287</v>
      </c>
      <c r="F2102" s="36" t="s">
        <v>286</v>
      </c>
      <c r="G2102" s="36" t="s">
        <v>411</v>
      </c>
      <c r="H2102" s="37">
        <v>2.68</v>
      </c>
      <c r="I2102" s="36" t="s">
        <v>1301</v>
      </c>
      <c r="J2102" s="39" t="s">
        <v>286</v>
      </c>
      <c r="K2102" s="38"/>
      <c r="L2102" s="38"/>
    </row>
    <row r="2103" ht="22.5" customHeight="1">
      <c r="A2103" s="36" t="s">
        <v>4891</v>
      </c>
      <c r="B2103" s="36" t="s">
        <v>4892</v>
      </c>
      <c r="C2103" s="36" t="s">
        <v>1495</v>
      </c>
      <c r="D2103" s="36" t="s">
        <v>1496</v>
      </c>
      <c r="E2103" s="36" t="s">
        <v>287</v>
      </c>
      <c r="F2103" s="36" t="s">
        <v>286</v>
      </c>
      <c r="G2103" s="36" t="s">
        <v>411</v>
      </c>
      <c r="H2103" s="37">
        <v>9.34</v>
      </c>
      <c r="I2103" s="36" t="s">
        <v>1301</v>
      </c>
      <c r="J2103" s="39" t="s">
        <v>286</v>
      </c>
      <c r="K2103" s="38"/>
      <c r="L2103" s="38"/>
    </row>
    <row r="2104" ht="22.5" customHeight="1">
      <c r="A2104" s="36" t="s">
        <v>4893</v>
      </c>
      <c r="B2104" s="36" t="s">
        <v>4894</v>
      </c>
      <c r="C2104" s="36" t="s">
        <v>1495</v>
      </c>
      <c r="D2104" s="36" t="s">
        <v>1496</v>
      </c>
      <c r="E2104" s="36" t="s">
        <v>287</v>
      </c>
      <c r="F2104" s="36" t="s">
        <v>286</v>
      </c>
      <c r="G2104" s="36" t="s">
        <v>411</v>
      </c>
      <c r="H2104" s="37">
        <v>29.46</v>
      </c>
      <c r="I2104" s="36" t="s">
        <v>1301</v>
      </c>
      <c r="J2104" s="39" t="s">
        <v>286</v>
      </c>
      <c r="K2104" s="38"/>
      <c r="L2104" s="38"/>
    </row>
    <row r="2105" ht="22.5" customHeight="1">
      <c r="A2105" s="36" t="s">
        <v>4895</v>
      </c>
      <c r="B2105" s="36" t="s">
        <v>4896</v>
      </c>
      <c r="C2105" s="36" t="s">
        <v>1495</v>
      </c>
      <c r="D2105" s="36" t="s">
        <v>1496</v>
      </c>
      <c r="E2105" s="36" t="s">
        <v>287</v>
      </c>
      <c r="F2105" s="36" t="s">
        <v>286</v>
      </c>
      <c r="G2105" s="36" t="s">
        <v>411</v>
      </c>
      <c r="H2105" s="37">
        <v>29.46</v>
      </c>
      <c r="I2105" s="36" t="s">
        <v>1301</v>
      </c>
      <c r="J2105" s="39" t="s">
        <v>286</v>
      </c>
      <c r="K2105" s="38"/>
      <c r="L2105" s="38"/>
    </row>
    <row r="2106" ht="22.5" customHeight="1">
      <c r="A2106" s="36" t="s">
        <v>4897</v>
      </c>
      <c r="B2106" s="36" t="s">
        <v>4898</v>
      </c>
      <c r="C2106" s="36" t="s">
        <v>1495</v>
      </c>
      <c r="D2106" s="36" t="s">
        <v>1496</v>
      </c>
      <c r="E2106" s="36" t="s">
        <v>287</v>
      </c>
      <c r="F2106" s="36" t="s">
        <v>286</v>
      </c>
      <c r="G2106" s="36" t="s">
        <v>411</v>
      </c>
      <c r="H2106" s="37">
        <v>45.0</v>
      </c>
      <c r="I2106" s="36" t="s">
        <v>1301</v>
      </c>
      <c r="J2106" s="39" t="s">
        <v>286</v>
      </c>
      <c r="K2106" s="38"/>
      <c r="L2106" s="38"/>
    </row>
    <row r="2107" ht="22.5" customHeight="1">
      <c r="A2107" s="36" t="s">
        <v>4899</v>
      </c>
      <c r="B2107" s="36" t="s">
        <v>4900</v>
      </c>
      <c r="C2107" s="36" t="s">
        <v>1495</v>
      </c>
      <c r="D2107" s="36" t="s">
        <v>1496</v>
      </c>
      <c r="E2107" s="36" t="s">
        <v>287</v>
      </c>
      <c r="F2107" s="36" t="s">
        <v>286</v>
      </c>
      <c r="G2107" s="36" t="s">
        <v>411</v>
      </c>
      <c r="H2107" s="37">
        <v>42.0</v>
      </c>
      <c r="I2107" s="36" t="s">
        <v>1301</v>
      </c>
      <c r="J2107" s="39" t="s">
        <v>286</v>
      </c>
      <c r="K2107" s="38"/>
      <c r="L2107" s="38"/>
    </row>
    <row r="2108" ht="22.5" customHeight="1">
      <c r="A2108" s="36" t="s">
        <v>4901</v>
      </c>
      <c r="B2108" s="36" t="s">
        <v>4902</v>
      </c>
      <c r="C2108" s="36" t="s">
        <v>1495</v>
      </c>
      <c r="D2108" s="36" t="s">
        <v>1496</v>
      </c>
      <c r="E2108" s="36" t="s">
        <v>287</v>
      </c>
      <c r="F2108" s="36" t="s">
        <v>286</v>
      </c>
      <c r="G2108" s="36" t="s">
        <v>411</v>
      </c>
      <c r="H2108" s="37">
        <v>135.0</v>
      </c>
      <c r="I2108" s="36" t="s">
        <v>1301</v>
      </c>
      <c r="J2108" s="39" t="s">
        <v>286</v>
      </c>
      <c r="K2108" s="38"/>
      <c r="L2108" s="38"/>
    </row>
    <row r="2109" ht="22.5" customHeight="1">
      <c r="A2109" s="36" t="s">
        <v>4903</v>
      </c>
      <c r="B2109" s="36" t="s">
        <v>4904</v>
      </c>
      <c r="C2109" s="36" t="s">
        <v>1495</v>
      </c>
      <c r="D2109" s="36" t="s">
        <v>1496</v>
      </c>
      <c r="E2109" s="36" t="s">
        <v>287</v>
      </c>
      <c r="F2109" s="36" t="s">
        <v>286</v>
      </c>
      <c r="G2109" s="36" t="s">
        <v>411</v>
      </c>
      <c r="H2109" s="37">
        <v>59.0</v>
      </c>
      <c r="I2109" s="36" t="s">
        <v>1301</v>
      </c>
      <c r="J2109" s="39" t="s">
        <v>286</v>
      </c>
      <c r="K2109" s="38"/>
      <c r="L2109" s="38"/>
    </row>
    <row r="2110" ht="22.5" customHeight="1">
      <c r="A2110" s="36" t="s">
        <v>4905</v>
      </c>
      <c r="B2110" s="36" t="s">
        <v>4906</v>
      </c>
      <c r="C2110" s="36" t="s">
        <v>1495</v>
      </c>
      <c r="D2110" s="36" t="s">
        <v>1496</v>
      </c>
      <c r="E2110" s="36" t="s">
        <v>287</v>
      </c>
      <c r="F2110" s="36" t="s">
        <v>286</v>
      </c>
      <c r="G2110" s="36" t="s">
        <v>411</v>
      </c>
      <c r="H2110" s="37">
        <v>300.0</v>
      </c>
      <c r="I2110" s="36" t="s">
        <v>1301</v>
      </c>
      <c r="J2110" s="39" t="s">
        <v>286</v>
      </c>
      <c r="K2110" s="38"/>
      <c r="L2110" s="38"/>
    </row>
    <row r="2111" ht="22.5" customHeight="1">
      <c r="A2111" s="36" t="s">
        <v>4907</v>
      </c>
      <c r="B2111" s="36" t="s">
        <v>4908</v>
      </c>
      <c r="C2111" s="36" t="s">
        <v>1867</v>
      </c>
      <c r="D2111" s="36" t="s">
        <v>1868</v>
      </c>
      <c r="E2111" s="36" t="s">
        <v>287</v>
      </c>
      <c r="F2111" s="36" t="s">
        <v>286</v>
      </c>
      <c r="G2111" s="36" t="s">
        <v>1659</v>
      </c>
      <c r="H2111" s="37">
        <v>200.0</v>
      </c>
      <c r="I2111" s="36" t="s">
        <v>1301</v>
      </c>
      <c r="J2111" s="39" t="s">
        <v>286</v>
      </c>
      <c r="K2111" s="38"/>
      <c r="L2111" s="38"/>
    </row>
    <row r="2112" ht="22.5" customHeight="1">
      <c r="A2112" s="36" t="s">
        <v>4909</v>
      </c>
      <c r="B2112" s="36" t="s">
        <v>4910</v>
      </c>
      <c r="C2112" s="36" t="s">
        <v>1495</v>
      </c>
      <c r="D2112" s="36" t="s">
        <v>1496</v>
      </c>
      <c r="E2112" s="36" t="s">
        <v>287</v>
      </c>
      <c r="F2112" s="36" t="s">
        <v>286</v>
      </c>
      <c r="G2112" s="36" t="s">
        <v>1659</v>
      </c>
      <c r="H2112" s="37">
        <v>76.25</v>
      </c>
      <c r="I2112" s="36" t="s">
        <v>1301</v>
      </c>
      <c r="J2112" s="39" t="s">
        <v>286</v>
      </c>
      <c r="K2112" s="38"/>
      <c r="L2112" s="38"/>
    </row>
    <row r="2113" ht="22.5" customHeight="1">
      <c r="A2113" s="36" t="s">
        <v>4911</v>
      </c>
      <c r="B2113" s="36" t="s">
        <v>4912</v>
      </c>
      <c r="C2113" s="36" t="s">
        <v>1495</v>
      </c>
      <c r="D2113" s="36" t="s">
        <v>1496</v>
      </c>
      <c r="E2113" s="36" t="s">
        <v>287</v>
      </c>
      <c r="F2113" s="36" t="s">
        <v>286</v>
      </c>
      <c r="G2113" s="36" t="s">
        <v>1659</v>
      </c>
      <c r="H2113" s="37">
        <v>130.25</v>
      </c>
      <c r="I2113" s="36" t="s">
        <v>1301</v>
      </c>
      <c r="J2113" s="39" t="s">
        <v>286</v>
      </c>
      <c r="K2113" s="38"/>
      <c r="L2113" s="38"/>
    </row>
    <row r="2114" ht="22.5" customHeight="1">
      <c r="A2114" s="36" t="s">
        <v>4913</v>
      </c>
      <c r="B2114" s="36" t="s">
        <v>4914</v>
      </c>
      <c r="C2114" s="36" t="s">
        <v>1495</v>
      </c>
      <c r="D2114" s="36" t="s">
        <v>1496</v>
      </c>
      <c r="E2114" s="36" t="s">
        <v>287</v>
      </c>
      <c r="F2114" s="36" t="s">
        <v>286</v>
      </c>
      <c r="G2114" s="36" t="s">
        <v>1659</v>
      </c>
      <c r="H2114" s="37">
        <v>143.0</v>
      </c>
      <c r="I2114" s="36" t="s">
        <v>333</v>
      </c>
      <c r="J2114" s="39" t="s">
        <v>286</v>
      </c>
      <c r="K2114" s="38"/>
      <c r="L2114" s="38"/>
    </row>
    <row r="2115" ht="22.5" customHeight="1">
      <c r="A2115" s="36" t="s">
        <v>4915</v>
      </c>
      <c r="B2115" s="36" t="s">
        <v>4916</v>
      </c>
      <c r="C2115" s="36" t="s">
        <v>1495</v>
      </c>
      <c r="D2115" s="36" t="s">
        <v>1496</v>
      </c>
      <c r="E2115" s="36" t="s">
        <v>287</v>
      </c>
      <c r="F2115" s="36" t="s">
        <v>286</v>
      </c>
      <c r="G2115" s="36" t="s">
        <v>1659</v>
      </c>
      <c r="H2115" s="37">
        <v>155.8</v>
      </c>
      <c r="I2115" s="36" t="s">
        <v>1301</v>
      </c>
      <c r="J2115" s="39" t="s">
        <v>286</v>
      </c>
      <c r="K2115" s="38"/>
      <c r="L2115" s="38"/>
    </row>
    <row r="2116" ht="22.5" customHeight="1">
      <c r="A2116" s="36" t="s">
        <v>4917</v>
      </c>
      <c r="B2116" s="36" t="s">
        <v>4918</v>
      </c>
      <c r="C2116" s="36" t="s">
        <v>1495</v>
      </c>
      <c r="D2116" s="36" t="s">
        <v>1496</v>
      </c>
      <c r="E2116" s="36" t="s">
        <v>287</v>
      </c>
      <c r="F2116" s="36" t="s">
        <v>286</v>
      </c>
      <c r="G2116" s="36" t="s">
        <v>411</v>
      </c>
      <c r="H2116" s="37">
        <v>150.0</v>
      </c>
      <c r="I2116" s="36" t="s">
        <v>1301</v>
      </c>
      <c r="J2116" s="39" t="s">
        <v>286</v>
      </c>
      <c r="K2116" s="38"/>
      <c r="L2116" s="38"/>
    </row>
    <row r="2117" ht="22.5" customHeight="1">
      <c r="A2117" s="36" t="s">
        <v>4919</v>
      </c>
      <c r="B2117" s="36" t="s">
        <v>4920</v>
      </c>
      <c r="C2117" s="36" t="s">
        <v>1495</v>
      </c>
      <c r="D2117" s="36" t="s">
        <v>1496</v>
      </c>
      <c r="E2117" s="36" t="s">
        <v>287</v>
      </c>
      <c r="F2117" s="36" t="s">
        <v>286</v>
      </c>
      <c r="G2117" s="36" t="s">
        <v>1659</v>
      </c>
      <c r="H2117" s="37">
        <v>6850.0</v>
      </c>
      <c r="I2117" s="36" t="s">
        <v>1301</v>
      </c>
      <c r="J2117" s="39" t="s">
        <v>286</v>
      </c>
      <c r="K2117" s="38"/>
      <c r="L2117" s="38"/>
    </row>
    <row r="2118" ht="22.5" customHeight="1">
      <c r="A2118" s="36" t="s">
        <v>4921</v>
      </c>
      <c r="B2118" s="36" t="s">
        <v>4922</v>
      </c>
      <c r="C2118" s="36" t="s">
        <v>1495</v>
      </c>
      <c r="D2118" s="36" t="s">
        <v>1496</v>
      </c>
      <c r="E2118" s="36" t="s">
        <v>287</v>
      </c>
      <c r="F2118" s="36" t="s">
        <v>286</v>
      </c>
      <c r="G2118" s="36" t="s">
        <v>1659</v>
      </c>
      <c r="H2118" s="37">
        <v>7985.0</v>
      </c>
      <c r="I2118" s="36" t="s">
        <v>1301</v>
      </c>
      <c r="J2118" s="39" t="s">
        <v>286</v>
      </c>
      <c r="K2118" s="38"/>
      <c r="L2118" s="38"/>
    </row>
    <row r="2119" ht="22.5" customHeight="1">
      <c r="A2119" s="36" t="s">
        <v>4923</v>
      </c>
      <c r="B2119" s="36" t="s">
        <v>4924</v>
      </c>
      <c r="C2119" s="36" t="s">
        <v>1495</v>
      </c>
      <c r="D2119" s="36" t="s">
        <v>1496</v>
      </c>
      <c r="E2119" s="36" t="s">
        <v>287</v>
      </c>
      <c r="F2119" s="36" t="s">
        <v>286</v>
      </c>
      <c r="G2119" s="36" t="s">
        <v>1659</v>
      </c>
      <c r="H2119" s="37">
        <v>6650.0</v>
      </c>
      <c r="I2119" s="36" t="s">
        <v>1301</v>
      </c>
      <c r="J2119" s="39" t="s">
        <v>286</v>
      </c>
      <c r="K2119" s="38"/>
      <c r="L2119" s="38"/>
    </row>
    <row r="2120" ht="22.5" customHeight="1">
      <c r="A2120" s="36" t="s">
        <v>4925</v>
      </c>
      <c r="B2120" s="36" t="s">
        <v>4926</v>
      </c>
      <c r="C2120" s="36" t="s">
        <v>1495</v>
      </c>
      <c r="D2120" s="36" t="s">
        <v>1496</v>
      </c>
      <c r="E2120" s="36" t="s">
        <v>287</v>
      </c>
      <c r="F2120" s="36" t="s">
        <v>286</v>
      </c>
      <c r="G2120" s="36" t="s">
        <v>1659</v>
      </c>
      <c r="H2120" s="37">
        <v>141.85</v>
      </c>
      <c r="I2120" s="36" t="s">
        <v>1301</v>
      </c>
      <c r="J2120" s="39" t="s">
        <v>286</v>
      </c>
      <c r="K2120" s="38"/>
      <c r="L2120" s="38"/>
    </row>
    <row r="2121" ht="22.5" customHeight="1">
      <c r="A2121" s="36" t="s">
        <v>4927</v>
      </c>
      <c r="B2121" s="36" t="s">
        <v>4928</v>
      </c>
      <c r="C2121" s="36" t="s">
        <v>1495</v>
      </c>
      <c r="D2121" s="36" t="s">
        <v>1496</v>
      </c>
      <c r="E2121" s="36" t="s">
        <v>287</v>
      </c>
      <c r="F2121" s="36" t="s">
        <v>286</v>
      </c>
      <c r="G2121" s="36" t="s">
        <v>1659</v>
      </c>
      <c r="H2121" s="37">
        <v>76.88</v>
      </c>
      <c r="I2121" s="36" t="s">
        <v>1301</v>
      </c>
      <c r="J2121" s="39" t="s">
        <v>286</v>
      </c>
      <c r="K2121" s="38"/>
      <c r="L2121" s="38"/>
    </row>
    <row r="2122" ht="22.5" customHeight="1">
      <c r="A2122" s="36" t="s">
        <v>4929</v>
      </c>
      <c r="B2122" s="36" t="s">
        <v>4930</v>
      </c>
      <c r="C2122" s="36" t="s">
        <v>1495</v>
      </c>
      <c r="D2122" s="36" t="s">
        <v>1496</v>
      </c>
      <c r="E2122" s="36" t="s">
        <v>287</v>
      </c>
      <c r="F2122" s="36" t="s">
        <v>286</v>
      </c>
      <c r="G2122" s="36" t="s">
        <v>1659</v>
      </c>
      <c r="H2122" s="37">
        <v>119.0</v>
      </c>
      <c r="I2122" s="36" t="s">
        <v>1301</v>
      </c>
      <c r="J2122" s="39" t="s">
        <v>286</v>
      </c>
      <c r="K2122" s="38"/>
      <c r="L2122" s="38"/>
    </row>
    <row r="2123" ht="22.5" customHeight="1">
      <c r="A2123" s="36" t="s">
        <v>4931</v>
      </c>
      <c r="B2123" s="36" t="s">
        <v>4932</v>
      </c>
      <c r="C2123" s="36" t="s">
        <v>1495</v>
      </c>
      <c r="D2123" s="36" t="s">
        <v>1496</v>
      </c>
      <c r="E2123" s="36" t="s">
        <v>287</v>
      </c>
      <c r="F2123" s="36" t="s">
        <v>286</v>
      </c>
      <c r="G2123" s="36" t="s">
        <v>1659</v>
      </c>
      <c r="H2123" s="37">
        <v>144.0</v>
      </c>
      <c r="I2123" s="36" t="s">
        <v>1301</v>
      </c>
      <c r="J2123" s="39" t="s">
        <v>286</v>
      </c>
      <c r="K2123" s="38"/>
      <c r="L2123" s="38"/>
    </row>
    <row r="2124" ht="22.5" customHeight="1">
      <c r="A2124" s="36" t="s">
        <v>4933</v>
      </c>
      <c r="B2124" s="36" t="s">
        <v>4934</v>
      </c>
      <c r="C2124" s="36" t="s">
        <v>1495</v>
      </c>
      <c r="D2124" s="36" t="s">
        <v>1496</v>
      </c>
      <c r="E2124" s="36" t="s">
        <v>287</v>
      </c>
      <c r="F2124" s="36" t="s">
        <v>286</v>
      </c>
      <c r="G2124" s="36" t="s">
        <v>1659</v>
      </c>
      <c r="H2124" s="37">
        <v>27.0</v>
      </c>
      <c r="I2124" s="36" t="s">
        <v>1301</v>
      </c>
      <c r="J2124" s="39" t="s">
        <v>286</v>
      </c>
      <c r="K2124" s="38"/>
      <c r="L2124" s="38"/>
    </row>
    <row r="2125" ht="22.5" customHeight="1">
      <c r="A2125" s="36" t="s">
        <v>4935</v>
      </c>
      <c r="B2125" s="36" t="s">
        <v>4936</v>
      </c>
      <c r="C2125" s="36" t="s">
        <v>1495</v>
      </c>
      <c r="D2125" s="36" t="s">
        <v>1496</v>
      </c>
      <c r="E2125" s="36" t="s">
        <v>287</v>
      </c>
      <c r="F2125" s="36" t="s">
        <v>286</v>
      </c>
      <c r="G2125" s="36" t="s">
        <v>1659</v>
      </c>
      <c r="H2125" s="37">
        <v>24.0</v>
      </c>
      <c r="I2125" s="36" t="s">
        <v>1301</v>
      </c>
      <c r="J2125" s="39" t="s">
        <v>286</v>
      </c>
      <c r="K2125" s="38"/>
      <c r="L2125" s="38"/>
    </row>
    <row r="2126" ht="22.5" customHeight="1">
      <c r="A2126" s="36" t="s">
        <v>4937</v>
      </c>
      <c r="B2126" s="36" t="s">
        <v>4938</v>
      </c>
      <c r="C2126" s="36" t="s">
        <v>1495</v>
      </c>
      <c r="D2126" s="36" t="s">
        <v>1496</v>
      </c>
      <c r="E2126" s="36" t="s">
        <v>287</v>
      </c>
      <c r="F2126" s="36" t="s">
        <v>286</v>
      </c>
      <c r="G2126" s="36" t="s">
        <v>411</v>
      </c>
      <c r="H2126" s="37">
        <v>5.81</v>
      </c>
      <c r="I2126" s="36" t="s">
        <v>1301</v>
      </c>
      <c r="J2126" s="39" t="s">
        <v>286</v>
      </c>
      <c r="K2126" s="38"/>
      <c r="L2126" s="38"/>
    </row>
    <row r="2127" ht="22.5" customHeight="1">
      <c r="A2127" s="36" t="s">
        <v>4939</v>
      </c>
      <c r="B2127" s="36" t="s">
        <v>4940</v>
      </c>
      <c r="C2127" s="36" t="s">
        <v>1495</v>
      </c>
      <c r="D2127" s="36" t="s">
        <v>1496</v>
      </c>
      <c r="E2127" s="36" t="s">
        <v>287</v>
      </c>
      <c r="F2127" s="36" t="s">
        <v>286</v>
      </c>
      <c r="G2127" s="36" t="s">
        <v>411</v>
      </c>
      <c r="H2127" s="37">
        <v>2.77</v>
      </c>
      <c r="I2127" s="36" t="s">
        <v>1301</v>
      </c>
      <c r="J2127" s="39" t="s">
        <v>286</v>
      </c>
      <c r="K2127" s="38"/>
      <c r="L2127" s="38"/>
    </row>
    <row r="2128" ht="22.5" customHeight="1">
      <c r="A2128" s="36" t="s">
        <v>4941</v>
      </c>
      <c r="B2128" s="36" t="s">
        <v>4942</v>
      </c>
      <c r="C2128" s="36" t="s">
        <v>1495</v>
      </c>
      <c r="D2128" s="36" t="s">
        <v>1496</v>
      </c>
      <c r="E2128" s="36" t="s">
        <v>287</v>
      </c>
      <c r="F2128" s="36" t="s">
        <v>286</v>
      </c>
      <c r="G2128" s="36" t="s">
        <v>411</v>
      </c>
      <c r="H2128" s="37">
        <v>1.28</v>
      </c>
      <c r="I2128" s="36" t="s">
        <v>1301</v>
      </c>
      <c r="J2128" s="39" t="s">
        <v>286</v>
      </c>
      <c r="K2128" s="38"/>
      <c r="L2128" s="38"/>
    </row>
    <row r="2129" ht="22.5" customHeight="1">
      <c r="A2129" s="36" t="s">
        <v>4943</v>
      </c>
      <c r="B2129" s="36" t="s">
        <v>4944</v>
      </c>
      <c r="C2129" s="36" t="s">
        <v>1495</v>
      </c>
      <c r="D2129" s="36" t="s">
        <v>1496</v>
      </c>
      <c r="E2129" s="36" t="s">
        <v>287</v>
      </c>
      <c r="F2129" s="36" t="s">
        <v>286</v>
      </c>
      <c r="G2129" s="36" t="s">
        <v>411</v>
      </c>
      <c r="H2129" s="37">
        <v>5.81</v>
      </c>
      <c r="I2129" s="36" t="s">
        <v>1301</v>
      </c>
      <c r="J2129" s="39" t="s">
        <v>286</v>
      </c>
      <c r="K2129" s="38"/>
      <c r="L2129" s="38"/>
    </row>
    <row r="2130" ht="22.5" customHeight="1">
      <c r="A2130" s="36" t="s">
        <v>4945</v>
      </c>
      <c r="B2130" s="36" t="s">
        <v>4946</v>
      </c>
      <c r="C2130" s="36" t="s">
        <v>1495</v>
      </c>
      <c r="D2130" s="36" t="s">
        <v>1496</v>
      </c>
      <c r="E2130" s="36" t="s">
        <v>287</v>
      </c>
      <c r="F2130" s="36" t="s">
        <v>286</v>
      </c>
      <c r="G2130" s="36" t="s">
        <v>411</v>
      </c>
      <c r="H2130" s="37">
        <v>2.77</v>
      </c>
      <c r="I2130" s="36" t="s">
        <v>1301</v>
      </c>
      <c r="J2130" s="39" t="s">
        <v>286</v>
      </c>
      <c r="K2130" s="38"/>
      <c r="L2130" s="38"/>
    </row>
    <row r="2131" ht="22.5" customHeight="1">
      <c r="A2131" s="36" t="s">
        <v>4947</v>
      </c>
      <c r="B2131" s="36" t="s">
        <v>4948</v>
      </c>
      <c r="C2131" s="36" t="s">
        <v>1495</v>
      </c>
      <c r="D2131" s="36" t="s">
        <v>1496</v>
      </c>
      <c r="E2131" s="36" t="s">
        <v>287</v>
      </c>
      <c r="F2131" s="36" t="s">
        <v>286</v>
      </c>
      <c r="G2131" s="36" t="s">
        <v>411</v>
      </c>
      <c r="H2131" s="37">
        <v>29.0</v>
      </c>
      <c r="I2131" s="36" t="s">
        <v>1301</v>
      </c>
      <c r="J2131" s="39" t="s">
        <v>286</v>
      </c>
      <c r="K2131" s="38"/>
      <c r="L2131" s="38"/>
    </row>
    <row r="2132" ht="22.5" customHeight="1">
      <c r="A2132" s="36" t="s">
        <v>4949</v>
      </c>
      <c r="B2132" s="36" t="s">
        <v>4950</v>
      </c>
      <c r="C2132" s="36" t="s">
        <v>1495</v>
      </c>
      <c r="D2132" s="36" t="s">
        <v>1496</v>
      </c>
      <c r="E2132" s="36" t="s">
        <v>287</v>
      </c>
      <c r="F2132" s="36" t="s">
        <v>286</v>
      </c>
      <c r="G2132" s="36" t="s">
        <v>411</v>
      </c>
      <c r="H2132" s="37">
        <v>150.0</v>
      </c>
      <c r="I2132" s="36" t="s">
        <v>1301</v>
      </c>
      <c r="J2132" s="39" t="s">
        <v>286</v>
      </c>
      <c r="K2132" s="38"/>
      <c r="L2132" s="38"/>
    </row>
    <row r="2133" ht="22.5" customHeight="1">
      <c r="A2133" s="36" t="s">
        <v>4951</v>
      </c>
      <c r="B2133" s="36" t="s">
        <v>4952</v>
      </c>
      <c r="C2133" s="36" t="s">
        <v>1495</v>
      </c>
      <c r="D2133" s="36" t="s">
        <v>1496</v>
      </c>
      <c r="E2133" s="36" t="s">
        <v>287</v>
      </c>
      <c r="F2133" s="36" t="s">
        <v>286</v>
      </c>
      <c r="G2133" s="36" t="s">
        <v>411</v>
      </c>
      <c r="H2133" s="37">
        <v>79.98</v>
      </c>
      <c r="I2133" s="36" t="s">
        <v>1301</v>
      </c>
      <c r="J2133" s="39" t="s">
        <v>286</v>
      </c>
      <c r="K2133" s="38"/>
      <c r="L2133" s="38"/>
    </row>
    <row r="2134" ht="22.5" customHeight="1">
      <c r="A2134" s="36" t="s">
        <v>4953</v>
      </c>
      <c r="B2134" s="36" t="s">
        <v>4954</v>
      </c>
      <c r="C2134" s="36" t="s">
        <v>1495</v>
      </c>
      <c r="D2134" s="36" t="s">
        <v>1496</v>
      </c>
      <c r="E2134" s="36" t="s">
        <v>287</v>
      </c>
      <c r="F2134" s="36" t="s">
        <v>286</v>
      </c>
      <c r="G2134" s="36" t="s">
        <v>411</v>
      </c>
      <c r="H2134" s="37">
        <v>44.33</v>
      </c>
      <c r="I2134" s="36" t="s">
        <v>1301</v>
      </c>
      <c r="J2134" s="39" t="s">
        <v>286</v>
      </c>
      <c r="K2134" s="38"/>
      <c r="L2134" s="38"/>
    </row>
    <row r="2135" ht="22.5" customHeight="1">
      <c r="A2135" s="36" t="s">
        <v>4955</v>
      </c>
      <c r="B2135" s="36" t="s">
        <v>4956</v>
      </c>
      <c r="C2135" s="36" t="s">
        <v>1495</v>
      </c>
      <c r="D2135" s="36" t="s">
        <v>1496</v>
      </c>
      <c r="E2135" s="36" t="s">
        <v>287</v>
      </c>
      <c r="F2135" s="36" t="s">
        <v>286</v>
      </c>
      <c r="G2135" s="36" t="s">
        <v>411</v>
      </c>
      <c r="H2135" s="37">
        <v>42.22</v>
      </c>
      <c r="I2135" s="36" t="s">
        <v>1301</v>
      </c>
      <c r="J2135" s="39" t="s">
        <v>286</v>
      </c>
      <c r="K2135" s="38"/>
      <c r="L2135" s="38"/>
    </row>
    <row r="2136" ht="22.5" customHeight="1">
      <c r="A2136" s="36" t="s">
        <v>4957</v>
      </c>
      <c r="B2136" s="36" t="s">
        <v>4958</v>
      </c>
      <c r="C2136" s="36" t="s">
        <v>1495</v>
      </c>
      <c r="D2136" s="36" t="s">
        <v>1496</v>
      </c>
      <c r="E2136" s="36" t="s">
        <v>287</v>
      </c>
      <c r="F2136" s="36" t="s">
        <v>286</v>
      </c>
      <c r="G2136" s="36" t="s">
        <v>411</v>
      </c>
      <c r="H2136" s="37">
        <v>14.25</v>
      </c>
      <c r="I2136" s="36" t="s">
        <v>1301</v>
      </c>
      <c r="J2136" s="39" t="s">
        <v>286</v>
      </c>
      <c r="K2136" s="38"/>
      <c r="L2136" s="38"/>
    </row>
    <row r="2137" ht="22.5" customHeight="1">
      <c r="A2137" s="36" t="s">
        <v>4959</v>
      </c>
      <c r="B2137" s="36" t="s">
        <v>4960</v>
      </c>
      <c r="C2137" s="36" t="s">
        <v>1495</v>
      </c>
      <c r="D2137" s="36" t="s">
        <v>1496</v>
      </c>
      <c r="E2137" s="36" t="s">
        <v>287</v>
      </c>
      <c r="F2137" s="36" t="s">
        <v>286</v>
      </c>
      <c r="G2137" s="36" t="s">
        <v>411</v>
      </c>
      <c r="H2137" s="37">
        <v>47.5</v>
      </c>
      <c r="I2137" s="36" t="s">
        <v>1301</v>
      </c>
      <c r="J2137" s="39" t="s">
        <v>286</v>
      </c>
      <c r="K2137" s="38"/>
      <c r="L2137" s="38"/>
    </row>
    <row r="2138" ht="22.5" customHeight="1">
      <c r="A2138" s="36" t="s">
        <v>4961</v>
      </c>
      <c r="B2138" s="36" t="s">
        <v>4962</v>
      </c>
      <c r="C2138" s="36" t="s">
        <v>1495</v>
      </c>
      <c r="D2138" s="36" t="s">
        <v>1496</v>
      </c>
      <c r="E2138" s="36" t="s">
        <v>287</v>
      </c>
      <c r="F2138" s="36" t="s">
        <v>286</v>
      </c>
      <c r="G2138" s="36" t="s">
        <v>411</v>
      </c>
      <c r="H2138" s="37">
        <v>36.42</v>
      </c>
      <c r="I2138" s="36" t="s">
        <v>1301</v>
      </c>
      <c r="J2138" s="39" t="s">
        <v>286</v>
      </c>
      <c r="K2138" s="38"/>
      <c r="L2138" s="38"/>
    </row>
    <row r="2139" ht="22.5" customHeight="1">
      <c r="A2139" s="36" t="s">
        <v>4963</v>
      </c>
      <c r="B2139" s="36" t="s">
        <v>4964</v>
      </c>
      <c r="C2139" s="36" t="s">
        <v>1495</v>
      </c>
      <c r="D2139" s="36" t="s">
        <v>1496</v>
      </c>
      <c r="E2139" s="36" t="s">
        <v>287</v>
      </c>
      <c r="F2139" s="36" t="s">
        <v>286</v>
      </c>
      <c r="G2139" s="36" t="s">
        <v>411</v>
      </c>
      <c r="H2139" s="37">
        <v>35.36</v>
      </c>
      <c r="I2139" s="36" t="s">
        <v>1301</v>
      </c>
      <c r="J2139" s="39" t="s">
        <v>286</v>
      </c>
      <c r="K2139" s="38"/>
      <c r="L2139" s="38"/>
    </row>
    <row r="2140" ht="22.5" customHeight="1">
      <c r="A2140" s="36" t="s">
        <v>4965</v>
      </c>
      <c r="B2140" s="36" t="s">
        <v>4966</v>
      </c>
      <c r="C2140" s="36" t="s">
        <v>1495</v>
      </c>
      <c r="D2140" s="36" t="s">
        <v>1496</v>
      </c>
      <c r="E2140" s="36" t="s">
        <v>287</v>
      </c>
      <c r="F2140" s="36" t="s">
        <v>286</v>
      </c>
      <c r="G2140" s="36" t="s">
        <v>411</v>
      </c>
      <c r="H2140" s="37">
        <v>44.33</v>
      </c>
      <c r="I2140" s="36" t="s">
        <v>1301</v>
      </c>
      <c r="J2140" s="39" t="s">
        <v>286</v>
      </c>
      <c r="K2140" s="38"/>
      <c r="L2140" s="38"/>
    </row>
    <row r="2141" ht="22.5" customHeight="1">
      <c r="A2141" s="36" t="s">
        <v>4967</v>
      </c>
      <c r="B2141" s="36" t="s">
        <v>4968</v>
      </c>
      <c r="C2141" s="36" t="s">
        <v>1495</v>
      </c>
      <c r="D2141" s="36" t="s">
        <v>1496</v>
      </c>
      <c r="E2141" s="36" t="s">
        <v>287</v>
      </c>
      <c r="F2141" s="36" t="s">
        <v>286</v>
      </c>
      <c r="G2141" s="36" t="s">
        <v>411</v>
      </c>
      <c r="H2141" s="37">
        <v>20.58</v>
      </c>
      <c r="I2141" s="36" t="s">
        <v>1301</v>
      </c>
      <c r="J2141" s="39" t="s">
        <v>286</v>
      </c>
      <c r="K2141" s="38"/>
      <c r="L2141" s="38"/>
    </row>
    <row r="2142" ht="22.5" customHeight="1">
      <c r="A2142" s="36" t="s">
        <v>4969</v>
      </c>
      <c r="B2142" s="36" t="s">
        <v>4970</v>
      </c>
      <c r="C2142" s="36" t="s">
        <v>1495</v>
      </c>
      <c r="D2142" s="36" t="s">
        <v>1496</v>
      </c>
      <c r="E2142" s="36" t="s">
        <v>287</v>
      </c>
      <c r="F2142" s="36" t="s">
        <v>286</v>
      </c>
      <c r="G2142" s="36" t="s">
        <v>411</v>
      </c>
      <c r="H2142" s="37">
        <v>20.06</v>
      </c>
      <c r="I2142" s="36" t="s">
        <v>1301</v>
      </c>
      <c r="J2142" s="39" t="s">
        <v>286</v>
      </c>
      <c r="K2142" s="38"/>
      <c r="L2142" s="38"/>
    </row>
    <row r="2143" ht="22.5" customHeight="1">
      <c r="A2143" s="36" t="s">
        <v>4971</v>
      </c>
      <c r="B2143" s="36" t="s">
        <v>4972</v>
      </c>
      <c r="C2143" s="36" t="s">
        <v>1495</v>
      </c>
      <c r="D2143" s="36" t="s">
        <v>1496</v>
      </c>
      <c r="E2143" s="36" t="s">
        <v>287</v>
      </c>
      <c r="F2143" s="36" t="s">
        <v>286</v>
      </c>
      <c r="G2143" s="36" t="s">
        <v>411</v>
      </c>
      <c r="H2143" s="37">
        <v>22.17</v>
      </c>
      <c r="I2143" s="36" t="s">
        <v>1301</v>
      </c>
      <c r="J2143" s="39" t="s">
        <v>286</v>
      </c>
      <c r="K2143" s="38"/>
      <c r="L2143" s="38"/>
    </row>
    <row r="2144" ht="22.5" customHeight="1">
      <c r="A2144" s="36" t="s">
        <v>4973</v>
      </c>
      <c r="B2144" s="36" t="s">
        <v>4974</v>
      </c>
      <c r="C2144" s="36" t="s">
        <v>1495</v>
      </c>
      <c r="D2144" s="36" t="s">
        <v>1496</v>
      </c>
      <c r="E2144" s="36" t="s">
        <v>287</v>
      </c>
      <c r="F2144" s="36" t="s">
        <v>286</v>
      </c>
      <c r="G2144" s="36" t="s">
        <v>411</v>
      </c>
      <c r="H2144" s="37">
        <v>58.61</v>
      </c>
      <c r="I2144" s="36" t="s">
        <v>1301</v>
      </c>
      <c r="J2144" s="39" t="s">
        <v>286</v>
      </c>
      <c r="K2144" s="38"/>
      <c r="L2144" s="38"/>
    </row>
    <row r="2145" ht="22.5" customHeight="1">
      <c r="A2145" s="36" t="s">
        <v>4975</v>
      </c>
      <c r="B2145" s="36" t="s">
        <v>4976</v>
      </c>
      <c r="C2145" s="36" t="s">
        <v>1495</v>
      </c>
      <c r="D2145" s="36" t="s">
        <v>1496</v>
      </c>
      <c r="E2145" s="36" t="s">
        <v>287</v>
      </c>
      <c r="F2145" s="36" t="s">
        <v>286</v>
      </c>
      <c r="G2145" s="36" t="s">
        <v>411</v>
      </c>
      <c r="H2145" s="37">
        <v>4.13</v>
      </c>
      <c r="I2145" s="36" t="s">
        <v>1301</v>
      </c>
      <c r="J2145" s="39" t="s">
        <v>286</v>
      </c>
      <c r="K2145" s="38"/>
      <c r="L2145" s="38"/>
    </row>
    <row r="2146" ht="22.5" customHeight="1">
      <c r="A2146" s="36" t="s">
        <v>4977</v>
      </c>
      <c r="B2146" s="36" t="s">
        <v>4978</v>
      </c>
      <c r="C2146" s="36" t="s">
        <v>1495</v>
      </c>
      <c r="D2146" s="36" t="s">
        <v>1496</v>
      </c>
      <c r="E2146" s="36" t="s">
        <v>287</v>
      </c>
      <c r="F2146" s="36" t="s">
        <v>286</v>
      </c>
      <c r="G2146" s="36" t="s">
        <v>1659</v>
      </c>
      <c r="H2146" s="37">
        <v>19.03</v>
      </c>
      <c r="I2146" s="36" t="s">
        <v>1301</v>
      </c>
      <c r="J2146" s="39" t="s">
        <v>286</v>
      </c>
      <c r="K2146" s="38"/>
      <c r="L2146" s="38"/>
    </row>
    <row r="2147" ht="22.5" customHeight="1">
      <c r="A2147" s="36" t="s">
        <v>4979</v>
      </c>
      <c r="B2147" s="36" t="s">
        <v>4980</v>
      </c>
      <c r="C2147" s="36" t="s">
        <v>1495</v>
      </c>
      <c r="D2147" s="36" t="s">
        <v>1496</v>
      </c>
      <c r="E2147" s="36" t="s">
        <v>287</v>
      </c>
      <c r="F2147" s="36" t="s">
        <v>286</v>
      </c>
      <c r="G2147" s="36" t="s">
        <v>1659</v>
      </c>
      <c r="H2147" s="37">
        <v>10.38</v>
      </c>
      <c r="I2147" s="36" t="s">
        <v>1301</v>
      </c>
      <c r="J2147" s="39" t="s">
        <v>286</v>
      </c>
      <c r="K2147" s="38"/>
      <c r="L2147" s="38"/>
    </row>
    <row r="2148" ht="22.5" customHeight="1">
      <c r="A2148" s="36" t="s">
        <v>4981</v>
      </c>
      <c r="B2148" s="36" t="s">
        <v>4982</v>
      </c>
      <c r="C2148" s="36" t="s">
        <v>1495</v>
      </c>
      <c r="D2148" s="36" t="s">
        <v>1496</v>
      </c>
      <c r="E2148" s="36" t="s">
        <v>287</v>
      </c>
      <c r="F2148" s="36" t="s">
        <v>286</v>
      </c>
      <c r="G2148" s="36" t="s">
        <v>1659</v>
      </c>
      <c r="H2148" s="37">
        <v>6.92</v>
      </c>
      <c r="I2148" s="36" t="s">
        <v>1301</v>
      </c>
      <c r="J2148" s="39" t="s">
        <v>286</v>
      </c>
      <c r="K2148" s="38"/>
      <c r="L2148" s="38"/>
    </row>
    <row r="2149" ht="22.5" customHeight="1">
      <c r="A2149" s="36" t="s">
        <v>4983</v>
      </c>
      <c r="B2149" s="36" t="s">
        <v>4984</v>
      </c>
      <c r="C2149" s="36" t="s">
        <v>1495</v>
      </c>
      <c r="D2149" s="36" t="s">
        <v>1496</v>
      </c>
      <c r="E2149" s="36" t="s">
        <v>287</v>
      </c>
      <c r="F2149" s="36" t="s">
        <v>286</v>
      </c>
      <c r="G2149" s="36" t="s">
        <v>1659</v>
      </c>
      <c r="H2149" s="37">
        <v>10.88</v>
      </c>
      <c r="I2149" s="36" t="s">
        <v>1301</v>
      </c>
      <c r="J2149" s="39" t="s">
        <v>286</v>
      </c>
      <c r="K2149" s="38"/>
      <c r="L2149" s="38"/>
    </row>
    <row r="2150" ht="22.5" customHeight="1">
      <c r="A2150" s="36" t="s">
        <v>4985</v>
      </c>
      <c r="B2150" s="36" t="s">
        <v>4986</v>
      </c>
      <c r="C2150" s="36" t="s">
        <v>1495</v>
      </c>
      <c r="D2150" s="36" t="s">
        <v>1496</v>
      </c>
      <c r="E2150" s="36" t="s">
        <v>287</v>
      </c>
      <c r="F2150" s="36" t="s">
        <v>286</v>
      </c>
      <c r="G2150" s="36" t="s">
        <v>1659</v>
      </c>
      <c r="H2150" s="37">
        <v>8.46</v>
      </c>
      <c r="I2150" s="36" t="s">
        <v>1301</v>
      </c>
      <c r="J2150" s="39" t="s">
        <v>286</v>
      </c>
      <c r="K2150" s="38"/>
      <c r="L2150" s="38"/>
    </row>
    <row r="2151" ht="22.5" customHeight="1">
      <c r="A2151" s="36" t="s">
        <v>4987</v>
      </c>
      <c r="B2151" s="36" t="s">
        <v>4988</v>
      </c>
      <c r="C2151" s="36" t="s">
        <v>1495</v>
      </c>
      <c r="D2151" s="36" t="s">
        <v>1496</v>
      </c>
      <c r="E2151" s="36" t="s">
        <v>287</v>
      </c>
      <c r="F2151" s="36" t="s">
        <v>286</v>
      </c>
      <c r="G2151" s="36" t="s">
        <v>1659</v>
      </c>
      <c r="H2151" s="37">
        <v>5.08</v>
      </c>
      <c r="I2151" s="36" t="s">
        <v>1301</v>
      </c>
      <c r="J2151" s="39" t="s">
        <v>286</v>
      </c>
      <c r="K2151" s="38"/>
      <c r="L2151" s="38"/>
    </row>
    <row r="2152" ht="22.5" customHeight="1">
      <c r="A2152" s="36" t="s">
        <v>4989</v>
      </c>
      <c r="B2152" s="36" t="s">
        <v>4990</v>
      </c>
      <c r="C2152" s="36" t="s">
        <v>1495</v>
      </c>
      <c r="D2152" s="36" t="s">
        <v>1496</v>
      </c>
      <c r="E2152" s="36" t="s">
        <v>287</v>
      </c>
      <c r="F2152" s="36" t="s">
        <v>286</v>
      </c>
      <c r="G2152" s="36" t="s">
        <v>1659</v>
      </c>
      <c r="H2152" s="37">
        <v>2.85</v>
      </c>
      <c r="I2152" s="36" t="s">
        <v>1301</v>
      </c>
      <c r="J2152" s="39" t="s">
        <v>286</v>
      </c>
      <c r="K2152" s="38"/>
      <c r="L2152" s="38"/>
    </row>
    <row r="2153" ht="22.5" customHeight="1">
      <c r="A2153" s="36" t="s">
        <v>4991</v>
      </c>
      <c r="B2153" s="36" t="s">
        <v>4992</v>
      </c>
      <c r="C2153" s="36" t="s">
        <v>1495</v>
      </c>
      <c r="D2153" s="36" t="s">
        <v>1496</v>
      </c>
      <c r="E2153" s="36" t="s">
        <v>287</v>
      </c>
      <c r="F2153" s="36" t="s">
        <v>286</v>
      </c>
      <c r="G2153" s="36" t="s">
        <v>1659</v>
      </c>
      <c r="H2153" s="37">
        <v>7.25</v>
      </c>
      <c r="I2153" s="36" t="s">
        <v>1301</v>
      </c>
      <c r="J2153" s="39" t="s">
        <v>286</v>
      </c>
      <c r="K2153" s="38"/>
      <c r="L2153" s="38"/>
    </row>
    <row r="2154" ht="22.5" customHeight="1">
      <c r="A2154" s="36" t="s">
        <v>4993</v>
      </c>
      <c r="B2154" s="36" t="s">
        <v>4994</v>
      </c>
      <c r="C2154" s="36" t="s">
        <v>1495</v>
      </c>
      <c r="D2154" s="36" t="s">
        <v>1496</v>
      </c>
      <c r="E2154" s="36" t="s">
        <v>287</v>
      </c>
      <c r="F2154" s="36" t="s">
        <v>286</v>
      </c>
      <c r="G2154" s="36" t="s">
        <v>1659</v>
      </c>
      <c r="H2154" s="37">
        <v>17.08</v>
      </c>
      <c r="I2154" s="36" t="s">
        <v>1301</v>
      </c>
      <c r="J2154" s="39" t="s">
        <v>286</v>
      </c>
      <c r="K2154" s="38"/>
      <c r="L2154" s="38"/>
    </row>
    <row r="2155" ht="22.5" customHeight="1">
      <c r="A2155" s="36" t="s">
        <v>4995</v>
      </c>
      <c r="B2155" s="36" t="s">
        <v>4996</v>
      </c>
      <c r="C2155" s="36" t="s">
        <v>1495</v>
      </c>
      <c r="D2155" s="36" t="s">
        <v>1496</v>
      </c>
      <c r="E2155" s="36" t="s">
        <v>287</v>
      </c>
      <c r="F2155" s="36" t="s">
        <v>286</v>
      </c>
      <c r="G2155" s="36" t="s">
        <v>1659</v>
      </c>
      <c r="H2155" s="37">
        <v>14.27</v>
      </c>
      <c r="I2155" s="36" t="s">
        <v>1301</v>
      </c>
      <c r="J2155" s="39" t="s">
        <v>286</v>
      </c>
      <c r="K2155" s="38"/>
      <c r="L2155" s="38"/>
    </row>
    <row r="2156" ht="22.5" customHeight="1">
      <c r="A2156" s="36" t="s">
        <v>4997</v>
      </c>
      <c r="B2156" s="36" t="s">
        <v>4998</v>
      </c>
      <c r="C2156" s="36" t="s">
        <v>1495</v>
      </c>
      <c r="D2156" s="36" t="s">
        <v>1496</v>
      </c>
      <c r="E2156" s="36" t="s">
        <v>287</v>
      </c>
      <c r="F2156" s="36" t="s">
        <v>286</v>
      </c>
      <c r="G2156" s="36" t="s">
        <v>1659</v>
      </c>
      <c r="H2156" s="37">
        <v>10.38</v>
      </c>
      <c r="I2156" s="36" t="s">
        <v>1301</v>
      </c>
      <c r="J2156" s="39" t="s">
        <v>286</v>
      </c>
      <c r="K2156" s="38"/>
      <c r="L2156" s="38"/>
    </row>
    <row r="2157" ht="22.5" customHeight="1">
      <c r="A2157" s="36" t="s">
        <v>4999</v>
      </c>
      <c r="B2157" s="36" t="s">
        <v>5000</v>
      </c>
      <c r="C2157" s="36" t="s">
        <v>1495</v>
      </c>
      <c r="D2157" s="36" t="s">
        <v>1496</v>
      </c>
      <c r="E2157" s="36" t="s">
        <v>287</v>
      </c>
      <c r="F2157" s="36" t="s">
        <v>286</v>
      </c>
      <c r="G2157" s="36" t="s">
        <v>1659</v>
      </c>
      <c r="H2157" s="37">
        <v>6.96</v>
      </c>
      <c r="I2157" s="36" t="s">
        <v>1301</v>
      </c>
      <c r="J2157" s="39" t="s">
        <v>286</v>
      </c>
      <c r="K2157" s="38"/>
      <c r="L2157" s="38"/>
    </row>
    <row r="2158" ht="22.5" customHeight="1">
      <c r="A2158" s="36" t="s">
        <v>5001</v>
      </c>
      <c r="B2158" s="36" t="s">
        <v>5002</v>
      </c>
      <c r="C2158" s="36" t="s">
        <v>1495</v>
      </c>
      <c r="D2158" s="36" t="s">
        <v>1496</v>
      </c>
      <c r="E2158" s="36" t="s">
        <v>287</v>
      </c>
      <c r="F2158" s="36" t="s">
        <v>286</v>
      </c>
      <c r="G2158" s="36" t="s">
        <v>1659</v>
      </c>
      <c r="H2158" s="37">
        <v>126.88</v>
      </c>
      <c r="I2158" s="36" t="s">
        <v>1301</v>
      </c>
      <c r="J2158" s="39" t="s">
        <v>286</v>
      </c>
      <c r="K2158" s="38"/>
      <c r="L2158" s="38"/>
    </row>
    <row r="2159" ht="22.5" customHeight="1">
      <c r="A2159" s="36" t="s">
        <v>5003</v>
      </c>
      <c r="B2159" s="36" t="s">
        <v>5004</v>
      </c>
      <c r="C2159" s="36" t="s">
        <v>1495</v>
      </c>
      <c r="D2159" s="36" t="s">
        <v>1496</v>
      </c>
      <c r="E2159" s="36" t="s">
        <v>287</v>
      </c>
      <c r="F2159" s="36" t="s">
        <v>286</v>
      </c>
      <c r="G2159" s="36" t="s">
        <v>1659</v>
      </c>
      <c r="H2159" s="37">
        <v>262.83</v>
      </c>
      <c r="I2159" s="36" t="s">
        <v>1301</v>
      </c>
      <c r="J2159" s="39" t="s">
        <v>286</v>
      </c>
      <c r="K2159" s="38"/>
      <c r="L2159" s="38"/>
    </row>
    <row r="2160" ht="22.5" customHeight="1">
      <c r="A2160" s="36" t="s">
        <v>5005</v>
      </c>
      <c r="B2160" s="36" t="s">
        <v>5006</v>
      </c>
      <c r="C2160" s="36" t="s">
        <v>1495</v>
      </c>
      <c r="D2160" s="36" t="s">
        <v>1496</v>
      </c>
      <c r="E2160" s="36" t="s">
        <v>287</v>
      </c>
      <c r="F2160" s="36" t="s">
        <v>286</v>
      </c>
      <c r="G2160" s="36" t="s">
        <v>1659</v>
      </c>
      <c r="H2160" s="37">
        <v>76.13</v>
      </c>
      <c r="I2160" s="36" t="s">
        <v>1301</v>
      </c>
      <c r="J2160" s="39" t="s">
        <v>286</v>
      </c>
      <c r="K2160" s="38"/>
      <c r="L2160" s="38"/>
    </row>
    <row r="2161" ht="22.5" customHeight="1">
      <c r="A2161" s="36" t="s">
        <v>5007</v>
      </c>
      <c r="B2161" s="36" t="s">
        <v>5008</v>
      </c>
      <c r="C2161" s="36" t="s">
        <v>1495</v>
      </c>
      <c r="D2161" s="36" t="s">
        <v>1496</v>
      </c>
      <c r="E2161" s="36" t="s">
        <v>287</v>
      </c>
      <c r="F2161" s="36" t="s">
        <v>286</v>
      </c>
      <c r="G2161" s="36" t="s">
        <v>1659</v>
      </c>
      <c r="H2161" s="37">
        <v>91.35</v>
      </c>
      <c r="I2161" s="36" t="s">
        <v>1301</v>
      </c>
      <c r="J2161" s="39" t="s">
        <v>286</v>
      </c>
      <c r="K2161" s="38"/>
      <c r="L2161" s="38"/>
    </row>
    <row r="2162" ht="22.5" customHeight="1">
      <c r="A2162" s="36" t="s">
        <v>5009</v>
      </c>
      <c r="B2162" s="36" t="s">
        <v>5010</v>
      </c>
      <c r="C2162" s="36" t="s">
        <v>1495</v>
      </c>
      <c r="D2162" s="36" t="s">
        <v>1496</v>
      </c>
      <c r="E2162" s="36" t="s">
        <v>287</v>
      </c>
      <c r="F2162" s="36" t="s">
        <v>286</v>
      </c>
      <c r="G2162" s="36" t="s">
        <v>1659</v>
      </c>
      <c r="H2162" s="37">
        <v>26.28</v>
      </c>
      <c r="I2162" s="36" t="s">
        <v>1301</v>
      </c>
      <c r="J2162" s="39" t="s">
        <v>286</v>
      </c>
      <c r="K2162" s="38"/>
      <c r="L2162" s="38"/>
    </row>
    <row r="2163" ht="22.5" customHeight="1">
      <c r="A2163" s="36" t="s">
        <v>5011</v>
      </c>
      <c r="B2163" s="36" t="s">
        <v>5012</v>
      </c>
      <c r="C2163" s="36" t="s">
        <v>1495</v>
      </c>
      <c r="D2163" s="36" t="s">
        <v>1496</v>
      </c>
      <c r="E2163" s="36" t="s">
        <v>287</v>
      </c>
      <c r="F2163" s="36" t="s">
        <v>286</v>
      </c>
      <c r="G2163" s="36" t="s">
        <v>411</v>
      </c>
      <c r="H2163" s="37">
        <v>64.87</v>
      </c>
      <c r="I2163" s="36" t="s">
        <v>1301</v>
      </c>
      <c r="J2163" s="39" t="s">
        <v>286</v>
      </c>
      <c r="K2163" s="38"/>
      <c r="L2163" s="38"/>
    </row>
    <row r="2164" ht="22.5" customHeight="1">
      <c r="A2164" s="36" t="s">
        <v>5013</v>
      </c>
      <c r="B2164" s="36" t="s">
        <v>5014</v>
      </c>
      <c r="C2164" s="36" t="s">
        <v>1495</v>
      </c>
      <c r="D2164" s="36" t="s">
        <v>1496</v>
      </c>
      <c r="E2164" s="36" t="s">
        <v>287</v>
      </c>
      <c r="F2164" s="36" t="s">
        <v>286</v>
      </c>
      <c r="G2164" s="36" t="s">
        <v>411</v>
      </c>
      <c r="H2164" s="37">
        <v>5.94</v>
      </c>
      <c r="I2164" s="36" t="s">
        <v>1301</v>
      </c>
      <c r="J2164" s="39" t="s">
        <v>286</v>
      </c>
      <c r="K2164" s="38"/>
      <c r="L2164" s="38"/>
    </row>
    <row r="2165" ht="22.5" customHeight="1">
      <c r="A2165" s="36" t="s">
        <v>5015</v>
      </c>
      <c r="B2165" s="36" t="s">
        <v>5016</v>
      </c>
      <c r="C2165" s="36" t="s">
        <v>1495</v>
      </c>
      <c r="D2165" s="36" t="s">
        <v>1496</v>
      </c>
      <c r="E2165" s="36" t="s">
        <v>287</v>
      </c>
      <c r="F2165" s="36" t="s">
        <v>286</v>
      </c>
      <c r="G2165" s="36" t="s">
        <v>411</v>
      </c>
      <c r="H2165" s="37">
        <v>703.8</v>
      </c>
      <c r="I2165" s="36" t="s">
        <v>1301</v>
      </c>
      <c r="J2165" s="39" t="s">
        <v>286</v>
      </c>
      <c r="K2165" s="38"/>
      <c r="L2165" s="38"/>
    </row>
    <row r="2166" ht="22.5" customHeight="1">
      <c r="A2166" s="36" t="s">
        <v>5017</v>
      </c>
      <c r="B2166" s="36" t="s">
        <v>5018</v>
      </c>
      <c r="C2166" s="36" t="s">
        <v>1495</v>
      </c>
      <c r="D2166" s="36" t="s">
        <v>1496</v>
      </c>
      <c r="E2166" s="36" t="s">
        <v>287</v>
      </c>
      <c r="F2166" s="36" t="s">
        <v>286</v>
      </c>
      <c r="G2166" s="36" t="s">
        <v>1659</v>
      </c>
      <c r="H2166" s="37">
        <v>100.0</v>
      </c>
      <c r="I2166" s="36" t="s">
        <v>1301</v>
      </c>
      <c r="J2166" s="39" t="s">
        <v>286</v>
      </c>
      <c r="K2166" s="38"/>
      <c r="L2166" s="38"/>
    </row>
    <row r="2167" ht="22.5" customHeight="1">
      <c r="A2167" s="36" t="s">
        <v>5019</v>
      </c>
      <c r="B2167" s="36" t="s">
        <v>5020</v>
      </c>
      <c r="C2167" s="36" t="s">
        <v>1495</v>
      </c>
      <c r="D2167" s="36" t="s">
        <v>1496</v>
      </c>
      <c r="E2167" s="36" t="s">
        <v>287</v>
      </c>
      <c r="F2167" s="36" t="s">
        <v>286</v>
      </c>
      <c r="G2167" s="36" t="s">
        <v>411</v>
      </c>
      <c r="H2167" s="37">
        <v>50.25</v>
      </c>
      <c r="I2167" s="36" t="s">
        <v>1301</v>
      </c>
      <c r="J2167" s="39" t="s">
        <v>286</v>
      </c>
      <c r="K2167" s="38"/>
      <c r="L2167" s="38"/>
    </row>
    <row r="2168" ht="22.5" customHeight="1">
      <c r="A2168" s="36" t="s">
        <v>5021</v>
      </c>
      <c r="B2168" s="36" t="s">
        <v>5022</v>
      </c>
      <c r="C2168" s="36" t="s">
        <v>1495</v>
      </c>
      <c r="D2168" s="36" t="s">
        <v>1496</v>
      </c>
      <c r="E2168" s="36" t="s">
        <v>287</v>
      </c>
      <c r="F2168" s="36" t="s">
        <v>286</v>
      </c>
      <c r="G2168" s="36" t="s">
        <v>411</v>
      </c>
      <c r="H2168" s="37">
        <v>7.57</v>
      </c>
      <c r="I2168" s="36" t="s">
        <v>1301</v>
      </c>
      <c r="J2168" s="39" t="s">
        <v>286</v>
      </c>
      <c r="K2168" s="38"/>
      <c r="L2168" s="38"/>
    </row>
    <row r="2169" ht="22.5" customHeight="1">
      <c r="A2169" s="36" t="s">
        <v>5023</v>
      </c>
      <c r="B2169" s="36" t="s">
        <v>5024</v>
      </c>
      <c r="C2169" s="36" t="s">
        <v>1495</v>
      </c>
      <c r="D2169" s="36" t="s">
        <v>1496</v>
      </c>
      <c r="E2169" s="36" t="s">
        <v>287</v>
      </c>
      <c r="F2169" s="36" t="s">
        <v>286</v>
      </c>
      <c r="G2169" s="36" t="s">
        <v>411</v>
      </c>
      <c r="H2169" s="37">
        <v>8.14</v>
      </c>
      <c r="I2169" s="36" t="s">
        <v>1301</v>
      </c>
      <c r="J2169" s="39" t="s">
        <v>286</v>
      </c>
      <c r="K2169" s="38"/>
      <c r="L2169" s="38"/>
    </row>
    <row r="2170" ht="22.5" customHeight="1">
      <c r="A2170" s="36" t="s">
        <v>5025</v>
      </c>
      <c r="B2170" s="36" t="s">
        <v>5026</v>
      </c>
      <c r="C2170" s="36" t="s">
        <v>1495</v>
      </c>
      <c r="D2170" s="36" t="s">
        <v>1496</v>
      </c>
      <c r="E2170" s="36" t="s">
        <v>287</v>
      </c>
      <c r="F2170" s="36" t="s">
        <v>286</v>
      </c>
      <c r="G2170" s="36" t="s">
        <v>411</v>
      </c>
      <c r="H2170" s="37">
        <v>7.65</v>
      </c>
      <c r="I2170" s="36" t="s">
        <v>1301</v>
      </c>
      <c r="J2170" s="39" t="s">
        <v>286</v>
      </c>
      <c r="K2170" s="38"/>
      <c r="L2170" s="38"/>
    </row>
    <row r="2171" ht="22.5" customHeight="1">
      <c r="A2171" s="36" t="s">
        <v>5027</v>
      </c>
      <c r="B2171" s="36" t="s">
        <v>5028</v>
      </c>
      <c r="C2171" s="36" t="s">
        <v>1495</v>
      </c>
      <c r="D2171" s="36" t="s">
        <v>1496</v>
      </c>
      <c r="E2171" s="36" t="s">
        <v>287</v>
      </c>
      <c r="F2171" s="36" t="s">
        <v>286</v>
      </c>
      <c r="G2171" s="36" t="s">
        <v>411</v>
      </c>
      <c r="H2171" s="37">
        <v>9.26</v>
      </c>
      <c r="I2171" s="36" t="s">
        <v>1301</v>
      </c>
      <c r="J2171" s="39" t="s">
        <v>286</v>
      </c>
      <c r="K2171" s="38"/>
      <c r="L2171" s="38"/>
    </row>
    <row r="2172" ht="22.5" customHeight="1">
      <c r="A2172" s="36" t="s">
        <v>5029</v>
      </c>
      <c r="B2172" s="36" t="s">
        <v>5030</v>
      </c>
      <c r="C2172" s="36" t="s">
        <v>1495</v>
      </c>
      <c r="D2172" s="36" t="s">
        <v>1496</v>
      </c>
      <c r="E2172" s="36" t="s">
        <v>287</v>
      </c>
      <c r="F2172" s="36" t="s">
        <v>286</v>
      </c>
      <c r="G2172" s="36" t="s">
        <v>411</v>
      </c>
      <c r="H2172" s="37">
        <v>9.26</v>
      </c>
      <c r="I2172" s="36" t="s">
        <v>1301</v>
      </c>
      <c r="J2172" s="39" t="s">
        <v>286</v>
      </c>
      <c r="K2172" s="38"/>
      <c r="L2172" s="38"/>
    </row>
    <row r="2173" ht="22.5" customHeight="1">
      <c r="A2173" s="36" t="s">
        <v>5031</v>
      </c>
      <c r="B2173" s="36" t="s">
        <v>5032</v>
      </c>
      <c r="C2173" s="36" t="s">
        <v>1495</v>
      </c>
      <c r="D2173" s="36" t="s">
        <v>1496</v>
      </c>
      <c r="E2173" s="36" t="s">
        <v>287</v>
      </c>
      <c r="F2173" s="36" t="s">
        <v>286</v>
      </c>
      <c r="G2173" s="36" t="s">
        <v>411</v>
      </c>
      <c r="H2173" s="37">
        <v>2.19</v>
      </c>
      <c r="I2173" s="36" t="s">
        <v>1301</v>
      </c>
      <c r="J2173" s="39" t="s">
        <v>286</v>
      </c>
      <c r="K2173" s="38"/>
      <c r="L2173" s="38"/>
    </row>
    <row r="2174" ht="22.5" customHeight="1">
      <c r="A2174" s="36" t="s">
        <v>5033</v>
      </c>
      <c r="B2174" s="36" t="s">
        <v>5034</v>
      </c>
      <c r="C2174" s="36" t="s">
        <v>1495</v>
      </c>
      <c r="D2174" s="36" t="s">
        <v>1496</v>
      </c>
      <c r="E2174" s="36" t="s">
        <v>287</v>
      </c>
      <c r="F2174" s="36" t="s">
        <v>286</v>
      </c>
      <c r="G2174" s="36" t="s">
        <v>411</v>
      </c>
      <c r="H2174" s="37">
        <v>4.06</v>
      </c>
      <c r="I2174" s="36" t="s">
        <v>1301</v>
      </c>
      <c r="J2174" s="39" t="s">
        <v>286</v>
      </c>
      <c r="K2174" s="38"/>
      <c r="L2174" s="38"/>
    </row>
    <row r="2175" ht="22.5" customHeight="1">
      <c r="A2175" s="36" t="s">
        <v>5035</v>
      </c>
      <c r="B2175" s="36" t="s">
        <v>5036</v>
      </c>
      <c r="C2175" s="36" t="s">
        <v>1495</v>
      </c>
      <c r="D2175" s="36" t="s">
        <v>1496</v>
      </c>
      <c r="E2175" s="36" t="s">
        <v>287</v>
      </c>
      <c r="F2175" s="36" t="s">
        <v>286</v>
      </c>
      <c r="G2175" s="36" t="s">
        <v>411</v>
      </c>
      <c r="H2175" s="37">
        <v>0.72</v>
      </c>
      <c r="I2175" s="36" t="s">
        <v>1301</v>
      </c>
      <c r="J2175" s="39" t="s">
        <v>286</v>
      </c>
      <c r="K2175" s="38"/>
      <c r="L2175" s="38"/>
    </row>
    <row r="2176" ht="22.5" customHeight="1">
      <c r="A2176" s="36" t="s">
        <v>5037</v>
      </c>
      <c r="B2176" s="36" t="s">
        <v>5038</v>
      </c>
      <c r="C2176" s="36" t="s">
        <v>1495</v>
      </c>
      <c r="D2176" s="36" t="s">
        <v>1496</v>
      </c>
      <c r="E2176" s="36" t="s">
        <v>287</v>
      </c>
      <c r="F2176" s="36" t="s">
        <v>286</v>
      </c>
      <c r="G2176" s="36" t="s">
        <v>411</v>
      </c>
      <c r="H2176" s="37">
        <v>0.94</v>
      </c>
      <c r="I2176" s="36" t="s">
        <v>1301</v>
      </c>
      <c r="J2176" s="39" t="s">
        <v>286</v>
      </c>
      <c r="K2176" s="38"/>
      <c r="L2176" s="38"/>
    </row>
    <row r="2177" ht="22.5" customHeight="1">
      <c r="A2177" s="36" t="s">
        <v>5039</v>
      </c>
      <c r="B2177" s="36" t="s">
        <v>5040</v>
      </c>
      <c r="C2177" s="36" t="s">
        <v>1495</v>
      </c>
      <c r="D2177" s="36" t="s">
        <v>1496</v>
      </c>
      <c r="E2177" s="36" t="s">
        <v>287</v>
      </c>
      <c r="F2177" s="36" t="s">
        <v>286</v>
      </c>
      <c r="G2177" s="36" t="s">
        <v>411</v>
      </c>
      <c r="H2177" s="37">
        <v>1.12</v>
      </c>
      <c r="I2177" s="36" t="s">
        <v>1301</v>
      </c>
      <c r="J2177" s="39" t="s">
        <v>286</v>
      </c>
      <c r="K2177" s="38"/>
      <c r="L2177" s="38"/>
    </row>
    <row r="2178" ht="22.5" customHeight="1">
      <c r="A2178" s="36" t="s">
        <v>5041</v>
      </c>
      <c r="B2178" s="36" t="s">
        <v>5042</v>
      </c>
      <c r="C2178" s="36" t="s">
        <v>1495</v>
      </c>
      <c r="D2178" s="36" t="s">
        <v>1496</v>
      </c>
      <c r="E2178" s="36" t="s">
        <v>287</v>
      </c>
      <c r="F2178" s="36" t="s">
        <v>286</v>
      </c>
      <c r="G2178" s="36" t="s">
        <v>411</v>
      </c>
      <c r="H2178" s="37">
        <v>74.87</v>
      </c>
      <c r="I2178" s="36" t="s">
        <v>1301</v>
      </c>
      <c r="J2178" s="39" t="s">
        <v>286</v>
      </c>
      <c r="K2178" s="38"/>
      <c r="L2178" s="38"/>
    </row>
    <row r="2179" ht="22.5" customHeight="1">
      <c r="A2179" s="36" t="s">
        <v>5043</v>
      </c>
      <c r="B2179" s="36" t="s">
        <v>5044</v>
      </c>
      <c r="C2179" s="36" t="s">
        <v>1495</v>
      </c>
      <c r="D2179" s="36" t="s">
        <v>1496</v>
      </c>
      <c r="E2179" s="36" t="s">
        <v>287</v>
      </c>
      <c r="F2179" s="36" t="s">
        <v>286</v>
      </c>
      <c r="G2179" s="36" t="s">
        <v>411</v>
      </c>
      <c r="H2179" s="37">
        <v>76.75</v>
      </c>
      <c r="I2179" s="36" t="s">
        <v>1301</v>
      </c>
      <c r="J2179" s="39" t="s">
        <v>286</v>
      </c>
      <c r="K2179" s="38"/>
      <c r="L2179" s="38"/>
    </row>
    <row r="2180" ht="22.5" customHeight="1">
      <c r="A2180" s="36" t="s">
        <v>5045</v>
      </c>
      <c r="B2180" s="36" t="s">
        <v>5046</v>
      </c>
      <c r="C2180" s="36" t="s">
        <v>1495</v>
      </c>
      <c r="D2180" s="36" t="s">
        <v>1496</v>
      </c>
      <c r="E2180" s="36" t="s">
        <v>287</v>
      </c>
      <c r="F2180" s="36" t="s">
        <v>286</v>
      </c>
      <c r="G2180" s="36" t="s">
        <v>411</v>
      </c>
      <c r="H2180" s="37">
        <v>3.78</v>
      </c>
      <c r="I2180" s="36" t="s">
        <v>1301</v>
      </c>
      <c r="J2180" s="39" t="s">
        <v>286</v>
      </c>
      <c r="K2180" s="38"/>
      <c r="L2180" s="38"/>
    </row>
    <row r="2181" ht="22.5" customHeight="1">
      <c r="A2181" s="36" t="s">
        <v>5047</v>
      </c>
      <c r="B2181" s="36" t="s">
        <v>5048</v>
      </c>
      <c r="C2181" s="36" t="s">
        <v>1495</v>
      </c>
      <c r="D2181" s="36" t="s">
        <v>1496</v>
      </c>
      <c r="E2181" s="36" t="s">
        <v>287</v>
      </c>
      <c r="F2181" s="36" t="s">
        <v>286</v>
      </c>
      <c r="G2181" s="36" t="s">
        <v>411</v>
      </c>
      <c r="H2181" s="37">
        <v>73.21</v>
      </c>
      <c r="I2181" s="36" t="s">
        <v>1301</v>
      </c>
      <c r="J2181" s="39" t="s">
        <v>286</v>
      </c>
      <c r="K2181" s="38"/>
      <c r="L2181" s="38"/>
    </row>
    <row r="2182" ht="22.5" customHeight="1">
      <c r="A2182" s="36" t="s">
        <v>5049</v>
      </c>
      <c r="B2182" s="36" t="s">
        <v>5050</v>
      </c>
      <c r="C2182" s="36" t="s">
        <v>1495</v>
      </c>
      <c r="D2182" s="36" t="s">
        <v>1496</v>
      </c>
      <c r="E2182" s="36" t="s">
        <v>287</v>
      </c>
      <c r="F2182" s="36" t="s">
        <v>286</v>
      </c>
      <c r="G2182" s="36" t="s">
        <v>411</v>
      </c>
      <c r="H2182" s="37">
        <v>150.0</v>
      </c>
      <c r="I2182" s="36" t="s">
        <v>1301</v>
      </c>
      <c r="J2182" s="39" t="s">
        <v>286</v>
      </c>
      <c r="K2182" s="38"/>
      <c r="L2182" s="38"/>
    </row>
    <row r="2183" ht="22.5" customHeight="1">
      <c r="A2183" s="36" t="s">
        <v>5051</v>
      </c>
      <c r="B2183" s="36" t="s">
        <v>5052</v>
      </c>
      <c r="C2183" s="36" t="s">
        <v>1495</v>
      </c>
      <c r="D2183" s="36" t="s">
        <v>1496</v>
      </c>
      <c r="E2183" s="36" t="s">
        <v>287</v>
      </c>
      <c r="F2183" s="36" t="s">
        <v>286</v>
      </c>
      <c r="G2183" s="36" t="s">
        <v>411</v>
      </c>
      <c r="H2183" s="37">
        <v>17.54</v>
      </c>
      <c r="I2183" s="36" t="s">
        <v>1301</v>
      </c>
      <c r="J2183" s="39" t="s">
        <v>286</v>
      </c>
      <c r="K2183" s="38"/>
      <c r="L2183" s="38"/>
    </row>
    <row r="2184" ht="22.5" customHeight="1">
      <c r="A2184" s="36" t="s">
        <v>5053</v>
      </c>
      <c r="B2184" s="36" t="s">
        <v>5054</v>
      </c>
      <c r="C2184" s="36" t="s">
        <v>1495</v>
      </c>
      <c r="D2184" s="36" t="s">
        <v>1496</v>
      </c>
      <c r="E2184" s="36" t="s">
        <v>287</v>
      </c>
      <c r="F2184" s="36" t="s">
        <v>286</v>
      </c>
      <c r="G2184" s="36" t="s">
        <v>411</v>
      </c>
      <c r="H2184" s="37">
        <v>12.0</v>
      </c>
      <c r="I2184" s="36" t="s">
        <v>1301</v>
      </c>
      <c r="J2184" s="39" t="s">
        <v>286</v>
      </c>
      <c r="K2184" s="38"/>
      <c r="L2184" s="38"/>
    </row>
    <row r="2185" ht="22.5" customHeight="1">
      <c r="A2185" s="36" t="s">
        <v>5055</v>
      </c>
      <c r="B2185" s="36" t="s">
        <v>5056</v>
      </c>
      <c r="C2185" s="36" t="s">
        <v>1495</v>
      </c>
      <c r="D2185" s="36" t="s">
        <v>1496</v>
      </c>
      <c r="E2185" s="36" t="s">
        <v>287</v>
      </c>
      <c r="F2185" s="36" t="s">
        <v>286</v>
      </c>
      <c r="G2185" s="36" t="s">
        <v>411</v>
      </c>
      <c r="H2185" s="37">
        <v>63.28</v>
      </c>
      <c r="I2185" s="36" t="s">
        <v>1301</v>
      </c>
      <c r="J2185" s="39" t="s">
        <v>286</v>
      </c>
      <c r="K2185" s="38"/>
      <c r="L2185" s="38"/>
    </row>
    <row r="2186" ht="22.5" customHeight="1">
      <c r="A2186" s="36" t="s">
        <v>5057</v>
      </c>
      <c r="B2186" s="36" t="s">
        <v>5058</v>
      </c>
      <c r="C2186" s="36" t="s">
        <v>1495</v>
      </c>
      <c r="D2186" s="36" t="s">
        <v>1496</v>
      </c>
      <c r="E2186" s="36" t="s">
        <v>287</v>
      </c>
      <c r="F2186" s="36" t="s">
        <v>286</v>
      </c>
      <c r="G2186" s="36" t="s">
        <v>411</v>
      </c>
      <c r="H2186" s="37">
        <v>4.65</v>
      </c>
      <c r="I2186" s="36" t="s">
        <v>1301</v>
      </c>
      <c r="J2186" s="39" t="s">
        <v>286</v>
      </c>
      <c r="K2186" s="38"/>
      <c r="L2186" s="38"/>
    </row>
    <row r="2187" ht="22.5" customHeight="1">
      <c r="A2187" s="36" t="s">
        <v>5059</v>
      </c>
      <c r="B2187" s="36" t="s">
        <v>5060</v>
      </c>
      <c r="C2187" s="36" t="s">
        <v>1495</v>
      </c>
      <c r="D2187" s="36" t="s">
        <v>1496</v>
      </c>
      <c r="E2187" s="36" t="s">
        <v>287</v>
      </c>
      <c r="F2187" s="36" t="s">
        <v>286</v>
      </c>
      <c r="G2187" s="36" t="s">
        <v>411</v>
      </c>
      <c r="H2187" s="37">
        <v>36.08</v>
      </c>
      <c r="I2187" s="36" t="s">
        <v>1301</v>
      </c>
      <c r="J2187" s="39" t="s">
        <v>286</v>
      </c>
      <c r="K2187" s="38"/>
      <c r="L2187" s="38"/>
    </row>
    <row r="2188" ht="22.5" customHeight="1">
      <c r="A2188" s="36" t="s">
        <v>5061</v>
      </c>
      <c r="B2188" s="36" t="s">
        <v>5062</v>
      </c>
      <c r="C2188" s="36" t="s">
        <v>1495</v>
      </c>
      <c r="D2188" s="36" t="s">
        <v>1496</v>
      </c>
      <c r="E2188" s="36" t="s">
        <v>287</v>
      </c>
      <c r="F2188" s="36" t="s">
        <v>286</v>
      </c>
      <c r="G2188" s="36" t="s">
        <v>411</v>
      </c>
      <c r="H2188" s="37">
        <v>36.56</v>
      </c>
      <c r="I2188" s="36" t="s">
        <v>1301</v>
      </c>
      <c r="J2188" s="39" t="s">
        <v>286</v>
      </c>
      <c r="K2188" s="38"/>
      <c r="L2188" s="38"/>
    </row>
    <row r="2189" ht="22.5" customHeight="1">
      <c r="A2189" s="36" t="s">
        <v>5063</v>
      </c>
      <c r="B2189" s="36" t="s">
        <v>5064</v>
      </c>
      <c r="C2189" s="36" t="s">
        <v>1495</v>
      </c>
      <c r="D2189" s="36" t="s">
        <v>1496</v>
      </c>
      <c r="E2189" s="36" t="s">
        <v>287</v>
      </c>
      <c r="F2189" s="36" t="s">
        <v>286</v>
      </c>
      <c r="G2189" s="36" t="s">
        <v>411</v>
      </c>
      <c r="H2189" s="37">
        <v>37.5</v>
      </c>
      <c r="I2189" s="36" t="s">
        <v>1301</v>
      </c>
      <c r="J2189" s="39" t="s">
        <v>286</v>
      </c>
      <c r="K2189" s="38"/>
      <c r="L2189" s="38"/>
    </row>
    <row r="2190" ht="22.5" customHeight="1">
      <c r="A2190" s="36" t="s">
        <v>5065</v>
      </c>
      <c r="B2190" s="36" t="s">
        <v>5066</v>
      </c>
      <c r="C2190" s="36" t="s">
        <v>1495</v>
      </c>
      <c r="D2190" s="36" t="s">
        <v>1496</v>
      </c>
      <c r="E2190" s="36" t="s">
        <v>287</v>
      </c>
      <c r="F2190" s="36" t="s">
        <v>286</v>
      </c>
      <c r="G2190" s="36" t="s">
        <v>411</v>
      </c>
      <c r="H2190" s="37">
        <v>69.41</v>
      </c>
      <c r="I2190" s="36" t="s">
        <v>1301</v>
      </c>
      <c r="J2190" s="39" t="s">
        <v>286</v>
      </c>
      <c r="K2190" s="38"/>
      <c r="L2190" s="38"/>
    </row>
    <row r="2191" ht="22.5" customHeight="1">
      <c r="A2191" s="36" t="s">
        <v>5067</v>
      </c>
      <c r="B2191" s="36" t="s">
        <v>5068</v>
      </c>
      <c r="C2191" s="36" t="s">
        <v>1495</v>
      </c>
      <c r="D2191" s="36" t="s">
        <v>1496</v>
      </c>
      <c r="E2191" s="36" t="s">
        <v>287</v>
      </c>
      <c r="F2191" s="36" t="s">
        <v>286</v>
      </c>
      <c r="G2191" s="36" t="s">
        <v>411</v>
      </c>
      <c r="H2191" s="37">
        <v>69.22</v>
      </c>
      <c r="I2191" s="36" t="s">
        <v>1301</v>
      </c>
      <c r="J2191" s="39" t="s">
        <v>286</v>
      </c>
      <c r="K2191" s="38"/>
      <c r="L2191" s="38"/>
    </row>
    <row r="2192" ht="22.5" customHeight="1">
      <c r="A2192" s="36" t="s">
        <v>5069</v>
      </c>
      <c r="B2192" s="36" t="s">
        <v>5070</v>
      </c>
      <c r="C2192" s="36" t="s">
        <v>1495</v>
      </c>
      <c r="D2192" s="36" t="s">
        <v>1496</v>
      </c>
      <c r="E2192" s="36" t="s">
        <v>287</v>
      </c>
      <c r="F2192" s="36" t="s">
        <v>286</v>
      </c>
      <c r="G2192" s="36" t="s">
        <v>411</v>
      </c>
      <c r="H2192" s="37">
        <v>62.11</v>
      </c>
      <c r="I2192" s="36" t="s">
        <v>1301</v>
      </c>
      <c r="J2192" s="39" t="s">
        <v>286</v>
      </c>
      <c r="K2192" s="38"/>
      <c r="L2192" s="38"/>
    </row>
    <row r="2193" ht="22.5" customHeight="1">
      <c r="A2193" s="36" t="s">
        <v>5071</v>
      </c>
      <c r="B2193" s="36" t="s">
        <v>5072</v>
      </c>
      <c r="C2193" s="36" t="s">
        <v>1495</v>
      </c>
      <c r="D2193" s="36" t="s">
        <v>1496</v>
      </c>
      <c r="E2193" s="36" t="s">
        <v>287</v>
      </c>
      <c r="F2193" s="36" t="s">
        <v>286</v>
      </c>
      <c r="G2193" s="36" t="s">
        <v>411</v>
      </c>
      <c r="H2193" s="37">
        <v>22.06</v>
      </c>
      <c r="I2193" s="36" t="s">
        <v>1301</v>
      </c>
      <c r="J2193" s="39" t="s">
        <v>286</v>
      </c>
      <c r="K2193" s="38"/>
      <c r="L2193" s="38"/>
    </row>
    <row r="2194" ht="22.5" customHeight="1">
      <c r="A2194" s="36" t="s">
        <v>5073</v>
      </c>
      <c r="B2194" s="36" t="s">
        <v>5074</v>
      </c>
      <c r="C2194" s="36" t="s">
        <v>1495</v>
      </c>
      <c r="D2194" s="36" t="s">
        <v>1496</v>
      </c>
      <c r="E2194" s="36" t="s">
        <v>287</v>
      </c>
      <c r="F2194" s="36" t="s">
        <v>286</v>
      </c>
      <c r="G2194" s="36" t="s">
        <v>411</v>
      </c>
      <c r="H2194" s="37">
        <v>20.64</v>
      </c>
      <c r="I2194" s="36" t="s">
        <v>1301</v>
      </c>
      <c r="J2194" s="39" t="s">
        <v>286</v>
      </c>
      <c r="K2194" s="38"/>
      <c r="L2194" s="38"/>
    </row>
    <row r="2195" ht="22.5" customHeight="1">
      <c r="A2195" s="36" t="s">
        <v>5075</v>
      </c>
      <c r="B2195" s="36" t="s">
        <v>5076</v>
      </c>
      <c r="C2195" s="36" t="s">
        <v>1495</v>
      </c>
      <c r="D2195" s="36" t="s">
        <v>1496</v>
      </c>
      <c r="E2195" s="36" t="s">
        <v>287</v>
      </c>
      <c r="F2195" s="36" t="s">
        <v>286</v>
      </c>
      <c r="G2195" s="36" t="s">
        <v>411</v>
      </c>
      <c r="H2195" s="37">
        <v>26.49</v>
      </c>
      <c r="I2195" s="36" t="s">
        <v>1301</v>
      </c>
      <c r="J2195" s="39" t="s">
        <v>286</v>
      </c>
      <c r="K2195" s="38"/>
      <c r="L2195" s="38"/>
    </row>
    <row r="2196" ht="22.5" customHeight="1">
      <c r="A2196" s="36" t="s">
        <v>5077</v>
      </c>
      <c r="B2196" s="36" t="s">
        <v>5078</v>
      </c>
      <c r="C2196" s="36" t="s">
        <v>1495</v>
      </c>
      <c r="D2196" s="36" t="s">
        <v>1496</v>
      </c>
      <c r="E2196" s="36" t="s">
        <v>287</v>
      </c>
      <c r="F2196" s="36" t="s">
        <v>286</v>
      </c>
      <c r="G2196" s="36" t="s">
        <v>411</v>
      </c>
      <c r="H2196" s="37">
        <v>70.72</v>
      </c>
      <c r="I2196" s="36" t="s">
        <v>1301</v>
      </c>
      <c r="J2196" s="39" t="s">
        <v>286</v>
      </c>
      <c r="K2196" s="38"/>
      <c r="L2196" s="38"/>
    </row>
    <row r="2197" ht="22.5" customHeight="1">
      <c r="A2197" s="36" t="s">
        <v>5079</v>
      </c>
      <c r="B2197" s="36" t="s">
        <v>5080</v>
      </c>
      <c r="C2197" s="36" t="s">
        <v>1495</v>
      </c>
      <c r="D2197" s="36" t="s">
        <v>1496</v>
      </c>
      <c r="E2197" s="36" t="s">
        <v>287</v>
      </c>
      <c r="F2197" s="36" t="s">
        <v>286</v>
      </c>
      <c r="G2197" s="36" t="s">
        <v>411</v>
      </c>
      <c r="H2197" s="37">
        <v>45.0</v>
      </c>
      <c r="I2197" s="36" t="s">
        <v>1301</v>
      </c>
      <c r="J2197" s="39" t="s">
        <v>286</v>
      </c>
      <c r="K2197" s="38"/>
      <c r="L2197" s="38"/>
    </row>
    <row r="2198" ht="22.5" customHeight="1">
      <c r="A2198" s="36" t="s">
        <v>5081</v>
      </c>
      <c r="B2198" s="36" t="s">
        <v>5082</v>
      </c>
      <c r="C2198" s="36" t="s">
        <v>1495</v>
      </c>
      <c r="D2198" s="36" t="s">
        <v>1496</v>
      </c>
      <c r="E2198" s="36" t="s">
        <v>287</v>
      </c>
      <c r="F2198" s="36" t="s">
        <v>286</v>
      </c>
      <c r="G2198" s="36" t="s">
        <v>411</v>
      </c>
      <c r="H2198" s="37">
        <v>97.94</v>
      </c>
      <c r="I2198" s="36" t="s">
        <v>1301</v>
      </c>
      <c r="J2198" s="39" t="s">
        <v>286</v>
      </c>
      <c r="K2198" s="38"/>
      <c r="L2198" s="38"/>
    </row>
    <row r="2199" ht="22.5" customHeight="1">
      <c r="A2199" s="36" t="s">
        <v>5083</v>
      </c>
      <c r="B2199" s="36" t="s">
        <v>5084</v>
      </c>
      <c r="C2199" s="36" t="s">
        <v>1495</v>
      </c>
      <c r="D2199" s="36" t="s">
        <v>1496</v>
      </c>
      <c r="E2199" s="36" t="s">
        <v>287</v>
      </c>
      <c r="F2199" s="36" t="s">
        <v>286</v>
      </c>
      <c r="G2199" s="36" t="s">
        <v>411</v>
      </c>
      <c r="H2199" s="37">
        <v>250.0</v>
      </c>
      <c r="I2199" s="36" t="s">
        <v>1301</v>
      </c>
      <c r="J2199" s="39" t="s">
        <v>286</v>
      </c>
      <c r="K2199" s="38"/>
      <c r="L2199" s="38"/>
    </row>
    <row r="2200" ht="22.5" customHeight="1">
      <c r="A2200" s="36" t="s">
        <v>5085</v>
      </c>
      <c r="B2200" s="36" t="s">
        <v>5086</v>
      </c>
      <c r="C2200" s="36" t="s">
        <v>1495</v>
      </c>
      <c r="D2200" s="36" t="s">
        <v>1496</v>
      </c>
      <c r="E2200" s="36" t="s">
        <v>287</v>
      </c>
      <c r="F2200" s="36" t="s">
        <v>286</v>
      </c>
      <c r="G2200" s="36" t="s">
        <v>411</v>
      </c>
      <c r="H2200" s="37">
        <v>87.35</v>
      </c>
      <c r="I2200" s="36" t="s">
        <v>1301</v>
      </c>
      <c r="J2200" s="39" t="s">
        <v>286</v>
      </c>
      <c r="K2200" s="38"/>
      <c r="L2200" s="38"/>
    </row>
    <row r="2201" ht="22.5" customHeight="1">
      <c r="A2201" s="36" t="s">
        <v>5087</v>
      </c>
      <c r="B2201" s="36" t="s">
        <v>5088</v>
      </c>
      <c r="C2201" s="36" t="s">
        <v>1495</v>
      </c>
      <c r="D2201" s="36" t="s">
        <v>1496</v>
      </c>
      <c r="E2201" s="36" t="s">
        <v>287</v>
      </c>
      <c r="F2201" s="36" t="s">
        <v>286</v>
      </c>
      <c r="G2201" s="36" t="s">
        <v>411</v>
      </c>
      <c r="H2201" s="37">
        <v>44.65</v>
      </c>
      <c r="I2201" s="36" t="s">
        <v>1301</v>
      </c>
      <c r="J2201" s="39" t="s">
        <v>286</v>
      </c>
      <c r="K2201" s="38"/>
      <c r="L2201" s="38"/>
    </row>
    <row r="2202" ht="22.5" customHeight="1">
      <c r="A2202" s="36" t="s">
        <v>5089</v>
      </c>
      <c r="B2202" s="36" t="s">
        <v>5090</v>
      </c>
      <c r="C2202" s="36" t="s">
        <v>1495</v>
      </c>
      <c r="D2202" s="36" t="s">
        <v>1496</v>
      </c>
      <c r="E2202" s="36" t="s">
        <v>287</v>
      </c>
      <c r="F2202" s="36" t="s">
        <v>286</v>
      </c>
      <c r="G2202" s="36" t="s">
        <v>411</v>
      </c>
      <c r="H2202" s="37">
        <v>109.62</v>
      </c>
      <c r="I2202" s="36" t="s">
        <v>1301</v>
      </c>
      <c r="J2202" s="39" t="s">
        <v>286</v>
      </c>
      <c r="K2202" s="38"/>
      <c r="L2202" s="38"/>
    </row>
    <row r="2203" ht="22.5" customHeight="1">
      <c r="A2203" s="36" t="s">
        <v>5091</v>
      </c>
      <c r="B2203" s="36" t="s">
        <v>5092</v>
      </c>
      <c r="C2203" s="36" t="s">
        <v>1495</v>
      </c>
      <c r="D2203" s="36" t="s">
        <v>1496</v>
      </c>
      <c r="E2203" s="36" t="s">
        <v>287</v>
      </c>
      <c r="F2203" s="36" t="s">
        <v>286</v>
      </c>
      <c r="G2203" s="36" t="s">
        <v>411</v>
      </c>
      <c r="H2203" s="37">
        <v>7.73</v>
      </c>
      <c r="I2203" s="36" t="s">
        <v>1301</v>
      </c>
      <c r="J2203" s="39" t="s">
        <v>286</v>
      </c>
      <c r="K2203" s="38"/>
      <c r="L2203" s="38"/>
    </row>
    <row r="2204" ht="22.5" customHeight="1">
      <c r="A2204" s="36" t="s">
        <v>5093</v>
      </c>
      <c r="B2204" s="36" t="s">
        <v>5094</v>
      </c>
      <c r="C2204" s="36" t="s">
        <v>1495</v>
      </c>
      <c r="D2204" s="36" t="s">
        <v>1496</v>
      </c>
      <c r="E2204" s="36" t="s">
        <v>287</v>
      </c>
      <c r="F2204" s="36" t="s">
        <v>286</v>
      </c>
      <c r="G2204" s="36" t="s">
        <v>411</v>
      </c>
      <c r="H2204" s="37">
        <v>91.6</v>
      </c>
      <c r="I2204" s="36" t="s">
        <v>1301</v>
      </c>
      <c r="J2204" s="39" t="s">
        <v>286</v>
      </c>
      <c r="K2204" s="38"/>
      <c r="L2204" s="38"/>
    </row>
    <row r="2205" ht="22.5" customHeight="1">
      <c r="A2205" s="36" t="s">
        <v>5095</v>
      </c>
      <c r="B2205" s="36" t="s">
        <v>5096</v>
      </c>
      <c r="C2205" s="36" t="s">
        <v>1495</v>
      </c>
      <c r="D2205" s="36" t="s">
        <v>1496</v>
      </c>
      <c r="E2205" s="36" t="s">
        <v>287</v>
      </c>
      <c r="F2205" s="36" t="s">
        <v>286</v>
      </c>
      <c r="G2205" s="36" t="s">
        <v>411</v>
      </c>
      <c r="H2205" s="37">
        <v>103.21</v>
      </c>
      <c r="I2205" s="36" t="s">
        <v>1301</v>
      </c>
      <c r="J2205" s="39" t="s">
        <v>286</v>
      </c>
      <c r="K2205" s="38"/>
      <c r="L2205" s="38"/>
    </row>
    <row r="2206" ht="22.5" customHeight="1">
      <c r="A2206" s="36" t="s">
        <v>5097</v>
      </c>
      <c r="B2206" s="36" t="s">
        <v>5098</v>
      </c>
      <c r="C2206" s="36" t="s">
        <v>1495</v>
      </c>
      <c r="D2206" s="36" t="s">
        <v>1496</v>
      </c>
      <c r="E2206" s="36" t="s">
        <v>287</v>
      </c>
      <c r="F2206" s="36" t="s">
        <v>286</v>
      </c>
      <c r="G2206" s="36" t="s">
        <v>411</v>
      </c>
      <c r="H2206" s="37">
        <v>15.59</v>
      </c>
      <c r="I2206" s="36" t="s">
        <v>1301</v>
      </c>
      <c r="J2206" s="39" t="s">
        <v>286</v>
      </c>
      <c r="K2206" s="38"/>
      <c r="L2206" s="38"/>
    </row>
    <row r="2207" ht="22.5" customHeight="1">
      <c r="A2207" s="36" t="s">
        <v>5099</v>
      </c>
      <c r="B2207" s="36" t="s">
        <v>5100</v>
      </c>
      <c r="C2207" s="36" t="s">
        <v>1495</v>
      </c>
      <c r="D2207" s="36" t="s">
        <v>1496</v>
      </c>
      <c r="E2207" s="36" t="s">
        <v>287</v>
      </c>
      <c r="F2207" s="36" t="s">
        <v>286</v>
      </c>
      <c r="G2207" s="36" t="s">
        <v>411</v>
      </c>
      <c r="H2207" s="37">
        <v>26.2</v>
      </c>
      <c r="I2207" s="36" t="s">
        <v>1301</v>
      </c>
      <c r="J2207" s="39" t="s">
        <v>286</v>
      </c>
      <c r="K2207" s="38"/>
      <c r="L2207" s="38"/>
    </row>
    <row r="2208" ht="22.5" customHeight="1">
      <c r="A2208" s="36" t="s">
        <v>5101</v>
      </c>
      <c r="B2208" s="36" t="s">
        <v>5102</v>
      </c>
      <c r="C2208" s="36" t="s">
        <v>1495</v>
      </c>
      <c r="D2208" s="36" t="s">
        <v>1496</v>
      </c>
      <c r="E2208" s="36" t="s">
        <v>287</v>
      </c>
      <c r="F2208" s="36" t="s">
        <v>286</v>
      </c>
      <c r="G2208" s="36" t="s">
        <v>411</v>
      </c>
      <c r="H2208" s="37">
        <v>26.52</v>
      </c>
      <c r="I2208" s="36" t="s">
        <v>1301</v>
      </c>
      <c r="J2208" s="39" t="s">
        <v>286</v>
      </c>
      <c r="K2208" s="38"/>
      <c r="L2208" s="38"/>
    </row>
    <row r="2209" ht="22.5" customHeight="1">
      <c r="A2209" s="36" t="s">
        <v>5103</v>
      </c>
      <c r="B2209" s="36" t="s">
        <v>5104</v>
      </c>
      <c r="C2209" s="36" t="s">
        <v>1495</v>
      </c>
      <c r="D2209" s="36" t="s">
        <v>1496</v>
      </c>
      <c r="E2209" s="36" t="s">
        <v>287</v>
      </c>
      <c r="F2209" s="36" t="s">
        <v>286</v>
      </c>
      <c r="G2209" s="36" t="s">
        <v>411</v>
      </c>
      <c r="H2209" s="37">
        <v>31.27</v>
      </c>
      <c r="I2209" s="36" t="s">
        <v>1301</v>
      </c>
      <c r="J2209" s="39" t="s">
        <v>286</v>
      </c>
      <c r="K2209" s="38"/>
      <c r="L2209" s="38"/>
    </row>
    <row r="2210" ht="22.5" customHeight="1">
      <c r="A2210" s="36" t="s">
        <v>5105</v>
      </c>
      <c r="B2210" s="36" t="s">
        <v>5106</v>
      </c>
      <c r="C2210" s="36" t="s">
        <v>1495</v>
      </c>
      <c r="D2210" s="36" t="s">
        <v>1496</v>
      </c>
      <c r="E2210" s="36" t="s">
        <v>287</v>
      </c>
      <c r="F2210" s="36" t="s">
        <v>286</v>
      </c>
      <c r="G2210" s="36" t="s">
        <v>411</v>
      </c>
      <c r="H2210" s="37">
        <v>1998.67</v>
      </c>
      <c r="I2210" s="36" t="s">
        <v>1301</v>
      </c>
      <c r="J2210" s="39" t="s">
        <v>286</v>
      </c>
      <c r="K2210" s="38"/>
      <c r="L2210" s="38"/>
    </row>
    <row r="2211" ht="22.5" customHeight="1">
      <c r="A2211" s="36" t="s">
        <v>5107</v>
      </c>
      <c r="B2211" s="36" t="s">
        <v>5108</v>
      </c>
      <c r="C2211" s="36" t="s">
        <v>1495</v>
      </c>
      <c r="D2211" s="36" t="s">
        <v>1496</v>
      </c>
      <c r="E2211" s="36" t="s">
        <v>287</v>
      </c>
      <c r="F2211" s="36" t="s">
        <v>286</v>
      </c>
      <c r="G2211" s="36" t="s">
        <v>411</v>
      </c>
      <c r="H2211" s="37">
        <v>625.96</v>
      </c>
      <c r="I2211" s="36" t="s">
        <v>1301</v>
      </c>
      <c r="J2211" s="39" t="s">
        <v>286</v>
      </c>
      <c r="K2211" s="38"/>
      <c r="L2211" s="38"/>
    </row>
    <row r="2212" ht="22.5" customHeight="1">
      <c r="A2212" s="36" t="s">
        <v>5109</v>
      </c>
      <c r="B2212" s="36" t="s">
        <v>5110</v>
      </c>
      <c r="C2212" s="36" t="s">
        <v>1495</v>
      </c>
      <c r="D2212" s="36" t="s">
        <v>1496</v>
      </c>
      <c r="E2212" s="36" t="s">
        <v>287</v>
      </c>
      <c r="F2212" s="36" t="s">
        <v>286</v>
      </c>
      <c r="G2212" s="36" t="s">
        <v>411</v>
      </c>
      <c r="H2212" s="37">
        <v>31.13</v>
      </c>
      <c r="I2212" s="36" t="s">
        <v>1301</v>
      </c>
      <c r="J2212" s="39" t="s">
        <v>286</v>
      </c>
      <c r="K2212" s="38"/>
      <c r="L2212" s="38"/>
    </row>
    <row r="2213" ht="22.5" customHeight="1">
      <c r="A2213" s="36" t="s">
        <v>5111</v>
      </c>
      <c r="B2213" s="36" t="s">
        <v>5112</v>
      </c>
      <c r="C2213" s="36" t="s">
        <v>1495</v>
      </c>
      <c r="D2213" s="36" t="s">
        <v>1496</v>
      </c>
      <c r="E2213" s="36" t="s">
        <v>287</v>
      </c>
      <c r="F2213" s="36" t="s">
        <v>286</v>
      </c>
      <c r="G2213" s="36" t="s">
        <v>411</v>
      </c>
      <c r="H2213" s="37">
        <v>43.28</v>
      </c>
      <c r="I2213" s="36" t="s">
        <v>1301</v>
      </c>
      <c r="J2213" s="39" t="s">
        <v>286</v>
      </c>
      <c r="K2213" s="38"/>
      <c r="L2213" s="38"/>
    </row>
    <row r="2214" ht="22.5" customHeight="1">
      <c r="A2214" s="36" t="s">
        <v>5113</v>
      </c>
      <c r="B2214" s="36" t="s">
        <v>5114</v>
      </c>
      <c r="C2214" s="36" t="s">
        <v>1495</v>
      </c>
      <c r="D2214" s="36" t="s">
        <v>1496</v>
      </c>
      <c r="E2214" s="36" t="s">
        <v>287</v>
      </c>
      <c r="F2214" s="36" t="s">
        <v>286</v>
      </c>
      <c r="G2214" s="36" t="s">
        <v>411</v>
      </c>
      <c r="H2214" s="37">
        <v>70.75</v>
      </c>
      <c r="I2214" s="36" t="s">
        <v>1301</v>
      </c>
      <c r="J2214" s="39" t="s">
        <v>286</v>
      </c>
      <c r="K2214" s="38"/>
      <c r="L2214" s="38"/>
    </row>
    <row r="2215" ht="22.5" customHeight="1">
      <c r="A2215" s="36" t="s">
        <v>5115</v>
      </c>
      <c r="B2215" s="36" t="s">
        <v>5116</v>
      </c>
      <c r="C2215" s="36" t="s">
        <v>1495</v>
      </c>
      <c r="D2215" s="36" t="s">
        <v>1496</v>
      </c>
      <c r="E2215" s="36" t="s">
        <v>287</v>
      </c>
      <c r="F2215" s="36" t="s">
        <v>286</v>
      </c>
      <c r="G2215" s="36" t="s">
        <v>411</v>
      </c>
      <c r="H2215" s="37">
        <v>112.31</v>
      </c>
      <c r="I2215" s="36" t="s">
        <v>1301</v>
      </c>
      <c r="J2215" s="39" t="s">
        <v>286</v>
      </c>
      <c r="K2215" s="38"/>
      <c r="L2215" s="38"/>
    </row>
    <row r="2216" ht="22.5" customHeight="1">
      <c r="A2216" s="36" t="s">
        <v>5117</v>
      </c>
      <c r="B2216" s="36" t="s">
        <v>5118</v>
      </c>
      <c r="C2216" s="36" t="s">
        <v>1495</v>
      </c>
      <c r="D2216" s="36" t="s">
        <v>1496</v>
      </c>
      <c r="E2216" s="36" t="s">
        <v>287</v>
      </c>
      <c r="F2216" s="36" t="s">
        <v>286</v>
      </c>
      <c r="G2216" s="36" t="s">
        <v>411</v>
      </c>
      <c r="H2216" s="37">
        <v>48.86</v>
      </c>
      <c r="I2216" s="36" t="s">
        <v>1301</v>
      </c>
      <c r="J2216" s="39" t="s">
        <v>286</v>
      </c>
      <c r="K2216" s="38"/>
      <c r="L2216" s="38"/>
    </row>
    <row r="2217" ht="22.5" customHeight="1">
      <c r="A2217" s="36" t="s">
        <v>5119</v>
      </c>
      <c r="B2217" s="36" t="s">
        <v>5120</v>
      </c>
      <c r="C2217" s="36" t="s">
        <v>1495</v>
      </c>
      <c r="D2217" s="36" t="s">
        <v>1496</v>
      </c>
      <c r="E2217" s="36" t="s">
        <v>287</v>
      </c>
      <c r="F2217" s="36" t="s">
        <v>286</v>
      </c>
      <c r="G2217" s="36" t="s">
        <v>411</v>
      </c>
      <c r="H2217" s="37">
        <v>136.0</v>
      </c>
      <c r="I2217" s="36" t="s">
        <v>1301</v>
      </c>
      <c r="J2217" s="39" t="s">
        <v>286</v>
      </c>
      <c r="K2217" s="38"/>
      <c r="L2217" s="38"/>
    </row>
    <row r="2218" ht="22.5" customHeight="1">
      <c r="A2218" s="36" t="s">
        <v>5121</v>
      </c>
      <c r="B2218" s="36" t="s">
        <v>5122</v>
      </c>
      <c r="C2218" s="36" t="s">
        <v>1495</v>
      </c>
      <c r="D2218" s="36" t="s">
        <v>1496</v>
      </c>
      <c r="E2218" s="36" t="s">
        <v>287</v>
      </c>
      <c r="F2218" s="36" t="s">
        <v>286</v>
      </c>
      <c r="G2218" s="36" t="s">
        <v>411</v>
      </c>
      <c r="H2218" s="37">
        <v>93.0</v>
      </c>
      <c r="I2218" s="36" t="s">
        <v>1301</v>
      </c>
      <c r="J2218" s="39" t="s">
        <v>286</v>
      </c>
      <c r="K2218" s="38"/>
      <c r="L2218" s="38"/>
    </row>
    <row r="2219" ht="22.5" customHeight="1">
      <c r="A2219" s="36" t="s">
        <v>5123</v>
      </c>
      <c r="B2219" s="36" t="s">
        <v>5124</v>
      </c>
      <c r="C2219" s="36" t="s">
        <v>1495</v>
      </c>
      <c r="D2219" s="36" t="s">
        <v>1496</v>
      </c>
      <c r="E2219" s="36" t="s">
        <v>287</v>
      </c>
      <c r="F2219" s="36" t="s">
        <v>286</v>
      </c>
      <c r="G2219" s="36" t="s">
        <v>411</v>
      </c>
      <c r="H2219" s="37">
        <v>8.375</v>
      </c>
      <c r="I2219" s="36" t="s">
        <v>1301</v>
      </c>
      <c r="J2219" s="39" t="s">
        <v>286</v>
      </c>
      <c r="K2219" s="38"/>
      <c r="L2219" s="38"/>
    </row>
    <row r="2220" ht="22.5" customHeight="1">
      <c r="A2220" s="36" t="s">
        <v>5125</v>
      </c>
      <c r="B2220" s="36" t="s">
        <v>5126</v>
      </c>
      <c r="C2220" s="36" t="s">
        <v>1495</v>
      </c>
      <c r="D2220" s="36" t="s">
        <v>1496</v>
      </c>
      <c r="E2220" s="36" t="s">
        <v>287</v>
      </c>
      <c r="F2220" s="36" t="s">
        <v>286</v>
      </c>
      <c r="G2220" s="36" t="s">
        <v>411</v>
      </c>
      <c r="H2220" s="37">
        <v>275.0</v>
      </c>
      <c r="I2220" s="36" t="s">
        <v>1301</v>
      </c>
      <c r="J2220" s="39" t="s">
        <v>286</v>
      </c>
      <c r="K2220" s="38"/>
      <c r="L2220" s="38"/>
    </row>
    <row r="2221" ht="22.5" customHeight="1">
      <c r="A2221" s="36" t="s">
        <v>5127</v>
      </c>
      <c r="B2221" s="36" t="s">
        <v>5128</v>
      </c>
      <c r="C2221" s="36" t="s">
        <v>1495</v>
      </c>
      <c r="D2221" s="36" t="s">
        <v>1496</v>
      </c>
      <c r="E2221" s="36" t="s">
        <v>287</v>
      </c>
      <c r="F2221" s="36" t="s">
        <v>286</v>
      </c>
      <c r="G2221" s="36" t="s">
        <v>411</v>
      </c>
      <c r="H2221" s="37">
        <v>16.0</v>
      </c>
      <c r="I2221" s="36" t="s">
        <v>1301</v>
      </c>
      <c r="J2221" s="39" t="s">
        <v>286</v>
      </c>
      <c r="K2221" s="38"/>
      <c r="L2221" s="38"/>
    </row>
    <row r="2222" ht="22.5" customHeight="1">
      <c r="A2222" s="36" t="s">
        <v>5129</v>
      </c>
      <c r="B2222" s="36" t="s">
        <v>5130</v>
      </c>
      <c r="C2222" s="36" t="s">
        <v>1495</v>
      </c>
      <c r="D2222" s="36" t="s">
        <v>1496</v>
      </c>
      <c r="E2222" s="36" t="s">
        <v>287</v>
      </c>
      <c r="F2222" s="36" t="s">
        <v>286</v>
      </c>
      <c r="G2222" s="36" t="s">
        <v>411</v>
      </c>
      <c r="H2222" s="37">
        <v>375.0</v>
      </c>
      <c r="I2222" s="36" t="s">
        <v>1301</v>
      </c>
      <c r="J2222" s="39" t="s">
        <v>286</v>
      </c>
      <c r="K2222" s="38"/>
      <c r="L2222" s="38"/>
    </row>
    <row r="2223" ht="22.5" customHeight="1">
      <c r="A2223" s="36" t="s">
        <v>5131</v>
      </c>
      <c r="B2223" s="36" t="s">
        <v>5132</v>
      </c>
      <c r="C2223" s="36" t="s">
        <v>1495</v>
      </c>
      <c r="D2223" s="36" t="s">
        <v>1496</v>
      </c>
      <c r="E2223" s="36" t="s">
        <v>287</v>
      </c>
      <c r="F2223" s="36" t="s">
        <v>286</v>
      </c>
      <c r="G2223" s="36" t="s">
        <v>411</v>
      </c>
      <c r="H2223" s="37">
        <v>137.5</v>
      </c>
      <c r="I2223" s="36" t="s">
        <v>1301</v>
      </c>
      <c r="J2223" s="39" t="s">
        <v>286</v>
      </c>
      <c r="K2223" s="38"/>
      <c r="L2223" s="38"/>
    </row>
    <row r="2224" ht="22.5" customHeight="1">
      <c r="A2224" s="36" t="s">
        <v>5133</v>
      </c>
      <c r="B2224" s="36" t="s">
        <v>5134</v>
      </c>
      <c r="C2224" s="36" t="s">
        <v>1495</v>
      </c>
      <c r="D2224" s="36" t="s">
        <v>1496</v>
      </c>
      <c r="E2224" s="36" t="s">
        <v>287</v>
      </c>
      <c r="F2224" s="36" t="s">
        <v>286</v>
      </c>
      <c r="G2224" s="36" t="s">
        <v>411</v>
      </c>
      <c r="H2224" s="37">
        <v>4.65</v>
      </c>
      <c r="I2224" s="36" t="s">
        <v>1301</v>
      </c>
      <c r="J2224" s="39" t="s">
        <v>286</v>
      </c>
      <c r="K2224" s="38"/>
      <c r="L2224" s="38"/>
    </row>
    <row r="2225" ht="22.5" customHeight="1">
      <c r="A2225" s="36" t="s">
        <v>5135</v>
      </c>
      <c r="B2225" s="36" t="s">
        <v>5136</v>
      </c>
      <c r="C2225" s="36" t="s">
        <v>1495</v>
      </c>
      <c r="D2225" s="36" t="s">
        <v>1496</v>
      </c>
      <c r="E2225" s="36" t="s">
        <v>287</v>
      </c>
      <c r="F2225" s="36" t="s">
        <v>286</v>
      </c>
      <c r="G2225" s="36" t="s">
        <v>411</v>
      </c>
      <c r="H2225" s="37">
        <v>4.61</v>
      </c>
      <c r="I2225" s="36" t="s">
        <v>1301</v>
      </c>
      <c r="J2225" s="39" t="s">
        <v>286</v>
      </c>
      <c r="K2225" s="38"/>
      <c r="L2225" s="38"/>
    </row>
    <row r="2226" ht="22.5" customHeight="1">
      <c r="A2226" s="36" t="s">
        <v>5137</v>
      </c>
      <c r="B2226" s="36" t="s">
        <v>5138</v>
      </c>
      <c r="C2226" s="36" t="s">
        <v>1495</v>
      </c>
      <c r="D2226" s="36" t="s">
        <v>1496</v>
      </c>
      <c r="E2226" s="36" t="s">
        <v>287</v>
      </c>
      <c r="F2226" s="36" t="s">
        <v>286</v>
      </c>
      <c r="G2226" s="36" t="s">
        <v>411</v>
      </c>
      <c r="H2226" s="37">
        <v>2.38</v>
      </c>
      <c r="I2226" s="36" t="s">
        <v>1301</v>
      </c>
      <c r="J2226" s="39" t="s">
        <v>286</v>
      </c>
      <c r="K2226" s="38"/>
      <c r="L2226" s="38"/>
    </row>
    <row r="2227" ht="22.5" customHeight="1">
      <c r="A2227" s="36" t="s">
        <v>5139</v>
      </c>
      <c r="B2227" s="36" t="s">
        <v>5140</v>
      </c>
      <c r="C2227" s="36" t="s">
        <v>1495</v>
      </c>
      <c r="D2227" s="36" t="s">
        <v>1496</v>
      </c>
      <c r="E2227" s="36" t="s">
        <v>287</v>
      </c>
      <c r="F2227" s="36" t="s">
        <v>286</v>
      </c>
      <c r="G2227" s="36" t="s">
        <v>411</v>
      </c>
      <c r="H2227" s="37">
        <v>3.89</v>
      </c>
      <c r="I2227" s="36" t="s">
        <v>1301</v>
      </c>
      <c r="J2227" s="39" t="s">
        <v>286</v>
      </c>
      <c r="K2227" s="38"/>
      <c r="L2227" s="38"/>
    </row>
    <row r="2228" ht="22.5" customHeight="1">
      <c r="A2228" s="36" t="s">
        <v>5141</v>
      </c>
      <c r="B2228" s="36" t="s">
        <v>5142</v>
      </c>
      <c r="C2228" s="36" t="s">
        <v>1495</v>
      </c>
      <c r="D2228" s="36" t="s">
        <v>1496</v>
      </c>
      <c r="E2228" s="36" t="s">
        <v>287</v>
      </c>
      <c r="F2228" s="36" t="s">
        <v>286</v>
      </c>
      <c r="G2228" s="36" t="s">
        <v>411</v>
      </c>
      <c r="H2228" s="37">
        <v>5.94</v>
      </c>
      <c r="I2228" s="36" t="s">
        <v>1301</v>
      </c>
      <c r="J2228" s="39" t="s">
        <v>286</v>
      </c>
      <c r="K2228" s="38"/>
      <c r="L2228" s="38"/>
    </row>
    <row r="2229" ht="22.5" customHeight="1">
      <c r="A2229" s="36" t="s">
        <v>5143</v>
      </c>
      <c r="B2229" s="36" t="s">
        <v>5144</v>
      </c>
      <c r="C2229" s="36" t="s">
        <v>1495</v>
      </c>
      <c r="D2229" s="36" t="s">
        <v>1496</v>
      </c>
      <c r="E2229" s="36" t="s">
        <v>1285</v>
      </c>
      <c r="F2229" s="36" t="s">
        <v>286</v>
      </c>
      <c r="G2229" s="36" t="s">
        <v>411</v>
      </c>
      <c r="H2229" s="37">
        <v>4.43</v>
      </c>
      <c r="I2229" s="36" t="s">
        <v>1301</v>
      </c>
      <c r="J2229" s="39" t="s">
        <v>286</v>
      </c>
      <c r="K2229" s="38"/>
      <c r="L2229" s="38"/>
    </row>
    <row r="2230" ht="22.5" customHeight="1">
      <c r="A2230" s="36" t="s">
        <v>5145</v>
      </c>
      <c r="B2230" s="36" t="s">
        <v>5146</v>
      </c>
      <c r="C2230" s="36" t="s">
        <v>1495</v>
      </c>
      <c r="D2230" s="36" t="s">
        <v>1496</v>
      </c>
      <c r="E2230" s="36" t="s">
        <v>1285</v>
      </c>
      <c r="F2230" s="36" t="s">
        <v>286</v>
      </c>
      <c r="G2230" s="36" t="s">
        <v>411</v>
      </c>
      <c r="H2230" s="37">
        <v>3.24</v>
      </c>
      <c r="I2230" s="36" t="s">
        <v>1301</v>
      </c>
      <c r="J2230" s="39" t="s">
        <v>286</v>
      </c>
      <c r="K2230" s="38"/>
      <c r="L2230" s="38"/>
    </row>
    <row r="2231" ht="22.5" customHeight="1">
      <c r="A2231" s="36" t="s">
        <v>5147</v>
      </c>
      <c r="B2231" s="36" t="s">
        <v>5148</v>
      </c>
      <c r="C2231" s="36" t="s">
        <v>1495</v>
      </c>
      <c r="D2231" s="36" t="s">
        <v>1496</v>
      </c>
      <c r="E2231" s="36" t="s">
        <v>1285</v>
      </c>
      <c r="F2231" s="36" t="s">
        <v>286</v>
      </c>
      <c r="G2231" s="36" t="s">
        <v>411</v>
      </c>
      <c r="H2231" s="37">
        <v>13.18</v>
      </c>
      <c r="I2231" s="36" t="s">
        <v>1301</v>
      </c>
      <c r="J2231" s="39" t="s">
        <v>286</v>
      </c>
      <c r="K2231" s="38"/>
      <c r="L2231" s="38"/>
    </row>
    <row r="2232" ht="22.5" customHeight="1">
      <c r="A2232" s="36" t="s">
        <v>5149</v>
      </c>
      <c r="B2232" s="36" t="s">
        <v>5150</v>
      </c>
      <c r="C2232" s="36" t="s">
        <v>1495</v>
      </c>
      <c r="D2232" s="36" t="s">
        <v>1496</v>
      </c>
      <c r="E2232" s="36" t="s">
        <v>1285</v>
      </c>
      <c r="F2232" s="36" t="s">
        <v>286</v>
      </c>
      <c r="G2232" s="36" t="s">
        <v>411</v>
      </c>
      <c r="H2232" s="37">
        <v>15.73</v>
      </c>
      <c r="I2232" s="36" t="s">
        <v>1301</v>
      </c>
      <c r="J2232" s="39" t="s">
        <v>286</v>
      </c>
      <c r="K2232" s="38"/>
      <c r="L2232" s="38"/>
    </row>
    <row r="2233" ht="22.5" customHeight="1">
      <c r="A2233" s="36" t="s">
        <v>5151</v>
      </c>
      <c r="B2233" s="36" t="s">
        <v>5152</v>
      </c>
      <c r="C2233" s="36" t="s">
        <v>1495</v>
      </c>
      <c r="D2233" s="36" t="s">
        <v>1496</v>
      </c>
      <c r="E2233" s="36" t="s">
        <v>1285</v>
      </c>
      <c r="F2233" s="36" t="s">
        <v>286</v>
      </c>
      <c r="G2233" s="36" t="s">
        <v>411</v>
      </c>
      <c r="H2233" s="37">
        <v>170.85</v>
      </c>
      <c r="I2233" s="36" t="s">
        <v>1301</v>
      </c>
      <c r="J2233" s="39" t="s">
        <v>286</v>
      </c>
      <c r="K2233" s="38"/>
      <c r="L2233" s="38"/>
    </row>
    <row r="2234" ht="22.5" customHeight="1">
      <c r="A2234" s="36" t="s">
        <v>5153</v>
      </c>
      <c r="B2234" s="36" t="s">
        <v>5154</v>
      </c>
      <c r="C2234" s="36" t="s">
        <v>1495</v>
      </c>
      <c r="D2234" s="36" t="s">
        <v>1496</v>
      </c>
      <c r="E2234" s="36" t="s">
        <v>1285</v>
      </c>
      <c r="F2234" s="36" t="s">
        <v>286</v>
      </c>
      <c r="G2234" s="36" t="s">
        <v>411</v>
      </c>
      <c r="H2234" s="37">
        <v>59.04</v>
      </c>
      <c r="I2234" s="36" t="s">
        <v>1301</v>
      </c>
      <c r="J2234" s="39" t="s">
        <v>286</v>
      </c>
      <c r="K2234" s="38"/>
      <c r="L2234" s="38"/>
    </row>
    <row r="2235" ht="22.5" customHeight="1">
      <c r="A2235" s="36" t="s">
        <v>5155</v>
      </c>
      <c r="B2235" s="36" t="s">
        <v>5156</v>
      </c>
      <c r="C2235" s="36" t="s">
        <v>1495</v>
      </c>
      <c r="D2235" s="36" t="s">
        <v>1496</v>
      </c>
      <c r="E2235" s="36" t="s">
        <v>1285</v>
      </c>
      <c r="F2235" s="36" t="s">
        <v>286</v>
      </c>
      <c r="G2235" s="36" t="s">
        <v>411</v>
      </c>
      <c r="H2235" s="37">
        <v>3.49</v>
      </c>
      <c r="I2235" s="36" t="s">
        <v>1301</v>
      </c>
      <c r="J2235" s="39" t="s">
        <v>286</v>
      </c>
      <c r="K2235" s="38"/>
      <c r="L2235" s="38"/>
    </row>
    <row r="2236" ht="22.5" customHeight="1">
      <c r="A2236" s="36" t="s">
        <v>5157</v>
      </c>
      <c r="B2236" s="36" t="s">
        <v>5158</v>
      </c>
      <c r="C2236" s="36" t="s">
        <v>1495</v>
      </c>
      <c r="D2236" s="36" t="s">
        <v>1496</v>
      </c>
      <c r="E2236" s="36" t="s">
        <v>1285</v>
      </c>
      <c r="F2236" s="36" t="s">
        <v>286</v>
      </c>
      <c r="G2236" s="36" t="s">
        <v>411</v>
      </c>
      <c r="H2236" s="37">
        <v>5.05</v>
      </c>
      <c r="I2236" s="36" t="s">
        <v>1301</v>
      </c>
      <c r="J2236" s="39" t="s">
        <v>286</v>
      </c>
      <c r="K2236" s="38"/>
      <c r="L2236" s="38"/>
    </row>
    <row r="2237" ht="22.5" customHeight="1">
      <c r="A2237" s="36" t="s">
        <v>5159</v>
      </c>
      <c r="B2237" s="36" t="s">
        <v>5160</v>
      </c>
      <c r="C2237" s="36" t="s">
        <v>1495</v>
      </c>
      <c r="D2237" s="36" t="s">
        <v>1496</v>
      </c>
      <c r="E2237" s="36" t="s">
        <v>1285</v>
      </c>
      <c r="F2237" s="36" t="s">
        <v>286</v>
      </c>
      <c r="G2237" s="36" t="s">
        <v>411</v>
      </c>
      <c r="H2237" s="37">
        <v>87.37</v>
      </c>
      <c r="I2237" s="36" t="s">
        <v>1301</v>
      </c>
      <c r="J2237" s="39" t="s">
        <v>286</v>
      </c>
      <c r="K2237" s="38"/>
      <c r="L2237" s="38"/>
    </row>
    <row r="2238" ht="22.5" customHeight="1">
      <c r="A2238" s="36" t="s">
        <v>5161</v>
      </c>
      <c r="B2238" s="36" t="s">
        <v>5162</v>
      </c>
      <c r="C2238" s="36" t="s">
        <v>1495</v>
      </c>
      <c r="D2238" s="36" t="s">
        <v>1496</v>
      </c>
      <c r="E2238" s="36" t="s">
        <v>1285</v>
      </c>
      <c r="F2238" s="36" t="s">
        <v>286</v>
      </c>
      <c r="G2238" s="36" t="s">
        <v>411</v>
      </c>
      <c r="H2238" s="37">
        <v>3.51</v>
      </c>
      <c r="I2238" s="36" t="s">
        <v>1301</v>
      </c>
      <c r="J2238" s="39" t="s">
        <v>286</v>
      </c>
      <c r="K2238" s="38"/>
      <c r="L2238" s="38"/>
    </row>
    <row r="2239" ht="22.5" customHeight="1">
      <c r="A2239" s="36" t="s">
        <v>5163</v>
      </c>
      <c r="B2239" s="36" t="s">
        <v>5164</v>
      </c>
      <c r="C2239" s="36" t="s">
        <v>1495</v>
      </c>
      <c r="D2239" s="36" t="s">
        <v>1496</v>
      </c>
      <c r="E2239" s="36" t="s">
        <v>1285</v>
      </c>
      <c r="F2239" s="36" t="s">
        <v>286</v>
      </c>
      <c r="G2239" s="36" t="s">
        <v>411</v>
      </c>
      <c r="H2239" s="37">
        <v>13.95</v>
      </c>
      <c r="I2239" s="36" t="s">
        <v>1301</v>
      </c>
      <c r="J2239" s="39" t="s">
        <v>286</v>
      </c>
      <c r="K2239" s="38"/>
      <c r="L2239" s="38"/>
    </row>
    <row r="2240" ht="22.5" customHeight="1">
      <c r="A2240" s="36" t="s">
        <v>5165</v>
      </c>
      <c r="B2240" s="36" t="s">
        <v>5166</v>
      </c>
      <c r="C2240" s="36" t="s">
        <v>1495</v>
      </c>
      <c r="D2240" s="36" t="s">
        <v>1496</v>
      </c>
      <c r="E2240" s="36" t="s">
        <v>1285</v>
      </c>
      <c r="F2240" s="36" t="s">
        <v>286</v>
      </c>
      <c r="G2240" s="36" t="s">
        <v>411</v>
      </c>
      <c r="H2240" s="37">
        <v>20.81</v>
      </c>
      <c r="I2240" s="36" t="s">
        <v>1301</v>
      </c>
      <c r="J2240" s="39" t="s">
        <v>286</v>
      </c>
      <c r="K2240" s="38"/>
      <c r="L2240" s="38"/>
    </row>
    <row r="2241" ht="22.5" customHeight="1">
      <c r="A2241" s="36" t="s">
        <v>5167</v>
      </c>
      <c r="B2241" s="36" t="s">
        <v>5168</v>
      </c>
      <c r="C2241" s="36" t="s">
        <v>1495</v>
      </c>
      <c r="D2241" s="36" t="s">
        <v>1496</v>
      </c>
      <c r="E2241" s="36" t="s">
        <v>1285</v>
      </c>
      <c r="F2241" s="36" t="s">
        <v>286</v>
      </c>
      <c r="G2241" s="36" t="s">
        <v>411</v>
      </c>
      <c r="H2241" s="37">
        <v>13.95</v>
      </c>
      <c r="I2241" s="36" t="s">
        <v>1301</v>
      </c>
      <c r="J2241" s="39" t="s">
        <v>286</v>
      </c>
      <c r="K2241" s="38"/>
      <c r="L2241" s="38"/>
    </row>
    <row r="2242" ht="22.5" customHeight="1">
      <c r="A2242" s="36" t="s">
        <v>5169</v>
      </c>
      <c r="B2242" s="36" t="s">
        <v>5170</v>
      </c>
      <c r="C2242" s="36" t="s">
        <v>1495</v>
      </c>
      <c r="D2242" s="36" t="s">
        <v>1496</v>
      </c>
      <c r="E2242" s="36" t="s">
        <v>1285</v>
      </c>
      <c r="F2242" s="36" t="s">
        <v>286</v>
      </c>
      <c r="G2242" s="36" t="s">
        <v>411</v>
      </c>
      <c r="H2242" s="37">
        <v>156.95</v>
      </c>
      <c r="I2242" s="36" t="s">
        <v>1301</v>
      </c>
      <c r="J2242" s="39" t="s">
        <v>286</v>
      </c>
      <c r="K2242" s="38"/>
      <c r="L2242" s="38"/>
    </row>
    <row r="2243" ht="22.5" customHeight="1">
      <c r="A2243" s="36" t="s">
        <v>5171</v>
      </c>
      <c r="B2243" s="36" t="s">
        <v>5172</v>
      </c>
      <c r="C2243" s="36" t="s">
        <v>1495</v>
      </c>
      <c r="D2243" s="36" t="s">
        <v>1496</v>
      </c>
      <c r="E2243" s="36" t="s">
        <v>1285</v>
      </c>
      <c r="F2243" s="36" t="s">
        <v>286</v>
      </c>
      <c r="G2243" s="36" t="s">
        <v>411</v>
      </c>
      <c r="H2243" s="37">
        <v>15.83</v>
      </c>
      <c r="I2243" s="36" t="s">
        <v>1301</v>
      </c>
      <c r="J2243" s="39" t="s">
        <v>286</v>
      </c>
      <c r="K2243" s="38"/>
      <c r="L2243" s="38"/>
    </row>
    <row r="2244" ht="22.5" customHeight="1">
      <c r="A2244" s="36" t="s">
        <v>5173</v>
      </c>
      <c r="B2244" s="36" t="s">
        <v>5174</v>
      </c>
      <c r="C2244" s="36" t="s">
        <v>1495</v>
      </c>
      <c r="D2244" s="36" t="s">
        <v>1496</v>
      </c>
      <c r="E2244" s="36" t="s">
        <v>1285</v>
      </c>
      <c r="F2244" s="36" t="s">
        <v>286</v>
      </c>
      <c r="G2244" s="36" t="s">
        <v>411</v>
      </c>
      <c r="H2244" s="37">
        <v>13.88</v>
      </c>
      <c r="I2244" s="36" t="s">
        <v>1301</v>
      </c>
      <c r="J2244" s="39" t="s">
        <v>286</v>
      </c>
      <c r="K2244" s="38"/>
      <c r="L2244" s="38"/>
    </row>
    <row r="2245" ht="22.5" customHeight="1">
      <c r="A2245" s="36" t="s">
        <v>5175</v>
      </c>
      <c r="B2245" s="36" t="s">
        <v>5176</v>
      </c>
      <c r="C2245" s="36" t="s">
        <v>1495</v>
      </c>
      <c r="D2245" s="36" t="s">
        <v>1496</v>
      </c>
      <c r="E2245" s="36" t="s">
        <v>1285</v>
      </c>
      <c r="F2245" s="36" t="s">
        <v>286</v>
      </c>
      <c r="G2245" s="36" t="s">
        <v>411</v>
      </c>
      <c r="H2245" s="37">
        <v>6.67</v>
      </c>
      <c r="I2245" s="36" t="s">
        <v>1301</v>
      </c>
      <c r="J2245" s="39" t="s">
        <v>286</v>
      </c>
      <c r="K2245" s="38"/>
      <c r="L2245" s="38"/>
    </row>
    <row r="2246" ht="22.5" customHeight="1">
      <c r="A2246" s="36" t="s">
        <v>5177</v>
      </c>
      <c r="B2246" s="36" t="s">
        <v>5178</v>
      </c>
      <c r="C2246" s="36" t="s">
        <v>1495</v>
      </c>
      <c r="D2246" s="36" t="s">
        <v>1496</v>
      </c>
      <c r="E2246" s="36" t="s">
        <v>1285</v>
      </c>
      <c r="F2246" s="36" t="s">
        <v>286</v>
      </c>
      <c r="G2246" s="36" t="s">
        <v>411</v>
      </c>
      <c r="H2246" s="37">
        <v>7.22</v>
      </c>
      <c r="I2246" s="36" t="s">
        <v>1301</v>
      </c>
      <c r="J2246" s="39" t="s">
        <v>286</v>
      </c>
      <c r="K2246" s="38"/>
      <c r="L2246" s="38"/>
    </row>
    <row r="2247" ht="22.5" customHeight="1">
      <c r="A2247" s="36" t="s">
        <v>5179</v>
      </c>
      <c r="B2247" s="36" t="s">
        <v>5180</v>
      </c>
      <c r="C2247" s="36" t="s">
        <v>1495</v>
      </c>
      <c r="D2247" s="36" t="s">
        <v>1496</v>
      </c>
      <c r="E2247" s="36" t="s">
        <v>1285</v>
      </c>
      <c r="F2247" s="36" t="s">
        <v>286</v>
      </c>
      <c r="G2247" s="36" t="s">
        <v>411</v>
      </c>
      <c r="H2247" s="37">
        <v>173.27</v>
      </c>
      <c r="I2247" s="36" t="s">
        <v>1301</v>
      </c>
      <c r="J2247" s="39" t="s">
        <v>286</v>
      </c>
      <c r="K2247" s="38"/>
      <c r="L2247" s="38"/>
    </row>
    <row r="2248" ht="22.5" customHeight="1">
      <c r="A2248" s="36" t="s">
        <v>5181</v>
      </c>
      <c r="B2248" s="36" t="s">
        <v>5182</v>
      </c>
      <c r="C2248" s="36" t="s">
        <v>1495</v>
      </c>
      <c r="D2248" s="36" t="s">
        <v>1496</v>
      </c>
      <c r="E2248" s="36" t="s">
        <v>1285</v>
      </c>
      <c r="F2248" s="36" t="s">
        <v>286</v>
      </c>
      <c r="G2248" s="36" t="s">
        <v>411</v>
      </c>
      <c r="H2248" s="37">
        <v>252.0</v>
      </c>
      <c r="I2248" s="36" t="s">
        <v>1301</v>
      </c>
      <c r="J2248" s="39" t="s">
        <v>286</v>
      </c>
      <c r="K2248" s="38"/>
      <c r="L2248" s="38"/>
    </row>
    <row r="2249" ht="22.5" customHeight="1">
      <c r="A2249" s="36" t="s">
        <v>5183</v>
      </c>
      <c r="B2249" s="36" t="s">
        <v>5184</v>
      </c>
      <c r="C2249" s="36" t="s">
        <v>1495</v>
      </c>
      <c r="D2249" s="36" t="s">
        <v>1496</v>
      </c>
      <c r="E2249" s="36" t="s">
        <v>1285</v>
      </c>
      <c r="F2249" s="36" t="s">
        <v>286</v>
      </c>
      <c r="G2249" s="36" t="s">
        <v>411</v>
      </c>
      <c r="H2249" s="37">
        <v>120.0</v>
      </c>
      <c r="I2249" s="36" t="s">
        <v>1301</v>
      </c>
      <c r="J2249" s="39" t="s">
        <v>286</v>
      </c>
      <c r="K2249" s="38"/>
      <c r="L2249" s="38"/>
    </row>
    <row r="2250" ht="22.5" customHeight="1">
      <c r="A2250" s="36" t="s">
        <v>5185</v>
      </c>
      <c r="B2250" s="36" t="s">
        <v>5186</v>
      </c>
      <c r="C2250" s="36" t="s">
        <v>1495</v>
      </c>
      <c r="D2250" s="36" t="s">
        <v>1496</v>
      </c>
      <c r="E2250" s="36" t="s">
        <v>1285</v>
      </c>
      <c r="F2250" s="36" t="s">
        <v>286</v>
      </c>
      <c r="G2250" s="36" t="s">
        <v>411</v>
      </c>
      <c r="H2250" s="37">
        <v>192.0</v>
      </c>
      <c r="I2250" s="36" t="s">
        <v>1301</v>
      </c>
      <c r="J2250" s="39" t="s">
        <v>286</v>
      </c>
      <c r="K2250" s="38"/>
      <c r="L2250" s="38"/>
    </row>
    <row r="2251" ht="22.5" customHeight="1">
      <c r="A2251" s="36" t="s">
        <v>5187</v>
      </c>
      <c r="B2251" s="36" t="s">
        <v>5188</v>
      </c>
      <c r="C2251" s="36" t="s">
        <v>1495</v>
      </c>
      <c r="D2251" s="36" t="s">
        <v>1496</v>
      </c>
      <c r="E2251" s="36" t="s">
        <v>1285</v>
      </c>
      <c r="F2251" s="36" t="s">
        <v>286</v>
      </c>
      <c r="G2251" s="36" t="s">
        <v>411</v>
      </c>
      <c r="H2251" s="37">
        <v>696.0</v>
      </c>
      <c r="I2251" s="36" t="s">
        <v>1301</v>
      </c>
      <c r="J2251" s="39" t="s">
        <v>286</v>
      </c>
      <c r="K2251" s="38"/>
      <c r="L2251" s="38"/>
    </row>
    <row r="2252" ht="22.5" customHeight="1">
      <c r="A2252" s="36" t="s">
        <v>5189</v>
      </c>
      <c r="B2252" s="36" t="s">
        <v>5190</v>
      </c>
      <c r="C2252" s="36" t="s">
        <v>1495</v>
      </c>
      <c r="D2252" s="36" t="s">
        <v>1496</v>
      </c>
      <c r="E2252" s="36" t="s">
        <v>1285</v>
      </c>
      <c r="F2252" s="36" t="s">
        <v>286</v>
      </c>
      <c r="G2252" s="36" t="s">
        <v>411</v>
      </c>
      <c r="H2252" s="37">
        <v>440.0</v>
      </c>
      <c r="I2252" s="36" t="s">
        <v>1301</v>
      </c>
      <c r="J2252" s="39" t="s">
        <v>286</v>
      </c>
      <c r="K2252" s="38"/>
      <c r="L2252" s="38"/>
    </row>
    <row r="2253" ht="22.5" customHeight="1">
      <c r="A2253" s="36" t="s">
        <v>5191</v>
      </c>
      <c r="B2253" s="36" t="s">
        <v>5192</v>
      </c>
      <c r="C2253" s="36" t="s">
        <v>1495</v>
      </c>
      <c r="D2253" s="36" t="s">
        <v>1496</v>
      </c>
      <c r="E2253" s="36" t="s">
        <v>1285</v>
      </c>
      <c r="F2253" s="36" t="s">
        <v>286</v>
      </c>
      <c r="G2253" s="36" t="s">
        <v>411</v>
      </c>
      <c r="H2253" s="37">
        <v>286.0</v>
      </c>
      <c r="I2253" s="36" t="s">
        <v>1301</v>
      </c>
      <c r="J2253" s="39" t="s">
        <v>286</v>
      </c>
      <c r="K2253" s="38"/>
      <c r="L2253" s="38"/>
    </row>
    <row r="2254" ht="22.5" customHeight="1">
      <c r="A2254" s="36" t="s">
        <v>5193</v>
      </c>
      <c r="B2254" s="36" t="s">
        <v>5194</v>
      </c>
      <c r="C2254" s="36" t="s">
        <v>1495</v>
      </c>
      <c r="D2254" s="36" t="s">
        <v>1496</v>
      </c>
      <c r="E2254" s="36" t="s">
        <v>1285</v>
      </c>
      <c r="F2254" s="36" t="s">
        <v>286</v>
      </c>
      <c r="G2254" s="36" t="s">
        <v>411</v>
      </c>
      <c r="H2254" s="37">
        <v>75.82</v>
      </c>
      <c r="I2254" s="36" t="s">
        <v>1301</v>
      </c>
      <c r="J2254" s="39" t="s">
        <v>286</v>
      </c>
      <c r="K2254" s="38"/>
      <c r="L2254" s="38"/>
    </row>
    <row r="2255" ht="22.5" customHeight="1">
      <c r="A2255" s="36" t="s">
        <v>5195</v>
      </c>
      <c r="B2255" s="36" t="s">
        <v>5196</v>
      </c>
      <c r="C2255" s="36" t="s">
        <v>1495</v>
      </c>
      <c r="D2255" s="36" t="s">
        <v>1496</v>
      </c>
      <c r="E2255" s="36" t="s">
        <v>1285</v>
      </c>
      <c r="F2255" s="36" t="s">
        <v>286</v>
      </c>
      <c r="G2255" s="36" t="s">
        <v>411</v>
      </c>
      <c r="H2255" s="37">
        <v>550.0</v>
      </c>
      <c r="I2255" s="36" t="s">
        <v>1301</v>
      </c>
      <c r="J2255" s="39" t="s">
        <v>286</v>
      </c>
      <c r="K2255" s="38"/>
      <c r="L2255" s="38"/>
    </row>
    <row r="2256" ht="22.5" customHeight="1">
      <c r="A2256" s="36" t="s">
        <v>5197</v>
      </c>
      <c r="B2256" s="36" t="s">
        <v>5198</v>
      </c>
      <c r="C2256" s="36" t="s">
        <v>1495</v>
      </c>
      <c r="D2256" s="36" t="s">
        <v>1496</v>
      </c>
      <c r="E2256" s="36" t="s">
        <v>1285</v>
      </c>
      <c r="F2256" s="36" t="s">
        <v>286</v>
      </c>
      <c r="G2256" s="36" t="s">
        <v>411</v>
      </c>
      <c r="H2256" s="37">
        <v>330.0</v>
      </c>
      <c r="I2256" s="36" t="s">
        <v>1301</v>
      </c>
      <c r="J2256" s="39" t="s">
        <v>286</v>
      </c>
      <c r="K2256" s="38"/>
      <c r="L2256" s="38"/>
    </row>
    <row r="2257" ht="22.5" customHeight="1">
      <c r="A2257" s="36" t="s">
        <v>5199</v>
      </c>
      <c r="B2257" s="36" t="s">
        <v>5200</v>
      </c>
      <c r="C2257" s="36" t="s">
        <v>1495</v>
      </c>
      <c r="D2257" s="36" t="s">
        <v>1496</v>
      </c>
      <c r="E2257" s="36" t="s">
        <v>1285</v>
      </c>
      <c r="F2257" s="36" t="s">
        <v>286</v>
      </c>
      <c r="G2257" s="36" t="s">
        <v>411</v>
      </c>
      <c r="H2257" s="37">
        <v>1078.0</v>
      </c>
      <c r="I2257" s="36" t="s">
        <v>1301</v>
      </c>
      <c r="J2257" s="39" t="s">
        <v>286</v>
      </c>
      <c r="K2257" s="38"/>
      <c r="L2257" s="38"/>
    </row>
    <row r="2258" ht="22.5" customHeight="1">
      <c r="A2258" s="36" t="s">
        <v>5201</v>
      </c>
      <c r="B2258" s="36" t="s">
        <v>5202</v>
      </c>
      <c r="C2258" s="36" t="s">
        <v>1495</v>
      </c>
      <c r="D2258" s="36" t="s">
        <v>1496</v>
      </c>
      <c r="E2258" s="36" t="s">
        <v>1285</v>
      </c>
      <c r="F2258" s="36" t="s">
        <v>286</v>
      </c>
      <c r="G2258" s="36" t="s">
        <v>411</v>
      </c>
      <c r="H2258" s="37">
        <v>0.0</v>
      </c>
      <c r="I2258" s="36" t="s">
        <v>1301</v>
      </c>
      <c r="J2258" s="39" t="s">
        <v>286</v>
      </c>
      <c r="K2258" s="38"/>
      <c r="L2258" s="38"/>
    </row>
    <row r="2259" ht="22.5" customHeight="1">
      <c r="A2259" s="36" t="s">
        <v>5203</v>
      </c>
      <c r="B2259" s="36" t="s">
        <v>5204</v>
      </c>
      <c r="C2259" s="36" t="s">
        <v>1495</v>
      </c>
      <c r="D2259" s="36" t="s">
        <v>1496</v>
      </c>
      <c r="E2259" s="36" t="s">
        <v>1285</v>
      </c>
      <c r="F2259" s="36" t="s">
        <v>286</v>
      </c>
      <c r="G2259" s="36" t="s">
        <v>411</v>
      </c>
      <c r="H2259" s="37">
        <v>572.0</v>
      </c>
      <c r="I2259" s="36" t="s">
        <v>1301</v>
      </c>
      <c r="J2259" s="39" t="s">
        <v>286</v>
      </c>
      <c r="K2259" s="38"/>
      <c r="L2259" s="38"/>
    </row>
    <row r="2260" ht="22.5" customHeight="1">
      <c r="A2260" s="36" t="s">
        <v>5205</v>
      </c>
      <c r="B2260" s="36" t="s">
        <v>5206</v>
      </c>
      <c r="C2260" s="36" t="s">
        <v>1495</v>
      </c>
      <c r="D2260" s="36" t="s">
        <v>1496</v>
      </c>
      <c r="E2260" s="36" t="s">
        <v>1285</v>
      </c>
      <c r="F2260" s="36" t="s">
        <v>286</v>
      </c>
      <c r="G2260" s="36" t="s">
        <v>411</v>
      </c>
      <c r="H2260" s="37">
        <v>506.0</v>
      </c>
      <c r="I2260" s="36" t="s">
        <v>1301</v>
      </c>
      <c r="J2260" s="39" t="s">
        <v>286</v>
      </c>
      <c r="K2260" s="38"/>
      <c r="L2260" s="38"/>
    </row>
    <row r="2261" ht="22.5" customHeight="1">
      <c r="A2261" s="36" t="s">
        <v>5207</v>
      </c>
      <c r="B2261" s="36" t="s">
        <v>5208</v>
      </c>
      <c r="C2261" s="36" t="s">
        <v>1495</v>
      </c>
      <c r="D2261" s="36" t="s">
        <v>1496</v>
      </c>
      <c r="E2261" s="36" t="s">
        <v>1285</v>
      </c>
      <c r="F2261" s="36" t="s">
        <v>286</v>
      </c>
      <c r="G2261" s="36" t="s">
        <v>411</v>
      </c>
      <c r="H2261" s="37">
        <v>506.0</v>
      </c>
      <c r="I2261" s="36" t="s">
        <v>1301</v>
      </c>
      <c r="J2261" s="39" t="s">
        <v>286</v>
      </c>
      <c r="K2261" s="38"/>
      <c r="L2261" s="38"/>
    </row>
    <row r="2262" ht="22.5" customHeight="1">
      <c r="A2262" s="36" t="s">
        <v>5209</v>
      </c>
      <c r="B2262" s="36" t="s">
        <v>5210</v>
      </c>
      <c r="C2262" s="36" t="s">
        <v>1495</v>
      </c>
      <c r="D2262" s="36" t="s">
        <v>1496</v>
      </c>
      <c r="E2262" s="36" t="s">
        <v>1285</v>
      </c>
      <c r="F2262" s="36" t="s">
        <v>286</v>
      </c>
      <c r="G2262" s="36" t="s">
        <v>411</v>
      </c>
      <c r="H2262" s="37">
        <v>132.0</v>
      </c>
      <c r="I2262" s="36" t="s">
        <v>1301</v>
      </c>
      <c r="J2262" s="39" t="s">
        <v>286</v>
      </c>
      <c r="K2262" s="38"/>
      <c r="L2262" s="38"/>
    </row>
    <row r="2263" ht="22.5" customHeight="1">
      <c r="A2263" s="36" t="s">
        <v>5211</v>
      </c>
      <c r="B2263" s="36" t="s">
        <v>5212</v>
      </c>
      <c r="C2263" s="36" t="s">
        <v>1495</v>
      </c>
      <c r="D2263" s="36" t="s">
        <v>1496</v>
      </c>
      <c r="E2263" s="36" t="s">
        <v>1285</v>
      </c>
      <c r="F2263" s="36" t="s">
        <v>286</v>
      </c>
      <c r="G2263" s="36" t="s">
        <v>411</v>
      </c>
      <c r="H2263" s="37">
        <v>484.0</v>
      </c>
      <c r="I2263" s="36" t="s">
        <v>1301</v>
      </c>
      <c r="J2263" s="39" t="s">
        <v>286</v>
      </c>
      <c r="K2263" s="38"/>
      <c r="L2263" s="38"/>
    </row>
    <row r="2264" ht="22.5" customHeight="1">
      <c r="A2264" s="36" t="s">
        <v>5213</v>
      </c>
      <c r="B2264" s="36" t="s">
        <v>5214</v>
      </c>
      <c r="C2264" s="36" t="s">
        <v>1495</v>
      </c>
      <c r="D2264" s="36" t="s">
        <v>1496</v>
      </c>
      <c r="E2264" s="36" t="s">
        <v>1285</v>
      </c>
      <c r="F2264" s="36" t="s">
        <v>286</v>
      </c>
      <c r="G2264" s="36" t="s">
        <v>411</v>
      </c>
      <c r="H2264" s="37">
        <v>31.13</v>
      </c>
      <c r="I2264" s="36" t="s">
        <v>1301</v>
      </c>
      <c r="J2264" s="39" t="s">
        <v>286</v>
      </c>
      <c r="K2264" s="38"/>
      <c r="L2264" s="38"/>
    </row>
    <row r="2265" ht="22.5" customHeight="1">
      <c r="A2265" s="36" t="s">
        <v>5215</v>
      </c>
      <c r="B2265" s="36" t="s">
        <v>5216</v>
      </c>
      <c r="C2265" s="36" t="s">
        <v>1495</v>
      </c>
      <c r="D2265" s="36" t="s">
        <v>1496</v>
      </c>
      <c r="E2265" s="36" t="s">
        <v>1285</v>
      </c>
      <c r="F2265" s="36" t="s">
        <v>286</v>
      </c>
      <c r="G2265" s="36" t="s">
        <v>411</v>
      </c>
      <c r="H2265" s="37">
        <v>34.76</v>
      </c>
      <c r="I2265" s="36" t="s">
        <v>1301</v>
      </c>
      <c r="J2265" s="39" t="s">
        <v>286</v>
      </c>
      <c r="K2265" s="38"/>
      <c r="L2265" s="38"/>
    </row>
    <row r="2266" ht="22.5" customHeight="1">
      <c r="A2266" s="36" t="s">
        <v>5217</v>
      </c>
      <c r="B2266" s="36" t="s">
        <v>5218</v>
      </c>
      <c r="C2266" s="36" t="s">
        <v>1495</v>
      </c>
      <c r="D2266" s="36" t="s">
        <v>1496</v>
      </c>
      <c r="E2266" s="36" t="s">
        <v>1285</v>
      </c>
      <c r="F2266" s="36" t="s">
        <v>286</v>
      </c>
      <c r="G2266" s="36" t="s">
        <v>411</v>
      </c>
      <c r="H2266" s="37">
        <v>38.5</v>
      </c>
      <c r="I2266" s="36" t="s">
        <v>1301</v>
      </c>
      <c r="J2266" s="39" t="s">
        <v>286</v>
      </c>
      <c r="K2266" s="38"/>
      <c r="L2266" s="38"/>
    </row>
    <row r="2267" ht="22.5" customHeight="1">
      <c r="A2267" s="36" t="s">
        <v>5219</v>
      </c>
      <c r="B2267" s="36" t="s">
        <v>5220</v>
      </c>
      <c r="C2267" s="36" t="s">
        <v>1495</v>
      </c>
      <c r="D2267" s="36" t="s">
        <v>1496</v>
      </c>
      <c r="E2267" s="36" t="s">
        <v>1285</v>
      </c>
      <c r="F2267" s="36" t="s">
        <v>286</v>
      </c>
      <c r="G2267" s="36" t="s">
        <v>411</v>
      </c>
      <c r="H2267" s="37">
        <v>38.86</v>
      </c>
      <c r="I2267" s="36" t="s">
        <v>1301</v>
      </c>
      <c r="J2267" s="39" t="s">
        <v>286</v>
      </c>
      <c r="K2267" s="38"/>
      <c r="L2267" s="38"/>
    </row>
    <row r="2268" ht="22.5" customHeight="1">
      <c r="A2268" s="36" t="s">
        <v>5221</v>
      </c>
      <c r="B2268" s="36" t="s">
        <v>5222</v>
      </c>
      <c r="C2268" s="36" t="s">
        <v>1495</v>
      </c>
      <c r="D2268" s="36" t="s">
        <v>1496</v>
      </c>
      <c r="E2268" s="36" t="s">
        <v>1285</v>
      </c>
      <c r="F2268" s="36" t="s">
        <v>286</v>
      </c>
      <c r="G2268" s="36" t="s">
        <v>411</v>
      </c>
      <c r="H2268" s="37">
        <v>690.0</v>
      </c>
      <c r="I2268" s="36" t="s">
        <v>1301</v>
      </c>
      <c r="J2268" s="39" t="s">
        <v>286</v>
      </c>
      <c r="K2268" s="38"/>
      <c r="L2268" s="38"/>
    </row>
    <row r="2269" ht="22.5" customHeight="1">
      <c r="A2269" s="36" t="s">
        <v>5223</v>
      </c>
      <c r="B2269" s="36" t="s">
        <v>5224</v>
      </c>
      <c r="C2269" s="36" t="s">
        <v>1495</v>
      </c>
      <c r="D2269" s="36" t="s">
        <v>1496</v>
      </c>
      <c r="E2269" s="36" t="s">
        <v>1285</v>
      </c>
      <c r="F2269" s="36" t="s">
        <v>286</v>
      </c>
      <c r="G2269" s="36" t="s">
        <v>411</v>
      </c>
      <c r="H2269" s="37">
        <v>13.68</v>
      </c>
      <c r="I2269" s="36" t="s">
        <v>1301</v>
      </c>
      <c r="J2269" s="39" t="s">
        <v>286</v>
      </c>
      <c r="K2269" s="38"/>
      <c r="L2269" s="38"/>
    </row>
    <row r="2270" ht="22.5" customHeight="1">
      <c r="A2270" s="36" t="s">
        <v>5225</v>
      </c>
      <c r="B2270" s="36" t="s">
        <v>5226</v>
      </c>
      <c r="C2270" s="36" t="s">
        <v>1495</v>
      </c>
      <c r="D2270" s="36" t="s">
        <v>1496</v>
      </c>
      <c r="E2270" s="36" t="s">
        <v>1285</v>
      </c>
      <c r="F2270" s="36" t="s">
        <v>286</v>
      </c>
      <c r="G2270" s="36" t="s">
        <v>411</v>
      </c>
      <c r="H2270" s="37">
        <v>2.26</v>
      </c>
      <c r="I2270" s="36" t="s">
        <v>1301</v>
      </c>
      <c r="J2270" s="39" t="s">
        <v>286</v>
      </c>
      <c r="K2270" s="38"/>
      <c r="L2270" s="38"/>
    </row>
    <row r="2271" ht="22.5" customHeight="1">
      <c r="A2271" s="36" t="s">
        <v>5227</v>
      </c>
      <c r="B2271" s="36" t="s">
        <v>5228</v>
      </c>
      <c r="C2271" s="36" t="s">
        <v>1495</v>
      </c>
      <c r="D2271" s="36" t="s">
        <v>1496</v>
      </c>
      <c r="E2271" s="36" t="s">
        <v>1285</v>
      </c>
      <c r="F2271" s="36" t="s">
        <v>286</v>
      </c>
      <c r="G2271" s="36" t="s">
        <v>411</v>
      </c>
      <c r="H2271" s="37">
        <v>6.85</v>
      </c>
      <c r="I2271" s="36" t="s">
        <v>1301</v>
      </c>
      <c r="J2271" s="39" t="s">
        <v>286</v>
      </c>
      <c r="K2271" s="38"/>
      <c r="L2271" s="38"/>
    </row>
    <row r="2272" ht="22.5" customHeight="1">
      <c r="A2272" s="36" t="s">
        <v>5229</v>
      </c>
      <c r="B2272" s="36" t="s">
        <v>5230</v>
      </c>
      <c r="C2272" s="36" t="s">
        <v>1495</v>
      </c>
      <c r="D2272" s="36" t="s">
        <v>1496</v>
      </c>
      <c r="E2272" s="36" t="s">
        <v>1285</v>
      </c>
      <c r="F2272" s="36" t="s">
        <v>286</v>
      </c>
      <c r="G2272" s="36" t="s">
        <v>411</v>
      </c>
      <c r="H2272" s="37">
        <v>181.0</v>
      </c>
      <c r="I2272" s="36" t="s">
        <v>1301</v>
      </c>
      <c r="J2272" s="39" t="s">
        <v>286</v>
      </c>
      <c r="K2272" s="38"/>
      <c r="L2272" s="38"/>
    </row>
    <row r="2273" ht="22.5" customHeight="1">
      <c r="A2273" s="36" t="s">
        <v>5231</v>
      </c>
      <c r="B2273" s="36" t="s">
        <v>5232</v>
      </c>
      <c r="C2273" s="36" t="s">
        <v>1495</v>
      </c>
      <c r="D2273" s="36" t="s">
        <v>1496</v>
      </c>
      <c r="E2273" s="36" t="s">
        <v>1285</v>
      </c>
      <c r="F2273" s="36" t="s">
        <v>286</v>
      </c>
      <c r="G2273" s="36" t="s">
        <v>411</v>
      </c>
      <c r="H2273" s="37">
        <v>390.0</v>
      </c>
      <c r="I2273" s="36" t="s">
        <v>1301</v>
      </c>
      <c r="J2273" s="39" t="s">
        <v>286</v>
      </c>
      <c r="K2273" s="38"/>
      <c r="L2273" s="38"/>
    </row>
    <row r="2274" ht="22.5" customHeight="1">
      <c r="A2274" s="36" t="s">
        <v>5233</v>
      </c>
      <c r="B2274" s="36" t="s">
        <v>5234</v>
      </c>
      <c r="C2274" s="36" t="s">
        <v>1495</v>
      </c>
      <c r="D2274" s="36" t="s">
        <v>1496</v>
      </c>
      <c r="E2274" s="36" t="s">
        <v>1285</v>
      </c>
      <c r="F2274" s="36" t="s">
        <v>286</v>
      </c>
      <c r="G2274" s="36" t="s">
        <v>411</v>
      </c>
      <c r="H2274" s="37">
        <v>1.5</v>
      </c>
      <c r="I2274" s="36" t="s">
        <v>1301</v>
      </c>
      <c r="J2274" s="39" t="s">
        <v>286</v>
      </c>
      <c r="K2274" s="38"/>
      <c r="L2274" s="38"/>
    </row>
    <row r="2275" ht="22.5" customHeight="1">
      <c r="A2275" s="36" t="s">
        <v>5235</v>
      </c>
      <c r="B2275" s="36" t="s">
        <v>5236</v>
      </c>
      <c r="C2275" s="36" t="s">
        <v>1495</v>
      </c>
      <c r="D2275" s="36" t="s">
        <v>1496</v>
      </c>
      <c r="E2275" s="36" t="s">
        <v>1285</v>
      </c>
      <c r="F2275" s="36" t="s">
        <v>286</v>
      </c>
      <c r="G2275" s="36" t="s">
        <v>411</v>
      </c>
      <c r="H2275" s="37">
        <v>2.81</v>
      </c>
      <c r="I2275" s="36" t="s">
        <v>1301</v>
      </c>
      <c r="J2275" s="39" t="s">
        <v>286</v>
      </c>
      <c r="K2275" s="38"/>
      <c r="L2275" s="38"/>
    </row>
    <row r="2276" ht="22.5" customHeight="1">
      <c r="A2276" s="36" t="s">
        <v>5237</v>
      </c>
      <c r="B2276" s="36" t="s">
        <v>5238</v>
      </c>
      <c r="C2276" s="36" t="s">
        <v>1495</v>
      </c>
      <c r="D2276" s="36" t="s">
        <v>1496</v>
      </c>
      <c r="E2276" s="36" t="s">
        <v>1285</v>
      </c>
      <c r="F2276" s="36" t="s">
        <v>286</v>
      </c>
      <c r="G2276" s="36" t="s">
        <v>411</v>
      </c>
      <c r="H2276" s="37">
        <v>5.14</v>
      </c>
      <c r="I2276" s="36" t="s">
        <v>1301</v>
      </c>
      <c r="J2276" s="39" t="s">
        <v>286</v>
      </c>
      <c r="K2276" s="38"/>
      <c r="L2276" s="38"/>
    </row>
    <row r="2277" ht="22.5" customHeight="1">
      <c r="A2277" s="36" t="s">
        <v>5239</v>
      </c>
      <c r="B2277" s="36" t="s">
        <v>5240</v>
      </c>
      <c r="C2277" s="36" t="s">
        <v>1495</v>
      </c>
      <c r="D2277" s="36" t="s">
        <v>1496</v>
      </c>
      <c r="E2277" s="36" t="s">
        <v>1285</v>
      </c>
      <c r="F2277" s="36" t="s">
        <v>286</v>
      </c>
      <c r="G2277" s="36" t="s">
        <v>411</v>
      </c>
      <c r="H2277" s="37">
        <v>10.12</v>
      </c>
      <c r="I2277" s="36" t="s">
        <v>1301</v>
      </c>
      <c r="J2277" s="39" t="s">
        <v>286</v>
      </c>
      <c r="K2277" s="38"/>
      <c r="L2277" s="38"/>
    </row>
    <row r="2278" ht="22.5" customHeight="1">
      <c r="A2278" s="36" t="s">
        <v>5241</v>
      </c>
      <c r="B2278" s="36" t="s">
        <v>5242</v>
      </c>
      <c r="C2278" s="36" t="s">
        <v>1495</v>
      </c>
      <c r="D2278" s="36" t="s">
        <v>1496</v>
      </c>
      <c r="E2278" s="36" t="s">
        <v>1285</v>
      </c>
      <c r="F2278" s="36" t="s">
        <v>286</v>
      </c>
      <c r="G2278" s="36" t="s">
        <v>411</v>
      </c>
      <c r="H2278" s="37">
        <v>28.98</v>
      </c>
      <c r="I2278" s="36" t="s">
        <v>1301</v>
      </c>
      <c r="J2278" s="39" t="s">
        <v>286</v>
      </c>
      <c r="K2278" s="38"/>
      <c r="L2278" s="38"/>
    </row>
    <row r="2279" ht="22.5" customHeight="1">
      <c r="A2279" s="36" t="s">
        <v>5243</v>
      </c>
      <c r="B2279" s="36" t="s">
        <v>5244</v>
      </c>
      <c r="C2279" s="36" t="s">
        <v>1495</v>
      </c>
      <c r="D2279" s="36" t="s">
        <v>1496</v>
      </c>
      <c r="E2279" s="36" t="s">
        <v>1285</v>
      </c>
      <c r="F2279" s="36" t="s">
        <v>286</v>
      </c>
      <c r="G2279" s="36" t="s">
        <v>411</v>
      </c>
      <c r="H2279" s="37">
        <v>9.2</v>
      </c>
      <c r="I2279" s="36" t="s">
        <v>1301</v>
      </c>
      <c r="J2279" s="39" t="s">
        <v>286</v>
      </c>
      <c r="K2279" s="38"/>
      <c r="L2279" s="38"/>
    </row>
    <row r="2280" ht="22.5" customHeight="1">
      <c r="A2280" s="36" t="s">
        <v>5245</v>
      </c>
      <c r="B2280" s="36" t="s">
        <v>5246</v>
      </c>
      <c r="C2280" s="36" t="s">
        <v>1495</v>
      </c>
      <c r="D2280" s="36" t="s">
        <v>1496</v>
      </c>
      <c r="E2280" s="36" t="s">
        <v>1285</v>
      </c>
      <c r="F2280" s="36" t="s">
        <v>286</v>
      </c>
      <c r="G2280" s="36" t="s">
        <v>411</v>
      </c>
      <c r="H2280" s="37">
        <v>25.04</v>
      </c>
      <c r="I2280" s="36" t="s">
        <v>1301</v>
      </c>
      <c r="J2280" s="39" t="s">
        <v>286</v>
      </c>
      <c r="K2280" s="38"/>
      <c r="L2280" s="38"/>
    </row>
    <row r="2281" ht="22.5" customHeight="1">
      <c r="A2281" s="36" t="s">
        <v>5247</v>
      </c>
      <c r="B2281" s="36" t="s">
        <v>5248</v>
      </c>
      <c r="C2281" s="36" t="s">
        <v>1495</v>
      </c>
      <c r="D2281" s="36" t="s">
        <v>1496</v>
      </c>
      <c r="E2281" s="36" t="s">
        <v>1285</v>
      </c>
      <c r="F2281" s="36" t="s">
        <v>286</v>
      </c>
      <c r="G2281" s="36" t="s">
        <v>411</v>
      </c>
      <c r="H2281" s="37">
        <v>8.74</v>
      </c>
      <c r="I2281" s="36" t="s">
        <v>1301</v>
      </c>
      <c r="J2281" s="39" t="s">
        <v>286</v>
      </c>
      <c r="K2281" s="38"/>
      <c r="L2281" s="38"/>
    </row>
    <row r="2282" ht="22.5" customHeight="1">
      <c r="A2282" s="36" t="s">
        <v>5249</v>
      </c>
      <c r="B2282" s="36" t="s">
        <v>5250</v>
      </c>
      <c r="C2282" s="36" t="s">
        <v>1495</v>
      </c>
      <c r="D2282" s="36" t="s">
        <v>1496</v>
      </c>
      <c r="E2282" s="36" t="s">
        <v>1285</v>
      </c>
      <c r="F2282" s="36" t="s">
        <v>286</v>
      </c>
      <c r="G2282" s="36" t="s">
        <v>411</v>
      </c>
      <c r="H2282" s="37">
        <v>52.57</v>
      </c>
      <c r="I2282" s="36" t="s">
        <v>1301</v>
      </c>
      <c r="J2282" s="39" t="s">
        <v>286</v>
      </c>
      <c r="K2282" s="38"/>
      <c r="L2282" s="38"/>
    </row>
    <row r="2283" ht="22.5" customHeight="1">
      <c r="A2283" s="36" t="s">
        <v>5251</v>
      </c>
      <c r="B2283" s="36" t="s">
        <v>5252</v>
      </c>
      <c r="C2283" s="36" t="s">
        <v>1495</v>
      </c>
      <c r="D2283" s="36" t="s">
        <v>1496</v>
      </c>
      <c r="E2283" s="36" t="s">
        <v>1285</v>
      </c>
      <c r="F2283" s="36" t="s">
        <v>286</v>
      </c>
      <c r="G2283" s="36" t="s">
        <v>411</v>
      </c>
      <c r="H2283" s="37">
        <v>330.0</v>
      </c>
      <c r="I2283" s="36" t="s">
        <v>1301</v>
      </c>
      <c r="J2283" s="39" t="s">
        <v>286</v>
      </c>
      <c r="K2283" s="38"/>
      <c r="L2283" s="38"/>
    </row>
    <row r="2284" ht="22.5" customHeight="1">
      <c r="A2284" s="36" t="s">
        <v>5253</v>
      </c>
      <c r="B2284" s="36" t="s">
        <v>5254</v>
      </c>
      <c r="C2284" s="36" t="s">
        <v>1495</v>
      </c>
      <c r="D2284" s="36" t="s">
        <v>1496</v>
      </c>
      <c r="E2284" s="36" t="s">
        <v>1285</v>
      </c>
      <c r="F2284" s="36" t="s">
        <v>286</v>
      </c>
      <c r="G2284" s="36" t="s">
        <v>411</v>
      </c>
      <c r="H2284" s="37">
        <v>72.46</v>
      </c>
      <c r="I2284" s="36" t="s">
        <v>1301</v>
      </c>
      <c r="J2284" s="39" t="s">
        <v>286</v>
      </c>
      <c r="K2284" s="38"/>
      <c r="L2284" s="38"/>
    </row>
    <row r="2285" ht="22.5" customHeight="1">
      <c r="A2285" s="36" t="s">
        <v>5255</v>
      </c>
      <c r="B2285" s="36" t="s">
        <v>5256</v>
      </c>
      <c r="C2285" s="36" t="s">
        <v>1495</v>
      </c>
      <c r="D2285" s="36" t="s">
        <v>1496</v>
      </c>
      <c r="E2285" s="36" t="s">
        <v>1285</v>
      </c>
      <c r="F2285" s="36" t="s">
        <v>286</v>
      </c>
      <c r="G2285" s="36" t="s">
        <v>411</v>
      </c>
      <c r="H2285" s="37">
        <v>170.68</v>
      </c>
      <c r="I2285" s="36" t="s">
        <v>1301</v>
      </c>
      <c r="J2285" s="39" t="s">
        <v>286</v>
      </c>
      <c r="K2285" s="38"/>
      <c r="L2285" s="38"/>
    </row>
    <row r="2286" ht="22.5" customHeight="1">
      <c r="A2286" s="36" t="s">
        <v>5257</v>
      </c>
      <c r="B2286" s="36" t="s">
        <v>5258</v>
      </c>
      <c r="C2286" s="36" t="s">
        <v>1495</v>
      </c>
      <c r="D2286" s="36" t="s">
        <v>1496</v>
      </c>
      <c r="E2286" s="36" t="s">
        <v>1285</v>
      </c>
      <c r="F2286" s="36" t="s">
        <v>286</v>
      </c>
      <c r="G2286" s="36" t="s">
        <v>411</v>
      </c>
      <c r="H2286" s="37">
        <v>171.68</v>
      </c>
      <c r="I2286" s="36" t="s">
        <v>1301</v>
      </c>
      <c r="J2286" s="39" t="s">
        <v>286</v>
      </c>
      <c r="K2286" s="38"/>
      <c r="L2286" s="38"/>
    </row>
    <row r="2287" ht="22.5" customHeight="1">
      <c r="A2287" s="36" t="s">
        <v>5259</v>
      </c>
      <c r="B2287" s="36" t="s">
        <v>5260</v>
      </c>
      <c r="C2287" s="36" t="s">
        <v>1495</v>
      </c>
      <c r="D2287" s="36" t="s">
        <v>1496</v>
      </c>
      <c r="E2287" s="36" t="s">
        <v>1285</v>
      </c>
      <c r="F2287" s="36" t="s">
        <v>286</v>
      </c>
      <c r="G2287" s="36" t="s">
        <v>411</v>
      </c>
      <c r="H2287" s="37">
        <v>173.48</v>
      </c>
      <c r="I2287" s="36" t="s">
        <v>1301</v>
      </c>
      <c r="J2287" s="39" t="s">
        <v>286</v>
      </c>
      <c r="K2287" s="38"/>
      <c r="L2287" s="38"/>
    </row>
    <row r="2288" ht="22.5" customHeight="1">
      <c r="A2288" s="36" t="s">
        <v>5261</v>
      </c>
      <c r="B2288" s="36" t="s">
        <v>5262</v>
      </c>
      <c r="C2288" s="36" t="s">
        <v>1495</v>
      </c>
      <c r="D2288" s="36" t="s">
        <v>1496</v>
      </c>
      <c r="E2288" s="36" t="s">
        <v>1285</v>
      </c>
      <c r="F2288" s="36" t="s">
        <v>286</v>
      </c>
      <c r="G2288" s="36" t="s">
        <v>411</v>
      </c>
      <c r="H2288" s="37">
        <v>172.68</v>
      </c>
      <c r="I2288" s="36" t="s">
        <v>1301</v>
      </c>
      <c r="J2288" s="39" t="s">
        <v>286</v>
      </c>
      <c r="K2288" s="38"/>
      <c r="L2288" s="38"/>
    </row>
    <row r="2289" ht="22.5" customHeight="1">
      <c r="A2289" s="36" t="s">
        <v>5263</v>
      </c>
      <c r="B2289" s="36" t="s">
        <v>5264</v>
      </c>
      <c r="C2289" s="36" t="s">
        <v>1495</v>
      </c>
      <c r="D2289" s="36" t="s">
        <v>1496</v>
      </c>
      <c r="E2289" s="36" t="s">
        <v>1285</v>
      </c>
      <c r="F2289" s="36" t="s">
        <v>286</v>
      </c>
      <c r="G2289" s="36" t="s">
        <v>411</v>
      </c>
      <c r="H2289" s="37">
        <v>245.0</v>
      </c>
      <c r="I2289" s="36" t="s">
        <v>1301</v>
      </c>
      <c r="J2289" s="39" t="s">
        <v>286</v>
      </c>
      <c r="K2289" s="38"/>
      <c r="L2289" s="38"/>
    </row>
    <row r="2290" ht="22.5" customHeight="1">
      <c r="A2290" s="36" t="s">
        <v>5265</v>
      </c>
      <c r="B2290" s="36" t="s">
        <v>5266</v>
      </c>
      <c r="C2290" s="36" t="s">
        <v>1495</v>
      </c>
      <c r="D2290" s="36" t="s">
        <v>1496</v>
      </c>
      <c r="E2290" s="36" t="s">
        <v>1285</v>
      </c>
      <c r="F2290" s="36" t="s">
        <v>286</v>
      </c>
      <c r="G2290" s="36" t="s">
        <v>411</v>
      </c>
      <c r="H2290" s="37">
        <v>51.7</v>
      </c>
      <c r="I2290" s="36" t="s">
        <v>1301</v>
      </c>
      <c r="J2290" s="39" t="s">
        <v>286</v>
      </c>
      <c r="K2290" s="38"/>
      <c r="L2290" s="38"/>
    </row>
    <row r="2291" ht="22.5" customHeight="1">
      <c r="A2291" s="36" t="s">
        <v>5267</v>
      </c>
      <c r="B2291" s="36" t="s">
        <v>5268</v>
      </c>
      <c r="C2291" s="36" t="s">
        <v>1495</v>
      </c>
      <c r="D2291" s="36" t="s">
        <v>1496</v>
      </c>
      <c r="E2291" s="36" t="s">
        <v>1285</v>
      </c>
      <c r="F2291" s="36" t="s">
        <v>286</v>
      </c>
      <c r="G2291" s="36" t="s">
        <v>411</v>
      </c>
      <c r="H2291" s="37">
        <v>1.88</v>
      </c>
      <c r="I2291" s="36" t="s">
        <v>1301</v>
      </c>
      <c r="J2291" s="39" t="s">
        <v>286</v>
      </c>
      <c r="K2291" s="38"/>
      <c r="L2291" s="38"/>
    </row>
    <row r="2292" ht="22.5" customHeight="1">
      <c r="A2292" s="36" t="s">
        <v>5269</v>
      </c>
      <c r="B2292" s="36" t="s">
        <v>5270</v>
      </c>
      <c r="C2292" s="36" t="s">
        <v>1495</v>
      </c>
      <c r="D2292" s="36" t="s">
        <v>1496</v>
      </c>
      <c r="E2292" s="36" t="s">
        <v>1285</v>
      </c>
      <c r="F2292" s="36" t="s">
        <v>286</v>
      </c>
      <c r="G2292" s="36" t="s">
        <v>411</v>
      </c>
      <c r="H2292" s="37">
        <v>918.61</v>
      </c>
      <c r="I2292" s="36" t="s">
        <v>1301</v>
      </c>
      <c r="J2292" s="39" t="s">
        <v>286</v>
      </c>
      <c r="K2292" s="38"/>
      <c r="L2292" s="38"/>
    </row>
    <row r="2293" ht="22.5" customHeight="1">
      <c r="A2293" s="36" t="s">
        <v>5271</v>
      </c>
      <c r="B2293" s="36" t="s">
        <v>5272</v>
      </c>
      <c r="C2293" s="36" t="s">
        <v>1495</v>
      </c>
      <c r="D2293" s="36" t="s">
        <v>1496</v>
      </c>
      <c r="E2293" s="36" t="s">
        <v>1285</v>
      </c>
      <c r="F2293" s="36" t="s">
        <v>286</v>
      </c>
      <c r="G2293" s="36" t="s">
        <v>411</v>
      </c>
      <c r="H2293" s="37">
        <v>612.4</v>
      </c>
      <c r="I2293" s="36" t="s">
        <v>1301</v>
      </c>
      <c r="J2293" s="39" t="s">
        <v>286</v>
      </c>
      <c r="K2293" s="38"/>
      <c r="L2293" s="38"/>
    </row>
    <row r="2294" ht="22.5" customHeight="1">
      <c r="A2294" s="36" t="s">
        <v>5273</v>
      </c>
      <c r="B2294" s="36" t="s">
        <v>5274</v>
      </c>
      <c r="C2294" s="36" t="s">
        <v>1495</v>
      </c>
      <c r="D2294" s="36" t="s">
        <v>1496</v>
      </c>
      <c r="E2294" s="36" t="s">
        <v>1285</v>
      </c>
      <c r="F2294" s="36" t="s">
        <v>286</v>
      </c>
      <c r="G2294" s="36" t="s">
        <v>411</v>
      </c>
      <c r="H2294" s="37">
        <v>352.98</v>
      </c>
      <c r="I2294" s="36" t="s">
        <v>1301</v>
      </c>
      <c r="J2294" s="39" t="s">
        <v>286</v>
      </c>
      <c r="K2294" s="38"/>
      <c r="L2294" s="38"/>
    </row>
    <row r="2295" ht="22.5" customHeight="1">
      <c r="A2295" s="36" t="s">
        <v>5275</v>
      </c>
      <c r="B2295" s="36" t="s">
        <v>5276</v>
      </c>
      <c r="C2295" s="36" t="s">
        <v>1495</v>
      </c>
      <c r="D2295" s="36" t="s">
        <v>1496</v>
      </c>
      <c r="E2295" s="36" t="s">
        <v>1285</v>
      </c>
      <c r="F2295" s="36" t="s">
        <v>286</v>
      </c>
      <c r="G2295" s="36" t="s">
        <v>411</v>
      </c>
      <c r="H2295" s="37">
        <v>722.85</v>
      </c>
      <c r="I2295" s="36" t="s">
        <v>1301</v>
      </c>
      <c r="J2295" s="39" t="s">
        <v>286</v>
      </c>
      <c r="K2295" s="38"/>
      <c r="L2295" s="38"/>
    </row>
    <row r="2296" ht="22.5" customHeight="1">
      <c r="A2296" s="36" t="s">
        <v>5277</v>
      </c>
      <c r="B2296" s="36" t="s">
        <v>5278</v>
      </c>
      <c r="C2296" s="36" t="s">
        <v>1495</v>
      </c>
      <c r="D2296" s="36" t="s">
        <v>1496</v>
      </c>
      <c r="E2296" s="36" t="s">
        <v>1285</v>
      </c>
      <c r="F2296" s="36" t="s">
        <v>286</v>
      </c>
      <c r="G2296" s="36" t="s">
        <v>411</v>
      </c>
      <c r="H2296" s="37">
        <v>356.87</v>
      </c>
      <c r="I2296" s="36" t="s">
        <v>1301</v>
      </c>
      <c r="J2296" s="39" t="s">
        <v>286</v>
      </c>
      <c r="K2296" s="38"/>
      <c r="L2296" s="38"/>
    </row>
    <row r="2297" ht="22.5" customHeight="1">
      <c r="A2297" s="36" t="s">
        <v>5279</v>
      </c>
      <c r="B2297" s="36" t="s">
        <v>5280</v>
      </c>
      <c r="C2297" s="36" t="s">
        <v>1495</v>
      </c>
      <c r="D2297" s="36" t="s">
        <v>1496</v>
      </c>
      <c r="E2297" s="36" t="s">
        <v>1285</v>
      </c>
      <c r="F2297" s="36" t="s">
        <v>286</v>
      </c>
      <c r="G2297" s="36" t="s">
        <v>411</v>
      </c>
      <c r="H2297" s="37">
        <v>655.88</v>
      </c>
      <c r="I2297" s="36" t="s">
        <v>1301</v>
      </c>
      <c r="J2297" s="39" t="s">
        <v>286</v>
      </c>
      <c r="K2297" s="38"/>
      <c r="L2297" s="38"/>
    </row>
    <row r="2298" ht="22.5" customHeight="1">
      <c r="A2298" s="36" t="s">
        <v>5281</v>
      </c>
      <c r="B2298" s="36" t="s">
        <v>5282</v>
      </c>
      <c r="C2298" s="36" t="s">
        <v>1495</v>
      </c>
      <c r="D2298" s="36" t="s">
        <v>1496</v>
      </c>
      <c r="E2298" s="36" t="s">
        <v>1285</v>
      </c>
      <c r="F2298" s="36" t="s">
        <v>286</v>
      </c>
      <c r="G2298" s="36" t="s">
        <v>411</v>
      </c>
      <c r="H2298" s="37">
        <v>2150.0</v>
      </c>
      <c r="I2298" s="36" t="s">
        <v>1301</v>
      </c>
      <c r="J2298" s="39" t="s">
        <v>286</v>
      </c>
      <c r="K2298" s="38"/>
      <c r="L2298" s="38"/>
    </row>
    <row r="2299" ht="22.5" customHeight="1">
      <c r="A2299" s="36" t="s">
        <v>5283</v>
      </c>
      <c r="B2299" s="36" t="s">
        <v>5284</v>
      </c>
      <c r="C2299" s="36" t="s">
        <v>1495</v>
      </c>
      <c r="D2299" s="36" t="s">
        <v>1496</v>
      </c>
      <c r="E2299" s="36" t="s">
        <v>1285</v>
      </c>
      <c r="F2299" s="36" t="s">
        <v>286</v>
      </c>
      <c r="G2299" s="36" t="s">
        <v>411</v>
      </c>
      <c r="H2299" s="37">
        <v>55.75</v>
      </c>
      <c r="I2299" s="36" t="s">
        <v>1301</v>
      </c>
      <c r="J2299" s="39" t="s">
        <v>286</v>
      </c>
      <c r="K2299" s="38"/>
      <c r="L2299" s="38"/>
    </row>
    <row r="2300" ht="22.5" customHeight="1">
      <c r="A2300" s="36" t="s">
        <v>5285</v>
      </c>
      <c r="B2300" s="36" t="s">
        <v>5286</v>
      </c>
      <c r="C2300" s="36" t="s">
        <v>1495</v>
      </c>
      <c r="D2300" s="36" t="s">
        <v>1496</v>
      </c>
      <c r="E2300" s="36" t="s">
        <v>1285</v>
      </c>
      <c r="F2300" s="36" t="s">
        <v>286</v>
      </c>
      <c r="G2300" s="36" t="s">
        <v>411</v>
      </c>
      <c r="H2300" s="37">
        <v>22.22</v>
      </c>
      <c r="I2300" s="36" t="s">
        <v>1301</v>
      </c>
      <c r="J2300" s="39" t="s">
        <v>286</v>
      </c>
      <c r="K2300" s="38"/>
      <c r="L2300" s="38"/>
    </row>
    <row r="2301" ht="22.5" customHeight="1">
      <c r="A2301" s="36" t="s">
        <v>5287</v>
      </c>
      <c r="B2301" s="36" t="s">
        <v>5288</v>
      </c>
      <c r="C2301" s="36" t="s">
        <v>1495</v>
      </c>
      <c r="D2301" s="36" t="s">
        <v>1496</v>
      </c>
      <c r="E2301" s="36" t="s">
        <v>1285</v>
      </c>
      <c r="F2301" s="36" t="s">
        <v>286</v>
      </c>
      <c r="G2301" s="36" t="s">
        <v>411</v>
      </c>
      <c r="H2301" s="37">
        <v>83.71</v>
      </c>
      <c r="I2301" s="36" t="s">
        <v>1301</v>
      </c>
      <c r="J2301" s="39" t="s">
        <v>286</v>
      </c>
      <c r="K2301" s="38"/>
      <c r="L2301" s="38"/>
    </row>
    <row r="2302" ht="22.5" customHeight="1">
      <c r="A2302" s="36" t="s">
        <v>5289</v>
      </c>
      <c r="B2302" s="36" t="s">
        <v>5290</v>
      </c>
      <c r="C2302" s="36" t="s">
        <v>1495</v>
      </c>
      <c r="D2302" s="36" t="s">
        <v>1496</v>
      </c>
      <c r="E2302" s="36" t="s">
        <v>1285</v>
      </c>
      <c r="F2302" s="36" t="s">
        <v>286</v>
      </c>
      <c r="G2302" s="36" t="s">
        <v>411</v>
      </c>
      <c r="H2302" s="37">
        <v>4.01</v>
      </c>
      <c r="I2302" s="36" t="s">
        <v>1301</v>
      </c>
      <c r="J2302" s="39" t="s">
        <v>286</v>
      </c>
      <c r="K2302" s="38"/>
      <c r="L2302" s="38"/>
    </row>
    <row r="2303" ht="22.5" customHeight="1">
      <c r="A2303" s="36" t="s">
        <v>5291</v>
      </c>
      <c r="B2303" s="36" t="s">
        <v>5292</v>
      </c>
      <c r="C2303" s="36" t="s">
        <v>1495</v>
      </c>
      <c r="D2303" s="36" t="s">
        <v>1496</v>
      </c>
      <c r="E2303" s="36" t="s">
        <v>1285</v>
      </c>
      <c r="F2303" s="36" t="s">
        <v>286</v>
      </c>
      <c r="G2303" s="36" t="s">
        <v>411</v>
      </c>
      <c r="H2303" s="37">
        <v>6.85</v>
      </c>
      <c r="I2303" s="36" t="s">
        <v>1301</v>
      </c>
      <c r="J2303" s="39" t="s">
        <v>286</v>
      </c>
      <c r="K2303" s="38"/>
      <c r="L2303" s="38"/>
    </row>
    <row r="2304" ht="22.5" customHeight="1">
      <c r="A2304" s="36" t="s">
        <v>5293</v>
      </c>
      <c r="B2304" s="36" t="s">
        <v>5294</v>
      </c>
      <c r="C2304" s="36" t="s">
        <v>1495</v>
      </c>
      <c r="D2304" s="36" t="s">
        <v>1496</v>
      </c>
      <c r="E2304" s="36" t="s">
        <v>1285</v>
      </c>
      <c r="F2304" s="36" t="s">
        <v>286</v>
      </c>
      <c r="G2304" s="36" t="s">
        <v>411</v>
      </c>
      <c r="H2304" s="37">
        <v>62.61</v>
      </c>
      <c r="I2304" s="36" t="s">
        <v>1301</v>
      </c>
      <c r="J2304" s="39" t="s">
        <v>286</v>
      </c>
      <c r="K2304" s="38"/>
      <c r="L2304" s="38"/>
    </row>
    <row r="2305" ht="22.5" customHeight="1">
      <c r="A2305" s="36" t="s">
        <v>5295</v>
      </c>
      <c r="B2305" s="36" t="s">
        <v>5296</v>
      </c>
      <c r="C2305" s="36" t="s">
        <v>1495</v>
      </c>
      <c r="D2305" s="36" t="s">
        <v>1496</v>
      </c>
      <c r="E2305" s="36" t="s">
        <v>1285</v>
      </c>
      <c r="F2305" s="36" t="s">
        <v>286</v>
      </c>
      <c r="G2305" s="36" t="s">
        <v>411</v>
      </c>
      <c r="H2305" s="37">
        <v>48.13</v>
      </c>
      <c r="I2305" s="36" t="s">
        <v>1301</v>
      </c>
      <c r="J2305" s="39" t="s">
        <v>286</v>
      </c>
      <c r="K2305" s="38"/>
      <c r="L2305" s="38"/>
    </row>
    <row r="2306" ht="22.5" customHeight="1">
      <c r="A2306" s="36" t="s">
        <v>5297</v>
      </c>
      <c r="B2306" s="36" t="s">
        <v>5298</v>
      </c>
      <c r="C2306" s="36" t="s">
        <v>1495</v>
      </c>
      <c r="D2306" s="36" t="s">
        <v>1496</v>
      </c>
      <c r="E2306" s="36" t="s">
        <v>1285</v>
      </c>
      <c r="F2306" s="36" t="s">
        <v>286</v>
      </c>
      <c r="G2306" s="36" t="s">
        <v>411</v>
      </c>
      <c r="H2306" s="37">
        <v>32.3</v>
      </c>
      <c r="I2306" s="36" t="s">
        <v>1301</v>
      </c>
      <c r="J2306" s="39" t="s">
        <v>286</v>
      </c>
      <c r="K2306" s="38"/>
      <c r="L2306" s="38"/>
    </row>
    <row r="2307" ht="22.5" customHeight="1">
      <c r="A2307" s="36" t="s">
        <v>5299</v>
      </c>
      <c r="B2307" s="36" t="s">
        <v>5300</v>
      </c>
      <c r="C2307" s="36" t="s">
        <v>1495</v>
      </c>
      <c r="D2307" s="36" t="s">
        <v>1496</v>
      </c>
      <c r="E2307" s="36" t="s">
        <v>1285</v>
      </c>
      <c r="F2307" s="36" t="s">
        <v>286</v>
      </c>
      <c r="G2307" s="36" t="s">
        <v>411</v>
      </c>
      <c r="H2307" s="37">
        <v>19.36</v>
      </c>
      <c r="I2307" s="36" t="s">
        <v>1301</v>
      </c>
      <c r="J2307" s="39" t="s">
        <v>286</v>
      </c>
      <c r="K2307" s="38"/>
      <c r="L2307" s="38"/>
    </row>
    <row r="2308" ht="22.5" customHeight="1">
      <c r="A2308" s="36" t="s">
        <v>5301</v>
      </c>
      <c r="B2308" s="36" t="s">
        <v>5302</v>
      </c>
      <c r="C2308" s="36" t="s">
        <v>1495</v>
      </c>
      <c r="D2308" s="36" t="s">
        <v>1496</v>
      </c>
      <c r="E2308" s="36" t="s">
        <v>1285</v>
      </c>
      <c r="F2308" s="36" t="s">
        <v>286</v>
      </c>
      <c r="G2308" s="36" t="s">
        <v>411</v>
      </c>
      <c r="H2308" s="37">
        <v>41.23</v>
      </c>
      <c r="I2308" s="36" t="s">
        <v>1301</v>
      </c>
      <c r="J2308" s="39" t="s">
        <v>286</v>
      </c>
      <c r="K2308" s="38"/>
      <c r="L2308" s="38"/>
    </row>
    <row r="2309" ht="22.5" customHeight="1">
      <c r="A2309" s="36" t="s">
        <v>5303</v>
      </c>
      <c r="B2309" s="36" t="s">
        <v>5304</v>
      </c>
      <c r="C2309" s="36" t="s">
        <v>1495</v>
      </c>
      <c r="D2309" s="36" t="s">
        <v>1496</v>
      </c>
      <c r="E2309" s="36" t="s">
        <v>1285</v>
      </c>
      <c r="F2309" s="36" t="s">
        <v>286</v>
      </c>
      <c r="G2309" s="36" t="s">
        <v>411</v>
      </c>
      <c r="H2309" s="37">
        <v>53.0</v>
      </c>
      <c r="I2309" s="36" t="s">
        <v>1301</v>
      </c>
      <c r="J2309" s="39" t="s">
        <v>286</v>
      </c>
      <c r="K2309" s="38"/>
      <c r="L2309" s="38"/>
    </row>
    <row r="2310" ht="22.5" customHeight="1">
      <c r="A2310" s="36" t="s">
        <v>5305</v>
      </c>
      <c r="B2310" s="36" t="s">
        <v>5306</v>
      </c>
      <c r="C2310" s="36" t="s">
        <v>1495</v>
      </c>
      <c r="D2310" s="36" t="s">
        <v>1496</v>
      </c>
      <c r="E2310" s="36" t="s">
        <v>1285</v>
      </c>
      <c r="F2310" s="36" t="s">
        <v>286</v>
      </c>
      <c r="G2310" s="36" t="s">
        <v>411</v>
      </c>
      <c r="H2310" s="37">
        <v>76.88</v>
      </c>
      <c r="I2310" s="36" t="s">
        <v>1301</v>
      </c>
      <c r="J2310" s="39" t="s">
        <v>286</v>
      </c>
      <c r="K2310" s="38"/>
      <c r="L2310" s="38"/>
    </row>
    <row r="2311" ht="22.5" customHeight="1">
      <c r="A2311" s="36" t="s">
        <v>5307</v>
      </c>
      <c r="B2311" s="36" t="s">
        <v>5308</v>
      </c>
      <c r="C2311" s="36" t="s">
        <v>1495</v>
      </c>
      <c r="D2311" s="36" t="s">
        <v>1496</v>
      </c>
      <c r="E2311" s="36" t="s">
        <v>1285</v>
      </c>
      <c r="F2311" s="36" t="s">
        <v>286</v>
      </c>
      <c r="G2311" s="36" t="s">
        <v>411</v>
      </c>
      <c r="H2311" s="37">
        <v>51.85</v>
      </c>
      <c r="I2311" s="36" t="s">
        <v>1301</v>
      </c>
      <c r="J2311" s="39" t="s">
        <v>286</v>
      </c>
      <c r="K2311" s="38"/>
      <c r="L2311" s="38"/>
    </row>
    <row r="2312" ht="22.5" customHeight="1">
      <c r="A2312" s="36" t="s">
        <v>5309</v>
      </c>
      <c r="B2312" s="36" t="s">
        <v>5310</v>
      </c>
      <c r="C2312" s="36" t="s">
        <v>1495</v>
      </c>
      <c r="D2312" s="36" t="s">
        <v>1496</v>
      </c>
      <c r="E2312" s="36" t="s">
        <v>287</v>
      </c>
      <c r="F2312" s="36" t="s">
        <v>286</v>
      </c>
      <c r="G2312" s="36" t="s">
        <v>411</v>
      </c>
      <c r="H2312" s="37">
        <v>98.86</v>
      </c>
      <c r="I2312" s="36" t="s">
        <v>1301</v>
      </c>
      <c r="J2312" s="39" t="s">
        <v>286</v>
      </c>
      <c r="K2312" s="38"/>
      <c r="L2312" s="38"/>
    </row>
    <row r="2313" ht="22.5" customHeight="1">
      <c r="A2313" s="36" t="s">
        <v>5311</v>
      </c>
      <c r="B2313" s="36" t="s">
        <v>5312</v>
      </c>
      <c r="C2313" s="36" t="s">
        <v>1495</v>
      </c>
      <c r="D2313" s="36" t="s">
        <v>1496</v>
      </c>
      <c r="E2313" s="36" t="s">
        <v>287</v>
      </c>
      <c r="F2313" s="36" t="s">
        <v>286</v>
      </c>
      <c r="G2313" s="36" t="s">
        <v>411</v>
      </c>
      <c r="H2313" s="37">
        <v>275.0</v>
      </c>
      <c r="I2313" s="36" t="s">
        <v>1301</v>
      </c>
      <c r="J2313" s="39" t="s">
        <v>286</v>
      </c>
      <c r="K2313" s="38"/>
      <c r="L2313" s="38"/>
    </row>
    <row r="2314" ht="22.5" customHeight="1">
      <c r="A2314" s="36" t="s">
        <v>5313</v>
      </c>
      <c r="B2314" s="36" t="s">
        <v>5314</v>
      </c>
      <c r="C2314" s="36" t="s">
        <v>1495</v>
      </c>
      <c r="D2314" s="36" t="s">
        <v>1496</v>
      </c>
      <c r="E2314" s="36" t="s">
        <v>287</v>
      </c>
      <c r="F2314" s="36" t="s">
        <v>286</v>
      </c>
      <c r="G2314" s="36" t="s">
        <v>411</v>
      </c>
      <c r="H2314" s="37">
        <v>450.0</v>
      </c>
      <c r="I2314" s="36" t="s">
        <v>1301</v>
      </c>
      <c r="J2314" s="39" t="s">
        <v>286</v>
      </c>
      <c r="K2314" s="38"/>
      <c r="L2314" s="38"/>
    </row>
    <row r="2315" ht="22.5" customHeight="1">
      <c r="A2315" s="36" t="s">
        <v>5315</v>
      </c>
      <c r="B2315" s="36" t="s">
        <v>5316</v>
      </c>
      <c r="C2315" s="36" t="s">
        <v>1495</v>
      </c>
      <c r="D2315" s="36" t="s">
        <v>1496</v>
      </c>
      <c r="E2315" s="36" t="s">
        <v>287</v>
      </c>
      <c r="F2315" s="36" t="s">
        <v>286</v>
      </c>
      <c r="G2315" s="36" t="s">
        <v>411</v>
      </c>
      <c r="H2315" s="37">
        <v>33.73</v>
      </c>
      <c r="I2315" s="36" t="s">
        <v>1301</v>
      </c>
      <c r="J2315" s="39" t="s">
        <v>286</v>
      </c>
      <c r="K2315" s="38"/>
      <c r="L2315" s="38"/>
    </row>
    <row r="2316" ht="22.5" customHeight="1">
      <c r="A2316" s="36" t="s">
        <v>5317</v>
      </c>
      <c r="B2316" s="36" t="s">
        <v>5318</v>
      </c>
      <c r="C2316" s="36" t="s">
        <v>1495</v>
      </c>
      <c r="D2316" s="36" t="s">
        <v>1496</v>
      </c>
      <c r="E2316" s="36" t="s">
        <v>287</v>
      </c>
      <c r="F2316" s="36" t="s">
        <v>286</v>
      </c>
      <c r="G2316" s="36" t="s">
        <v>411</v>
      </c>
      <c r="H2316" s="37">
        <v>539.64</v>
      </c>
      <c r="I2316" s="36" t="s">
        <v>1301</v>
      </c>
      <c r="J2316" s="39" t="s">
        <v>286</v>
      </c>
      <c r="K2316" s="38"/>
      <c r="L2316" s="38"/>
    </row>
    <row r="2317" ht="22.5" customHeight="1">
      <c r="A2317" s="36" t="s">
        <v>5319</v>
      </c>
      <c r="B2317" s="36" t="s">
        <v>5320</v>
      </c>
      <c r="C2317" s="36" t="s">
        <v>1495</v>
      </c>
      <c r="D2317" s="36" t="s">
        <v>1496</v>
      </c>
      <c r="E2317" s="36" t="s">
        <v>287</v>
      </c>
      <c r="F2317" s="36" t="s">
        <v>286</v>
      </c>
      <c r="G2317" s="36" t="s">
        <v>411</v>
      </c>
      <c r="H2317" s="37">
        <v>576.42</v>
      </c>
      <c r="I2317" s="36" t="s">
        <v>1301</v>
      </c>
      <c r="J2317" s="39" t="s">
        <v>286</v>
      </c>
      <c r="K2317" s="38"/>
      <c r="L2317" s="38"/>
    </row>
    <row r="2318" ht="22.5" customHeight="1">
      <c r="A2318" s="36" t="s">
        <v>5321</v>
      </c>
      <c r="B2318" s="36" t="s">
        <v>5322</v>
      </c>
      <c r="C2318" s="36" t="s">
        <v>1495</v>
      </c>
      <c r="D2318" s="36" t="s">
        <v>1496</v>
      </c>
      <c r="E2318" s="36" t="s">
        <v>287</v>
      </c>
      <c r="F2318" s="36" t="s">
        <v>286</v>
      </c>
      <c r="G2318" s="36" t="s">
        <v>1659</v>
      </c>
      <c r="H2318" s="37">
        <v>122.0</v>
      </c>
      <c r="I2318" s="36" t="s">
        <v>1301</v>
      </c>
      <c r="J2318" s="39" t="s">
        <v>286</v>
      </c>
      <c r="K2318" s="38"/>
      <c r="L2318" s="38"/>
    </row>
    <row r="2319" ht="22.5" customHeight="1">
      <c r="A2319" s="36" t="s">
        <v>5323</v>
      </c>
      <c r="B2319" s="36" t="s">
        <v>5324</v>
      </c>
      <c r="C2319" s="36" t="s">
        <v>1495</v>
      </c>
      <c r="D2319" s="36" t="s">
        <v>1496</v>
      </c>
      <c r="E2319" s="36" t="s">
        <v>287</v>
      </c>
      <c r="F2319" s="36" t="s">
        <v>286</v>
      </c>
      <c r="G2319" s="36" t="s">
        <v>1659</v>
      </c>
      <c r="H2319" s="37">
        <v>61.11</v>
      </c>
      <c r="I2319" s="36" t="s">
        <v>1301</v>
      </c>
      <c r="J2319" s="39" t="s">
        <v>286</v>
      </c>
      <c r="K2319" s="38"/>
      <c r="L2319" s="38"/>
    </row>
    <row r="2320" ht="22.5" customHeight="1">
      <c r="A2320" s="36" t="s">
        <v>5325</v>
      </c>
      <c r="B2320" s="36" t="s">
        <v>5326</v>
      </c>
      <c r="C2320" s="36" t="s">
        <v>1495</v>
      </c>
      <c r="D2320" s="36" t="s">
        <v>1496</v>
      </c>
      <c r="E2320" s="36" t="s">
        <v>287</v>
      </c>
      <c r="F2320" s="36" t="s">
        <v>286</v>
      </c>
      <c r="G2320" s="36" t="s">
        <v>1659</v>
      </c>
      <c r="H2320" s="37">
        <v>61.11</v>
      </c>
      <c r="I2320" s="36" t="s">
        <v>1301</v>
      </c>
      <c r="J2320" s="39" t="s">
        <v>286</v>
      </c>
      <c r="K2320" s="38"/>
      <c r="L2320" s="38"/>
    </row>
    <row r="2321" ht="22.5" customHeight="1">
      <c r="A2321" s="36" t="s">
        <v>5327</v>
      </c>
      <c r="B2321" s="36" t="s">
        <v>5328</v>
      </c>
      <c r="C2321" s="36" t="s">
        <v>1495</v>
      </c>
      <c r="D2321" s="36" t="s">
        <v>1496</v>
      </c>
      <c r="E2321" s="36" t="s">
        <v>287</v>
      </c>
      <c r="F2321" s="36" t="s">
        <v>286</v>
      </c>
      <c r="G2321" s="36" t="s">
        <v>1659</v>
      </c>
      <c r="H2321" s="37">
        <v>60.89</v>
      </c>
      <c r="I2321" s="36" t="s">
        <v>1301</v>
      </c>
      <c r="J2321" s="39" t="s">
        <v>286</v>
      </c>
      <c r="K2321" s="38"/>
      <c r="L2321" s="38"/>
    </row>
    <row r="2322" ht="22.5" customHeight="1">
      <c r="A2322" s="36" t="s">
        <v>5329</v>
      </c>
      <c r="B2322" s="36" t="s">
        <v>5330</v>
      </c>
      <c r="C2322" s="36" t="s">
        <v>1495</v>
      </c>
      <c r="D2322" s="36" t="s">
        <v>1496</v>
      </c>
      <c r="E2322" s="36" t="s">
        <v>287</v>
      </c>
      <c r="F2322" s="36" t="s">
        <v>286</v>
      </c>
      <c r="G2322" s="36" t="s">
        <v>1659</v>
      </c>
      <c r="H2322" s="37">
        <v>130.67</v>
      </c>
      <c r="I2322" s="36" t="s">
        <v>1301</v>
      </c>
      <c r="J2322" s="39" t="s">
        <v>286</v>
      </c>
      <c r="K2322" s="38"/>
      <c r="L2322" s="38"/>
    </row>
    <row r="2323" ht="22.5" customHeight="1">
      <c r="A2323" s="36" t="s">
        <v>5331</v>
      </c>
      <c r="B2323" s="36" t="s">
        <v>5332</v>
      </c>
      <c r="C2323" s="36" t="s">
        <v>1495</v>
      </c>
      <c r="D2323" s="36" t="s">
        <v>1496</v>
      </c>
      <c r="E2323" s="36" t="s">
        <v>287</v>
      </c>
      <c r="F2323" s="36" t="s">
        <v>286</v>
      </c>
      <c r="G2323" s="36" t="s">
        <v>1659</v>
      </c>
      <c r="H2323" s="37">
        <v>57.33</v>
      </c>
      <c r="I2323" s="36" t="s">
        <v>1301</v>
      </c>
      <c r="J2323" s="39" t="s">
        <v>286</v>
      </c>
      <c r="K2323" s="38"/>
      <c r="L2323" s="38"/>
    </row>
    <row r="2324" ht="22.5" customHeight="1">
      <c r="A2324" s="36" t="s">
        <v>5333</v>
      </c>
      <c r="B2324" s="36" t="s">
        <v>5334</v>
      </c>
      <c r="C2324" s="36" t="s">
        <v>1495</v>
      </c>
      <c r="D2324" s="36" t="s">
        <v>1496</v>
      </c>
      <c r="E2324" s="36" t="s">
        <v>287</v>
      </c>
      <c r="F2324" s="36" t="s">
        <v>286</v>
      </c>
      <c r="G2324" s="36" t="s">
        <v>1659</v>
      </c>
      <c r="H2324" s="37">
        <v>28.89</v>
      </c>
      <c r="I2324" s="36" t="s">
        <v>1301</v>
      </c>
      <c r="J2324" s="39" t="s">
        <v>286</v>
      </c>
      <c r="K2324" s="38"/>
      <c r="L2324" s="38"/>
    </row>
    <row r="2325" ht="22.5" customHeight="1">
      <c r="A2325" s="36" t="s">
        <v>5335</v>
      </c>
      <c r="B2325" s="36" t="s">
        <v>5336</v>
      </c>
      <c r="C2325" s="36" t="s">
        <v>1495</v>
      </c>
      <c r="D2325" s="36" t="s">
        <v>1496</v>
      </c>
      <c r="E2325" s="36" t="s">
        <v>287</v>
      </c>
      <c r="F2325" s="36" t="s">
        <v>286</v>
      </c>
      <c r="G2325" s="36" t="s">
        <v>1659</v>
      </c>
      <c r="H2325" s="37">
        <v>28.89</v>
      </c>
      <c r="I2325" s="36" t="s">
        <v>1301</v>
      </c>
      <c r="J2325" s="39" t="s">
        <v>286</v>
      </c>
      <c r="K2325" s="38"/>
      <c r="L2325" s="38"/>
    </row>
    <row r="2326" ht="22.5" customHeight="1">
      <c r="A2326" s="36" t="s">
        <v>5337</v>
      </c>
      <c r="B2326" s="36" t="s">
        <v>5338</v>
      </c>
      <c r="C2326" s="36" t="s">
        <v>1495</v>
      </c>
      <c r="D2326" s="36" t="s">
        <v>1496</v>
      </c>
      <c r="E2326" s="36" t="s">
        <v>287</v>
      </c>
      <c r="F2326" s="36" t="s">
        <v>286</v>
      </c>
      <c r="G2326" s="36" t="s">
        <v>1659</v>
      </c>
      <c r="H2326" s="37">
        <v>28.89</v>
      </c>
      <c r="I2326" s="36" t="s">
        <v>1301</v>
      </c>
      <c r="J2326" s="39" t="s">
        <v>286</v>
      </c>
      <c r="K2326" s="38"/>
      <c r="L2326" s="38"/>
    </row>
    <row r="2327" ht="22.5" customHeight="1">
      <c r="A2327" s="36" t="s">
        <v>5339</v>
      </c>
      <c r="B2327" s="36" t="s">
        <v>5340</v>
      </c>
      <c r="C2327" s="36" t="s">
        <v>1495</v>
      </c>
      <c r="D2327" s="36" t="s">
        <v>1496</v>
      </c>
      <c r="E2327" s="36" t="s">
        <v>287</v>
      </c>
      <c r="F2327" s="36" t="s">
        <v>286</v>
      </c>
      <c r="G2327" s="36" t="s">
        <v>1659</v>
      </c>
      <c r="H2327" s="37">
        <v>28.89</v>
      </c>
      <c r="I2327" s="36" t="s">
        <v>1301</v>
      </c>
      <c r="J2327" s="39" t="s">
        <v>286</v>
      </c>
      <c r="K2327" s="38"/>
      <c r="L2327" s="38"/>
    </row>
    <row r="2328" ht="22.5" customHeight="1">
      <c r="A2328" s="36" t="s">
        <v>5341</v>
      </c>
      <c r="B2328" s="36" t="s">
        <v>5342</v>
      </c>
      <c r="C2328" s="36" t="s">
        <v>1495</v>
      </c>
      <c r="D2328" s="36" t="s">
        <v>1496</v>
      </c>
      <c r="E2328" s="36" t="s">
        <v>287</v>
      </c>
      <c r="F2328" s="36" t="s">
        <v>286</v>
      </c>
      <c r="G2328" s="36" t="s">
        <v>1659</v>
      </c>
      <c r="H2328" s="37">
        <v>6385.32</v>
      </c>
      <c r="I2328" s="36" t="s">
        <v>1301</v>
      </c>
      <c r="J2328" s="39" t="s">
        <v>286</v>
      </c>
      <c r="K2328" s="38"/>
      <c r="L2328" s="38"/>
    </row>
    <row r="2329" ht="22.5" customHeight="1">
      <c r="A2329" s="36" t="s">
        <v>5343</v>
      </c>
      <c r="B2329" s="36" t="s">
        <v>5344</v>
      </c>
      <c r="C2329" s="36" t="s">
        <v>1495</v>
      </c>
      <c r="D2329" s="36" t="s">
        <v>1496</v>
      </c>
      <c r="E2329" s="36" t="s">
        <v>287</v>
      </c>
      <c r="F2329" s="36" t="s">
        <v>286</v>
      </c>
      <c r="G2329" s="36" t="s">
        <v>1659</v>
      </c>
      <c r="H2329" s="37">
        <v>5480.0</v>
      </c>
      <c r="I2329" s="36" t="s">
        <v>1301</v>
      </c>
      <c r="J2329" s="39" t="s">
        <v>286</v>
      </c>
      <c r="K2329" s="38"/>
      <c r="L2329" s="38"/>
    </row>
    <row r="2330" ht="22.5" customHeight="1">
      <c r="A2330" s="36" t="s">
        <v>5345</v>
      </c>
      <c r="B2330" s="36" t="s">
        <v>5346</v>
      </c>
      <c r="C2330" s="36" t="s">
        <v>1495</v>
      </c>
      <c r="D2330" s="36" t="s">
        <v>1496</v>
      </c>
      <c r="E2330" s="36" t="s">
        <v>287</v>
      </c>
      <c r="F2330" s="36" t="s">
        <v>286</v>
      </c>
      <c r="G2330" s="36" t="s">
        <v>1659</v>
      </c>
      <c r="H2330" s="37">
        <v>6385.98</v>
      </c>
      <c r="I2330" s="36" t="s">
        <v>1301</v>
      </c>
      <c r="J2330" s="39" t="s">
        <v>286</v>
      </c>
      <c r="K2330" s="38"/>
      <c r="L2330" s="38"/>
    </row>
    <row r="2331" ht="22.5" customHeight="1">
      <c r="A2331" s="36" t="s">
        <v>5347</v>
      </c>
      <c r="B2331" s="36" t="s">
        <v>5348</v>
      </c>
      <c r="C2331" s="36" t="s">
        <v>1495</v>
      </c>
      <c r="D2331" s="36" t="s">
        <v>1496</v>
      </c>
      <c r="E2331" s="36" t="s">
        <v>287</v>
      </c>
      <c r="F2331" s="36" t="s">
        <v>286</v>
      </c>
      <c r="G2331" s="36" t="s">
        <v>411</v>
      </c>
      <c r="H2331" s="37">
        <v>137.5</v>
      </c>
      <c r="I2331" s="36" t="s">
        <v>1301</v>
      </c>
      <c r="J2331" s="39" t="s">
        <v>286</v>
      </c>
      <c r="K2331" s="38"/>
      <c r="L2331" s="38"/>
    </row>
    <row r="2332" ht="22.5" customHeight="1">
      <c r="A2332" s="36" t="s">
        <v>5349</v>
      </c>
      <c r="B2332" s="36" t="s">
        <v>5350</v>
      </c>
      <c r="C2332" s="36" t="s">
        <v>1495</v>
      </c>
      <c r="D2332" s="36" t="s">
        <v>1496</v>
      </c>
      <c r="E2332" s="36" t="s">
        <v>287</v>
      </c>
      <c r="F2332" s="36" t="s">
        <v>286</v>
      </c>
      <c r="G2332" s="36" t="s">
        <v>411</v>
      </c>
      <c r="H2332" s="37">
        <v>5000.0</v>
      </c>
      <c r="I2332" s="36" t="s">
        <v>1301</v>
      </c>
      <c r="J2332" s="39" t="s">
        <v>286</v>
      </c>
      <c r="K2332" s="38"/>
      <c r="L2332" s="38"/>
    </row>
    <row r="2333" ht="22.5" customHeight="1">
      <c r="A2333" s="36" t="s">
        <v>5351</v>
      </c>
      <c r="B2333" s="36" t="s">
        <v>5352</v>
      </c>
      <c r="C2333" s="36" t="s">
        <v>1495</v>
      </c>
      <c r="D2333" s="36" t="s">
        <v>1496</v>
      </c>
      <c r="E2333" s="36" t="s">
        <v>287</v>
      </c>
      <c r="F2333" s="36" t="s">
        <v>286</v>
      </c>
      <c r="G2333" s="36" t="s">
        <v>411</v>
      </c>
      <c r="H2333" s="37">
        <v>45.76</v>
      </c>
      <c r="I2333" s="36" t="s">
        <v>1301</v>
      </c>
      <c r="J2333" s="39" t="s">
        <v>286</v>
      </c>
      <c r="K2333" s="38"/>
      <c r="L2333" s="38"/>
    </row>
    <row r="2334" ht="22.5" customHeight="1">
      <c r="A2334" s="36" t="s">
        <v>5353</v>
      </c>
      <c r="B2334" s="36" t="s">
        <v>5354</v>
      </c>
      <c r="C2334" s="36" t="s">
        <v>1495</v>
      </c>
      <c r="D2334" s="36" t="s">
        <v>1496</v>
      </c>
      <c r="E2334" s="36" t="s">
        <v>287</v>
      </c>
      <c r="F2334" s="36" t="s">
        <v>286</v>
      </c>
      <c r="G2334" s="36" t="s">
        <v>411</v>
      </c>
      <c r="H2334" s="37">
        <v>33.52</v>
      </c>
      <c r="I2334" s="36" t="s">
        <v>1301</v>
      </c>
      <c r="J2334" s="39" t="s">
        <v>286</v>
      </c>
      <c r="K2334" s="38"/>
      <c r="L2334" s="38"/>
    </row>
    <row r="2335" ht="22.5" customHeight="1">
      <c r="A2335" s="36" t="s">
        <v>5355</v>
      </c>
      <c r="B2335" s="36" t="s">
        <v>5356</v>
      </c>
      <c r="C2335" s="36" t="s">
        <v>1495</v>
      </c>
      <c r="D2335" s="36" t="s">
        <v>1496</v>
      </c>
      <c r="E2335" s="36" t="s">
        <v>287</v>
      </c>
      <c r="F2335" s="36" t="s">
        <v>286</v>
      </c>
      <c r="G2335" s="36" t="s">
        <v>411</v>
      </c>
      <c r="H2335" s="37">
        <v>11.67</v>
      </c>
      <c r="I2335" s="36" t="s">
        <v>1301</v>
      </c>
      <c r="J2335" s="39" t="s">
        <v>286</v>
      </c>
      <c r="K2335" s="38"/>
      <c r="L2335" s="38"/>
    </row>
    <row r="2336" ht="22.5" customHeight="1">
      <c r="A2336" s="36" t="s">
        <v>5357</v>
      </c>
      <c r="B2336" s="36" t="s">
        <v>5358</v>
      </c>
      <c r="C2336" s="36" t="s">
        <v>286</v>
      </c>
      <c r="D2336" s="36" t="s">
        <v>1363</v>
      </c>
      <c r="E2336" s="36" t="s">
        <v>1285</v>
      </c>
      <c r="F2336" s="36" t="s">
        <v>286</v>
      </c>
      <c r="G2336" s="36" t="s">
        <v>411</v>
      </c>
      <c r="H2336" s="37">
        <v>109.07</v>
      </c>
      <c r="I2336" s="36" t="s">
        <v>1301</v>
      </c>
      <c r="J2336" s="39" t="s">
        <v>286</v>
      </c>
      <c r="K2336" s="38"/>
      <c r="L2336" s="38"/>
    </row>
    <row r="2337" ht="22.5" customHeight="1">
      <c r="A2337" s="36" t="s">
        <v>5359</v>
      </c>
      <c r="B2337" s="36" t="s">
        <v>5360</v>
      </c>
      <c r="C2337" s="36" t="s">
        <v>1495</v>
      </c>
      <c r="D2337" s="36" t="s">
        <v>1496</v>
      </c>
      <c r="E2337" s="36" t="s">
        <v>287</v>
      </c>
      <c r="F2337" s="36" t="s">
        <v>286</v>
      </c>
      <c r="G2337" s="36" t="s">
        <v>411</v>
      </c>
      <c r="H2337" s="37">
        <v>59.85</v>
      </c>
      <c r="I2337" s="36" t="s">
        <v>1301</v>
      </c>
      <c r="J2337" s="39" t="s">
        <v>286</v>
      </c>
      <c r="K2337" s="38"/>
      <c r="L2337" s="38"/>
    </row>
    <row r="2338" ht="22.5" customHeight="1">
      <c r="A2338" s="36" t="s">
        <v>5361</v>
      </c>
      <c r="B2338" s="36" t="s">
        <v>5362</v>
      </c>
      <c r="C2338" s="36" t="s">
        <v>1495</v>
      </c>
      <c r="D2338" s="36" t="s">
        <v>1496</v>
      </c>
      <c r="E2338" s="36" t="s">
        <v>287</v>
      </c>
      <c r="F2338" s="36" t="s">
        <v>286</v>
      </c>
      <c r="G2338" s="36" t="s">
        <v>411</v>
      </c>
      <c r="H2338" s="37">
        <v>45.1</v>
      </c>
      <c r="I2338" s="36" t="s">
        <v>1301</v>
      </c>
      <c r="J2338" s="39" t="s">
        <v>286</v>
      </c>
      <c r="K2338" s="38"/>
      <c r="L2338" s="38"/>
    </row>
    <row r="2339" ht="22.5" customHeight="1">
      <c r="A2339" s="36" t="s">
        <v>5363</v>
      </c>
      <c r="B2339" s="36" t="s">
        <v>5364</v>
      </c>
      <c r="C2339" s="36" t="s">
        <v>1495</v>
      </c>
      <c r="D2339" s="36" t="s">
        <v>1496</v>
      </c>
      <c r="E2339" s="36" t="s">
        <v>287</v>
      </c>
      <c r="F2339" s="36" t="s">
        <v>286</v>
      </c>
      <c r="G2339" s="36" t="s">
        <v>411</v>
      </c>
      <c r="H2339" s="37">
        <v>9.1</v>
      </c>
      <c r="I2339" s="36" t="s">
        <v>1301</v>
      </c>
      <c r="J2339" s="39" t="s">
        <v>286</v>
      </c>
      <c r="K2339" s="38"/>
      <c r="L2339" s="38"/>
    </row>
    <row r="2340" ht="22.5" customHeight="1">
      <c r="A2340" s="36" t="s">
        <v>5365</v>
      </c>
      <c r="B2340" s="36" t="s">
        <v>5366</v>
      </c>
      <c r="C2340" s="36" t="s">
        <v>1495</v>
      </c>
      <c r="D2340" s="36" t="s">
        <v>1496</v>
      </c>
      <c r="E2340" s="36" t="s">
        <v>287</v>
      </c>
      <c r="F2340" s="36" t="s">
        <v>286</v>
      </c>
      <c r="G2340" s="36" t="s">
        <v>411</v>
      </c>
      <c r="H2340" s="37">
        <v>0.42</v>
      </c>
      <c r="I2340" s="36" t="s">
        <v>1301</v>
      </c>
      <c r="J2340" s="39" t="s">
        <v>286</v>
      </c>
      <c r="K2340" s="38"/>
      <c r="L2340" s="38"/>
    </row>
    <row r="2341" ht="22.5" customHeight="1">
      <c r="A2341" s="36" t="s">
        <v>5367</v>
      </c>
      <c r="B2341" s="36" t="s">
        <v>5368</v>
      </c>
      <c r="C2341" s="36" t="s">
        <v>1495</v>
      </c>
      <c r="D2341" s="36" t="s">
        <v>1496</v>
      </c>
      <c r="E2341" s="36" t="s">
        <v>287</v>
      </c>
      <c r="F2341" s="36" t="s">
        <v>286</v>
      </c>
      <c r="G2341" s="36" t="s">
        <v>411</v>
      </c>
      <c r="H2341" s="37">
        <v>45.1</v>
      </c>
      <c r="I2341" s="36" t="s">
        <v>1301</v>
      </c>
      <c r="J2341" s="39" t="s">
        <v>286</v>
      </c>
      <c r="K2341" s="38"/>
      <c r="L2341" s="38"/>
    </row>
    <row r="2342" ht="22.5" customHeight="1">
      <c r="A2342" s="36" t="s">
        <v>5369</v>
      </c>
      <c r="B2342" s="36" t="s">
        <v>5370</v>
      </c>
      <c r="C2342" s="36" t="s">
        <v>1495</v>
      </c>
      <c r="D2342" s="36" t="s">
        <v>1496</v>
      </c>
      <c r="E2342" s="36" t="s">
        <v>287</v>
      </c>
      <c r="F2342" s="36" t="s">
        <v>286</v>
      </c>
      <c r="G2342" s="36" t="s">
        <v>411</v>
      </c>
      <c r="H2342" s="37">
        <v>289.0</v>
      </c>
      <c r="I2342" s="36" t="s">
        <v>1301</v>
      </c>
      <c r="J2342" s="39" t="s">
        <v>286</v>
      </c>
      <c r="K2342" s="38"/>
      <c r="L2342" s="38"/>
    </row>
    <row r="2343" ht="22.5" customHeight="1">
      <c r="A2343" s="36" t="s">
        <v>5371</v>
      </c>
      <c r="B2343" s="36" t="s">
        <v>5372</v>
      </c>
      <c r="C2343" s="36" t="s">
        <v>1495</v>
      </c>
      <c r="D2343" s="36" t="s">
        <v>1496</v>
      </c>
      <c r="E2343" s="36" t="s">
        <v>287</v>
      </c>
      <c r="F2343" s="36" t="s">
        <v>286</v>
      </c>
      <c r="G2343" s="36" t="s">
        <v>411</v>
      </c>
      <c r="H2343" s="37">
        <v>34.375</v>
      </c>
      <c r="I2343" s="36" t="s">
        <v>1301</v>
      </c>
      <c r="J2343" s="39" t="s">
        <v>286</v>
      </c>
      <c r="K2343" s="38"/>
      <c r="L2343" s="38"/>
    </row>
    <row r="2344" ht="22.5" customHeight="1">
      <c r="A2344" s="36" t="s">
        <v>5373</v>
      </c>
      <c r="B2344" s="36" t="s">
        <v>5374</v>
      </c>
      <c r="C2344" s="36" t="s">
        <v>1495</v>
      </c>
      <c r="D2344" s="36" t="s">
        <v>1496</v>
      </c>
      <c r="E2344" s="36" t="s">
        <v>287</v>
      </c>
      <c r="F2344" s="36" t="s">
        <v>286</v>
      </c>
      <c r="G2344" s="36" t="s">
        <v>411</v>
      </c>
      <c r="H2344" s="37">
        <v>13.67</v>
      </c>
      <c r="I2344" s="36" t="s">
        <v>1301</v>
      </c>
      <c r="J2344" s="39" t="s">
        <v>286</v>
      </c>
      <c r="K2344" s="38"/>
      <c r="L2344" s="38"/>
    </row>
    <row r="2345" ht="22.5" customHeight="1">
      <c r="A2345" s="36" t="s">
        <v>5375</v>
      </c>
      <c r="B2345" s="36" t="s">
        <v>5376</v>
      </c>
      <c r="C2345" s="36" t="s">
        <v>1495</v>
      </c>
      <c r="D2345" s="36" t="s">
        <v>1496</v>
      </c>
      <c r="E2345" s="36" t="s">
        <v>287</v>
      </c>
      <c r="F2345" s="36" t="s">
        <v>286</v>
      </c>
      <c r="G2345" s="36" t="s">
        <v>411</v>
      </c>
      <c r="H2345" s="37">
        <v>49.68</v>
      </c>
      <c r="I2345" s="36" t="s">
        <v>1301</v>
      </c>
      <c r="J2345" s="39" t="s">
        <v>286</v>
      </c>
      <c r="K2345" s="38"/>
      <c r="L2345" s="38"/>
    </row>
    <row r="2346" ht="22.5" customHeight="1">
      <c r="A2346" s="36" t="s">
        <v>5377</v>
      </c>
      <c r="B2346" s="36" t="s">
        <v>5378</v>
      </c>
      <c r="C2346" s="36" t="s">
        <v>1495</v>
      </c>
      <c r="D2346" s="36" t="s">
        <v>1496</v>
      </c>
      <c r="E2346" s="36" t="s">
        <v>287</v>
      </c>
      <c r="F2346" s="36" t="s">
        <v>286</v>
      </c>
      <c r="G2346" s="36" t="s">
        <v>411</v>
      </c>
      <c r="H2346" s="37">
        <v>122.98</v>
      </c>
      <c r="I2346" s="36" t="s">
        <v>1301</v>
      </c>
      <c r="J2346" s="39" t="s">
        <v>286</v>
      </c>
      <c r="K2346" s="38"/>
      <c r="L2346" s="38"/>
    </row>
    <row r="2347" ht="22.5" customHeight="1">
      <c r="A2347" s="36" t="s">
        <v>5379</v>
      </c>
      <c r="B2347" s="36" t="s">
        <v>5380</v>
      </c>
      <c r="C2347" s="36" t="s">
        <v>1495</v>
      </c>
      <c r="D2347" s="36" t="s">
        <v>1496</v>
      </c>
      <c r="E2347" s="36" t="s">
        <v>287</v>
      </c>
      <c r="F2347" s="36" t="s">
        <v>286</v>
      </c>
      <c r="G2347" s="36" t="s">
        <v>411</v>
      </c>
      <c r="H2347" s="37">
        <v>121.98</v>
      </c>
      <c r="I2347" s="36" t="s">
        <v>1301</v>
      </c>
      <c r="J2347" s="39" t="s">
        <v>286</v>
      </c>
      <c r="K2347" s="38"/>
      <c r="L2347" s="38"/>
    </row>
    <row r="2348" ht="22.5" customHeight="1">
      <c r="A2348" s="36" t="s">
        <v>5381</v>
      </c>
      <c r="B2348" s="36" t="s">
        <v>5382</v>
      </c>
      <c r="C2348" s="36" t="s">
        <v>1495</v>
      </c>
      <c r="D2348" s="36" t="s">
        <v>1496</v>
      </c>
      <c r="E2348" s="36" t="s">
        <v>287</v>
      </c>
      <c r="F2348" s="36" t="s">
        <v>286</v>
      </c>
      <c r="G2348" s="36" t="s">
        <v>411</v>
      </c>
      <c r="H2348" s="37">
        <v>148.4</v>
      </c>
      <c r="I2348" s="36" t="s">
        <v>1301</v>
      </c>
      <c r="J2348" s="39" t="s">
        <v>286</v>
      </c>
      <c r="K2348" s="38"/>
      <c r="L2348" s="38"/>
    </row>
    <row r="2349" ht="22.5" customHeight="1">
      <c r="A2349" s="36" t="s">
        <v>5383</v>
      </c>
      <c r="B2349" s="36" t="s">
        <v>5384</v>
      </c>
      <c r="C2349" s="36" t="s">
        <v>1495</v>
      </c>
      <c r="D2349" s="36" t="s">
        <v>1496</v>
      </c>
      <c r="E2349" s="36" t="s">
        <v>287</v>
      </c>
      <c r="F2349" s="36" t="s">
        <v>286</v>
      </c>
      <c r="G2349" s="36" t="s">
        <v>411</v>
      </c>
      <c r="H2349" s="37">
        <v>52.81</v>
      </c>
      <c r="I2349" s="36" t="s">
        <v>1301</v>
      </c>
      <c r="J2349" s="39" t="s">
        <v>286</v>
      </c>
      <c r="K2349" s="38"/>
      <c r="L2349" s="38"/>
    </row>
    <row r="2350" ht="22.5" customHeight="1">
      <c r="A2350" s="36" t="s">
        <v>5385</v>
      </c>
      <c r="B2350" s="36" t="s">
        <v>5386</v>
      </c>
      <c r="C2350" s="36" t="s">
        <v>1495</v>
      </c>
      <c r="D2350" s="36" t="s">
        <v>1496</v>
      </c>
      <c r="E2350" s="36" t="s">
        <v>287</v>
      </c>
      <c r="F2350" s="36" t="s">
        <v>286</v>
      </c>
      <c r="G2350" s="36" t="s">
        <v>411</v>
      </c>
      <c r="H2350" s="37">
        <v>148.4</v>
      </c>
      <c r="I2350" s="36" t="s">
        <v>1301</v>
      </c>
      <c r="J2350" s="39" t="s">
        <v>286</v>
      </c>
      <c r="K2350" s="38"/>
      <c r="L2350" s="38"/>
    </row>
    <row r="2351" ht="22.5" customHeight="1">
      <c r="A2351" s="36" t="s">
        <v>5387</v>
      </c>
      <c r="B2351" s="36" t="s">
        <v>5388</v>
      </c>
      <c r="C2351" s="36" t="s">
        <v>1495</v>
      </c>
      <c r="D2351" s="36" t="s">
        <v>1496</v>
      </c>
      <c r="E2351" s="36" t="s">
        <v>287</v>
      </c>
      <c r="F2351" s="36" t="s">
        <v>286</v>
      </c>
      <c r="G2351" s="36" t="s">
        <v>411</v>
      </c>
      <c r="H2351" s="37">
        <v>148.4</v>
      </c>
      <c r="I2351" s="36" t="s">
        <v>1301</v>
      </c>
      <c r="J2351" s="39" t="s">
        <v>286</v>
      </c>
      <c r="K2351" s="38"/>
      <c r="L2351" s="38"/>
    </row>
    <row r="2352" ht="22.5" customHeight="1">
      <c r="A2352" s="36" t="s">
        <v>5389</v>
      </c>
      <c r="B2352" s="36" t="s">
        <v>5390</v>
      </c>
      <c r="C2352" s="36" t="s">
        <v>1495</v>
      </c>
      <c r="D2352" s="36" t="s">
        <v>1496</v>
      </c>
      <c r="E2352" s="36" t="s">
        <v>287</v>
      </c>
      <c r="F2352" s="36" t="s">
        <v>286</v>
      </c>
      <c r="G2352" s="36" t="s">
        <v>411</v>
      </c>
      <c r="H2352" s="37">
        <v>8.55</v>
      </c>
      <c r="I2352" s="36" t="s">
        <v>1301</v>
      </c>
      <c r="J2352" s="39" t="s">
        <v>286</v>
      </c>
      <c r="K2352" s="38"/>
      <c r="L2352" s="38"/>
    </row>
    <row r="2353" ht="22.5" customHeight="1">
      <c r="A2353" s="36" t="s">
        <v>5391</v>
      </c>
      <c r="B2353" s="36" t="s">
        <v>5392</v>
      </c>
      <c r="C2353" s="36" t="s">
        <v>1495</v>
      </c>
      <c r="D2353" s="36" t="s">
        <v>1496</v>
      </c>
      <c r="E2353" s="36" t="s">
        <v>287</v>
      </c>
      <c r="F2353" s="36" t="s">
        <v>286</v>
      </c>
      <c r="G2353" s="36" t="s">
        <v>411</v>
      </c>
      <c r="H2353" s="37">
        <v>43.74</v>
      </c>
      <c r="I2353" s="36" t="s">
        <v>1301</v>
      </c>
      <c r="J2353" s="39" t="s">
        <v>286</v>
      </c>
      <c r="K2353" s="38"/>
      <c r="L2353" s="38"/>
    </row>
    <row r="2354" ht="22.5" customHeight="1">
      <c r="A2354" s="36" t="s">
        <v>5393</v>
      </c>
      <c r="B2354" s="36" t="s">
        <v>5394</v>
      </c>
      <c r="C2354" s="36" t="s">
        <v>1495</v>
      </c>
      <c r="D2354" s="36" t="s">
        <v>1496</v>
      </c>
      <c r="E2354" s="36" t="s">
        <v>287</v>
      </c>
      <c r="F2354" s="36" t="s">
        <v>286</v>
      </c>
      <c r="G2354" s="36" t="s">
        <v>411</v>
      </c>
      <c r="H2354" s="37">
        <v>465.0</v>
      </c>
      <c r="I2354" s="36" t="s">
        <v>1301</v>
      </c>
      <c r="J2354" s="39" t="s">
        <v>286</v>
      </c>
      <c r="K2354" s="38"/>
      <c r="L2354" s="38"/>
    </row>
    <row r="2355" ht="22.5" customHeight="1">
      <c r="A2355" s="36" t="s">
        <v>5395</v>
      </c>
      <c r="B2355" s="36" t="s">
        <v>5396</v>
      </c>
      <c r="C2355" s="36" t="s">
        <v>1495</v>
      </c>
      <c r="D2355" s="36" t="s">
        <v>1496</v>
      </c>
      <c r="E2355" s="36" t="s">
        <v>287</v>
      </c>
      <c r="F2355" s="36" t="s">
        <v>286</v>
      </c>
      <c r="G2355" s="36" t="s">
        <v>411</v>
      </c>
      <c r="H2355" s="37">
        <v>2.59</v>
      </c>
      <c r="I2355" s="36" t="s">
        <v>1301</v>
      </c>
      <c r="J2355" s="39" t="s">
        <v>286</v>
      </c>
      <c r="K2355" s="38"/>
      <c r="L2355" s="38"/>
    </row>
    <row r="2356" ht="22.5" customHeight="1">
      <c r="A2356" s="36" t="s">
        <v>5397</v>
      </c>
      <c r="B2356" s="36" t="s">
        <v>5398</v>
      </c>
      <c r="C2356" s="36" t="s">
        <v>1495</v>
      </c>
      <c r="D2356" s="36" t="s">
        <v>1496</v>
      </c>
      <c r="E2356" s="36" t="s">
        <v>287</v>
      </c>
      <c r="F2356" s="36" t="s">
        <v>286</v>
      </c>
      <c r="G2356" s="36" t="s">
        <v>411</v>
      </c>
      <c r="H2356" s="37">
        <v>864.98</v>
      </c>
      <c r="I2356" s="36" t="s">
        <v>1301</v>
      </c>
      <c r="J2356" s="39" t="s">
        <v>286</v>
      </c>
      <c r="K2356" s="38"/>
      <c r="L2356" s="38"/>
    </row>
    <row r="2357" ht="22.5" customHeight="1">
      <c r="A2357" s="36" t="s">
        <v>5399</v>
      </c>
      <c r="B2357" s="36" t="s">
        <v>5400</v>
      </c>
      <c r="C2357" s="36" t="s">
        <v>1495</v>
      </c>
      <c r="D2357" s="36" t="s">
        <v>1496</v>
      </c>
      <c r="E2357" s="36" t="s">
        <v>287</v>
      </c>
      <c r="F2357" s="36" t="s">
        <v>286</v>
      </c>
      <c r="G2357" s="36" t="s">
        <v>411</v>
      </c>
      <c r="H2357" s="37">
        <v>583.65</v>
      </c>
      <c r="I2357" s="36" t="s">
        <v>1301</v>
      </c>
      <c r="J2357" s="39" t="s">
        <v>286</v>
      </c>
      <c r="K2357" s="38"/>
      <c r="L2357" s="38"/>
    </row>
    <row r="2358" ht="22.5" customHeight="1">
      <c r="A2358" s="36" t="s">
        <v>5401</v>
      </c>
      <c r="B2358" s="36" t="s">
        <v>5402</v>
      </c>
      <c r="C2358" s="36" t="s">
        <v>1495</v>
      </c>
      <c r="D2358" s="36" t="s">
        <v>1496</v>
      </c>
      <c r="E2358" s="36" t="s">
        <v>287</v>
      </c>
      <c r="F2358" s="36" t="s">
        <v>286</v>
      </c>
      <c r="G2358" s="36" t="s">
        <v>411</v>
      </c>
      <c r="H2358" s="37">
        <v>93.89</v>
      </c>
      <c r="I2358" s="36" t="s">
        <v>1301</v>
      </c>
      <c r="J2358" s="39" t="s">
        <v>286</v>
      </c>
      <c r="K2358" s="38"/>
      <c r="L2358" s="38"/>
    </row>
    <row r="2359" ht="22.5" customHeight="1">
      <c r="A2359" s="36" t="s">
        <v>5403</v>
      </c>
      <c r="B2359" s="36" t="s">
        <v>5404</v>
      </c>
      <c r="C2359" s="36" t="s">
        <v>1495</v>
      </c>
      <c r="D2359" s="36" t="s">
        <v>1496</v>
      </c>
      <c r="E2359" s="36" t="s">
        <v>287</v>
      </c>
      <c r="F2359" s="36" t="s">
        <v>286</v>
      </c>
      <c r="G2359" s="36" t="s">
        <v>411</v>
      </c>
      <c r="H2359" s="37">
        <v>129.89</v>
      </c>
      <c r="I2359" s="36" t="s">
        <v>1301</v>
      </c>
      <c r="J2359" s="39" t="s">
        <v>286</v>
      </c>
      <c r="K2359" s="38"/>
      <c r="L2359" s="38"/>
    </row>
    <row r="2360" ht="22.5" customHeight="1">
      <c r="A2360" s="36" t="s">
        <v>5405</v>
      </c>
      <c r="B2360" s="36" t="s">
        <v>5406</v>
      </c>
      <c r="C2360" s="36" t="s">
        <v>1495</v>
      </c>
      <c r="D2360" s="36" t="s">
        <v>1496</v>
      </c>
      <c r="E2360" s="36" t="s">
        <v>287</v>
      </c>
      <c r="F2360" s="36" t="s">
        <v>286</v>
      </c>
      <c r="G2360" s="36" t="s">
        <v>411</v>
      </c>
      <c r="H2360" s="37">
        <v>48.17</v>
      </c>
      <c r="I2360" s="36" t="s">
        <v>1301</v>
      </c>
      <c r="J2360" s="39" t="s">
        <v>286</v>
      </c>
      <c r="K2360" s="38"/>
      <c r="L2360" s="38"/>
    </row>
    <row r="2361" ht="22.5" customHeight="1">
      <c r="A2361" s="36" t="s">
        <v>5407</v>
      </c>
      <c r="B2361" s="36" t="s">
        <v>5408</v>
      </c>
      <c r="C2361" s="36" t="s">
        <v>1495</v>
      </c>
      <c r="D2361" s="36" t="s">
        <v>1496</v>
      </c>
      <c r="E2361" s="36" t="s">
        <v>287</v>
      </c>
      <c r="F2361" s="36" t="s">
        <v>286</v>
      </c>
      <c r="G2361" s="36" t="s">
        <v>411</v>
      </c>
      <c r="H2361" s="37">
        <v>22.89</v>
      </c>
      <c r="I2361" s="36" t="s">
        <v>1301</v>
      </c>
      <c r="J2361" s="39" t="s">
        <v>286</v>
      </c>
      <c r="K2361" s="38"/>
      <c r="L2361" s="38"/>
    </row>
    <row r="2362" ht="22.5" customHeight="1">
      <c r="A2362" s="36" t="s">
        <v>5409</v>
      </c>
      <c r="B2362" s="36" t="s">
        <v>5410</v>
      </c>
      <c r="C2362" s="36" t="s">
        <v>1495</v>
      </c>
      <c r="D2362" s="36" t="s">
        <v>1496</v>
      </c>
      <c r="E2362" s="36" t="s">
        <v>287</v>
      </c>
      <c r="F2362" s="36" t="s">
        <v>286</v>
      </c>
      <c r="G2362" s="36" t="s">
        <v>411</v>
      </c>
      <c r="H2362" s="37">
        <v>16.67</v>
      </c>
      <c r="I2362" s="36" t="s">
        <v>1301</v>
      </c>
      <c r="J2362" s="39" t="s">
        <v>286</v>
      </c>
      <c r="K2362" s="38"/>
      <c r="L2362" s="38"/>
    </row>
    <row r="2363" ht="22.5" customHeight="1">
      <c r="A2363" s="36" t="s">
        <v>5411</v>
      </c>
      <c r="B2363" s="36" t="s">
        <v>5412</v>
      </c>
      <c r="C2363" s="36" t="s">
        <v>1495</v>
      </c>
      <c r="D2363" s="36" t="s">
        <v>1496</v>
      </c>
      <c r="E2363" s="36" t="s">
        <v>287</v>
      </c>
      <c r="F2363" s="36" t="s">
        <v>286</v>
      </c>
      <c r="G2363" s="36" t="s">
        <v>411</v>
      </c>
      <c r="H2363" s="37">
        <v>23.72</v>
      </c>
      <c r="I2363" s="36" t="s">
        <v>1301</v>
      </c>
      <c r="J2363" s="39" t="s">
        <v>286</v>
      </c>
      <c r="K2363" s="38"/>
      <c r="L2363" s="38"/>
    </row>
    <row r="2364" ht="22.5" customHeight="1">
      <c r="A2364" s="36" t="s">
        <v>5413</v>
      </c>
      <c r="B2364" s="36" t="s">
        <v>5414</v>
      </c>
      <c r="C2364" s="36" t="s">
        <v>1495</v>
      </c>
      <c r="D2364" s="36" t="s">
        <v>1496</v>
      </c>
      <c r="E2364" s="36" t="s">
        <v>287</v>
      </c>
      <c r="F2364" s="36" t="s">
        <v>286</v>
      </c>
      <c r="G2364" s="36" t="s">
        <v>411</v>
      </c>
      <c r="H2364" s="37">
        <v>16.1</v>
      </c>
      <c r="I2364" s="36" t="s">
        <v>1301</v>
      </c>
      <c r="J2364" s="39" t="s">
        <v>286</v>
      </c>
      <c r="K2364" s="38"/>
      <c r="L2364" s="38"/>
    </row>
    <row r="2365" ht="22.5" customHeight="1">
      <c r="A2365" s="36" t="s">
        <v>5415</v>
      </c>
      <c r="B2365" s="36" t="s">
        <v>5416</v>
      </c>
      <c r="C2365" s="36" t="s">
        <v>1495</v>
      </c>
      <c r="D2365" s="36" t="s">
        <v>1496</v>
      </c>
      <c r="E2365" s="36" t="s">
        <v>287</v>
      </c>
      <c r="F2365" s="36" t="s">
        <v>286</v>
      </c>
      <c r="G2365" s="36" t="s">
        <v>411</v>
      </c>
      <c r="H2365" s="37">
        <v>12.71</v>
      </c>
      <c r="I2365" s="36" t="s">
        <v>1301</v>
      </c>
      <c r="J2365" s="39" t="s">
        <v>286</v>
      </c>
      <c r="K2365" s="38"/>
      <c r="L2365" s="38"/>
    </row>
    <row r="2366" ht="22.5" customHeight="1">
      <c r="A2366" s="36" t="s">
        <v>5417</v>
      </c>
      <c r="B2366" s="36" t="s">
        <v>5418</v>
      </c>
      <c r="C2366" s="36" t="s">
        <v>1495</v>
      </c>
      <c r="D2366" s="36" t="s">
        <v>1496</v>
      </c>
      <c r="E2366" s="36" t="s">
        <v>287</v>
      </c>
      <c r="F2366" s="36" t="s">
        <v>286</v>
      </c>
      <c r="G2366" s="36" t="s">
        <v>411</v>
      </c>
      <c r="H2366" s="37">
        <v>46.6</v>
      </c>
      <c r="I2366" s="36" t="s">
        <v>1301</v>
      </c>
      <c r="J2366" s="39" t="s">
        <v>286</v>
      </c>
      <c r="K2366" s="38"/>
      <c r="L2366" s="38"/>
    </row>
    <row r="2367" ht="22.5" customHeight="1">
      <c r="A2367" s="36" t="s">
        <v>5419</v>
      </c>
      <c r="B2367" s="36" t="s">
        <v>5420</v>
      </c>
      <c r="C2367" s="36" t="s">
        <v>1495</v>
      </c>
      <c r="D2367" s="36" t="s">
        <v>1496</v>
      </c>
      <c r="E2367" s="36" t="s">
        <v>287</v>
      </c>
      <c r="F2367" s="36" t="s">
        <v>286</v>
      </c>
      <c r="G2367" s="36" t="s">
        <v>411</v>
      </c>
      <c r="H2367" s="37">
        <v>38.97</v>
      </c>
      <c r="I2367" s="36" t="s">
        <v>1301</v>
      </c>
      <c r="J2367" s="39" t="s">
        <v>286</v>
      </c>
      <c r="K2367" s="38"/>
      <c r="L2367" s="38"/>
    </row>
    <row r="2368" ht="22.5" customHeight="1">
      <c r="A2368" s="36" t="s">
        <v>5421</v>
      </c>
      <c r="B2368" s="36" t="s">
        <v>5422</v>
      </c>
      <c r="C2368" s="36" t="s">
        <v>1495</v>
      </c>
      <c r="D2368" s="36" t="s">
        <v>1496</v>
      </c>
      <c r="E2368" s="36" t="s">
        <v>287</v>
      </c>
      <c r="F2368" s="36" t="s">
        <v>286</v>
      </c>
      <c r="G2368" s="36" t="s">
        <v>411</v>
      </c>
      <c r="H2368" s="37">
        <v>39.82</v>
      </c>
      <c r="I2368" s="36" t="s">
        <v>1301</v>
      </c>
      <c r="J2368" s="39" t="s">
        <v>286</v>
      </c>
      <c r="K2368" s="38"/>
      <c r="L2368" s="38"/>
    </row>
    <row r="2369" ht="22.5" customHeight="1">
      <c r="A2369" s="36" t="s">
        <v>5423</v>
      </c>
      <c r="B2369" s="36" t="s">
        <v>5424</v>
      </c>
      <c r="C2369" s="36" t="s">
        <v>1495</v>
      </c>
      <c r="D2369" s="36" t="s">
        <v>1496</v>
      </c>
      <c r="E2369" s="36" t="s">
        <v>287</v>
      </c>
      <c r="F2369" s="36" t="s">
        <v>286</v>
      </c>
      <c r="G2369" s="36" t="s">
        <v>411</v>
      </c>
      <c r="H2369" s="37">
        <v>39.4</v>
      </c>
      <c r="I2369" s="36" t="s">
        <v>1301</v>
      </c>
      <c r="J2369" s="39" t="s">
        <v>286</v>
      </c>
      <c r="K2369" s="38"/>
      <c r="L2369" s="38"/>
    </row>
    <row r="2370" ht="22.5" customHeight="1">
      <c r="A2370" s="36" t="s">
        <v>5425</v>
      </c>
      <c r="B2370" s="36" t="s">
        <v>5426</v>
      </c>
      <c r="C2370" s="36" t="s">
        <v>1495</v>
      </c>
      <c r="D2370" s="36" t="s">
        <v>1496</v>
      </c>
      <c r="E2370" s="36" t="s">
        <v>1285</v>
      </c>
      <c r="F2370" s="36" t="s">
        <v>286</v>
      </c>
      <c r="G2370" s="36" t="s">
        <v>411</v>
      </c>
      <c r="H2370" s="37">
        <v>10.17</v>
      </c>
      <c r="I2370" s="36" t="s">
        <v>1301</v>
      </c>
      <c r="J2370" s="39" t="s">
        <v>286</v>
      </c>
      <c r="K2370" s="38"/>
      <c r="L2370" s="38"/>
    </row>
    <row r="2371" ht="22.5" customHeight="1">
      <c r="A2371" s="36" t="s">
        <v>5427</v>
      </c>
      <c r="B2371" s="36" t="s">
        <v>5428</v>
      </c>
      <c r="C2371" s="36" t="s">
        <v>1495</v>
      </c>
      <c r="D2371" s="36" t="s">
        <v>1496</v>
      </c>
      <c r="E2371" s="36" t="s">
        <v>1285</v>
      </c>
      <c r="F2371" s="36" t="s">
        <v>286</v>
      </c>
      <c r="G2371" s="36" t="s">
        <v>411</v>
      </c>
      <c r="H2371" s="37">
        <v>19.49</v>
      </c>
      <c r="I2371" s="36" t="s">
        <v>1301</v>
      </c>
      <c r="J2371" s="39" t="s">
        <v>286</v>
      </c>
      <c r="K2371" s="38"/>
      <c r="L2371" s="38"/>
    </row>
    <row r="2372" ht="22.5" customHeight="1">
      <c r="A2372" s="36" t="s">
        <v>5429</v>
      </c>
      <c r="B2372" s="36" t="s">
        <v>5430</v>
      </c>
      <c r="C2372" s="36" t="s">
        <v>1495</v>
      </c>
      <c r="D2372" s="36" t="s">
        <v>1496</v>
      </c>
      <c r="E2372" s="36" t="s">
        <v>1285</v>
      </c>
      <c r="F2372" s="36" t="s">
        <v>286</v>
      </c>
      <c r="G2372" s="36" t="s">
        <v>411</v>
      </c>
      <c r="H2372" s="37">
        <v>22.03</v>
      </c>
      <c r="I2372" s="36" t="s">
        <v>1301</v>
      </c>
      <c r="J2372" s="39" t="s">
        <v>286</v>
      </c>
      <c r="K2372" s="38"/>
      <c r="L2372" s="38"/>
    </row>
    <row r="2373" ht="22.5" customHeight="1">
      <c r="A2373" s="36" t="s">
        <v>5431</v>
      </c>
      <c r="B2373" s="36" t="s">
        <v>5432</v>
      </c>
      <c r="C2373" s="36" t="s">
        <v>1495</v>
      </c>
      <c r="D2373" s="36" t="s">
        <v>1496</v>
      </c>
      <c r="E2373" s="36" t="s">
        <v>1285</v>
      </c>
      <c r="F2373" s="36" t="s">
        <v>286</v>
      </c>
      <c r="G2373" s="36" t="s">
        <v>411</v>
      </c>
      <c r="H2373" s="37">
        <v>97.85</v>
      </c>
      <c r="I2373" s="36" t="s">
        <v>1301</v>
      </c>
      <c r="J2373" s="39" t="s">
        <v>286</v>
      </c>
      <c r="K2373" s="38"/>
      <c r="L2373" s="38"/>
    </row>
    <row r="2374" ht="22.5" customHeight="1">
      <c r="A2374" s="36" t="s">
        <v>5433</v>
      </c>
      <c r="B2374" s="36" t="s">
        <v>5434</v>
      </c>
      <c r="C2374" s="36" t="s">
        <v>1495</v>
      </c>
      <c r="D2374" s="36" t="s">
        <v>1496</v>
      </c>
      <c r="E2374" s="36" t="s">
        <v>1285</v>
      </c>
      <c r="F2374" s="36" t="s">
        <v>286</v>
      </c>
      <c r="G2374" s="36" t="s">
        <v>411</v>
      </c>
      <c r="H2374" s="37">
        <v>11.86</v>
      </c>
      <c r="I2374" s="36" t="s">
        <v>1301</v>
      </c>
      <c r="J2374" s="39" t="s">
        <v>286</v>
      </c>
      <c r="K2374" s="38"/>
      <c r="L2374" s="38"/>
    </row>
    <row r="2375" ht="22.5" customHeight="1">
      <c r="A2375" s="36" t="s">
        <v>5435</v>
      </c>
      <c r="B2375" s="36" t="s">
        <v>5436</v>
      </c>
      <c r="C2375" s="36" t="s">
        <v>1495</v>
      </c>
      <c r="D2375" s="36" t="s">
        <v>1496</v>
      </c>
      <c r="E2375" s="36" t="s">
        <v>1285</v>
      </c>
      <c r="F2375" s="36" t="s">
        <v>286</v>
      </c>
      <c r="G2375" s="36" t="s">
        <v>411</v>
      </c>
      <c r="H2375" s="37">
        <v>114.38</v>
      </c>
      <c r="I2375" s="36" t="s">
        <v>1301</v>
      </c>
      <c r="J2375" s="39" t="s">
        <v>286</v>
      </c>
      <c r="K2375" s="38"/>
      <c r="L2375" s="38"/>
    </row>
    <row r="2376" ht="22.5" customHeight="1">
      <c r="A2376" s="36" t="s">
        <v>5437</v>
      </c>
      <c r="B2376" s="36" t="s">
        <v>5438</v>
      </c>
      <c r="C2376" s="36" t="s">
        <v>1495</v>
      </c>
      <c r="D2376" s="36" t="s">
        <v>1496</v>
      </c>
      <c r="E2376" s="36" t="s">
        <v>1285</v>
      </c>
      <c r="F2376" s="36" t="s">
        <v>286</v>
      </c>
      <c r="G2376" s="36" t="s">
        <v>411</v>
      </c>
      <c r="H2376" s="37">
        <v>16.94</v>
      </c>
      <c r="I2376" s="36" t="s">
        <v>1301</v>
      </c>
      <c r="J2376" s="39" t="s">
        <v>286</v>
      </c>
      <c r="K2376" s="38"/>
      <c r="L2376" s="38"/>
    </row>
    <row r="2377" ht="22.5" customHeight="1">
      <c r="A2377" s="36" t="s">
        <v>5439</v>
      </c>
      <c r="B2377" s="36" t="s">
        <v>5440</v>
      </c>
      <c r="C2377" s="36" t="s">
        <v>1495</v>
      </c>
      <c r="D2377" s="36" t="s">
        <v>1496</v>
      </c>
      <c r="E2377" s="36" t="s">
        <v>1285</v>
      </c>
      <c r="F2377" s="36" t="s">
        <v>286</v>
      </c>
      <c r="G2377" s="36" t="s">
        <v>411</v>
      </c>
      <c r="H2377" s="37">
        <v>16.94</v>
      </c>
      <c r="I2377" s="36" t="s">
        <v>1301</v>
      </c>
      <c r="J2377" s="39" t="s">
        <v>286</v>
      </c>
      <c r="K2377" s="38"/>
      <c r="L2377" s="38"/>
    </row>
    <row r="2378" ht="22.5" customHeight="1">
      <c r="A2378" s="36" t="s">
        <v>5441</v>
      </c>
      <c r="B2378" s="36" t="s">
        <v>5442</v>
      </c>
      <c r="C2378" s="36" t="s">
        <v>1495</v>
      </c>
      <c r="D2378" s="36" t="s">
        <v>1496</v>
      </c>
      <c r="E2378" s="36" t="s">
        <v>1285</v>
      </c>
      <c r="F2378" s="36" t="s">
        <v>286</v>
      </c>
      <c r="G2378" s="36" t="s">
        <v>411</v>
      </c>
      <c r="H2378" s="37">
        <v>16.94</v>
      </c>
      <c r="I2378" s="36" t="s">
        <v>1301</v>
      </c>
      <c r="J2378" s="39" t="s">
        <v>286</v>
      </c>
      <c r="K2378" s="38"/>
      <c r="L2378" s="38"/>
    </row>
    <row r="2379" ht="22.5" customHeight="1">
      <c r="A2379" s="36" t="s">
        <v>5443</v>
      </c>
      <c r="B2379" s="36" t="s">
        <v>5444</v>
      </c>
      <c r="C2379" s="36" t="s">
        <v>1495</v>
      </c>
      <c r="D2379" s="36" t="s">
        <v>1496</v>
      </c>
      <c r="E2379" s="36" t="s">
        <v>1285</v>
      </c>
      <c r="F2379" s="36" t="s">
        <v>286</v>
      </c>
      <c r="G2379" s="36" t="s">
        <v>411</v>
      </c>
      <c r="H2379" s="37">
        <v>16.1</v>
      </c>
      <c r="I2379" s="36" t="s">
        <v>1301</v>
      </c>
      <c r="J2379" s="39" t="s">
        <v>286</v>
      </c>
      <c r="K2379" s="38"/>
      <c r="L2379" s="38"/>
    </row>
    <row r="2380" ht="22.5" customHeight="1">
      <c r="A2380" s="36" t="s">
        <v>5445</v>
      </c>
      <c r="B2380" s="36" t="s">
        <v>5446</v>
      </c>
      <c r="C2380" s="36" t="s">
        <v>1495</v>
      </c>
      <c r="D2380" s="36" t="s">
        <v>1496</v>
      </c>
      <c r="E2380" s="36" t="s">
        <v>1285</v>
      </c>
      <c r="F2380" s="36" t="s">
        <v>286</v>
      </c>
      <c r="G2380" s="36" t="s">
        <v>411</v>
      </c>
      <c r="H2380" s="37">
        <v>16.1</v>
      </c>
      <c r="I2380" s="36" t="s">
        <v>1301</v>
      </c>
      <c r="J2380" s="39" t="s">
        <v>286</v>
      </c>
      <c r="K2380" s="38"/>
      <c r="L2380" s="38"/>
    </row>
    <row r="2381" ht="22.5" customHeight="1">
      <c r="A2381" s="36" t="s">
        <v>5447</v>
      </c>
      <c r="B2381" s="36" t="s">
        <v>5448</v>
      </c>
      <c r="C2381" s="36" t="s">
        <v>286</v>
      </c>
      <c r="D2381" s="36" t="s">
        <v>1363</v>
      </c>
      <c r="E2381" s="36" t="s">
        <v>1285</v>
      </c>
      <c r="F2381" s="36" t="s">
        <v>286</v>
      </c>
      <c r="G2381" s="36" t="s">
        <v>411</v>
      </c>
      <c r="H2381" s="37">
        <v>8.26</v>
      </c>
      <c r="I2381" s="36" t="s">
        <v>1301</v>
      </c>
      <c r="J2381" s="39" t="s">
        <v>286</v>
      </c>
      <c r="K2381" s="38"/>
      <c r="L2381" s="38"/>
    </row>
    <row r="2382" ht="22.5" customHeight="1">
      <c r="A2382" s="36" t="s">
        <v>5449</v>
      </c>
      <c r="B2382" s="36" t="s">
        <v>5450</v>
      </c>
      <c r="C2382" s="36" t="s">
        <v>1495</v>
      </c>
      <c r="D2382" s="36" t="s">
        <v>1496</v>
      </c>
      <c r="E2382" s="36" t="s">
        <v>1285</v>
      </c>
      <c r="F2382" s="36" t="s">
        <v>286</v>
      </c>
      <c r="G2382" s="36" t="s">
        <v>411</v>
      </c>
      <c r="H2382" s="37">
        <v>8.9</v>
      </c>
      <c r="I2382" s="36" t="s">
        <v>1301</v>
      </c>
      <c r="J2382" s="39" t="s">
        <v>286</v>
      </c>
      <c r="K2382" s="38"/>
      <c r="L2382" s="38"/>
    </row>
    <row r="2383" ht="22.5" customHeight="1">
      <c r="A2383" s="36" t="s">
        <v>5451</v>
      </c>
      <c r="B2383" s="36" t="s">
        <v>5452</v>
      </c>
      <c r="C2383" s="36" t="s">
        <v>1495</v>
      </c>
      <c r="D2383" s="36" t="s">
        <v>1496</v>
      </c>
      <c r="E2383" s="36" t="s">
        <v>1285</v>
      </c>
      <c r="F2383" s="36" t="s">
        <v>286</v>
      </c>
      <c r="G2383" s="36" t="s">
        <v>411</v>
      </c>
      <c r="H2383" s="37">
        <v>16.94</v>
      </c>
      <c r="I2383" s="36" t="s">
        <v>1301</v>
      </c>
      <c r="J2383" s="39" t="s">
        <v>286</v>
      </c>
      <c r="K2383" s="38"/>
      <c r="L2383" s="38"/>
    </row>
    <row r="2384" ht="22.5" customHeight="1">
      <c r="A2384" s="36" t="s">
        <v>5453</v>
      </c>
      <c r="B2384" s="36" t="s">
        <v>5454</v>
      </c>
      <c r="C2384" s="36" t="s">
        <v>1495</v>
      </c>
      <c r="D2384" s="36" t="s">
        <v>1496</v>
      </c>
      <c r="E2384" s="36" t="s">
        <v>1285</v>
      </c>
      <c r="F2384" s="36" t="s">
        <v>286</v>
      </c>
      <c r="G2384" s="36" t="s">
        <v>411</v>
      </c>
      <c r="H2384" s="37">
        <v>16.94</v>
      </c>
      <c r="I2384" s="36" t="s">
        <v>1301</v>
      </c>
      <c r="J2384" s="39" t="s">
        <v>286</v>
      </c>
      <c r="K2384" s="38"/>
      <c r="L2384" s="38"/>
    </row>
    <row r="2385" ht="22.5" customHeight="1">
      <c r="A2385" s="36" t="s">
        <v>5455</v>
      </c>
      <c r="B2385" s="36" t="s">
        <v>5456</v>
      </c>
      <c r="C2385" s="36" t="s">
        <v>1495</v>
      </c>
      <c r="D2385" s="36" t="s">
        <v>1496</v>
      </c>
      <c r="E2385" s="36" t="s">
        <v>1285</v>
      </c>
      <c r="F2385" s="36" t="s">
        <v>286</v>
      </c>
      <c r="G2385" s="36" t="s">
        <v>411</v>
      </c>
      <c r="H2385" s="37">
        <v>12.71</v>
      </c>
      <c r="I2385" s="36" t="s">
        <v>1301</v>
      </c>
      <c r="J2385" s="39" t="s">
        <v>286</v>
      </c>
      <c r="K2385" s="38"/>
      <c r="L2385" s="38"/>
    </row>
    <row r="2386" ht="22.5" customHeight="1">
      <c r="A2386" s="36" t="s">
        <v>5457</v>
      </c>
      <c r="B2386" s="36" t="s">
        <v>5458</v>
      </c>
      <c r="C2386" s="36" t="s">
        <v>1495</v>
      </c>
      <c r="D2386" s="36" t="s">
        <v>1496</v>
      </c>
      <c r="E2386" s="36" t="s">
        <v>1285</v>
      </c>
      <c r="F2386" s="36" t="s">
        <v>286</v>
      </c>
      <c r="G2386" s="36" t="s">
        <v>411</v>
      </c>
      <c r="H2386" s="37">
        <v>12.71</v>
      </c>
      <c r="I2386" s="36" t="s">
        <v>1301</v>
      </c>
      <c r="J2386" s="39" t="s">
        <v>286</v>
      </c>
      <c r="K2386" s="38"/>
      <c r="L2386" s="38"/>
    </row>
    <row r="2387" ht="22.5" customHeight="1">
      <c r="A2387" s="36" t="s">
        <v>5459</v>
      </c>
      <c r="B2387" s="36" t="s">
        <v>5460</v>
      </c>
      <c r="C2387" s="36" t="s">
        <v>1495</v>
      </c>
      <c r="D2387" s="36" t="s">
        <v>1496</v>
      </c>
      <c r="E2387" s="36" t="s">
        <v>1285</v>
      </c>
      <c r="F2387" s="36" t="s">
        <v>286</v>
      </c>
      <c r="G2387" s="36" t="s">
        <v>411</v>
      </c>
      <c r="H2387" s="37">
        <v>18.64</v>
      </c>
      <c r="I2387" s="36" t="s">
        <v>1301</v>
      </c>
      <c r="J2387" s="39" t="s">
        <v>286</v>
      </c>
      <c r="K2387" s="38"/>
      <c r="L2387" s="38"/>
    </row>
    <row r="2388" ht="22.5" customHeight="1">
      <c r="A2388" s="36" t="s">
        <v>5461</v>
      </c>
      <c r="B2388" s="36" t="s">
        <v>5462</v>
      </c>
      <c r="C2388" s="36" t="s">
        <v>1495</v>
      </c>
      <c r="D2388" s="36" t="s">
        <v>1496</v>
      </c>
      <c r="E2388" s="36" t="s">
        <v>1285</v>
      </c>
      <c r="F2388" s="36" t="s">
        <v>286</v>
      </c>
      <c r="G2388" s="36" t="s">
        <v>411</v>
      </c>
      <c r="H2388" s="37">
        <v>13.56</v>
      </c>
      <c r="I2388" s="36" t="s">
        <v>1301</v>
      </c>
      <c r="J2388" s="39" t="s">
        <v>286</v>
      </c>
      <c r="K2388" s="38"/>
      <c r="L2388" s="38"/>
    </row>
    <row r="2389" ht="22.5" customHeight="1">
      <c r="A2389" s="36" t="s">
        <v>5463</v>
      </c>
      <c r="B2389" s="36" t="s">
        <v>5464</v>
      </c>
      <c r="C2389" s="36" t="s">
        <v>1495</v>
      </c>
      <c r="D2389" s="36" t="s">
        <v>1496</v>
      </c>
      <c r="E2389" s="36" t="s">
        <v>1285</v>
      </c>
      <c r="F2389" s="36" t="s">
        <v>286</v>
      </c>
      <c r="G2389" s="36" t="s">
        <v>411</v>
      </c>
      <c r="H2389" s="37">
        <v>14.4</v>
      </c>
      <c r="I2389" s="36" t="s">
        <v>1301</v>
      </c>
      <c r="J2389" s="39" t="s">
        <v>286</v>
      </c>
      <c r="K2389" s="38"/>
      <c r="L2389" s="38"/>
    </row>
    <row r="2390" ht="22.5" customHeight="1">
      <c r="A2390" s="36" t="s">
        <v>5465</v>
      </c>
      <c r="B2390" s="36" t="s">
        <v>5466</v>
      </c>
      <c r="C2390" s="36" t="s">
        <v>1495</v>
      </c>
      <c r="D2390" s="36" t="s">
        <v>1496</v>
      </c>
      <c r="E2390" s="36" t="s">
        <v>1285</v>
      </c>
      <c r="F2390" s="36" t="s">
        <v>286</v>
      </c>
      <c r="G2390" s="36" t="s">
        <v>411</v>
      </c>
      <c r="H2390" s="37">
        <v>24.57</v>
      </c>
      <c r="I2390" s="36" t="s">
        <v>1301</v>
      </c>
      <c r="J2390" s="39" t="s">
        <v>286</v>
      </c>
      <c r="K2390" s="38"/>
      <c r="L2390" s="38"/>
    </row>
    <row r="2391" ht="22.5" customHeight="1">
      <c r="A2391" s="36" t="s">
        <v>5467</v>
      </c>
      <c r="B2391" s="36" t="s">
        <v>5468</v>
      </c>
      <c r="C2391" s="36" t="s">
        <v>1495</v>
      </c>
      <c r="D2391" s="36" t="s">
        <v>1496</v>
      </c>
      <c r="E2391" s="36" t="s">
        <v>1285</v>
      </c>
      <c r="F2391" s="36" t="s">
        <v>286</v>
      </c>
      <c r="G2391" s="36" t="s">
        <v>411</v>
      </c>
      <c r="H2391" s="37">
        <v>5.51</v>
      </c>
      <c r="I2391" s="36" t="s">
        <v>1301</v>
      </c>
      <c r="J2391" s="39" t="s">
        <v>286</v>
      </c>
      <c r="K2391" s="38"/>
      <c r="L2391" s="38"/>
    </row>
    <row r="2392" ht="22.5" customHeight="1">
      <c r="A2392" s="36" t="s">
        <v>5469</v>
      </c>
      <c r="B2392" s="36" t="s">
        <v>5470</v>
      </c>
      <c r="C2392" s="36" t="s">
        <v>1495</v>
      </c>
      <c r="D2392" s="36" t="s">
        <v>1496</v>
      </c>
      <c r="E2392" s="36" t="s">
        <v>1285</v>
      </c>
      <c r="F2392" s="36" t="s">
        <v>286</v>
      </c>
      <c r="G2392" s="36" t="s">
        <v>411</v>
      </c>
      <c r="H2392" s="37">
        <v>27.11</v>
      </c>
      <c r="I2392" s="36" t="s">
        <v>1301</v>
      </c>
      <c r="J2392" s="39" t="s">
        <v>286</v>
      </c>
      <c r="K2392" s="38"/>
      <c r="L2392" s="38"/>
    </row>
    <row r="2393" ht="22.5" customHeight="1">
      <c r="A2393" s="36" t="s">
        <v>5471</v>
      </c>
      <c r="B2393" s="36" t="s">
        <v>5472</v>
      </c>
      <c r="C2393" s="36" t="s">
        <v>1495</v>
      </c>
      <c r="D2393" s="36" t="s">
        <v>1496</v>
      </c>
      <c r="E2393" s="36" t="s">
        <v>1285</v>
      </c>
      <c r="F2393" s="36" t="s">
        <v>286</v>
      </c>
      <c r="G2393" s="36" t="s">
        <v>411</v>
      </c>
      <c r="H2393" s="37">
        <v>9.74</v>
      </c>
      <c r="I2393" s="36" t="s">
        <v>1301</v>
      </c>
      <c r="J2393" s="39" t="s">
        <v>286</v>
      </c>
      <c r="K2393" s="38"/>
      <c r="L2393" s="38"/>
    </row>
    <row r="2394" ht="22.5" customHeight="1">
      <c r="A2394" s="36" t="s">
        <v>5473</v>
      </c>
      <c r="B2394" s="36" t="s">
        <v>5474</v>
      </c>
      <c r="C2394" s="36" t="s">
        <v>1495</v>
      </c>
      <c r="D2394" s="36" t="s">
        <v>1496</v>
      </c>
      <c r="E2394" s="36" t="s">
        <v>1285</v>
      </c>
      <c r="F2394" s="36" t="s">
        <v>286</v>
      </c>
      <c r="G2394" s="36" t="s">
        <v>411</v>
      </c>
      <c r="H2394" s="37">
        <v>10.59</v>
      </c>
      <c r="I2394" s="36" t="s">
        <v>1301</v>
      </c>
      <c r="J2394" s="39" t="s">
        <v>286</v>
      </c>
      <c r="K2394" s="38"/>
      <c r="L2394" s="38"/>
    </row>
    <row r="2395" ht="22.5" customHeight="1">
      <c r="A2395" s="36" t="s">
        <v>5475</v>
      </c>
      <c r="B2395" s="36" t="s">
        <v>5476</v>
      </c>
      <c r="C2395" s="36" t="s">
        <v>1495</v>
      </c>
      <c r="D2395" s="36" t="s">
        <v>1496</v>
      </c>
      <c r="E2395" s="36" t="s">
        <v>1285</v>
      </c>
      <c r="F2395" s="36" t="s">
        <v>286</v>
      </c>
      <c r="G2395" s="36" t="s">
        <v>411</v>
      </c>
      <c r="H2395" s="37">
        <v>17.79</v>
      </c>
      <c r="I2395" s="36" t="s">
        <v>1301</v>
      </c>
      <c r="J2395" s="39" t="s">
        <v>286</v>
      </c>
      <c r="K2395" s="38"/>
      <c r="L2395" s="38"/>
    </row>
    <row r="2396" ht="22.5" customHeight="1">
      <c r="A2396" s="36" t="s">
        <v>5477</v>
      </c>
      <c r="B2396" s="36" t="s">
        <v>5478</v>
      </c>
      <c r="C2396" s="36" t="s">
        <v>1495</v>
      </c>
      <c r="D2396" s="36" t="s">
        <v>1496</v>
      </c>
      <c r="E2396" s="36" t="s">
        <v>1285</v>
      </c>
      <c r="F2396" s="36" t="s">
        <v>286</v>
      </c>
      <c r="G2396" s="36" t="s">
        <v>411</v>
      </c>
      <c r="H2396" s="37">
        <v>4.66</v>
      </c>
      <c r="I2396" s="36" t="s">
        <v>1301</v>
      </c>
      <c r="J2396" s="39" t="s">
        <v>286</v>
      </c>
      <c r="K2396" s="38"/>
      <c r="L2396" s="38"/>
    </row>
    <row r="2397" ht="22.5" customHeight="1">
      <c r="A2397" s="36" t="s">
        <v>5479</v>
      </c>
      <c r="B2397" s="36" t="s">
        <v>5480</v>
      </c>
      <c r="C2397" s="36" t="s">
        <v>1495</v>
      </c>
      <c r="D2397" s="36" t="s">
        <v>1496</v>
      </c>
      <c r="E2397" s="36" t="s">
        <v>1285</v>
      </c>
      <c r="F2397" s="36" t="s">
        <v>286</v>
      </c>
      <c r="G2397" s="36" t="s">
        <v>411</v>
      </c>
      <c r="H2397" s="37">
        <v>43.21</v>
      </c>
      <c r="I2397" s="36" t="s">
        <v>1301</v>
      </c>
      <c r="J2397" s="39" t="s">
        <v>286</v>
      </c>
      <c r="K2397" s="38"/>
      <c r="L2397" s="38"/>
    </row>
    <row r="2398" ht="22.5" customHeight="1">
      <c r="A2398" s="36" t="s">
        <v>5481</v>
      </c>
      <c r="B2398" s="36" t="s">
        <v>5482</v>
      </c>
      <c r="C2398" s="36" t="s">
        <v>1495</v>
      </c>
      <c r="D2398" s="36" t="s">
        <v>1496</v>
      </c>
      <c r="E2398" s="36" t="s">
        <v>1285</v>
      </c>
      <c r="F2398" s="36" t="s">
        <v>286</v>
      </c>
      <c r="G2398" s="36" t="s">
        <v>411</v>
      </c>
      <c r="H2398" s="37">
        <v>33.04</v>
      </c>
      <c r="I2398" s="36" t="s">
        <v>1301</v>
      </c>
      <c r="J2398" s="39" t="s">
        <v>286</v>
      </c>
      <c r="K2398" s="38"/>
      <c r="L2398" s="38"/>
    </row>
    <row r="2399" ht="22.5" customHeight="1">
      <c r="A2399" s="36" t="s">
        <v>5483</v>
      </c>
      <c r="B2399" s="36" t="s">
        <v>5484</v>
      </c>
      <c r="C2399" s="36" t="s">
        <v>1495</v>
      </c>
      <c r="D2399" s="36" t="s">
        <v>1496</v>
      </c>
      <c r="E2399" s="36" t="s">
        <v>1285</v>
      </c>
      <c r="F2399" s="36" t="s">
        <v>286</v>
      </c>
      <c r="G2399" s="36" t="s">
        <v>411</v>
      </c>
      <c r="H2399" s="37">
        <v>43.21</v>
      </c>
      <c r="I2399" s="36" t="s">
        <v>1301</v>
      </c>
      <c r="J2399" s="39" t="s">
        <v>286</v>
      </c>
      <c r="K2399" s="38"/>
      <c r="L2399" s="38"/>
    </row>
    <row r="2400" ht="22.5" customHeight="1">
      <c r="A2400" s="36" t="s">
        <v>5485</v>
      </c>
      <c r="B2400" s="36" t="s">
        <v>5486</v>
      </c>
      <c r="C2400" s="36" t="s">
        <v>1495</v>
      </c>
      <c r="D2400" s="36" t="s">
        <v>1496</v>
      </c>
      <c r="E2400" s="36" t="s">
        <v>1285</v>
      </c>
      <c r="F2400" s="36" t="s">
        <v>286</v>
      </c>
      <c r="G2400" s="36" t="s">
        <v>411</v>
      </c>
      <c r="H2400" s="37">
        <v>32.19</v>
      </c>
      <c r="I2400" s="36" t="s">
        <v>1301</v>
      </c>
      <c r="J2400" s="39" t="s">
        <v>286</v>
      </c>
      <c r="K2400" s="38"/>
      <c r="L2400" s="38"/>
    </row>
    <row r="2401" ht="22.5" customHeight="1">
      <c r="A2401" s="36" t="s">
        <v>5487</v>
      </c>
      <c r="B2401" s="36" t="s">
        <v>5488</v>
      </c>
      <c r="C2401" s="36" t="s">
        <v>1495</v>
      </c>
      <c r="D2401" s="36" t="s">
        <v>1496</v>
      </c>
      <c r="E2401" s="36" t="s">
        <v>1285</v>
      </c>
      <c r="F2401" s="36" t="s">
        <v>286</v>
      </c>
      <c r="G2401" s="36" t="s">
        <v>411</v>
      </c>
      <c r="H2401" s="37">
        <v>15.25</v>
      </c>
      <c r="I2401" s="36" t="s">
        <v>1301</v>
      </c>
      <c r="J2401" s="39" t="s">
        <v>286</v>
      </c>
      <c r="K2401" s="38"/>
      <c r="L2401" s="38"/>
    </row>
    <row r="2402" ht="22.5" customHeight="1">
      <c r="A2402" s="36" t="s">
        <v>5489</v>
      </c>
      <c r="B2402" s="36" t="s">
        <v>5490</v>
      </c>
      <c r="C2402" s="36" t="s">
        <v>1495</v>
      </c>
      <c r="D2402" s="36" t="s">
        <v>1496</v>
      </c>
      <c r="E2402" s="36" t="s">
        <v>1285</v>
      </c>
      <c r="F2402" s="36" t="s">
        <v>286</v>
      </c>
      <c r="G2402" s="36" t="s">
        <v>411</v>
      </c>
      <c r="H2402" s="37">
        <v>11.01</v>
      </c>
      <c r="I2402" s="36" t="s">
        <v>1301</v>
      </c>
      <c r="J2402" s="39" t="s">
        <v>286</v>
      </c>
      <c r="K2402" s="38"/>
      <c r="L2402" s="38"/>
    </row>
    <row r="2403" ht="22.5" customHeight="1">
      <c r="A2403" s="36" t="s">
        <v>5491</v>
      </c>
      <c r="B2403" s="36" t="s">
        <v>5492</v>
      </c>
      <c r="C2403" s="36" t="s">
        <v>1495</v>
      </c>
      <c r="D2403" s="36" t="s">
        <v>1496</v>
      </c>
      <c r="E2403" s="36" t="s">
        <v>1285</v>
      </c>
      <c r="F2403" s="36" t="s">
        <v>286</v>
      </c>
      <c r="G2403" s="36" t="s">
        <v>411</v>
      </c>
      <c r="H2403" s="37">
        <v>31.35</v>
      </c>
      <c r="I2403" s="36" t="s">
        <v>1301</v>
      </c>
      <c r="J2403" s="39" t="s">
        <v>286</v>
      </c>
      <c r="K2403" s="38"/>
      <c r="L2403" s="38"/>
    </row>
    <row r="2404" ht="22.5" customHeight="1">
      <c r="A2404" s="36" t="s">
        <v>5493</v>
      </c>
      <c r="B2404" s="36" t="s">
        <v>5494</v>
      </c>
      <c r="C2404" s="36" t="s">
        <v>1495</v>
      </c>
      <c r="D2404" s="36" t="s">
        <v>1496</v>
      </c>
      <c r="E2404" s="36" t="s">
        <v>1285</v>
      </c>
      <c r="F2404" s="36" t="s">
        <v>286</v>
      </c>
      <c r="G2404" s="36" t="s">
        <v>411</v>
      </c>
      <c r="H2404" s="37">
        <v>45.75</v>
      </c>
      <c r="I2404" s="36" t="s">
        <v>1301</v>
      </c>
      <c r="J2404" s="39" t="s">
        <v>286</v>
      </c>
      <c r="K2404" s="38"/>
      <c r="L2404" s="38"/>
    </row>
    <row r="2405" ht="22.5" customHeight="1">
      <c r="A2405" s="36" t="s">
        <v>5495</v>
      </c>
      <c r="B2405" s="36" t="s">
        <v>5496</v>
      </c>
      <c r="C2405" s="36" t="s">
        <v>1495</v>
      </c>
      <c r="D2405" s="36" t="s">
        <v>1496</v>
      </c>
      <c r="E2405" s="36" t="s">
        <v>1285</v>
      </c>
      <c r="F2405" s="36" t="s">
        <v>286</v>
      </c>
      <c r="G2405" s="36" t="s">
        <v>411</v>
      </c>
      <c r="H2405" s="37">
        <v>4.77</v>
      </c>
      <c r="I2405" s="36" t="s">
        <v>1301</v>
      </c>
      <c r="J2405" s="39" t="s">
        <v>286</v>
      </c>
      <c r="K2405" s="38"/>
      <c r="L2405" s="38"/>
    </row>
    <row r="2406" ht="22.5" customHeight="1">
      <c r="A2406" s="36" t="s">
        <v>5497</v>
      </c>
      <c r="B2406" s="36" t="s">
        <v>5498</v>
      </c>
      <c r="C2406" s="36" t="s">
        <v>1495</v>
      </c>
      <c r="D2406" s="36" t="s">
        <v>1496</v>
      </c>
      <c r="E2406" s="36" t="s">
        <v>1285</v>
      </c>
      <c r="F2406" s="36" t="s">
        <v>286</v>
      </c>
      <c r="G2406" s="36" t="s">
        <v>411</v>
      </c>
      <c r="H2406" s="37">
        <v>13.98</v>
      </c>
      <c r="I2406" s="36" t="s">
        <v>1301</v>
      </c>
      <c r="J2406" s="39" t="s">
        <v>286</v>
      </c>
      <c r="K2406" s="38"/>
      <c r="L2406" s="38"/>
    </row>
    <row r="2407" ht="22.5" customHeight="1">
      <c r="A2407" s="36" t="s">
        <v>5499</v>
      </c>
      <c r="B2407" s="36" t="s">
        <v>5500</v>
      </c>
      <c r="C2407" s="36" t="s">
        <v>1495</v>
      </c>
      <c r="D2407" s="36" t="s">
        <v>1496</v>
      </c>
      <c r="E2407" s="36" t="s">
        <v>1285</v>
      </c>
      <c r="F2407" s="36" t="s">
        <v>286</v>
      </c>
      <c r="G2407" s="36" t="s">
        <v>411</v>
      </c>
      <c r="H2407" s="37">
        <v>200.0</v>
      </c>
      <c r="I2407" s="36" t="s">
        <v>1301</v>
      </c>
      <c r="J2407" s="39" t="s">
        <v>286</v>
      </c>
      <c r="K2407" s="38"/>
      <c r="L2407" s="38"/>
    </row>
    <row r="2408" ht="22.5" customHeight="1">
      <c r="A2408" s="36" t="s">
        <v>5501</v>
      </c>
      <c r="B2408" s="36" t="s">
        <v>5502</v>
      </c>
      <c r="C2408" s="36" t="s">
        <v>1495</v>
      </c>
      <c r="D2408" s="36" t="s">
        <v>1496</v>
      </c>
      <c r="E2408" s="36" t="s">
        <v>1285</v>
      </c>
      <c r="F2408" s="36" t="s">
        <v>286</v>
      </c>
      <c r="G2408" s="36" t="s">
        <v>411</v>
      </c>
      <c r="H2408" s="37">
        <v>598.68</v>
      </c>
      <c r="I2408" s="36" t="s">
        <v>1301</v>
      </c>
      <c r="J2408" s="39" t="s">
        <v>286</v>
      </c>
      <c r="K2408" s="38"/>
      <c r="L2408" s="38"/>
    </row>
    <row r="2409" ht="22.5" customHeight="1">
      <c r="A2409" s="36" t="s">
        <v>5503</v>
      </c>
      <c r="B2409" s="36" t="s">
        <v>5504</v>
      </c>
      <c r="C2409" s="36" t="s">
        <v>1495</v>
      </c>
      <c r="D2409" s="36" t="s">
        <v>1496</v>
      </c>
      <c r="E2409" s="36" t="s">
        <v>1285</v>
      </c>
      <c r="F2409" s="36" t="s">
        <v>286</v>
      </c>
      <c r="G2409" s="36" t="s">
        <v>411</v>
      </c>
      <c r="H2409" s="37">
        <v>109.41</v>
      </c>
      <c r="I2409" s="36" t="s">
        <v>1301</v>
      </c>
      <c r="J2409" s="39" t="s">
        <v>286</v>
      </c>
      <c r="K2409" s="38"/>
      <c r="L2409" s="38"/>
    </row>
    <row r="2410" ht="22.5" customHeight="1">
      <c r="A2410" s="36" t="s">
        <v>5505</v>
      </c>
      <c r="B2410" s="36" t="s">
        <v>5506</v>
      </c>
      <c r="C2410" s="36" t="s">
        <v>1495</v>
      </c>
      <c r="D2410" s="36" t="s">
        <v>1496</v>
      </c>
      <c r="E2410" s="36" t="s">
        <v>1285</v>
      </c>
      <c r="F2410" s="36" t="s">
        <v>286</v>
      </c>
      <c r="G2410" s="36" t="s">
        <v>411</v>
      </c>
      <c r="H2410" s="37">
        <v>29.55</v>
      </c>
      <c r="I2410" s="36" t="s">
        <v>1301</v>
      </c>
      <c r="J2410" s="39" t="s">
        <v>286</v>
      </c>
      <c r="K2410" s="38"/>
      <c r="L2410" s="38"/>
    </row>
    <row r="2411" ht="22.5" customHeight="1">
      <c r="A2411" s="36" t="s">
        <v>5507</v>
      </c>
      <c r="B2411" s="36" t="s">
        <v>5508</v>
      </c>
      <c r="C2411" s="36" t="s">
        <v>1495</v>
      </c>
      <c r="D2411" s="36" t="s">
        <v>1496</v>
      </c>
      <c r="E2411" s="36" t="s">
        <v>1285</v>
      </c>
      <c r="F2411" s="36" t="s">
        <v>286</v>
      </c>
      <c r="G2411" s="36" t="s">
        <v>411</v>
      </c>
      <c r="H2411" s="37">
        <v>45.42</v>
      </c>
      <c r="I2411" s="36" t="s">
        <v>1301</v>
      </c>
      <c r="J2411" s="39" t="s">
        <v>286</v>
      </c>
      <c r="K2411" s="38"/>
      <c r="L2411" s="38"/>
    </row>
    <row r="2412" ht="22.5" customHeight="1">
      <c r="A2412" s="36" t="s">
        <v>5509</v>
      </c>
      <c r="B2412" s="36" t="s">
        <v>5510</v>
      </c>
      <c r="C2412" s="36" t="s">
        <v>1495</v>
      </c>
      <c r="D2412" s="36" t="s">
        <v>1496</v>
      </c>
      <c r="E2412" s="36" t="s">
        <v>1285</v>
      </c>
      <c r="F2412" s="36" t="s">
        <v>286</v>
      </c>
      <c r="G2412" s="36" t="s">
        <v>411</v>
      </c>
      <c r="H2412" s="37">
        <v>150.0</v>
      </c>
      <c r="I2412" s="36" t="s">
        <v>1301</v>
      </c>
      <c r="J2412" s="39" t="s">
        <v>286</v>
      </c>
      <c r="K2412" s="38"/>
      <c r="L2412" s="38"/>
    </row>
    <row r="2413" ht="22.5" customHeight="1">
      <c r="A2413" s="36" t="s">
        <v>5511</v>
      </c>
      <c r="B2413" s="36" t="s">
        <v>5512</v>
      </c>
      <c r="C2413" s="36" t="s">
        <v>1495</v>
      </c>
      <c r="D2413" s="36" t="s">
        <v>1496</v>
      </c>
      <c r="E2413" s="36" t="s">
        <v>1285</v>
      </c>
      <c r="F2413" s="36" t="s">
        <v>286</v>
      </c>
      <c r="G2413" s="36" t="s">
        <v>411</v>
      </c>
      <c r="H2413" s="37">
        <v>10.76</v>
      </c>
      <c r="I2413" s="36" t="s">
        <v>1301</v>
      </c>
      <c r="J2413" s="39" t="s">
        <v>286</v>
      </c>
      <c r="K2413" s="38"/>
      <c r="L2413" s="38"/>
    </row>
    <row r="2414" ht="22.5" customHeight="1">
      <c r="A2414" s="36" t="s">
        <v>5513</v>
      </c>
      <c r="B2414" s="36" t="s">
        <v>5514</v>
      </c>
      <c r="C2414" s="36" t="s">
        <v>1495</v>
      </c>
      <c r="D2414" s="36" t="s">
        <v>1496</v>
      </c>
      <c r="E2414" s="36" t="s">
        <v>1285</v>
      </c>
      <c r="F2414" s="36" t="s">
        <v>286</v>
      </c>
      <c r="G2414" s="36" t="s">
        <v>411</v>
      </c>
      <c r="H2414" s="37">
        <v>20.67</v>
      </c>
      <c r="I2414" s="36" t="s">
        <v>1301</v>
      </c>
      <c r="J2414" s="39" t="s">
        <v>286</v>
      </c>
      <c r="K2414" s="38"/>
      <c r="L2414" s="38"/>
    </row>
    <row r="2415" ht="22.5" customHeight="1">
      <c r="A2415" s="36" t="s">
        <v>5515</v>
      </c>
      <c r="B2415" s="36" t="s">
        <v>5516</v>
      </c>
      <c r="C2415" s="36" t="s">
        <v>1495</v>
      </c>
      <c r="D2415" s="36" t="s">
        <v>1496</v>
      </c>
      <c r="E2415" s="36" t="s">
        <v>1285</v>
      </c>
      <c r="F2415" s="36" t="s">
        <v>286</v>
      </c>
      <c r="G2415" s="36" t="s">
        <v>411</v>
      </c>
      <c r="H2415" s="37">
        <v>55.11</v>
      </c>
      <c r="I2415" s="36" t="s">
        <v>1301</v>
      </c>
      <c r="J2415" s="39" t="s">
        <v>286</v>
      </c>
      <c r="K2415" s="38"/>
      <c r="L2415" s="38"/>
    </row>
    <row r="2416" ht="22.5" customHeight="1">
      <c r="A2416" s="36" t="s">
        <v>5517</v>
      </c>
      <c r="B2416" s="36" t="s">
        <v>5518</v>
      </c>
      <c r="C2416" s="36" t="s">
        <v>1495</v>
      </c>
      <c r="D2416" s="36" t="s">
        <v>1496</v>
      </c>
      <c r="E2416" s="36" t="s">
        <v>1285</v>
      </c>
      <c r="F2416" s="36" t="s">
        <v>286</v>
      </c>
      <c r="G2416" s="36" t="s">
        <v>411</v>
      </c>
      <c r="H2416" s="37">
        <v>11.63</v>
      </c>
      <c r="I2416" s="36" t="s">
        <v>1301</v>
      </c>
      <c r="J2416" s="39" t="s">
        <v>286</v>
      </c>
      <c r="K2416" s="38"/>
      <c r="L2416" s="38"/>
    </row>
    <row r="2417" ht="22.5" customHeight="1">
      <c r="A2417" s="36" t="s">
        <v>5519</v>
      </c>
      <c r="B2417" s="36" t="s">
        <v>5520</v>
      </c>
      <c r="C2417" s="36" t="s">
        <v>1495</v>
      </c>
      <c r="D2417" s="36" t="s">
        <v>1496</v>
      </c>
      <c r="E2417" s="36" t="s">
        <v>1285</v>
      </c>
      <c r="F2417" s="36" t="s">
        <v>286</v>
      </c>
      <c r="G2417" s="36" t="s">
        <v>411</v>
      </c>
      <c r="H2417" s="37">
        <v>6.54</v>
      </c>
      <c r="I2417" s="36" t="s">
        <v>1301</v>
      </c>
      <c r="J2417" s="39" t="s">
        <v>286</v>
      </c>
      <c r="K2417" s="38"/>
      <c r="L2417" s="38"/>
    </row>
    <row r="2418" ht="22.5" customHeight="1">
      <c r="A2418" s="36" t="s">
        <v>5521</v>
      </c>
      <c r="B2418" s="36" t="s">
        <v>5522</v>
      </c>
      <c r="C2418" s="36" t="s">
        <v>1495</v>
      </c>
      <c r="D2418" s="36" t="s">
        <v>1496</v>
      </c>
      <c r="E2418" s="36" t="s">
        <v>1285</v>
      </c>
      <c r="F2418" s="36" t="s">
        <v>286</v>
      </c>
      <c r="G2418" s="36" t="s">
        <v>411</v>
      </c>
      <c r="H2418" s="37">
        <v>257.86</v>
      </c>
      <c r="I2418" s="36" t="s">
        <v>1301</v>
      </c>
      <c r="J2418" s="39" t="s">
        <v>286</v>
      </c>
      <c r="K2418" s="38"/>
      <c r="L2418" s="38"/>
    </row>
    <row r="2419" ht="22.5" customHeight="1">
      <c r="A2419" s="36" t="s">
        <v>5523</v>
      </c>
      <c r="B2419" s="36" t="s">
        <v>5524</v>
      </c>
      <c r="C2419" s="36" t="s">
        <v>1495</v>
      </c>
      <c r="D2419" s="36" t="s">
        <v>1496</v>
      </c>
      <c r="E2419" s="36" t="s">
        <v>1285</v>
      </c>
      <c r="F2419" s="36" t="s">
        <v>286</v>
      </c>
      <c r="G2419" s="36" t="s">
        <v>411</v>
      </c>
      <c r="H2419" s="37">
        <v>73.98</v>
      </c>
      <c r="I2419" s="36" t="s">
        <v>1301</v>
      </c>
      <c r="J2419" s="39" t="s">
        <v>286</v>
      </c>
      <c r="K2419" s="38"/>
      <c r="L2419" s="38"/>
    </row>
    <row r="2420" ht="22.5" customHeight="1">
      <c r="A2420" s="36" t="s">
        <v>5525</v>
      </c>
      <c r="B2420" s="36" t="s">
        <v>5526</v>
      </c>
      <c r="C2420" s="36" t="s">
        <v>1495</v>
      </c>
      <c r="D2420" s="36" t="s">
        <v>1496</v>
      </c>
      <c r="E2420" s="36" t="s">
        <v>1285</v>
      </c>
      <c r="F2420" s="36" t="s">
        <v>286</v>
      </c>
      <c r="G2420" s="36" t="s">
        <v>411</v>
      </c>
      <c r="H2420" s="37">
        <v>153.98</v>
      </c>
      <c r="I2420" s="36" t="s">
        <v>1301</v>
      </c>
      <c r="J2420" s="39" t="s">
        <v>286</v>
      </c>
      <c r="K2420" s="38"/>
      <c r="L2420" s="38"/>
    </row>
    <row r="2421" ht="22.5" customHeight="1">
      <c r="A2421" s="36" t="s">
        <v>5527</v>
      </c>
      <c r="B2421" s="36" t="s">
        <v>5528</v>
      </c>
      <c r="C2421" s="36" t="s">
        <v>1495</v>
      </c>
      <c r="D2421" s="36" t="s">
        <v>1496</v>
      </c>
      <c r="E2421" s="36" t="s">
        <v>1285</v>
      </c>
      <c r="F2421" s="36" t="s">
        <v>286</v>
      </c>
      <c r="G2421" s="36" t="s">
        <v>411</v>
      </c>
      <c r="H2421" s="37">
        <v>3.5</v>
      </c>
      <c r="I2421" s="36" t="s">
        <v>1301</v>
      </c>
      <c r="J2421" s="39" t="s">
        <v>286</v>
      </c>
      <c r="K2421" s="38"/>
      <c r="L2421" s="38"/>
    </row>
    <row r="2422" ht="22.5" customHeight="1">
      <c r="A2422" s="36" t="s">
        <v>5529</v>
      </c>
      <c r="B2422" s="36" t="s">
        <v>5530</v>
      </c>
      <c r="C2422" s="36" t="s">
        <v>1495</v>
      </c>
      <c r="D2422" s="36" t="s">
        <v>1496</v>
      </c>
      <c r="E2422" s="36" t="s">
        <v>1285</v>
      </c>
      <c r="F2422" s="36" t="s">
        <v>286</v>
      </c>
      <c r="G2422" s="36" t="s">
        <v>411</v>
      </c>
      <c r="H2422" s="37">
        <v>284.0</v>
      </c>
      <c r="I2422" s="36" t="s">
        <v>1301</v>
      </c>
      <c r="J2422" s="39" t="s">
        <v>286</v>
      </c>
      <c r="K2422" s="38"/>
      <c r="L2422" s="38"/>
    </row>
    <row r="2423" ht="22.5" customHeight="1">
      <c r="A2423" s="36" t="s">
        <v>5531</v>
      </c>
      <c r="B2423" s="36" t="s">
        <v>5532</v>
      </c>
      <c r="C2423" s="36" t="s">
        <v>1495</v>
      </c>
      <c r="D2423" s="36" t="s">
        <v>1496</v>
      </c>
      <c r="E2423" s="36" t="s">
        <v>1285</v>
      </c>
      <c r="F2423" s="36" t="s">
        <v>286</v>
      </c>
      <c r="G2423" s="36" t="s">
        <v>411</v>
      </c>
      <c r="H2423" s="37">
        <v>33.0</v>
      </c>
      <c r="I2423" s="36" t="s">
        <v>1301</v>
      </c>
      <c r="J2423" s="39" t="s">
        <v>286</v>
      </c>
      <c r="K2423" s="38"/>
      <c r="L2423" s="38"/>
    </row>
    <row r="2424" ht="22.5" customHeight="1">
      <c r="A2424" s="36" t="s">
        <v>5533</v>
      </c>
      <c r="B2424" s="36" t="s">
        <v>5534</v>
      </c>
      <c r="C2424" s="36" t="s">
        <v>1495</v>
      </c>
      <c r="D2424" s="36" t="s">
        <v>1496</v>
      </c>
      <c r="E2424" s="36" t="s">
        <v>1285</v>
      </c>
      <c r="F2424" s="36" t="s">
        <v>286</v>
      </c>
      <c r="G2424" s="36" t="s">
        <v>411</v>
      </c>
      <c r="H2424" s="37">
        <v>28.0</v>
      </c>
      <c r="I2424" s="36" t="s">
        <v>1301</v>
      </c>
      <c r="J2424" s="39" t="s">
        <v>286</v>
      </c>
      <c r="K2424" s="38"/>
      <c r="L2424" s="38"/>
    </row>
    <row r="2425" ht="22.5" customHeight="1">
      <c r="A2425" s="36" t="s">
        <v>5535</v>
      </c>
      <c r="B2425" s="36" t="s">
        <v>5536</v>
      </c>
      <c r="C2425" s="36" t="s">
        <v>1495</v>
      </c>
      <c r="D2425" s="36" t="s">
        <v>1496</v>
      </c>
      <c r="E2425" s="36" t="s">
        <v>1285</v>
      </c>
      <c r="F2425" s="36" t="s">
        <v>286</v>
      </c>
      <c r="G2425" s="36" t="s">
        <v>411</v>
      </c>
      <c r="H2425" s="37">
        <v>437.34</v>
      </c>
      <c r="I2425" s="36" t="s">
        <v>1301</v>
      </c>
      <c r="J2425" s="39" t="s">
        <v>286</v>
      </c>
      <c r="K2425" s="38"/>
      <c r="L2425" s="38"/>
    </row>
    <row r="2426" ht="22.5" customHeight="1">
      <c r="A2426" s="36" t="s">
        <v>5537</v>
      </c>
      <c r="B2426" s="36" t="s">
        <v>5538</v>
      </c>
      <c r="C2426" s="36" t="s">
        <v>1495</v>
      </c>
      <c r="D2426" s="36" t="s">
        <v>1496</v>
      </c>
      <c r="E2426" s="36" t="s">
        <v>1285</v>
      </c>
      <c r="F2426" s="36" t="s">
        <v>286</v>
      </c>
      <c r="G2426" s="36" t="s">
        <v>411</v>
      </c>
      <c r="H2426" s="37">
        <v>4434.43</v>
      </c>
      <c r="I2426" s="36" t="s">
        <v>1301</v>
      </c>
      <c r="J2426" s="39" t="s">
        <v>286</v>
      </c>
      <c r="K2426" s="38"/>
      <c r="L2426" s="38"/>
    </row>
    <row r="2427" ht="22.5" customHeight="1">
      <c r="A2427" s="36" t="s">
        <v>5539</v>
      </c>
      <c r="B2427" s="36" t="s">
        <v>5540</v>
      </c>
      <c r="C2427" s="36" t="s">
        <v>1495</v>
      </c>
      <c r="D2427" s="36" t="s">
        <v>1496</v>
      </c>
      <c r="E2427" s="36" t="s">
        <v>1285</v>
      </c>
      <c r="F2427" s="36" t="s">
        <v>286</v>
      </c>
      <c r="G2427" s="36" t="s">
        <v>411</v>
      </c>
      <c r="H2427" s="37">
        <v>2217.21</v>
      </c>
      <c r="I2427" s="36" t="s">
        <v>1301</v>
      </c>
      <c r="J2427" s="39" t="s">
        <v>286</v>
      </c>
      <c r="K2427" s="38"/>
      <c r="L2427" s="38"/>
    </row>
    <row r="2428" ht="22.5" customHeight="1">
      <c r="A2428" s="36" t="s">
        <v>5541</v>
      </c>
      <c r="B2428" s="36" t="s">
        <v>5542</v>
      </c>
      <c r="C2428" s="36" t="s">
        <v>1495</v>
      </c>
      <c r="D2428" s="36" t="s">
        <v>1496</v>
      </c>
      <c r="E2428" s="36" t="s">
        <v>1285</v>
      </c>
      <c r="F2428" s="36" t="s">
        <v>286</v>
      </c>
      <c r="G2428" s="36" t="s">
        <v>411</v>
      </c>
      <c r="H2428" s="37">
        <v>4434.43</v>
      </c>
      <c r="I2428" s="36" t="s">
        <v>1301</v>
      </c>
      <c r="J2428" s="39" t="s">
        <v>286</v>
      </c>
      <c r="K2428" s="38"/>
      <c r="L2428" s="38"/>
    </row>
    <row r="2429" ht="22.5" customHeight="1">
      <c r="A2429" s="36" t="s">
        <v>5543</v>
      </c>
      <c r="B2429" s="36" t="s">
        <v>5544</v>
      </c>
      <c r="C2429" s="36" t="s">
        <v>1495</v>
      </c>
      <c r="D2429" s="36" t="s">
        <v>1496</v>
      </c>
      <c r="E2429" s="36" t="s">
        <v>1285</v>
      </c>
      <c r="F2429" s="36" t="s">
        <v>286</v>
      </c>
      <c r="G2429" s="36" t="s">
        <v>411</v>
      </c>
      <c r="H2429" s="37">
        <v>4434.43</v>
      </c>
      <c r="I2429" s="36" t="s">
        <v>1301</v>
      </c>
      <c r="J2429" s="39" t="s">
        <v>286</v>
      </c>
      <c r="K2429" s="38"/>
      <c r="L2429" s="38"/>
    </row>
    <row r="2430" ht="22.5" customHeight="1">
      <c r="A2430" s="36" t="s">
        <v>5545</v>
      </c>
      <c r="B2430" s="36" t="s">
        <v>5546</v>
      </c>
      <c r="C2430" s="36" t="s">
        <v>1495</v>
      </c>
      <c r="D2430" s="36" t="s">
        <v>1496</v>
      </c>
      <c r="E2430" s="36" t="s">
        <v>1285</v>
      </c>
      <c r="F2430" s="36" t="s">
        <v>286</v>
      </c>
      <c r="G2430" s="36" t="s">
        <v>411</v>
      </c>
      <c r="H2430" s="37">
        <v>437.34</v>
      </c>
      <c r="I2430" s="36" t="s">
        <v>1301</v>
      </c>
      <c r="J2430" s="39" t="s">
        <v>286</v>
      </c>
      <c r="K2430" s="38"/>
      <c r="L2430" s="38"/>
    </row>
    <row r="2431" ht="22.5" customHeight="1">
      <c r="A2431" s="36" t="s">
        <v>5547</v>
      </c>
      <c r="B2431" s="36" t="s">
        <v>5548</v>
      </c>
      <c r="C2431" s="36" t="s">
        <v>1495</v>
      </c>
      <c r="D2431" s="36" t="s">
        <v>1496</v>
      </c>
      <c r="E2431" s="36" t="s">
        <v>1285</v>
      </c>
      <c r="F2431" s="36" t="s">
        <v>286</v>
      </c>
      <c r="G2431" s="36" t="s">
        <v>411</v>
      </c>
      <c r="H2431" s="37">
        <v>437.34</v>
      </c>
      <c r="I2431" s="36" t="s">
        <v>1301</v>
      </c>
      <c r="J2431" s="39" t="s">
        <v>286</v>
      </c>
      <c r="K2431" s="38"/>
      <c r="L2431" s="38"/>
    </row>
    <row r="2432" ht="22.5" customHeight="1">
      <c r="A2432" s="36" t="s">
        <v>5549</v>
      </c>
      <c r="B2432" s="36" t="s">
        <v>5550</v>
      </c>
      <c r="C2432" s="36" t="s">
        <v>1495</v>
      </c>
      <c r="D2432" s="36" t="s">
        <v>1496</v>
      </c>
      <c r="E2432" s="36" t="s">
        <v>1285</v>
      </c>
      <c r="F2432" s="36" t="s">
        <v>286</v>
      </c>
      <c r="G2432" s="36" t="s">
        <v>411</v>
      </c>
      <c r="H2432" s="37">
        <v>48.72</v>
      </c>
      <c r="I2432" s="36" t="s">
        <v>1301</v>
      </c>
      <c r="J2432" s="39" t="s">
        <v>286</v>
      </c>
      <c r="K2432" s="38"/>
      <c r="L2432" s="38"/>
    </row>
    <row r="2433" ht="22.5" customHeight="1">
      <c r="A2433" s="36" t="s">
        <v>5551</v>
      </c>
      <c r="B2433" s="36" t="s">
        <v>5552</v>
      </c>
      <c r="C2433" s="36" t="s">
        <v>1495</v>
      </c>
      <c r="D2433" s="36" t="s">
        <v>1496</v>
      </c>
      <c r="E2433" s="36" t="s">
        <v>1285</v>
      </c>
      <c r="F2433" s="36" t="s">
        <v>286</v>
      </c>
      <c r="G2433" s="36" t="s">
        <v>411</v>
      </c>
      <c r="H2433" s="37">
        <v>324.81</v>
      </c>
      <c r="I2433" s="36" t="s">
        <v>1301</v>
      </c>
      <c r="J2433" s="39" t="s">
        <v>286</v>
      </c>
      <c r="K2433" s="38"/>
      <c r="L2433" s="38"/>
    </row>
    <row r="2434" ht="22.5" customHeight="1">
      <c r="A2434" s="36" t="s">
        <v>5553</v>
      </c>
      <c r="B2434" s="36" t="s">
        <v>5554</v>
      </c>
      <c r="C2434" s="36" t="s">
        <v>1495</v>
      </c>
      <c r="D2434" s="36" t="s">
        <v>1496</v>
      </c>
      <c r="E2434" s="36" t="s">
        <v>1285</v>
      </c>
      <c r="F2434" s="36" t="s">
        <v>286</v>
      </c>
      <c r="G2434" s="36" t="s">
        <v>411</v>
      </c>
      <c r="H2434" s="37">
        <v>77.95</v>
      </c>
      <c r="I2434" s="36" t="s">
        <v>1301</v>
      </c>
      <c r="J2434" s="39" t="s">
        <v>286</v>
      </c>
      <c r="K2434" s="38"/>
      <c r="L2434" s="38"/>
    </row>
    <row r="2435" ht="22.5" customHeight="1">
      <c r="A2435" s="36" t="s">
        <v>5555</v>
      </c>
      <c r="B2435" s="36" t="s">
        <v>5556</v>
      </c>
      <c r="C2435" s="36" t="s">
        <v>1495</v>
      </c>
      <c r="D2435" s="36" t="s">
        <v>1496</v>
      </c>
      <c r="E2435" s="36" t="s">
        <v>1285</v>
      </c>
      <c r="F2435" s="36" t="s">
        <v>286</v>
      </c>
      <c r="G2435" s="36" t="s">
        <v>411</v>
      </c>
      <c r="H2435" s="37">
        <v>3.22</v>
      </c>
      <c r="I2435" s="36" t="s">
        <v>1301</v>
      </c>
      <c r="J2435" s="39" t="s">
        <v>286</v>
      </c>
      <c r="K2435" s="38"/>
      <c r="L2435" s="38"/>
    </row>
    <row r="2436" ht="22.5" customHeight="1">
      <c r="A2436" s="36" t="s">
        <v>5557</v>
      </c>
      <c r="B2436" s="36" t="s">
        <v>5558</v>
      </c>
      <c r="C2436" s="36" t="s">
        <v>1495</v>
      </c>
      <c r="D2436" s="36" t="s">
        <v>1496</v>
      </c>
      <c r="E2436" s="36" t="s">
        <v>1285</v>
      </c>
      <c r="F2436" s="36" t="s">
        <v>286</v>
      </c>
      <c r="G2436" s="36" t="s">
        <v>411</v>
      </c>
      <c r="H2436" s="37">
        <v>172.64</v>
      </c>
      <c r="I2436" s="36" t="s">
        <v>1301</v>
      </c>
      <c r="J2436" s="39" t="s">
        <v>286</v>
      </c>
      <c r="K2436" s="38"/>
      <c r="L2436" s="38"/>
    </row>
    <row r="2437" ht="22.5" customHeight="1">
      <c r="A2437" s="36" t="s">
        <v>5559</v>
      </c>
      <c r="B2437" s="36" t="s">
        <v>5560</v>
      </c>
      <c r="C2437" s="36" t="s">
        <v>1495</v>
      </c>
      <c r="D2437" s="36" t="s">
        <v>1496</v>
      </c>
      <c r="E2437" s="36" t="s">
        <v>1285</v>
      </c>
      <c r="F2437" s="36" t="s">
        <v>286</v>
      </c>
      <c r="G2437" s="36" t="s">
        <v>411</v>
      </c>
      <c r="H2437" s="37">
        <v>86.32</v>
      </c>
      <c r="I2437" s="36" t="s">
        <v>1301</v>
      </c>
      <c r="J2437" s="39" t="s">
        <v>286</v>
      </c>
      <c r="K2437" s="38"/>
      <c r="L2437" s="38"/>
    </row>
    <row r="2438" ht="22.5" customHeight="1">
      <c r="A2438" s="36" t="s">
        <v>5561</v>
      </c>
      <c r="B2438" s="36" t="s">
        <v>5562</v>
      </c>
      <c r="C2438" s="36" t="s">
        <v>1495</v>
      </c>
      <c r="D2438" s="36" t="s">
        <v>1496</v>
      </c>
      <c r="E2438" s="36" t="s">
        <v>1285</v>
      </c>
      <c r="F2438" s="36" t="s">
        <v>286</v>
      </c>
      <c r="G2438" s="36" t="s">
        <v>411</v>
      </c>
      <c r="H2438" s="37">
        <v>86.32</v>
      </c>
      <c r="I2438" s="36" t="s">
        <v>1301</v>
      </c>
      <c r="J2438" s="39" t="s">
        <v>286</v>
      </c>
      <c r="K2438" s="38"/>
      <c r="L2438" s="38"/>
    </row>
    <row r="2439" ht="22.5" customHeight="1">
      <c r="A2439" s="36" t="s">
        <v>5563</v>
      </c>
      <c r="B2439" s="36" t="s">
        <v>5564</v>
      </c>
      <c r="C2439" s="36" t="s">
        <v>1495</v>
      </c>
      <c r="D2439" s="36" t="s">
        <v>1496</v>
      </c>
      <c r="E2439" s="36" t="s">
        <v>1285</v>
      </c>
      <c r="F2439" s="36" t="s">
        <v>286</v>
      </c>
      <c r="G2439" s="36" t="s">
        <v>411</v>
      </c>
      <c r="H2439" s="37">
        <v>53.95</v>
      </c>
      <c r="I2439" s="36" t="s">
        <v>1301</v>
      </c>
      <c r="J2439" s="39" t="s">
        <v>286</v>
      </c>
      <c r="K2439" s="38"/>
      <c r="L2439" s="38"/>
    </row>
    <row r="2440" ht="22.5" customHeight="1">
      <c r="A2440" s="36" t="s">
        <v>5565</v>
      </c>
      <c r="B2440" s="36" t="s">
        <v>5566</v>
      </c>
      <c r="C2440" s="36" t="s">
        <v>1495</v>
      </c>
      <c r="D2440" s="36" t="s">
        <v>1496</v>
      </c>
      <c r="E2440" s="36" t="s">
        <v>1285</v>
      </c>
      <c r="F2440" s="36" t="s">
        <v>286</v>
      </c>
      <c r="G2440" s="36" t="s">
        <v>411</v>
      </c>
      <c r="H2440" s="37">
        <v>22.72</v>
      </c>
      <c r="I2440" s="36" t="s">
        <v>1301</v>
      </c>
      <c r="J2440" s="39" t="s">
        <v>286</v>
      </c>
      <c r="K2440" s="38"/>
      <c r="L2440" s="38"/>
    </row>
    <row r="2441" ht="22.5" customHeight="1">
      <c r="A2441" s="36" t="s">
        <v>5567</v>
      </c>
      <c r="B2441" s="36" t="s">
        <v>5568</v>
      </c>
      <c r="C2441" s="36" t="s">
        <v>1495</v>
      </c>
      <c r="D2441" s="36" t="s">
        <v>1496</v>
      </c>
      <c r="E2441" s="36" t="s">
        <v>1285</v>
      </c>
      <c r="F2441" s="36" t="s">
        <v>286</v>
      </c>
      <c r="G2441" s="36" t="s">
        <v>411</v>
      </c>
      <c r="H2441" s="37">
        <v>78.47</v>
      </c>
      <c r="I2441" s="36" t="s">
        <v>1301</v>
      </c>
      <c r="J2441" s="39" t="s">
        <v>286</v>
      </c>
      <c r="K2441" s="38"/>
      <c r="L2441" s="38"/>
    </row>
    <row r="2442" ht="22.5" customHeight="1">
      <c r="A2442" s="36" t="s">
        <v>5569</v>
      </c>
      <c r="B2442" s="36" t="s">
        <v>5570</v>
      </c>
      <c r="C2442" s="36" t="s">
        <v>1495</v>
      </c>
      <c r="D2442" s="36" t="s">
        <v>1496</v>
      </c>
      <c r="E2442" s="36" t="s">
        <v>1285</v>
      </c>
      <c r="F2442" s="36" t="s">
        <v>286</v>
      </c>
      <c r="G2442" s="36" t="s">
        <v>411</v>
      </c>
      <c r="H2442" s="37">
        <v>184.14</v>
      </c>
      <c r="I2442" s="36" t="s">
        <v>1301</v>
      </c>
      <c r="J2442" s="39" t="s">
        <v>286</v>
      </c>
      <c r="K2442" s="38"/>
      <c r="L2442" s="38"/>
    </row>
    <row r="2443" ht="22.5" customHeight="1">
      <c r="A2443" s="36" t="s">
        <v>5571</v>
      </c>
      <c r="B2443" s="36" t="s">
        <v>5572</v>
      </c>
      <c r="C2443" s="36" t="s">
        <v>1495</v>
      </c>
      <c r="D2443" s="36" t="s">
        <v>1496</v>
      </c>
      <c r="E2443" s="36" t="s">
        <v>1285</v>
      </c>
      <c r="F2443" s="36" t="s">
        <v>286</v>
      </c>
      <c r="G2443" s="36" t="s">
        <v>411</v>
      </c>
      <c r="H2443" s="37">
        <v>21.98</v>
      </c>
      <c r="I2443" s="36" t="s">
        <v>1301</v>
      </c>
      <c r="J2443" s="39" t="s">
        <v>286</v>
      </c>
      <c r="K2443" s="38"/>
      <c r="L2443" s="38"/>
    </row>
    <row r="2444" ht="22.5" customHeight="1">
      <c r="A2444" s="36" t="s">
        <v>5573</v>
      </c>
      <c r="B2444" s="36" t="s">
        <v>5574</v>
      </c>
      <c r="C2444" s="36" t="s">
        <v>1495</v>
      </c>
      <c r="D2444" s="36" t="s">
        <v>1496</v>
      </c>
      <c r="E2444" s="36" t="s">
        <v>1285</v>
      </c>
      <c r="F2444" s="36" t="s">
        <v>286</v>
      </c>
      <c r="G2444" s="36" t="s">
        <v>411</v>
      </c>
      <c r="H2444" s="37">
        <v>8.0</v>
      </c>
      <c r="I2444" s="36" t="s">
        <v>1301</v>
      </c>
      <c r="J2444" s="39" t="s">
        <v>286</v>
      </c>
      <c r="K2444" s="38"/>
      <c r="L2444" s="38"/>
    </row>
    <row r="2445" ht="22.5" customHeight="1">
      <c r="A2445" s="36" t="s">
        <v>5575</v>
      </c>
      <c r="B2445" s="36" t="s">
        <v>5576</v>
      </c>
      <c r="C2445" s="36" t="s">
        <v>1495</v>
      </c>
      <c r="D2445" s="36" t="s">
        <v>1496</v>
      </c>
      <c r="E2445" s="36" t="s">
        <v>1285</v>
      </c>
      <c r="F2445" s="36" t="s">
        <v>286</v>
      </c>
      <c r="G2445" s="36" t="s">
        <v>411</v>
      </c>
      <c r="H2445" s="37">
        <v>51.36</v>
      </c>
      <c r="I2445" s="36" t="s">
        <v>1301</v>
      </c>
      <c r="J2445" s="39" t="s">
        <v>286</v>
      </c>
      <c r="K2445" s="38"/>
      <c r="L2445" s="38"/>
    </row>
    <row r="2446" ht="22.5" customHeight="1">
      <c r="A2446" s="36" t="s">
        <v>5577</v>
      </c>
      <c r="B2446" s="36" t="s">
        <v>5578</v>
      </c>
      <c r="C2446" s="36" t="s">
        <v>1495</v>
      </c>
      <c r="D2446" s="36" t="s">
        <v>1496</v>
      </c>
      <c r="E2446" s="36" t="s">
        <v>1285</v>
      </c>
      <c r="F2446" s="36" t="s">
        <v>286</v>
      </c>
      <c r="G2446" s="36" t="s">
        <v>411</v>
      </c>
      <c r="H2446" s="37">
        <v>212.64</v>
      </c>
      <c r="I2446" s="36" t="s">
        <v>1301</v>
      </c>
      <c r="J2446" s="39" t="s">
        <v>286</v>
      </c>
      <c r="K2446" s="38"/>
      <c r="L2446" s="38"/>
    </row>
    <row r="2447" ht="22.5" customHeight="1">
      <c r="A2447" s="36" t="s">
        <v>5579</v>
      </c>
      <c r="B2447" s="36" t="s">
        <v>5580</v>
      </c>
      <c r="C2447" s="36" t="s">
        <v>1495</v>
      </c>
      <c r="D2447" s="36" t="s">
        <v>1496</v>
      </c>
      <c r="E2447" s="36" t="s">
        <v>287</v>
      </c>
      <c r="F2447" s="36" t="s">
        <v>286</v>
      </c>
      <c r="G2447" s="36" t="s">
        <v>411</v>
      </c>
      <c r="H2447" s="37">
        <v>212.64</v>
      </c>
      <c r="I2447" s="36" t="s">
        <v>1301</v>
      </c>
      <c r="J2447" s="39" t="s">
        <v>286</v>
      </c>
      <c r="K2447" s="38"/>
      <c r="L2447" s="38"/>
    </row>
    <row r="2448" ht="22.5" customHeight="1">
      <c r="A2448" s="36" t="s">
        <v>5581</v>
      </c>
      <c r="B2448" s="36" t="s">
        <v>5582</v>
      </c>
      <c r="C2448" s="36" t="s">
        <v>1495</v>
      </c>
      <c r="D2448" s="36" t="s">
        <v>1496</v>
      </c>
      <c r="E2448" s="36" t="s">
        <v>287</v>
      </c>
      <c r="F2448" s="36" t="s">
        <v>286</v>
      </c>
      <c r="G2448" s="36" t="s">
        <v>411</v>
      </c>
      <c r="H2448" s="37">
        <v>39.84</v>
      </c>
      <c r="I2448" s="36" t="s">
        <v>1301</v>
      </c>
      <c r="J2448" s="39" t="s">
        <v>286</v>
      </c>
      <c r="K2448" s="38"/>
      <c r="L2448" s="38"/>
    </row>
    <row r="2449" ht="22.5" customHeight="1">
      <c r="A2449" s="36" t="s">
        <v>5583</v>
      </c>
      <c r="B2449" s="36" t="s">
        <v>5584</v>
      </c>
      <c r="C2449" s="36" t="s">
        <v>1495</v>
      </c>
      <c r="D2449" s="36" t="s">
        <v>1496</v>
      </c>
      <c r="E2449" s="36" t="s">
        <v>287</v>
      </c>
      <c r="F2449" s="36" t="s">
        <v>286</v>
      </c>
      <c r="G2449" s="36" t="s">
        <v>411</v>
      </c>
      <c r="H2449" s="37">
        <v>29.26</v>
      </c>
      <c r="I2449" s="36" t="s">
        <v>1301</v>
      </c>
      <c r="J2449" s="39" t="s">
        <v>286</v>
      </c>
      <c r="K2449" s="38"/>
      <c r="L2449" s="38"/>
    </row>
    <row r="2450" ht="22.5" customHeight="1">
      <c r="A2450" s="36" t="s">
        <v>5585</v>
      </c>
      <c r="B2450" s="36" t="s">
        <v>5586</v>
      </c>
      <c r="C2450" s="36" t="s">
        <v>1495</v>
      </c>
      <c r="D2450" s="36" t="s">
        <v>1496</v>
      </c>
      <c r="E2450" s="36" t="s">
        <v>287</v>
      </c>
      <c r="F2450" s="36" t="s">
        <v>286</v>
      </c>
      <c r="G2450" s="36" t="s">
        <v>411</v>
      </c>
      <c r="H2450" s="37">
        <v>22.7</v>
      </c>
      <c r="I2450" s="36" t="s">
        <v>1301</v>
      </c>
      <c r="J2450" s="39" t="s">
        <v>286</v>
      </c>
      <c r="K2450" s="38"/>
      <c r="L2450" s="38"/>
    </row>
    <row r="2451" ht="22.5" customHeight="1">
      <c r="A2451" s="36" t="s">
        <v>5587</v>
      </c>
      <c r="B2451" s="36" t="s">
        <v>5588</v>
      </c>
      <c r="C2451" s="36" t="s">
        <v>1495</v>
      </c>
      <c r="D2451" s="36" t="s">
        <v>1496</v>
      </c>
      <c r="E2451" s="36" t="s">
        <v>287</v>
      </c>
      <c r="F2451" s="36" t="s">
        <v>286</v>
      </c>
      <c r="G2451" s="36" t="s">
        <v>411</v>
      </c>
      <c r="H2451" s="37">
        <v>560.9</v>
      </c>
      <c r="I2451" s="36" t="s">
        <v>1301</v>
      </c>
      <c r="J2451" s="39" t="s">
        <v>286</v>
      </c>
      <c r="K2451" s="38"/>
      <c r="L2451" s="38"/>
    </row>
    <row r="2452" ht="22.5" customHeight="1">
      <c r="A2452" s="36" t="s">
        <v>5589</v>
      </c>
      <c r="B2452" s="36" t="s">
        <v>5590</v>
      </c>
      <c r="C2452" s="36" t="s">
        <v>1495</v>
      </c>
      <c r="D2452" s="36" t="s">
        <v>1496</v>
      </c>
      <c r="E2452" s="36" t="s">
        <v>287</v>
      </c>
      <c r="F2452" s="36" t="s">
        <v>286</v>
      </c>
      <c r="G2452" s="36" t="s">
        <v>411</v>
      </c>
      <c r="H2452" s="37">
        <v>6.89</v>
      </c>
      <c r="I2452" s="36" t="s">
        <v>1301</v>
      </c>
      <c r="J2452" s="39" t="s">
        <v>286</v>
      </c>
      <c r="K2452" s="38"/>
      <c r="L2452" s="38"/>
    </row>
    <row r="2453" ht="22.5" customHeight="1">
      <c r="A2453" s="36" t="s">
        <v>5591</v>
      </c>
      <c r="B2453" s="36" t="s">
        <v>5592</v>
      </c>
      <c r="C2453" s="36" t="s">
        <v>1495</v>
      </c>
      <c r="D2453" s="36" t="s">
        <v>1496</v>
      </c>
      <c r="E2453" s="36" t="s">
        <v>287</v>
      </c>
      <c r="F2453" s="36" t="s">
        <v>286</v>
      </c>
      <c r="G2453" s="36" t="s">
        <v>411</v>
      </c>
      <c r="H2453" s="37">
        <v>49.5</v>
      </c>
      <c r="I2453" s="36" t="s">
        <v>1301</v>
      </c>
      <c r="J2453" s="39" t="s">
        <v>286</v>
      </c>
      <c r="K2453" s="38"/>
      <c r="L2453" s="38"/>
    </row>
    <row r="2454" ht="22.5" customHeight="1">
      <c r="A2454" s="36" t="s">
        <v>5593</v>
      </c>
      <c r="B2454" s="36" t="s">
        <v>5594</v>
      </c>
      <c r="C2454" s="36" t="s">
        <v>1495</v>
      </c>
      <c r="D2454" s="36" t="s">
        <v>1496</v>
      </c>
      <c r="E2454" s="36" t="s">
        <v>287</v>
      </c>
      <c r="F2454" s="36" t="s">
        <v>286</v>
      </c>
      <c r="G2454" s="36" t="s">
        <v>411</v>
      </c>
      <c r="H2454" s="37">
        <v>50.83</v>
      </c>
      <c r="I2454" s="36" t="s">
        <v>1301</v>
      </c>
      <c r="J2454" s="39" t="s">
        <v>286</v>
      </c>
      <c r="K2454" s="38"/>
      <c r="L2454" s="38"/>
    </row>
    <row r="2455" ht="22.5" customHeight="1">
      <c r="A2455" s="36" t="s">
        <v>5595</v>
      </c>
      <c r="B2455" s="36" t="s">
        <v>5596</v>
      </c>
      <c r="C2455" s="36" t="s">
        <v>1495</v>
      </c>
      <c r="D2455" s="36" t="s">
        <v>1496</v>
      </c>
      <c r="E2455" s="36" t="s">
        <v>287</v>
      </c>
      <c r="F2455" s="36" t="s">
        <v>286</v>
      </c>
      <c r="G2455" s="36" t="s">
        <v>411</v>
      </c>
      <c r="H2455" s="37">
        <v>52.61</v>
      </c>
      <c r="I2455" s="36" t="s">
        <v>1301</v>
      </c>
      <c r="J2455" s="39" t="s">
        <v>286</v>
      </c>
      <c r="K2455" s="38"/>
      <c r="L2455" s="38"/>
    </row>
    <row r="2456" ht="22.5" customHeight="1">
      <c r="A2456" s="36" t="s">
        <v>5597</v>
      </c>
      <c r="B2456" s="36" t="s">
        <v>5598</v>
      </c>
      <c r="C2456" s="36" t="s">
        <v>1495</v>
      </c>
      <c r="D2456" s="36" t="s">
        <v>1496</v>
      </c>
      <c r="E2456" s="36" t="s">
        <v>287</v>
      </c>
      <c r="F2456" s="36" t="s">
        <v>286</v>
      </c>
      <c r="G2456" s="36" t="s">
        <v>411</v>
      </c>
      <c r="H2456" s="37">
        <v>53.94</v>
      </c>
      <c r="I2456" s="36" t="s">
        <v>1301</v>
      </c>
      <c r="J2456" s="39" t="s">
        <v>286</v>
      </c>
      <c r="K2456" s="38"/>
      <c r="L2456" s="38"/>
    </row>
    <row r="2457" ht="22.5" customHeight="1">
      <c r="A2457" s="36" t="s">
        <v>5599</v>
      </c>
      <c r="B2457" s="36" t="s">
        <v>5600</v>
      </c>
      <c r="C2457" s="36" t="s">
        <v>1495</v>
      </c>
      <c r="D2457" s="36" t="s">
        <v>1496</v>
      </c>
      <c r="E2457" s="36" t="s">
        <v>287</v>
      </c>
      <c r="F2457" s="36" t="s">
        <v>286</v>
      </c>
      <c r="G2457" s="36" t="s">
        <v>411</v>
      </c>
      <c r="H2457" s="37">
        <v>125.39</v>
      </c>
      <c r="I2457" s="36" t="s">
        <v>1301</v>
      </c>
      <c r="J2457" s="39" t="s">
        <v>286</v>
      </c>
      <c r="K2457" s="38"/>
      <c r="L2457" s="38"/>
    </row>
    <row r="2458" ht="22.5" customHeight="1">
      <c r="A2458" s="36" t="s">
        <v>5601</v>
      </c>
      <c r="B2458" s="36" t="s">
        <v>5602</v>
      </c>
      <c r="C2458" s="36" t="s">
        <v>1495</v>
      </c>
      <c r="D2458" s="36" t="s">
        <v>1496</v>
      </c>
      <c r="E2458" s="36" t="s">
        <v>287</v>
      </c>
      <c r="F2458" s="36" t="s">
        <v>286</v>
      </c>
      <c r="G2458" s="36" t="s">
        <v>411</v>
      </c>
      <c r="H2458" s="37">
        <v>136.72</v>
      </c>
      <c r="I2458" s="36" t="s">
        <v>1301</v>
      </c>
      <c r="J2458" s="39" t="s">
        <v>286</v>
      </c>
      <c r="K2458" s="38"/>
      <c r="L2458" s="38"/>
    </row>
    <row r="2459" ht="22.5" customHeight="1">
      <c r="A2459" s="36" t="s">
        <v>5603</v>
      </c>
      <c r="B2459" s="36" t="s">
        <v>5604</v>
      </c>
      <c r="C2459" s="36" t="s">
        <v>1495</v>
      </c>
      <c r="D2459" s="36" t="s">
        <v>1496</v>
      </c>
      <c r="E2459" s="36" t="s">
        <v>287</v>
      </c>
      <c r="F2459" s="36" t="s">
        <v>286</v>
      </c>
      <c r="G2459" s="36" t="s">
        <v>411</v>
      </c>
      <c r="H2459" s="37">
        <v>4.22</v>
      </c>
      <c r="I2459" s="36" t="s">
        <v>1301</v>
      </c>
      <c r="J2459" s="39" t="s">
        <v>286</v>
      </c>
      <c r="K2459" s="38"/>
      <c r="L2459" s="38"/>
    </row>
    <row r="2460" ht="22.5" customHeight="1">
      <c r="A2460" s="36" t="s">
        <v>5605</v>
      </c>
      <c r="B2460" s="36" t="s">
        <v>5606</v>
      </c>
      <c r="C2460" s="36" t="s">
        <v>1495</v>
      </c>
      <c r="D2460" s="36" t="s">
        <v>1496</v>
      </c>
      <c r="E2460" s="36" t="s">
        <v>287</v>
      </c>
      <c r="F2460" s="36" t="s">
        <v>286</v>
      </c>
      <c r="G2460" s="36" t="s">
        <v>411</v>
      </c>
      <c r="H2460" s="37">
        <v>88.94</v>
      </c>
      <c r="I2460" s="36" t="s">
        <v>1301</v>
      </c>
      <c r="J2460" s="39" t="s">
        <v>286</v>
      </c>
      <c r="K2460" s="38"/>
      <c r="L2460" s="38"/>
    </row>
    <row r="2461" ht="22.5" customHeight="1">
      <c r="A2461" s="36" t="s">
        <v>5607</v>
      </c>
      <c r="B2461" s="36" t="s">
        <v>5608</v>
      </c>
      <c r="C2461" s="36" t="s">
        <v>1495</v>
      </c>
      <c r="D2461" s="36" t="s">
        <v>1496</v>
      </c>
      <c r="E2461" s="36" t="s">
        <v>287</v>
      </c>
      <c r="F2461" s="36" t="s">
        <v>286</v>
      </c>
      <c r="G2461" s="36" t="s">
        <v>411</v>
      </c>
      <c r="H2461" s="37">
        <v>2.8</v>
      </c>
      <c r="I2461" s="36" t="s">
        <v>1301</v>
      </c>
      <c r="J2461" s="39" t="s">
        <v>286</v>
      </c>
      <c r="K2461" s="38"/>
      <c r="L2461" s="38"/>
    </row>
    <row r="2462" ht="22.5" customHeight="1">
      <c r="A2462" s="36" t="s">
        <v>5609</v>
      </c>
      <c r="B2462" s="36" t="s">
        <v>5610</v>
      </c>
      <c r="C2462" s="36" t="s">
        <v>1495</v>
      </c>
      <c r="D2462" s="36" t="s">
        <v>1496</v>
      </c>
      <c r="E2462" s="36" t="s">
        <v>287</v>
      </c>
      <c r="F2462" s="36" t="s">
        <v>286</v>
      </c>
      <c r="G2462" s="36" t="s">
        <v>411</v>
      </c>
      <c r="H2462" s="37">
        <v>275.0</v>
      </c>
      <c r="I2462" s="36" t="s">
        <v>1301</v>
      </c>
      <c r="J2462" s="39" t="s">
        <v>286</v>
      </c>
      <c r="K2462" s="38"/>
      <c r="L2462" s="38"/>
    </row>
    <row r="2463" ht="22.5" customHeight="1">
      <c r="A2463" s="36" t="s">
        <v>5611</v>
      </c>
      <c r="B2463" s="36" t="s">
        <v>5612</v>
      </c>
      <c r="C2463" s="36" t="s">
        <v>1495</v>
      </c>
      <c r="D2463" s="36" t="s">
        <v>1496</v>
      </c>
      <c r="E2463" s="36" t="s">
        <v>287</v>
      </c>
      <c r="F2463" s="36" t="s">
        <v>286</v>
      </c>
      <c r="G2463" s="36" t="s">
        <v>411</v>
      </c>
      <c r="H2463" s="37">
        <v>543.95</v>
      </c>
      <c r="I2463" s="36" t="s">
        <v>1301</v>
      </c>
      <c r="J2463" s="39" t="s">
        <v>286</v>
      </c>
      <c r="K2463" s="38"/>
      <c r="L2463" s="38"/>
    </row>
    <row r="2464" ht="22.5" customHeight="1">
      <c r="A2464" s="36" t="s">
        <v>5613</v>
      </c>
      <c r="B2464" s="36" t="s">
        <v>5614</v>
      </c>
      <c r="C2464" s="36" t="s">
        <v>1495</v>
      </c>
      <c r="D2464" s="36" t="s">
        <v>1496</v>
      </c>
      <c r="E2464" s="36" t="s">
        <v>287</v>
      </c>
      <c r="F2464" s="36" t="s">
        <v>286</v>
      </c>
      <c r="G2464" s="36" t="s">
        <v>411</v>
      </c>
      <c r="H2464" s="37">
        <v>431.0</v>
      </c>
      <c r="I2464" s="36" t="s">
        <v>1301</v>
      </c>
      <c r="J2464" s="39" t="s">
        <v>286</v>
      </c>
      <c r="K2464" s="38"/>
      <c r="L2464" s="38"/>
    </row>
    <row r="2465" ht="22.5" customHeight="1">
      <c r="A2465" s="36" t="s">
        <v>5615</v>
      </c>
      <c r="B2465" s="36" t="s">
        <v>5616</v>
      </c>
      <c r="C2465" s="36" t="s">
        <v>1495</v>
      </c>
      <c r="D2465" s="36" t="s">
        <v>1496</v>
      </c>
      <c r="E2465" s="36" t="s">
        <v>287</v>
      </c>
      <c r="F2465" s="36" t="s">
        <v>286</v>
      </c>
      <c r="G2465" s="36" t="s">
        <v>411</v>
      </c>
      <c r="H2465" s="37">
        <v>1258.98</v>
      </c>
      <c r="I2465" s="36" t="s">
        <v>1301</v>
      </c>
      <c r="J2465" s="39" t="s">
        <v>286</v>
      </c>
      <c r="K2465" s="38"/>
      <c r="L2465" s="38"/>
    </row>
    <row r="2466" ht="22.5" customHeight="1">
      <c r="A2466" s="36" t="s">
        <v>5617</v>
      </c>
      <c r="B2466" s="36" t="s">
        <v>5618</v>
      </c>
      <c r="C2466" s="36" t="s">
        <v>1495</v>
      </c>
      <c r="D2466" s="36" t="s">
        <v>1496</v>
      </c>
      <c r="E2466" s="36" t="s">
        <v>287</v>
      </c>
      <c r="F2466" s="36" t="s">
        <v>286</v>
      </c>
      <c r="G2466" s="36" t="s">
        <v>411</v>
      </c>
      <c r="H2466" s="37">
        <v>80.22</v>
      </c>
      <c r="I2466" s="36" t="s">
        <v>1301</v>
      </c>
      <c r="J2466" s="39" t="s">
        <v>286</v>
      </c>
      <c r="K2466" s="38"/>
      <c r="L2466" s="38"/>
    </row>
    <row r="2467" ht="22.5" customHeight="1">
      <c r="A2467" s="36" t="s">
        <v>5619</v>
      </c>
      <c r="B2467" s="36" t="s">
        <v>5620</v>
      </c>
      <c r="C2467" s="36" t="s">
        <v>1495</v>
      </c>
      <c r="D2467" s="36" t="s">
        <v>1496</v>
      </c>
      <c r="E2467" s="36" t="s">
        <v>287</v>
      </c>
      <c r="F2467" s="36" t="s">
        <v>286</v>
      </c>
      <c r="G2467" s="36" t="s">
        <v>411</v>
      </c>
      <c r="H2467" s="37">
        <v>12.0</v>
      </c>
      <c r="I2467" s="36" t="s">
        <v>1301</v>
      </c>
      <c r="J2467" s="39" t="s">
        <v>286</v>
      </c>
      <c r="K2467" s="38"/>
      <c r="L2467" s="38"/>
    </row>
    <row r="2468" ht="22.5" customHeight="1">
      <c r="A2468" s="36" t="s">
        <v>5621</v>
      </c>
      <c r="B2468" s="36" t="s">
        <v>5622</v>
      </c>
      <c r="C2468" s="36" t="s">
        <v>1495</v>
      </c>
      <c r="D2468" s="36" t="s">
        <v>1496</v>
      </c>
      <c r="E2468" s="36" t="s">
        <v>287</v>
      </c>
      <c r="F2468" s="36" t="s">
        <v>286</v>
      </c>
      <c r="G2468" s="36" t="s">
        <v>411</v>
      </c>
      <c r="H2468" s="37">
        <v>19.11</v>
      </c>
      <c r="I2468" s="36" t="s">
        <v>1301</v>
      </c>
      <c r="J2468" s="39" t="s">
        <v>286</v>
      </c>
      <c r="K2468" s="38"/>
      <c r="L2468" s="38"/>
    </row>
    <row r="2469" ht="22.5" customHeight="1">
      <c r="A2469" s="36" t="s">
        <v>5623</v>
      </c>
      <c r="B2469" s="36" t="s">
        <v>5624</v>
      </c>
      <c r="C2469" s="36" t="s">
        <v>1495</v>
      </c>
      <c r="D2469" s="36" t="s">
        <v>1496</v>
      </c>
      <c r="E2469" s="36" t="s">
        <v>287</v>
      </c>
      <c r="F2469" s="36" t="s">
        <v>286</v>
      </c>
      <c r="G2469" s="36" t="s">
        <v>411</v>
      </c>
      <c r="H2469" s="37">
        <v>18.22</v>
      </c>
      <c r="I2469" s="36" t="s">
        <v>1301</v>
      </c>
      <c r="J2469" s="39" t="s">
        <v>286</v>
      </c>
      <c r="K2469" s="38"/>
      <c r="L2469" s="38"/>
    </row>
    <row r="2470" ht="22.5" customHeight="1">
      <c r="A2470" s="36" t="s">
        <v>5625</v>
      </c>
      <c r="B2470" s="36" t="s">
        <v>5626</v>
      </c>
      <c r="C2470" s="36" t="s">
        <v>1495</v>
      </c>
      <c r="D2470" s="36" t="s">
        <v>1496</v>
      </c>
      <c r="E2470" s="36" t="s">
        <v>287</v>
      </c>
      <c r="F2470" s="36" t="s">
        <v>286</v>
      </c>
      <c r="G2470" s="36" t="s">
        <v>411</v>
      </c>
      <c r="H2470" s="37">
        <v>23.11</v>
      </c>
      <c r="I2470" s="36" t="s">
        <v>1301</v>
      </c>
      <c r="J2470" s="39" t="s">
        <v>286</v>
      </c>
      <c r="K2470" s="38"/>
      <c r="L2470" s="38"/>
    </row>
    <row r="2471" ht="22.5" customHeight="1">
      <c r="A2471" s="36" t="s">
        <v>5627</v>
      </c>
      <c r="B2471" s="36" t="s">
        <v>5628</v>
      </c>
      <c r="C2471" s="36" t="s">
        <v>1495</v>
      </c>
      <c r="D2471" s="36" t="s">
        <v>1496</v>
      </c>
      <c r="E2471" s="36" t="s">
        <v>287</v>
      </c>
      <c r="F2471" s="36" t="s">
        <v>286</v>
      </c>
      <c r="G2471" s="36" t="s">
        <v>411</v>
      </c>
      <c r="H2471" s="37">
        <v>7.91</v>
      </c>
      <c r="I2471" s="36" t="s">
        <v>1301</v>
      </c>
      <c r="J2471" s="39" t="s">
        <v>286</v>
      </c>
      <c r="K2471" s="38"/>
      <c r="L2471" s="38"/>
    </row>
    <row r="2472" ht="22.5" customHeight="1">
      <c r="A2472" s="36" t="s">
        <v>5629</v>
      </c>
      <c r="B2472" s="36" t="s">
        <v>5630</v>
      </c>
      <c r="C2472" s="36" t="s">
        <v>1495</v>
      </c>
      <c r="D2472" s="36" t="s">
        <v>1496</v>
      </c>
      <c r="E2472" s="36" t="s">
        <v>287</v>
      </c>
      <c r="F2472" s="36" t="s">
        <v>286</v>
      </c>
      <c r="G2472" s="36" t="s">
        <v>411</v>
      </c>
      <c r="H2472" s="37">
        <v>7.56</v>
      </c>
      <c r="I2472" s="36" t="s">
        <v>1301</v>
      </c>
      <c r="J2472" s="39" t="s">
        <v>286</v>
      </c>
      <c r="K2472" s="38"/>
      <c r="L2472" s="38"/>
    </row>
    <row r="2473" ht="22.5" customHeight="1">
      <c r="A2473" s="36" t="s">
        <v>5631</v>
      </c>
      <c r="B2473" s="36" t="s">
        <v>5632</v>
      </c>
      <c r="C2473" s="36" t="s">
        <v>1495</v>
      </c>
      <c r="D2473" s="36" t="s">
        <v>1496</v>
      </c>
      <c r="E2473" s="36" t="s">
        <v>287</v>
      </c>
      <c r="F2473" s="36" t="s">
        <v>286</v>
      </c>
      <c r="G2473" s="36" t="s">
        <v>411</v>
      </c>
      <c r="H2473" s="37">
        <v>48.89</v>
      </c>
      <c r="I2473" s="36" t="s">
        <v>1301</v>
      </c>
      <c r="J2473" s="39" t="s">
        <v>286</v>
      </c>
      <c r="K2473" s="38"/>
      <c r="L2473" s="38"/>
    </row>
    <row r="2474" ht="22.5" customHeight="1">
      <c r="A2474" s="36" t="s">
        <v>5633</v>
      </c>
      <c r="B2474" s="36" t="s">
        <v>5634</v>
      </c>
      <c r="C2474" s="36" t="s">
        <v>1495</v>
      </c>
      <c r="D2474" s="36" t="s">
        <v>1496</v>
      </c>
      <c r="E2474" s="36" t="s">
        <v>287</v>
      </c>
      <c r="F2474" s="36" t="s">
        <v>286</v>
      </c>
      <c r="G2474" s="36" t="s">
        <v>411</v>
      </c>
      <c r="H2474" s="37">
        <v>42.67</v>
      </c>
      <c r="I2474" s="36" t="s">
        <v>1301</v>
      </c>
      <c r="J2474" s="39" t="s">
        <v>286</v>
      </c>
      <c r="K2474" s="38"/>
      <c r="L2474" s="38"/>
    </row>
    <row r="2475" ht="22.5" customHeight="1">
      <c r="A2475" s="36" t="s">
        <v>5635</v>
      </c>
      <c r="B2475" s="36" t="s">
        <v>5636</v>
      </c>
      <c r="C2475" s="36" t="s">
        <v>1495</v>
      </c>
      <c r="D2475" s="36" t="s">
        <v>1496</v>
      </c>
      <c r="E2475" s="36" t="s">
        <v>287</v>
      </c>
      <c r="F2475" s="36" t="s">
        <v>286</v>
      </c>
      <c r="G2475" s="36" t="s">
        <v>411</v>
      </c>
      <c r="H2475" s="37">
        <v>61.33</v>
      </c>
      <c r="I2475" s="36" t="s">
        <v>1301</v>
      </c>
      <c r="J2475" s="39" t="s">
        <v>286</v>
      </c>
      <c r="K2475" s="38"/>
      <c r="L2475" s="38"/>
    </row>
    <row r="2476" ht="22.5" customHeight="1">
      <c r="A2476" s="36" t="s">
        <v>5637</v>
      </c>
      <c r="B2476" s="36" t="s">
        <v>5638</v>
      </c>
      <c r="C2476" s="36" t="s">
        <v>1495</v>
      </c>
      <c r="D2476" s="36" t="s">
        <v>1496</v>
      </c>
      <c r="E2476" s="36" t="s">
        <v>287</v>
      </c>
      <c r="F2476" s="36" t="s">
        <v>286</v>
      </c>
      <c r="G2476" s="36" t="s">
        <v>411</v>
      </c>
      <c r="H2476" s="37">
        <v>70.0</v>
      </c>
      <c r="I2476" s="36" t="s">
        <v>1301</v>
      </c>
      <c r="J2476" s="39" t="s">
        <v>286</v>
      </c>
      <c r="K2476" s="38"/>
      <c r="L2476" s="38"/>
    </row>
    <row r="2477" ht="22.5" customHeight="1">
      <c r="A2477" s="36" t="s">
        <v>5639</v>
      </c>
      <c r="B2477" s="36" t="s">
        <v>5640</v>
      </c>
      <c r="C2477" s="36" t="s">
        <v>1495</v>
      </c>
      <c r="D2477" s="36" t="s">
        <v>1496</v>
      </c>
      <c r="E2477" s="36" t="s">
        <v>287</v>
      </c>
      <c r="F2477" s="36" t="s">
        <v>286</v>
      </c>
      <c r="G2477" s="36" t="s">
        <v>411</v>
      </c>
      <c r="H2477" s="37">
        <v>76.25</v>
      </c>
      <c r="I2477" s="36" t="s">
        <v>1301</v>
      </c>
      <c r="J2477" s="39" t="s">
        <v>286</v>
      </c>
      <c r="K2477" s="38"/>
      <c r="L2477" s="38"/>
    </row>
    <row r="2478" ht="22.5" customHeight="1">
      <c r="A2478" s="36" t="s">
        <v>5641</v>
      </c>
      <c r="B2478" s="36" t="s">
        <v>5642</v>
      </c>
      <c r="C2478" s="36" t="s">
        <v>1495</v>
      </c>
      <c r="D2478" s="36" t="s">
        <v>1496</v>
      </c>
      <c r="E2478" s="36" t="s">
        <v>287</v>
      </c>
      <c r="F2478" s="36" t="s">
        <v>286</v>
      </c>
      <c r="G2478" s="36" t="s">
        <v>411</v>
      </c>
      <c r="H2478" s="37">
        <v>124.0</v>
      </c>
      <c r="I2478" s="36" t="s">
        <v>1301</v>
      </c>
      <c r="J2478" s="39" t="s">
        <v>286</v>
      </c>
      <c r="K2478" s="38"/>
      <c r="L2478" s="38"/>
    </row>
    <row r="2479" ht="22.5" customHeight="1">
      <c r="A2479" s="36" t="s">
        <v>5643</v>
      </c>
      <c r="B2479" s="36" t="s">
        <v>5644</v>
      </c>
      <c r="C2479" s="36" t="s">
        <v>1495</v>
      </c>
      <c r="D2479" s="36" t="s">
        <v>1496</v>
      </c>
      <c r="E2479" s="36" t="s">
        <v>287</v>
      </c>
      <c r="F2479" s="36" t="s">
        <v>286</v>
      </c>
      <c r="G2479" s="36" t="s">
        <v>411</v>
      </c>
      <c r="H2479" s="37">
        <v>400.0</v>
      </c>
      <c r="I2479" s="36" t="s">
        <v>1301</v>
      </c>
      <c r="J2479" s="39" t="s">
        <v>286</v>
      </c>
      <c r="K2479" s="38"/>
      <c r="L2479" s="38"/>
    </row>
    <row r="2480" ht="22.5" customHeight="1">
      <c r="A2480" s="36" t="s">
        <v>5645</v>
      </c>
      <c r="B2480" s="36" t="s">
        <v>5646</v>
      </c>
      <c r="C2480" s="36" t="s">
        <v>1495</v>
      </c>
      <c r="D2480" s="36" t="s">
        <v>1496</v>
      </c>
      <c r="E2480" s="36" t="s">
        <v>287</v>
      </c>
      <c r="F2480" s="36" t="s">
        <v>286</v>
      </c>
      <c r="G2480" s="36" t="s">
        <v>411</v>
      </c>
      <c r="H2480" s="37">
        <v>400.0</v>
      </c>
      <c r="I2480" s="36" t="s">
        <v>1301</v>
      </c>
      <c r="J2480" s="39" t="s">
        <v>286</v>
      </c>
      <c r="K2480" s="38"/>
      <c r="L2480" s="38"/>
    </row>
    <row r="2481" ht="22.5" customHeight="1">
      <c r="A2481" s="36" t="s">
        <v>5647</v>
      </c>
      <c r="B2481" s="36" t="s">
        <v>5648</v>
      </c>
      <c r="C2481" s="36" t="s">
        <v>1495</v>
      </c>
      <c r="D2481" s="36" t="s">
        <v>1496</v>
      </c>
      <c r="E2481" s="36" t="s">
        <v>287</v>
      </c>
      <c r="F2481" s="36" t="s">
        <v>286</v>
      </c>
      <c r="G2481" s="36" t="s">
        <v>411</v>
      </c>
      <c r="H2481" s="37">
        <v>59.78</v>
      </c>
      <c r="I2481" s="36" t="s">
        <v>1301</v>
      </c>
      <c r="J2481" s="39" t="s">
        <v>286</v>
      </c>
      <c r="K2481" s="38"/>
      <c r="L2481" s="38"/>
    </row>
    <row r="2482" ht="22.5" customHeight="1">
      <c r="A2482" s="36" t="s">
        <v>5649</v>
      </c>
      <c r="B2482" s="36" t="s">
        <v>5650</v>
      </c>
      <c r="C2482" s="36" t="s">
        <v>1495</v>
      </c>
      <c r="D2482" s="36" t="s">
        <v>1496</v>
      </c>
      <c r="E2482" s="36" t="s">
        <v>287</v>
      </c>
      <c r="F2482" s="36" t="s">
        <v>286</v>
      </c>
      <c r="G2482" s="36" t="s">
        <v>411</v>
      </c>
      <c r="H2482" s="37">
        <v>47.27</v>
      </c>
      <c r="I2482" s="36" t="s">
        <v>1301</v>
      </c>
      <c r="J2482" s="39" t="s">
        <v>286</v>
      </c>
      <c r="K2482" s="38"/>
      <c r="L2482" s="38"/>
    </row>
    <row r="2483" ht="22.5" customHeight="1">
      <c r="A2483" s="36" t="s">
        <v>5651</v>
      </c>
      <c r="B2483" s="36" t="s">
        <v>5652</v>
      </c>
      <c r="C2483" s="36" t="s">
        <v>1495</v>
      </c>
      <c r="D2483" s="36" t="s">
        <v>1496</v>
      </c>
      <c r="E2483" s="36" t="s">
        <v>287</v>
      </c>
      <c r="F2483" s="36" t="s">
        <v>286</v>
      </c>
      <c r="G2483" s="36" t="s">
        <v>411</v>
      </c>
      <c r="H2483" s="37">
        <v>35.96</v>
      </c>
      <c r="I2483" s="36" t="s">
        <v>1301</v>
      </c>
      <c r="J2483" s="39" t="s">
        <v>286</v>
      </c>
      <c r="K2483" s="38"/>
      <c r="L2483" s="38"/>
    </row>
    <row r="2484" ht="22.5" customHeight="1">
      <c r="A2484" s="36" t="s">
        <v>5653</v>
      </c>
      <c r="B2484" s="36" t="s">
        <v>5654</v>
      </c>
      <c r="C2484" s="36" t="s">
        <v>1495</v>
      </c>
      <c r="D2484" s="36" t="s">
        <v>1496</v>
      </c>
      <c r="E2484" s="36" t="s">
        <v>287</v>
      </c>
      <c r="F2484" s="36" t="s">
        <v>286</v>
      </c>
      <c r="G2484" s="36" t="s">
        <v>411</v>
      </c>
      <c r="H2484" s="37">
        <v>162.68</v>
      </c>
      <c r="I2484" s="36" t="s">
        <v>1301</v>
      </c>
      <c r="J2484" s="39" t="s">
        <v>286</v>
      </c>
      <c r="K2484" s="38"/>
      <c r="L2484" s="38"/>
    </row>
    <row r="2485" ht="22.5" customHeight="1">
      <c r="A2485" s="36" t="s">
        <v>5655</v>
      </c>
      <c r="B2485" s="36" t="s">
        <v>5656</v>
      </c>
      <c r="C2485" s="36" t="s">
        <v>1495</v>
      </c>
      <c r="D2485" s="36" t="s">
        <v>1496</v>
      </c>
      <c r="E2485" s="36" t="s">
        <v>287</v>
      </c>
      <c r="F2485" s="36" t="s">
        <v>286</v>
      </c>
      <c r="G2485" s="36" t="s">
        <v>411</v>
      </c>
      <c r="H2485" s="37">
        <v>162.68</v>
      </c>
      <c r="I2485" s="36" t="s">
        <v>1301</v>
      </c>
      <c r="J2485" s="39" t="s">
        <v>286</v>
      </c>
      <c r="K2485" s="38"/>
      <c r="L2485" s="38"/>
    </row>
    <row r="2486" ht="22.5" customHeight="1">
      <c r="A2486" s="36" t="s">
        <v>5657</v>
      </c>
      <c r="B2486" s="36" t="s">
        <v>5658</v>
      </c>
      <c r="C2486" s="36" t="s">
        <v>1495</v>
      </c>
      <c r="D2486" s="36" t="s">
        <v>1496</v>
      </c>
      <c r="E2486" s="36" t="s">
        <v>287</v>
      </c>
      <c r="F2486" s="36" t="s">
        <v>286</v>
      </c>
      <c r="G2486" s="36" t="s">
        <v>411</v>
      </c>
      <c r="H2486" s="37">
        <v>42.97</v>
      </c>
      <c r="I2486" s="36" t="s">
        <v>1301</v>
      </c>
      <c r="J2486" s="39" t="s">
        <v>286</v>
      </c>
      <c r="K2486" s="38"/>
      <c r="L2486" s="38"/>
    </row>
    <row r="2487" ht="22.5" customHeight="1">
      <c r="A2487" s="36" t="s">
        <v>5659</v>
      </c>
      <c r="B2487" s="36" t="s">
        <v>5660</v>
      </c>
      <c r="C2487" s="36" t="s">
        <v>1495</v>
      </c>
      <c r="D2487" s="36" t="s">
        <v>1496</v>
      </c>
      <c r="E2487" s="36" t="s">
        <v>287</v>
      </c>
      <c r="F2487" s="36" t="s">
        <v>286</v>
      </c>
      <c r="G2487" s="36" t="s">
        <v>411</v>
      </c>
      <c r="H2487" s="37">
        <v>43.56</v>
      </c>
      <c r="I2487" s="36" t="s">
        <v>1301</v>
      </c>
      <c r="J2487" s="39" t="s">
        <v>286</v>
      </c>
      <c r="K2487" s="38"/>
      <c r="L2487" s="38"/>
    </row>
    <row r="2488" ht="22.5" customHeight="1">
      <c r="A2488" s="36" t="s">
        <v>5661</v>
      </c>
      <c r="B2488" s="36" t="s">
        <v>5662</v>
      </c>
      <c r="C2488" s="36" t="s">
        <v>1495</v>
      </c>
      <c r="D2488" s="36" t="s">
        <v>1496</v>
      </c>
      <c r="E2488" s="36" t="s">
        <v>287</v>
      </c>
      <c r="F2488" s="36" t="s">
        <v>286</v>
      </c>
      <c r="G2488" s="36" t="s">
        <v>411</v>
      </c>
      <c r="H2488" s="37">
        <v>22.03</v>
      </c>
      <c r="I2488" s="36" t="s">
        <v>1301</v>
      </c>
      <c r="J2488" s="39" t="s">
        <v>286</v>
      </c>
      <c r="K2488" s="38"/>
      <c r="L2488" s="38"/>
    </row>
    <row r="2489" ht="22.5" customHeight="1">
      <c r="A2489" s="36" t="s">
        <v>5663</v>
      </c>
      <c r="B2489" s="36" t="s">
        <v>5664</v>
      </c>
      <c r="C2489" s="36" t="s">
        <v>1495</v>
      </c>
      <c r="D2489" s="36" t="s">
        <v>1496</v>
      </c>
      <c r="E2489" s="36" t="s">
        <v>287</v>
      </c>
      <c r="F2489" s="36" t="s">
        <v>286</v>
      </c>
      <c r="G2489" s="36" t="s">
        <v>411</v>
      </c>
      <c r="H2489" s="37">
        <v>8.01</v>
      </c>
      <c r="I2489" s="36" t="s">
        <v>1301</v>
      </c>
      <c r="J2489" s="39" t="s">
        <v>286</v>
      </c>
      <c r="K2489" s="38"/>
      <c r="L2489" s="38"/>
    </row>
    <row r="2490" ht="22.5" customHeight="1">
      <c r="A2490" s="36" t="s">
        <v>5665</v>
      </c>
      <c r="B2490" s="36" t="s">
        <v>5666</v>
      </c>
      <c r="C2490" s="36" t="s">
        <v>1495</v>
      </c>
      <c r="D2490" s="36" t="s">
        <v>1496</v>
      </c>
      <c r="E2490" s="36" t="s">
        <v>287</v>
      </c>
      <c r="F2490" s="36" t="s">
        <v>286</v>
      </c>
      <c r="G2490" s="36" t="s">
        <v>411</v>
      </c>
      <c r="H2490" s="37">
        <v>600.0</v>
      </c>
      <c r="I2490" s="36" t="s">
        <v>1301</v>
      </c>
      <c r="J2490" s="39" t="s">
        <v>286</v>
      </c>
      <c r="K2490" s="38"/>
      <c r="L2490" s="38"/>
    </row>
    <row r="2491" ht="22.5" customHeight="1">
      <c r="A2491" s="36" t="s">
        <v>5667</v>
      </c>
      <c r="B2491" s="36" t="s">
        <v>5668</v>
      </c>
      <c r="C2491" s="36" t="s">
        <v>1495</v>
      </c>
      <c r="D2491" s="36" t="s">
        <v>1496</v>
      </c>
      <c r="E2491" s="36" t="s">
        <v>287</v>
      </c>
      <c r="F2491" s="36" t="s">
        <v>286</v>
      </c>
      <c r="G2491" s="36" t="s">
        <v>411</v>
      </c>
      <c r="H2491" s="37">
        <v>10.35</v>
      </c>
      <c r="I2491" s="36" t="s">
        <v>1301</v>
      </c>
      <c r="J2491" s="39" t="s">
        <v>286</v>
      </c>
      <c r="K2491" s="38"/>
      <c r="L2491" s="38"/>
    </row>
    <row r="2492" ht="22.5" customHeight="1">
      <c r="A2492" s="36" t="s">
        <v>5669</v>
      </c>
      <c r="B2492" s="36" t="s">
        <v>5670</v>
      </c>
      <c r="C2492" s="36" t="s">
        <v>1495</v>
      </c>
      <c r="D2492" s="36" t="s">
        <v>1496</v>
      </c>
      <c r="E2492" s="36" t="s">
        <v>287</v>
      </c>
      <c r="F2492" s="36" t="s">
        <v>286</v>
      </c>
      <c r="G2492" s="36" t="s">
        <v>411</v>
      </c>
      <c r="H2492" s="37">
        <v>5.04</v>
      </c>
      <c r="I2492" s="36" t="s">
        <v>1301</v>
      </c>
      <c r="J2492" s="39" t="s">
        <v>286</v>
      </c>
      <c r="K2492" s="38"/>
      <c r="L2492" s="38"/>
    </row>
    <row r="2493" ht="22.5" customHeight="1">
      <c r="A2493" s="36" t="s">
        <v>5671</v>
      </c>
      <c r="B2493" s="36" t="s">
        <v>5672</v>
      </c>
      <c r="C2493" s="36" t="s">
        <v>1495</v>
      </c>
      <c r="D2493" s="36" t="s">
        <v>1496</v>
      </c>
      <c r="E2493" s="36" t="s">
        <v>287</v>
      </c>
      <c r="F2493" s="36" t="s">
        <v>286</v>
      </c>
      <c r="G2493" s="36" t="s">
        <v>411</v>
      </c>
      <c r="H2493" s="37">
        <v>690.0</v>
      </c>
      <c r="I2493" s="36" t="s">
        <v>1301</v>
      </c>
      <c r="J2493" s="39" t="s">
        <v>286</v>
      </c>
      <c r="K2493" s="38"/>
      <c r="L2493" s="38"/>
    </row>
    <row r="2494" ht="22.5" customHeight="1">
      <c r="A2494" s="36" t="s">
        <v>5673</v>
      </c>
      <c r="B2494" s="36" t="s">
        <v>5674</v>
      </c>
      <c r="C2494" s="36" t="s">
        <v>1495</v>
      </c>
      <c r="D2494" s="36" t="s">
        <v>1496</v>
      </c>
      <c r="E2494" s="36" t="s">
        <v>287</v>
      </c>
      <c r="F2494" s="36" t="s">
        <v>286</v>
      </c>
      <c r="G2494" s="36" t="s">
        <v>411</v>
      </c>
      <c r="H2494" s="37">
        <v>16.66</v>
      </c>
      <c r="I2494" s="36" t="s">
        <v>1301</v>
      </c>
      <c r="J2494" s="39" t="s">
        <v>286</v>
      </c>
      <c r="K2494" s="38"/>
      <c r="L2494" s="38"/>
    </row>
    <row r="2495" ht="22.5" customHeight="1">
      <c r="A2495" s="36" t="s">
        <v>5675</v>
      </c>
      <c r="B2495" s="36" t="s">
        <v>5676</v>
      </c>
      <c r="C2495" s="36" t="s">
        <v>1495</v>
      </c>
      <c r="D2495" s="36" t="s">
        <v>1496</v>
      </c>
      <c r="E2495" s="36" t="s">
        <v>287</v>
      </c>
      <c r="F2495" s="36" t="s">
        <v>286</v>
      </c>
      <c r="G2495" s="36" t="s">
        <v>411</v>
      </c>
      <c r="H2495" s="37">
        <v>37.07</v>
      </c>
      <c r="I2495" s="36" t="s">
        <v>1301</v>
      </c>
      <c r="J2495" s="39" t="s">
        <v>286</v>
      </c>
      <c r="K2495" s="38"/>
      <c r="L2495" s="38"/>
    </row>
    <row r="2496" ht="22.5" customHeight="1">
      <c r="A2496" s="36" t="s">
        <v>5677</v>
      </c>
      <c r="B2496" s="36" t="s">
        <v>5678</v>
      </c>
      <c r="C2496" s="36" t="s">
        <v>1495</v>
      </c>
      <c r="D2496" s="36" t="s">
        <v>1496</v>
      </c>
      <c r="E2496" s="36" t="s">
        <v>287</v>
      </c>
      <c r="F2496" s="36" t="s">
        <v>286</v>
      </c>
      <c r="G2496" s="36" t="s">
        <v>411</v>
      </c>
      <c r="H2496" s="37">
        <v>3.65</v>
      </c>
      <c r="I2496" s="36" t="s">
        <v>1301</v>
      </c>
      <c r="J2496" s="39" t="s">
        <v>286</v>
      </c>
      <c r="K2496" s="38"/>
      <c r="L2496" s="38"/>
    </row>
    <row r="2497" ht="22.5" customHeight="1">
      <c r="A2497" s="36" t="s">
        <v>5679</v>
      </c>
      <c r="B2497" s="36" t="s">
        <v>5680</v>
      </c>
      <c r="C2497" s="36" t="s">
        <v>1495</v>
      </c>
      <c r="D2497" s="36" t="s">
        <v>1496</v>
      </c>
      <c r="E2497" s="36" t="s">
        <v>287</v>
      </c>
      <c r="F2497" s="36" t="s">
        <v>286</v>
      </c>
      <c r="G2497" s="36" t="s">
        <v>411</v>
      </c>
      <c r="H2497" s="37">
        <v>17.33</v>
      </c>
      <c r="I2497" s="36" t="s">
        <v>1301</v>
      </c>
      <c r="J2497" s="39" t="s">
        <v>286</v>
      </c>
      <c r="K2497" s="38"/>
      <c r="L2497" s="38"/>
    </row>
    <row r="2498" ht="22.5" customHeight="1">
      <c r="A2498" s="36" t="s">
        <v>5681</v>
      </c>
      <c r="B2498" s="36" t="s">
        <v>5682</v>
      </c>
      <c r="C2498" s="36" t="s">
        <v>1495</v>
      </c>
      <c r="D2498" s="36" t="s">
        <v>1496</v>
      </c>
      <c r="E2498" s="36" t="s">
        <v>287</v>
      </c>
      <c r="F2498" s="36" t="s">
        <v>286</v>
      </c>
      <c r="G2498" s="36" t="s">
        <v>411</v>
      </c>
      <c r="H2498" s="37">
        <v>88.36</v>
      </c>
      <c r="I2498" s="36" t="s">
        <v>1301</v>
      </c>
      <c r="J2498" s="39" t="s">
        <v>286</v>
      </c>
      <c r="K2498" s="38"/>
      <c r="L2498" s="38"/>
    </row>
    <row r="2499" ht="22.5" customHeight="1">
      <c r="A2499" s="36" t="s">
        <v>5683</v>
      </c>
      <c r="B2499" s="36" t="s">
        <v>5684</v>
      </c>
      <c r="C2499" s="36" t="s">
        <v>1495</v>
      </c>
      <c r="D2499" s="36" t="s">
        <v>1496</v>
      </c>
      <c r="E2499" s="36" t="s">
        <v>287</v>
      </c>
      <c r="F2499" s="36" t="s">
        <v>286</v>
      </c>
      <c r="G2499" s="36" t="s">
        <v>411</v>
      </c>
      <c r="H2499" s="37">
        <v>13.5</v>
      </c>
      <c r="I2499" s="36" t="s">
        <v>1301</v>
      </c>
      <c r="J2499" s="39" t="s">
        <v>286</v>
      </c>
      <c r="K2499" s="38"/>
      <c r="L2499" s="38"/>
    </row>
    <row r="2500" ht="22.5" customHeight="1">
      <c r="A2500" s="36" t="s">
        <v>5685</v>
      </c>
      <c r="B2500" s="36" t="s">
        <v>5686</v>
      </c>
      <c r="C2500" s="36" t="s">
        <v>1495</v>
      </c>
      <c r="D2500" s="36" t="s">
        <v>1496</v>
      </c>
      <c r="E2500" s="36" t="s">
        <v>287</v>
      </c>
      <c r="F2500" s="36" t="s">
        <v>286</v>
      </c>
      <c r="G2500" s="36" t="s">
        <v>411</v>
      </c>
      <c r="H2500" s="37">
        <v>30.25</v>
      </c>
      <c r="I2500" s="36" t="s">
        <v>1301</v>
      </c>
      <c r="J2500" s="39" t="s">
        <v>286</v>
      </c>
      <c r="K2500" s="38"/>
      <c r="L2500" s="38"/>
    </row>
    <row r="2501" ht="22.5" customHeight="1">
      <c r="A2501" s="36" t="s">
        <v>5687</v>
      </c>
      <c r="B2501" s="36" t="s">
        <v>5688</v>
      </c>
      <c r="C2501" s="36" t="s">
        <v>1495</v>
      </c>
      <c r="D2501" s="36" t="s">
        <v>1496</v>
      </c>
      <c r="E2501" s="36" t="s">
        <v>287</v>
      </c>
      <c r="F2501" s="36" t="s">
        <v>286</v>
      </c>
      <c r="G2501" s="36" t="s">
        <v>411</v>
      </c>
      <c r="H2501" s="37">
        <v>34.25</v>
      </c>
      <c r="I2501" s="36" t="s">
        <v>1301</v>
      </c>
      <c r="J2501" s="39" t="s">
        <v>286</v>
      </c>
      <c r="K2501" s="38"/>
      <c r="L2501" s="38"/>
    </row>
    <row r="2502" ht="22.5" customHeight="1">
      <c r="A2502" s="36" t="s">
        <v>5689</v>
      </c>
      <c r="B2502" s="36" t="s">
        <v>5690</v>
      </c>
      <c r="C2502" s="36" t="s">
        <v>1495</v>
      </c>
      <c r="D2502" s="36" t="s">
        <v>1496</v>
      </c>
      <c r="E2502" s="36" t="s">
        <v>287</v>
      </c>
      <c r="F2502" s="36" t="s">
        <v>286</v>
      </c>
      <c r="G2502" s="36" t="s">
        <v>411</v>
      </c>
      <c r="H2502" s="37">
        <v>26.2</v>
      </c>
      <c r="I2502" s="36" t="s">
        <v>1301</v>
      </c>
      <c r="J2502" s="39" t="s">
        <v>286</v>
      </c>
      <c r="K2502" s="38"/>
      <c r="L2502" s="38"/>
    </row>
    <row r="2503" ht="22.5" customHeight="1">
      <c r="A2503" s="36" t="s">
        <v>5691</v>
      </c>
      <c r="B2503" s="36" t="s">
        <v>5692</v>
      </c>
      <c r="C2503" s="36" t="s">
        <v>1495</v>
      </c>
      <c r="D2503" s="36" t="s">
        <v>1496</v>
      </c>
      <c r="E2503" s="36" t="s">
        <v>287</v>
      </c>
      <c r="F2503" s="36" t="s">
        <v>286</v>
      </c>
      <c r="G2503" s="36" t="s">
        <v>411</v>
      </c>
      <c r="H2503" s="37">
        <v>4.98</v>
      </c>
      <c r="I2503" s="36" t="s">
        <v>1301</v>
      </c>
      <c r="J2503" s="39" t="s">
        <v>286</v>
      </c>
      <c r="K2503" s="38"/>
      <c r="L2503" s="38"/>
    </row>
    <row r="2504" ht="22.5" customHeight="1">
      <c r="A2504" s="36" t="s">
        <v>5693</v>
      </c>
      <c r="B2504" s="36" t="s">
        <v>5694</v>
      </c>
      <c r="C2504" s="36" t="s">
        <v>1495</v>
      </c>
      <c r="D2504" s="36" t="s">
        <v>1496</v>
      </c>
      <c r="E2504" s="36" t="s">
        <v>287</v>
      </c>
      <c r="F2504" s="36" t="s">
        <v>286</v>
      </c>
      <c r="G2504" s="36" t="s">
        <v>411</v>
      </c>
      <c r="H2504" s="37">
        <v>2.47</v>
      </c>
      <c r="I2504" s="36" t="s">
        <v>1301</v>
      </c>
      <c r="J2504" s="39" t="s">
        <v>286</v>
      </c>
      <c r="K2504" s="38"/>
      <c r="L2504" s="38"/>
    </row>
    <row r="2505" ht="22.5" customHeight="1">
      <c r="A2505" s="36" t="s">
        <v>5695</v>
      </c>
      <c r="B2505" s="36" t="s">
        <v>5696</v>
      </c>
      <c r="C2505" s="36" t="s">
        <v>1495</v>
      </c>
      <c r="D2505" s="36" t="s">
        <v>1496</v>
      </c>
      <c r="E2505" s="36" t="s">
        <v>287</v>
      </c>
      <c r="F2505" s="36" t="s">
        <v>286</v>
      </c>
      <c r="G2505" s="36" t="s">
        <v>411</v>
      </c>
      <c r="H2505" s="37">
        <v>9.37</v>
      </c>
      <c r="I2505" s="36" t="s">
        <v>1301</v>
      </c>
      <c r="J2505" s="39" t="s">
        <v>286</v>
      </c>
      <c r="K2505" s="38"/>
      <c r="L2505" s="38"/>
    </row>
    <row r="2506" ht="22.5" customHeight="1">
      <c r="A2506" s="36" t="s">
        <v>5697</v>
      </c>
      <c r="B2506" s="36" t="s">
        <v>5698</v>
      </c>
      <c r="C2506" s="36" t="s">
        <v>1495</v>
      </c>
      <c r="D2506" s="36" t="s">
        <v>1496</v>
      </c>
      <c r="E2506" s="36" t="s">
        <v>287</v>
      </c>
      <c r="F2506" s="36" t="s">
        <v>286</v>
      </c>
      <c r="G2506" s="36" t="s">
        <v>411</v>
      </c>
      <c r="H2506" s="37">
        <v>148.4</v>
      </c>
      <c r="I2506" s="36" t="s">
        <v>1301</v>
      </c>
      <c r="J2506" s="39" t="s">
        <v>286</v>
      </c>
      <c r="K2506" s="38"/>
      <c r="L2506" s="38"/>
    </row>
    <row r="2507" ht="22.5" customHeight="1">
      <c r="A2507" s="36" t="s">
        <v>5699</v>
      </c>
      <c r="B2507" s="36" t="s">
        <v>5700</v>
      </c>
      <c r="C2507" s="36" t="s">
        <v>1495</v>
      </c>
      <c r="D2507" s="36" t="s">
        <v>1496</v>
      </c>
      <c r="E2507" s="36" t="s">
        <v>287</v>
      </c>
      <c r="F2507" s="36" t="s">
        <v>286</v>
      </c>
      <c r="G2507" s="36" t="s">
        <v>411</v>
      </c>
      <c r="H2507" s="37">
        <v>148.4</v>
      </c>
      <c r="I2507" s="36" t="s">
        <v>1301</v>
      </c>
      <c r="J2507" s="39" t="s">
        <v>286</v>
      </c>
      <c r="K2507" s="38"/>
      <c r="L2507" s="38"/>
    </row>
    <row r="2508" ht="22.5" customHeight="1">
      <c r="A2508" s="36" t="s">
        <v>5701</v>
      </c>
      <c r="B2508" s="36" t="s">
        <v>5702</v>
      </c>
      <c r="C2508" s="36" t="s">
        <v>1495</v>
      </c>
      <c r="D2508" s="36" t="s">
        <v>1496</v>
      </c>
      <c r="E2508" s="36" t="s">
        <v>287</v>
      </c>
      <c r="F2508" s="36" t="s">
        <v>286</v>
      </c>
      <c r="G2508" s="36" t="s">
        <v>411</v>
      </c>
      <c r="H2508" s="37">
        <v>148.4</v>
      </c>
      <c r="I2508" s="36" t="s">
        <v>1301</v>
      </c>
      <c r="J2508" s="39" t="s">
        <v>286</v>
      </c>
      <c r="K2508" s="38"/>
      <c r="L2508" s="38"/>
    </row>
    <row r="2509" ht="22.5" customHeight="1">
      <c r="A2509" s="36" t="s">
        <v>5703</v>
      </c>
      <c r="B2509" s="36" t="s">
        <v>5704</v>
      </c>
      <c r="C2509" s="36" t="s">
        <v>1495</v>
      </c>
      <c r="D2509" s="36" t="s">
        <v>1496</v>
      </c>
      <c r="E2509" s="36" t="s">
        <v>287</v>
      </c>
      <c r="F2509" s="36" t="s">
        <v>286</v>
      </c>
      <c r="G2509" s="36" t="s">
        <v>411</v>
      </c>
      <c r="H2509" s="37">
        <v>121.98</v>
      </c>
      <c r="I2509" s="36" t="s">
        <v>1301</v>
      </c>
      <c r="J2509" s="39" t="s">
        <v>286</v>
      </c>
      <c r="K2509" s="38"/>
      <c r="L2509" s="38"/>
    </row>
    <row r="2510" ht="22.5" customHeight="1">
      <c r="A2510" s="36" t="s">
        <v>5705</v>
      </c>
      <c r="B2510" s="36" t="s">
        <v>5706</v>
      </c>
      <c r="C2510" s="36" t="s">
        <v>1495</v>
      </c>
      <c r="D2510" s="36" t="s">
        <v>1496</v>
      </c>
      <c r="E2510" s="36" t="s">
        <v>287</v>
      </c>
      <c r="F2510" s="36" t="s">
        <v>286</v>
      </c>
      <c r="G2510" s="36" t="s">
        <v>411</v>
      </c>
      <c r="H2510" s="37">
        <v>121.98</v>
      </c>
      <c r="I2510" s="36" t="s">
        <v>1301</v>
      </c>
      <c r="J2510" s="39" t="s">
        <v>286</v>
      </c>
      <c r="K2510" s="38"/>
      <c r="L2510" s="38"/>
    </row>
    <row r="2511" ht="22.5" customHeight="1">
      <c r="A2511" s="36" t="s">
        <v>5707</v>
      </c>
      <c r="B2511" s="36" t="s">
        <v>5708</v>
      </c>
      <c r="C2511" s="36" t="s">
        <v>1495</v>
      </c>
      <c r="D2511" s="36" t="s">
        <v>1496</v>
      </c>
      <c r="E2511" s="36" t="s">
        <v>287</v>
      </c>
      <c r="F2511" s="36" t="s">
        <v>286</v>
      </c>
      <c r="G2511" s="36" t="s">
        <v>411</v>
      </c>
      <c r="H2511" s="37">
        <v>53.82</v>
      </c>
      <c r="I2511" s="36" t="s">
        <v>1301</v>
      </c>
      <c r="J2511" s="39" t="s">
        <v>286</v>
      </c>
      <c r="K2511" s="38"/>
      <c r="L2511" s="38"/>
    </row>
    <row r="2512" ht="22.5" customHeight="1">
      <c r="A2512" s="36" t="s">
        <v>5709</v>
      </c>
      <c r="B2512" s="36" t="s">
        <v>5710</v>
      </c>
      <c r="C2512" s="36" t="s">
        <v>1495</v>
      </c>
      <c r="D2512" s="36" t="s">
        <v>1496</v>
      </c>
      <c r="E2512" s="36" t="s">
        <v>287</v>
      </c>
      <c r="F2512" s="36" t="s">
        <v>286</v>
      </c>
      <c r="G2512" s="36" t="s">
        <v>411</v>
      </c>
      <c r="H2512" s="37">
        <v>275.0</v>
      </c>
      <c r="I2512" s="36" t="s">
        <v>1301</v>
      </c>
      <c r="J2512" s="39" t="s">
        <v>286</v>
      </c>
      <c r="K2512" s="38"/>
      <c r="L2512" s="38"/>
    </row>
    <row r="2513" ht="22.5" customHeight="1">
      <c r="A2513" s="36" t="s">
        <v>5711</v>
      </c>
      <c r="B2513" s="36" t="s">
        <v>5712</v>
      </c>
      <c r="C2513" s="36" t="s">
        <v>1495</v>
      </c>
      <c r="D2513" s="36" t="s">
        <v>1496</v>
      </c>
      <c r="E2513" s="36" t="s">
        <v>287</v>
      </c>
      <c r="F2513" s="36" t="s">
        <v>286</v>
      </c>
      <c r="G2513" s="36" t="s">
        <v>411</v>
      </c>
      <c r="H2513" s="37">
        <v>31.13</v>
      </c>
      <c r="I2513" s="36" t="s">
        <v>1301</v>
      </c>
      <c r="J2513" s="39" t="s">
        <v>286</v>
      </c>
      <c r="K2513" s="38"/>
      <c r="L2513" s="38"/>
    </row>
    <row r="2514" ht="22.5" customHeight="1">
      <c r="A2514" s="36" t="s">
        <v>5713</v>
      </c>
      <c r="B2514" s="36" t="s">
        <v>5714</v>
      </c>
      <c r="C2514" s="36" t="s">
        <v>1495</v>
      </c>
      <c r="D2514" s="36" t="s">
        <v>1496</v>
      </c>
      <c r="E2514" s="36" t="s">
        <v>287</v>
      </c>
      <c r="F2514" s="36" t="s">
        <v>286</v>
      </c>
      <c r="G2514" s="36" t="s">
        <v>411</v>
      </c>
      <c r="H2514" s="37">
        <v>52.67</v>
      </c>
      <c r="I2514" s="36" t="s">
        <v>1301</v>
      </c>
      <c r="J2514" s="39" t="s">
        <v>286</v>
      </c>
      <c r="K2514" s="38"/>
      <c r="L2514" s="38"/>
    </row>
    <row r="2515" ht="22.5" customHeight="1">
      <c r="A2515" s="36" t="s">
        <v>5715</v>
      </c>
      <c r="B2515" s="36" t="s">
        <v>5716</v>
      </c>
      <c r="C2515" s="36" t="s">
        <v>1495</v>
      </c>
      <c r="D2515" s="36" t="s">
        <v>1496</v>
      </c>
      <c r="E2515" s="36" t="s">
        <v>287</v>
      </c>
      <c r="F2515" s="36" t="s">
        <v>286</v>
      </c>
      <c r="G2515" s="36" t="s">
        <v>411</v>
      </c>
      <c r="H2515" s="37">
        <v>11.63</v>
      </c>
      <c r="I2515" s="36" t="s">
        <v>1301</v>
      </c>
      <c r="J2515" s="39" t="s">
        <v>286</v>
      </c>
      <c r="K2515" s="38"/>
      <c r="L2515" s="38"/>
    </row>
    <row r="2516" ht="22.5" customHeight="1">
      <c r="A2516" s="36" t="s">
        <v>5717</v>
      </c>
      <c r="B2516" s="36" t="s">
        <v>5718</v>
      </c>
      <c r="C2516" s="36" t="s">
        <v>1495</v>
      </c>
      <c r="D2516" s="36" t="s">
        <v>1496</v>
      </c>
      <c r="E2516" s="36" t="s">
        <v>287</v>
      </c>
      <c r="F2516" s="36" t="s">
        <v>286</v>
      </c>
      <c r="G2516" s="36" t="s">
        <v>411</v>
      </c>
      <c r="H2516" s="37">
        <v>0.0</v>
      </c>
      <c r="I2516" s="36" t="s">
        <v>1301</v>
      </c>
      <c r="J2516" s="39" t="s">
        <v>286</v>
      </c>
      <c r="K2516" s="38"/>
      <c r="L2516" s="38"/>
    </row>
    <row r="2517" ht="22.5" customHeight="1">
      <c r="A2517" s="36" t="s">
        <v>5719</v>
      </c>
      <c r="B2517" s="36" t="s">
        <v>5720</v>
      </c>
      <c r="C2517" s="36" t="s">
        <v>1495</v>
      </c>
      <c r="D2517" s="36" t="s">
        <v>1496</v>
      </c>
      <c r="E2517" s="36" t="s">
        <v>287</v>
      </c>
      <c r="F2517" s="36" t="s">
        <v>286</v>
      </c>
      <c r="G2517" s="36" t="s">
        <v>411</v>
      </c>
      <c r="H2517" s="37">
        <v>108.0</v>
      </c>
      <c r="I2517" s="36" t="s">
        <v>1301</v>
      </c>
      <c r="J2517" s="39" t="s">
        <v>286</v>
      </c>
      <c r="K2517" s="38"/>
      <c r="L2517" s="38"/>
    </row>
    <row r="2518" ht="22.5" customHeight="1">
      <c r="A2518" s="36" t="s">
        <v>5721</v>
      </c>
      <c r="B2518" s="36" t="s">
        <v>5722</v>
      </c>
      <c r="C2518" s="36" t="s">
        <v>1495</v>
      </c>
      <c r="D2518" s="36" t="s">
        <v>1496</v>
      </c>
      <c r="E2518" s="36" t="s">
        <v>287</v>
      </c>
      <c r="F2518" s="36" t="s">
        <v>286</v>
      </c>
      <c r="G2518" s="36" t="s">
        <v>411</v>
      </c>
      <c r="H2518" s="37">
        <v>507.05</v>
      </c>
      <c r="I2518" s="36" t="s">
        <v>1301</v>
      </c>
      <c r="J2518" s="39" t="s">
        <v>286</v>
      </c>
      <c r="K2518" s="38"/>
      <c r="L2518" s="38"/>
    </row>
    <row r="2519" ht="22.5" customHeight="1">
      <c r="A2519" s="36" t="s">
        <v>5723</v>
      </c>
      <c r="B2519" s="36" t="s">
        <v>5724</v>
      </c>
      <c r="C2519" s="36" t="s">
        <v>1495</v>
      </c>
      <c r="D2519" s="36" t="s">
        <v>1496</v>
      </c>
      <c r="E2519" s="36" t="s">
        <v>287</v>
      </c>
      <c r="F2519" s="36" t="s">
        <v>286</v>
      </c>
      <c r="G2519" s="36" t="s">
        <v>411</v>
      </c>
      <c r="H2519" s="37">
        <v>330.25</v>
      </c>
      <c r="I2519" s="36" t="s">
        <v>1301</v>
      </c>
      <c r="J2519" s="39" t="s">
        <v>286</v>
      </c>
      <c r="K2519" s="38"/>
      <c r="L2519" s="38"/>
    </row>
    <row r="2520" ht="22.5" customHeight="1">
      <c r="A2520" s="36" t="s">
        <v>5725</v>
      </c>
      <c r="B2520" s="36" t="s">
        <v>5726</v>
      </c>
      <c r="C2520" s="36" t="s">
        <v>1495</v>
      </c>
      <c r="D2520" s="36" t="s">
        <v>1496</v>
      </c>
      <c r="E2520" s="36" t="s">
        <v>287</v>
      </c>
      <c r="F2520" s="36" t="s">
        <v>286</v>
      </c>
      <c r="G2520" s="36" t="s">
        <v>411</v>
      </c>
      <c r="H2520" s="37">
        <v>635.0</v>
      </c>
      <c r="I2520" s="36" t="s">
        <v>1301</v>
      </c>
      <c r="J2520" s="39" t="s">
        <v>286</v>
      </c>
      <c r="K2520" s="38"/>
      <c r="L2520" s="38"/>
    </row>
    <row r="2521" ht="22.5" customHeight="1">
      <c r="A2521" s="36" t="s">
        <v>5727</v>
      </c>
      <c r="B2521" s="36" t="s">
        <v>5728</v>
      </c>
      <c r="C2521" s="36" t="s">
        <v>1495</v>
      </c>
      <c r="D2521" s="36" t="s">
        <v>1496</v>
      </c>
      <c r="E2521" s="36" t="s">
        <v>287</v>
      </c>
      <c r="F2521" s="36" t="s">
        <v>286</v>
      </c>
      <c r="G2521" s="36" t="s">
        <v>411</v>
      </c>
      <c r="H2521" s="37">
        <v>68.15</v>
      </c>
      <c r="I2521" s="36" t="s">
        <v>1301</v>
      </c>
      <c r="J2521" s="39" t="s">
        <v>286</v>
      </c>
      <c r="K2521" s="38"/>
      <c r="L2521" s="38"/>
    </row>
    <row r="2522" ht="22.5" customHeight="1">
      <c r="A2522" s="36" t="s">
        <v>5729</v>
      </c>
      <c r="B2522" s="36" t="s">
        <v>5730</v>
      </c>
      <c r="C2522" s="36" t="s">
        <v>1495</v>
      </c>
      <c r="D2522" s="36" t="s">
        <v>1496</v>
      </c>
      <c r="E2522" s="36" t="s">
        <v>287</v>
      </c>
      <c r="F2522" s="36" t="s">
        <v>286</v>
      </c>
      <c r="G2522" s="36" t="s">
        <v>411</v>
      </c>
      <c r="H2522" s="37">
        <v>29.02</v>
      </c>
      <c r="I2522" s="36" t="s">
        <v>1301</v>
      </c>
      <c r="J2522" s="39" t="s">
        <v>286</v>
      </c>
      <c r="K2522" s="38"/>
      <c r="L2522" s="38"/>
    </row>
    <row r="2523" ht="22.5" customHeight="1">
      <c r="A2523" s="36" t="s">
        <v>5731</v>
      </c>
      <c r="B2523" s="36" t="s">
        <v>5732</v>
      </c>
      <c r="C2523" s="36" t="s">
        <v>1495</v>
      </c>
      <c r="D2523" s="36" t="s">
        <v>1496</v>
      </c>
      <c r="E2523" s="36" t="s">
        <v>287</v>
      </c>
      <c r="F2523" s="36" t="s">
        <v>286</v>
      </c>
      <c r="G2523" s="36" t="s">
        <v>411</v>
      </c>
      <c r="H2523" s="37">
        <v>8.29</v>
      </c>
      <c r="I2523" s="36" t="s">
        <v>1301</v>
      </c>
      <c r="J2523" s="39" t="s">
        <v>286</v>
      </c>
      <c r="K2523" s="38"/>
      <c r="L2523" s="38"/>
    </row>
    <row r="2524" ht="22.5" customHeight="1">
      <c r="A2524" s="36" t="s">
        <v>5733</v>
      </c>
      <c r="B2524" s="36" t="s">
        <v>5734</v>
      </c>
      <c r="C2524" s="36" t="s">
        <v>1495</v>
      </c>
      <c r="D2524" s="36" t="s">
        <v>1496</v>
      </c>
      <c r="E2524" s="36" t="s">
        <v>287</v>
      </c>
      <c r="F2524" s="36" t="s">
        <v>286</v>
      </c>
      <c r="G2524" s="36" t="s">
        <v>411</v>
      </c>
      <c r="H2524" s="37">
        <v>693.0</v>
      </c>
      <c r="I2524" s="36" t="s">
        <v>1301</v>
      </c>
      <c r="J2524" s="39" t="s">
        <v>286</v>
      </c>
      <c r="K2524" s="38"/>
      <c r="L2524" s="38"/>
    </row>
    <row r="2525" ht="22.5" customHeight="1">
      <c r="A2525" s="36" t="s">
        <v>5735</v>
      </c>
      <c r="B2525" s="36" t="s">
        <v>5736</v>
      </c>
      <c r="C2525" s="36" t="s">
        <v>1495</v>
      </c>
      <c r="D2525" s="36" t="s">
        <v>1496</v>
      </c>
      <c r="E2525" s="36" t="s">
        <v>287</v>
      </c>
      <c r="F2525" s="36" t="s">
        <v>286</v>
      </c>
      <c r="G2525" s="36" t="s">
        <v>411</v>
      </c>
      <c r="H2525" s="37">
        <v>325.0</v>
      </c>
      <c r="I2525" s="36" t="s">
        <v>1301</v>
      </c>
      <c r="J2525" s="39" t="s">
        <v>286</v>
      </c>
      <c r="K2525" s="38"/>
      <c r="L2525" s="38"/>
    </row>
    <row r="2526" ht="22.5" customHeight="1">
      <c r="A2526" s="36" t="s">
        <v>5737</v>
      </c>
      <c r="B2526" s="36" t="s">
        <v>5738</v>
      </c>
      <c r="C2526" s="36" t="s">
        <v>1495</v>
      </c>
      <c r="D2526" s="36" t="s">
        <v>1496</v>
      </c>
      <c r="E2526" s="36" t="s">
        <v>287</v>
      </c>
      <c r="F2526" s="36" t="s">
        <v>286</v>
      </c>
      <c r="G2526" s="36" t="s">
        <v>411</v>
      </c>
      <c r="H2526" s="37">
        <v>22.2</v>
      </c>
      <c r="I2526" s="36" t="s">
        <v>1301</v>
      </c>
      <c r="J2526" s="39" t="s">
        <v>286</v>
      </c>
      <c r="K2526" s="38"/>
      <c r="L2526" s="38"/>
    </row>
    <row r="2527" ht="22.5" customHeight="1">
      <c r="A2527" s="36" t="s">
        <v>5739</v>
      </c>
      <c r="B2527" s="36" t="s">
        <v>5740</v>
      </c>
      <c r="C2527" s="36" t="s">
        <v>1495</v>
      </c>
      <c r="D2527" s="36" t="s">
        <v>1496</v>
      </c>
      <c r="E2527" s="36" t="s">
        <v>287</v>
      </c>
      <c r="F2527" s="36" t="s">
        <v>286</v>
      </c>
      <c r="G2527" s="36" t="s">
        <v>411</v>
      </c>
      <c r="H2527" s="37">
        <v>77.81</v>
      </c>
      <c r="I2527" s="36" t="s">
        <v>1301</v>
      </c>
      <c r="J2527" s="39" t="s">
        <v>286</v>
      </c>
      <c r="K2527" s="38"/>
      <c r="L2527" s="38"/>
    </row>
    <row r="2528" ht="22.5" customHeight="1">
      <c r="A2528" s="36" t="s">
        <v>5741</v>
      </c>
      <c r="B2528" s="36" t="s">
        <v>5742</v>
      </c>
      <c r="C2528" s="36" t="s">
        <v>1495</v>
      </c>
      <c r="D2528" s="36" t="s">
        <v>1496</v>
      </c>
      <c r="E2528" s="36" t="s">
        <v>287</v>
      </c>
      <c r="F2528" s="36" t="s">
        <v>286</v>
      </c>
      <c r="G2528" s="36" t="s">
        <v>411</v>
      </c>
      <c r="H2528" s="37">
        <v>38.55</v>
      </c>
      <c r="I2528" s="36" t="s">
        <v>1301</v>
      </c>
      <c r="J2528" s="39" t="s">
        <v>286</v>
      </c>
      <c r="K2528" s="38"/>
      <c r="L2528" s="38"/>
    </row>
    <row r="2529" ht="22.5" customHeight="1">
      <c r="A2529" s="36" t="s">
        <v>5743</v>
      </c>
      <c r="B2529" s="36" t="s">
        <v>5744</v>
      </c>
      <c r="C2529" s="36" t="s">
        <v>1495</v>
      </c>
      <c r="D2529" s="36" t="s">
        <v>1496</v>
      </c>
      <c r="E2529" s="36" t="s">
        <v>287</v>
      </c>
      <c r="F2529" s="36" t="s">
        <v>286</v>
      </c>
      <c r="G2529" s="36" t="s">
        <v>411</v>
      </c>
      <c r="H2529" s="37">
        <v>77.81</v>
      </c>
      <c r="I2529" s="36" t="s">
        <v>1301</v>
      </c>
      <c r="J2529" s="39" t="s">
        <v>286</v>
      </c>
      <c r="K2529" s="38"/>
      <c r="L2529" s="38"/>
    </row>
    <row r="2530" ht="22.5" customHeight="1">
      <c r="A2530" s="36" t="s">
        <v>5745</v>
      </c>
      <c r="B2530" s="36" t="s">
        <v>5746</v>
      </c>
      <c r="C2530" s="36" t="s">
        <v>1495</v>
      </c>
      <c r="D2530" s="36" t="s">
        <v>1496</v>
      </c>
      <c r="E2530" s="36" t="s">
        <v>287</v>
      </c>
      <c r="F2530" s="36" t="s">
        <v>286</v>
      </c>
      <c r="G2530" s="36" t="s">
        <v>411</v>
      </c>
      <c r="H2530" s="37">
        <v>27.24</v>
      </c>
      <c r="I2530" s="36" t="s">
        <v>1301</v>
      </c>
      <c r="J2530" s="39" t="s">
        <v>286</v>
      </c>
      <c r="K2530" s="38"/>
      <c r="L2530" s="38"/>
    </row>
    <row r="2531" ht="22.5" customHeight="1">
      <c r="A2531" s="36" t="s">
        <v>5747</v>
      </c>
      <c r="B2531" s="36" t="s">
        <v>5748</v>
      </c>
      <c r="C2531" s="36" t="s">
        <v>1495</v>
      </c>
      <c r="D2531" s="36" t="s">
        <v>1496</v>
      </c>
      <c r="E2531" s="36" t="s">
        <v>287</v>
      </c>
      <c r="F2531" s="36" t="s">
        <v>286</v>
      </c>
      <c r="G2531" s="36" t="s">
        <v>411</v>
      </c>
      <c r="H2531" s="37">
        <v>32.55</v>
      </c>
      <c r="I2531" s="36" t="s">
        <v>1301</v>
      </c>
      <c r="J2531" s="39" t="s">
        <v>286</v>
      </c>
      <c r="K2531" s="38"/>
      <c r="L2531" s="38"/>
    </row>
    <row r="2532" ht="22.5" customHeight="1">
      <c r="A2532" s="36" t="s">
        <v>5749</v>
      </c>
      <c r="B2532" s="36" t="s">
        <v>5750</v>
      </c>
      <c r="C2532" s="36" t="s">
        <v>1495</v>
      </c>
      <c r="D2532" s="36" t="s">
        <v>1496</v>
      </c>
      <c r="E2532" s="36" t="s">
        <v>287</v>
      </c>
      <c r="F2532" s="36" t="s">
        <v>286</v>
      </c>
      <c r="G2532" s="36" t="s">
        <v>411</v>
      </c>
      <c r="H2532" s="37">
        <v>5121.22</v>
      </c>
      <c r="I2532" s="36" t="s">
        <v>1301</v>
      </c>
      <c r="J2532" s="39" t="s">
        <v>286</v>
      </c>
      <c r="K2532" s="38"/>
      <c r="L2532" s="38"/>
    </row>
    <row r="2533" ht="22.5" customHeight="1">
      <c r="A2533" s="36" t="s">
        <v>5751</v>
      </c>
      <c r="B2533" s="36" t="s">
        <v>5752</v>
      </c>
      <c r="C2533" s="36" t="s">
        <v>1495</v>
      </c>
      <c r="D2533" s="36" t="s">
        <v>1496</v>
      </c>
      <c r="E2533" s="36" t="s">
        <v>287</v>
      </c>
      <c r="F2533" s="36" t="s">
        <v>286</v>
      </c>
      <c r="G2533" s="36" t="s">
        <v>411</v>
      </c>
      <c r="H2533" s="37">
        <v>36.5</v>
      </c>
      <c r="I2533" s="36" t="s">
        <v>1301</v>
      </c>
      <c r="J2533" s="39" t="s">
        <v>286</v>
      </c>
      <c r="K2533" s="38"/>
      <c r="L2533" s="38"/>
    </row>
    <row r="2534" ht="22.5" customHeight="1">
      <c r="A2534" s="36" t="s">
        <v>5753</v>
      </c>
      <c r="B2534" s="36" t="s">
        <v>5754</v>
      </c>
      <c r="C2534" s="36" t="s">
        <v>1495</v>
      </c>
      <c r="D2534" s="36" t="s">
        <v>1496</v>
      </c>
      <c r="E2534" s="36" t="s">
        <v>287</v>
      </c>
      <c r="F2534" s="36" t="s">
        <v>286</v>
      </c>
      <c r="G2534" s="36" t="s">
        <v>411</v>
      </c>
      <c r="H2534" s="37">
        <v>23.28</v>
      </c>
      <c r="I2534" s="36" t="s">
        <v>1301</v>
      </c>
      <c r="J2534" s="39" t="s">
        <v>286</v>
      </c>
      <c r="K2534" s="38"/>
      <c r="L2534" s="38"/>
    </row>
    <row r="2535" ht="22.5" customHeight="1">
      <c r="A2535" s="36" t="s">
        <v>5755</v>
      </c>
      <c r="B2535" s="36" t="s">
        <v>5756</v>
      </c>
      <c r="C2535" s="36" t="s">
        <v>1495</v>
      </c>
      <c r="D2535" s="36" t="s">
        <v>1496</v>
      </c>
      <c r="E2535" s="36" t="s">
        <v>287</v>
      </c>
      <c r="F2535" s="36" t="s">
        <v>286</v>
      </c>
      <c r="G2535" s="36" t="s">
        <v>411</v>
      </c>
      <c r="H2535" s="37">
        <v>159.28</v>
      </c>
      <c r="I2535" s="36" t="s">
        <v>1301</v>
      </c>
      <c r="J2535" s="39" t="s">
        <v>286</v>
      </c>
      <c r="K2535" s="38"/>
      <c r="L2535" s="38"/>
    </row>
    <row r="2536" ht="22.5" customHeight="1">
      <c r="A2536" s="36" t="s">
        <v>5757</v>
      </c>
      <c r="B2536" s="36" t="s">
        <v>5758</v>
      </c>
      <c r="C2536" s="36" t="s">
        <v>1495</v>
      </c>
      <c r="D2536" s="36" t="s">
        <v>1496</v>
      </c>
      <c r="E2536" s="36" t="s">
        <v>287</v>
      </c>
      <c r="F2536" s="36" t="s">
        <v>286</v>
      </c>
      <c r="G2536" s="36" t="s">
        <v>411</v>
      </c>
      <c r="H2536" s="37">
        <v>400.0</v>
      </c>
      <c r="I2536" s="36" t="s">
        <v>1301</v>
      </c>
      <c r="J2536" s="39" t="s">
        <v>286</v>
      </c>
      <c r="K2536" s="38"/>
      <c r="L2536" s="38"/>
    </row>
    <row r="2537" ht="22.5" customHeight="1">
      <c r="A2537" s="36" t="s">
        <v>5759</v>
      </c>
      <c r="B2537" s="36" t="s">
        <v>5760</v>
      </c>
      <c r="C2537" s="36" t="s">
        <v>1495</v>
      </c>
      <c r="D2537" s="36" t="s">
        <v>1496</v>
      </c>
      <c r="E2537" s="36" t="s">
        <v>287</v>
      </c>
      <c r="F2537" s="36" t="s">
        <v>286</v>
      </c>
      <c r="G2537" s="36" t="s">
        <v>411</v>
      </c>
      <c r="H2537" s="37">
        <v>82.87</v>
      </c>
      <c r="I2537" s="36" t="s">
        <v>1301</v>
      </c>
      <c r="J2537" s="39" t="s">
        <v>286</v>
      </c>
      <c r="K2537" s="38"/>
      <c r="L2537" s="38"/>
    </row>
    <row r="2538" ht="22.5" customHeight="1">
      <c r="A2538" s="36" t="s">
        <v>5761</v>
      </c>
      <c r="B2538" s="36" t="s">
        <v>5762</v>
      </c>
      <c r="C2538" s="36" t="s">
        <v>1495</v>
      </c>
      <c r="D2538" s="36" t="s">
        <v>1496</v>
      </c>
      <c r="E2538" s="36" t="s">
        <v>287</v>
      </c>
      <c r="F2538" s="36" t="s">
        <v>286</v>
      </c>
      <c r="G2538" s="36" t="s">
        <v>411</v>
      </c>
      <c r="H2538" s="37">
        <v>79.52</v>
      </c>
      <c r="I2538" s="36" t="s">
        <v>1301</v>
      </c>
      <c r="J2538" s="39" t="s">
        <v>286</v>
      </c>
      <c r="K2538" s="38"/>
      <c r="L2538" s="38"/>
    </row>
    <row r="2539" ht="22.5" customHeight="1">
      <c r="A2539" s="36" t="s">
        <v>5763</v>
      </c>
      <c r="B2539" s="36" t="s">
        <v>5764</v>
      </c>
      <c r="C2539" s="36" t="s">
        <v>1495</v>
      </c>
      <c r="D2539" s="36" t="s">
        <v>1496</v>
      </c>
      <c r="E2539" s="36" t="s">
        <v>287</v>
      </c>
      <c r="F2539" s="36" t="s">
        <v>286</v>
      </c>
      <c r="G2539" s="36" t="s">
        <v>411</v>
      </c>
      <c r="H2539" s="37">
        <v>235.98</v>
      </c>
      <c r="I2539" s="36" t="s">
        <v>1301</v>
      </c>
      <c r="J2539" s="39" t="s">
        <v>286</v>
      </c>
      <c r="K2539" s="38"/>
      <c r="L2539" s="38"/>
    </row>
    <row r="2540" ht="22.5" customHeight="1">
      <c r="A2540" s="36" t="s">
        <v>5765</v>
      </c>
      <c r="B2540" s="36" t="s">
        <v>5766</v>
      </c>
      <c r="C2540" s="36" t="s">
        <v>1495</v>
      </c>
      <c r="D2540" s="36" t="s">
        <v>1496</v>
      </c>
      <c r="E2540" s="36" t="s">
        <v>287</v>
      </c>
      <c r="F2540" s="36" t="s">
        <v>286</v>
      </c>
      <c r="G2540" s="36" t="s">
        <v>411</v>
      </c>
      <c r="H2540" s="37">
        <v>65.28</v>
      </c>
      <c r="I2540" s="36" t="s">
        <v>1301</v>
      </c>
      <c r="J2540" s="39" t="s">
        <v>286</v>
      </c>
      <c r="K2540" s="38"/>
      <c r="L2540" s="38"/>
    </row>
    <row r="2541" ht="22.5" customHeight="1">
      <c r="A2541" s="36" t="s">
        <v>5767</v>
      </c>
      <c r="B2541" s="36" t="s">
        <v>5768</v>
      </c>
      <c r="C2541" s="36" t="s">
        <v>1495</v>
      </c>
      <c r="D2541" s="36" t="s">
        <v>1496</v>
      </c>
      <c r="E2541" s="36" t="s">
        <v>287</v>
      </c>
      <c r="F2541" s="36" t="s">
        <v>286</v>
      </c>
      <c r="G2541" s="36" t="s">
        <v>411</v>
      </c>
      <c r="H2541" s="37">
        <v>245.0</v>
      </c>
      <c r="I2541" s="36" t="s">
        <v>1301</v>
      </c>
      <c r="J2541" s="39" t="s">
        <v>286</v>
      </c>
      <c r="K2541" s="38"/>
      <c r="L2541" s="38"/>
    </row>
    <row r="2542" ht="22.5" customHeight="1">
      <c r="A2542" s="36" t="s">
        <v>5769</v>
      </c>
      <c r="B2542" s="36" t="s">
        <v>5770</v>
      </c>
      <c r="C2542" s="36" t="s">
        <v>1495</v>
      </c>
      <c r="D2542" s="36" t="s">
        <v>1496</v>
      </c>
      <c r="E2542" s="36" t="s">
        <v>287</v>
      </c>
      <c r="F2542" s="36" t="s">
        <v>286</v>
      </c>
      <c r="G2542" s="36" t="s">
        <v>411</v>
      </c>
      <c r="H2542" s="37">
        <v>135.0</v>
      </c>
      <c r="I2542" s="36" t="s">
        <v>1301</v>
      </c>
      <c r="J2542" s="39" t="s">
        <v>286</v>
      </c>
      <c r="K2542" s="38"/>
      <c r="L2542" s="38"/>
    </row>
    <row r="2543" ht="22.5" customHeight="1">
      <c r="A2543" s="36" t="s">
        <v>5771</v>
      </c>
      <c r="B2543" s="36" t="s">
        <v>5772</v>
      </c>
      <c r="C2543" s="36" t="s">
        <v>1495</v>
      </c>
      <c r="D2543" s="36" t="s">
        <v>1496</v>
      </c>
      <c r="E2543" s="36" t="s">
        <v>287</v>
      </c>
      <c r="F2543" s="36" t="s">
        <v>286</v>
      </c>
      <c r="G2543" s="36" t="s">
        <v>411</v>
      </c>
      <c r="H2543" s="37">
        <v>145.0</v>
      </c>
      <c r="I2543" s="36" t="s">
        <v>1301</v>
      </c>
      <c r="J2543" s="39" t="s">
        <v>286</v>
      </c>
      <c r="K2543" s="38"/>
      <c r="L2543" s="38"/>
    </row>
    <row r="2544" ht="22.5" customHeight="1">
      <c r="A2544" s="36" t="s">
        <v>5773</v>
      </c>
      <c r="B2544" s="36" t="s">
        <v>5774</v>
      </c>
      <c r="C2544" s="36" t="s">
        <v>1495</v>
      </c>
      <c r="D2544" s="36" t="s">
        <v>1496</v>
      </c>
      <c r="E2544" s="36" t="s">
        <v>287</v>
      </c>
      <c r="F2544" s="36" t="s">
        <v>286</v>
      </c>
      <c r="G2544" s="36" t="s">
        <v>411</v>
      </c>
      <c r="H2544" s="37">
        <v>39.87</v>
      </c>
      <c r="I2544" s="36" t="s">
        <v>1301</v>
      </c>
      <c r="J2544" s="39" t="s">
        <v>286</v>
      </c>
      <c r="K2544" s="38"/>
      <c r="L2544" s="38"/>
    </row>
    <row r="2545" ht="22.5" customHeight="1">
      <c r="A2545" s="36" t="s">
        <v>5775</v>
      </c>
      <c r="B2545" s="36" t="s">
        <v>5776</v>
      </c>
      <c r="C2545" s="36" t="s">
        <v>1495</v>
      </c>
      <c r="D2545" s="36" t="s">
        <v>1496</v>
      </c>
      <c r="E2545" s="36" t="s">
        <v>287</v>
      </c>
      <c r="F2545" s="36" t="s">
        <v>286</v>
      </c>
      <c r="G2545" s="36" t="s">
        <v>411</v>
      </c>
      <c r="H2545" s="37">
        <v>68.33</v>
      </c>
      <c r="I2545" s="36" t="s">
        <v>1301</v>
      </c>
      <c r="J2545" s="39" t="s">
        <v>286</v>
      </c>
      <c r="K2545" s="38"/>
      <c r="L2545" s="38"/>
    </row>
    <row r="2546" ht="22.5" customHeight="1">
      <c r="A2546" s="36" t="s">
        <v>5777</v>
      </c>
      <c r="B2546" s="36" t="s">
        <v>5778</v>
      </c>
      <c r="C2546" s="36" t="s">
        <v>1495</v>
      </c>
      <c r="D2546" s="36" t="s">
        <v>1496</v>
      </c>
      <c r="E2546" s="36" t="s">
        <v>287</v>
      </c>
      <c r="F2546" s="36" t="s">
        <v>286</v>
      </c>
      <c r="G2546" s="36" t="s">
        <v>411</v>
      </c>
      <c r="H2546" s="37">
        <v>2180.54</v>
      </c>
      <c r="I2546" s="36" t="s">
        <v>1301</v>
      </c>
      <c r="J2546" s="39" t="s">
        <v>286</v>
      </c>
      <c r="K2546" s="38"/>
      <c r="L2546" s="38"/>
    </row>
    <row r="2547" ht="22.5" customHeight="1">
      <c r="A2547" s="36" t="s">
        <v>5779</v>
      </c>
      <c r="B2547" s="36" t="s">
        <v>5780</v>
      </c>
      <c r="C2547" s="36" t="s">
        <v>1495</v>
      </c>
      <c r="D2547" s="36" t="s">
        <v>1496</v>
      </c>
      <c r="E2547" s="36" t="s">
        <v>287</v>
      </c>
      <c r="F2547" s="36" t="s">
        <v>286</v>
      </c>
      <c r="G2547" s="36" t="s">
        <v>411</v>
      </c>
      <c r="H2547" s="37">
        <v>5942.35</v>
      </c>
      <c r="I2547" s="36" t="s">
        <v>1301</v>
      </c>
      <c r="J2547" s="39" t="s">
        <v>286</v>
      </c>
      <c r="K2547" s="38"/>
      <c r="L2547" s="38"/>
    </row>
    <row r="2548" ht="22.5" customHeight="1">
      <c r="A2548" s="36" t="s">
        <v>5781</v>
      </c>
      <c r="B2548" s="36" t="s">
        <v>5782</v>
      </c>
      <c r="C2548" s="36" t="s">
        <v>1495</v>
      </c>
      <c r="D2548" s="36" t="s">
        <v>1496</v>
      </c>
      <c r="E2548" s="36" t="s">
        <v>287</v>
      </c>
      <c r="F2548" s="36" t="s">
        <v>286</v>
      </c>
      <c r="G2548" s="36" t="s">
        <v>411</v>
      </c>
      <c r="H2548" s="37">
        <v>44.0</v>
      </c>
      <c r="I2548" s="36" t="s">
        <v>1301</v>
      </c>
      <c r="J2548" s="39" t="s">
        <v>286</v>
      </c>
      <c r="K2548" s="38"/>
      <c r="L2548" s="38"/>
    </row>
    <row r="2549" ht="22.5" customHeight="1">
      <c r="A2549" s="36" t="s">
        <v>5783</v>
      </c>
      <c r="B2549" s="36" t="s">
        <v>5784</v>
      </c>
      <c r="C2549" s="36" t="s">
        <v>1495</v>
      </c>
      <c r="D2549" s="36" t="s">
        <v>1496</v>
      </c>
      <c r="E2549" s="36" t="s">
        <v>287</v>
      </c>
      <c r="F2549" s="36" t="s">
        <v>286</v>
      </c>
      <c r="G2549" s="36" t="s">
        <v>411</v>
      </c>
      <c r="H2549" s="37">
        <v>38.27</v>
      </c>
      <c r="I2549" s="36" t="s">
        <v>1301</v>
      </c>
      <c r="J2549" s="39" t="s">
        <v>286</v>
      </c>
      <c r="K2549" s="38"/>
      <c r="L2549" s="38"/>
    </row>
    <row r="2550" ht="22.5" customHeight="1">
      <c r="A2550" s="36" t="s">
        <v>5785</v>
      </c>
      <c r="B2550" s="36" t="s">
        <v>5786</v>
      </c>
      <c r="C2550" s="36" t="s">
        <v>1495</v>
      </c>
      <c r="D2550" s="36" t="s">
        <v>1496</v>
      </c>
      <c r="E2550" s="36" t="s">
        <v>287</v>
      </c>
      <c r="F2550" s="36" t="s">
        <v>286</v>
      </c>
      <c r="G2550" s="36" t="s">
        <v>411</v>
      </c>
      <c r="H2550" s="37">
        <v>13.5</v>
      </c>
      <c r="I2550" s="36" t="s">
        <v>1301</v>
      </c>
      <c r="J2550" s="39" t="s">
        <v>286</v>
      </c>
      <c r="K2550" s="38"/>
      <c r="L2550" s="38"/>
    </row>
    <row r="2551" ht="22.5" customHeight="1">
      <c r="A2551" s="36" t="s">
        <v>5787</v>
      </c>
      <c r="B2551" s="36" t="s">
        <v>5788</v>
      </c>
      <c r="C2551" s="36" t="s">
        <v>1495</v>
      </c>
      <c r="D2551" s="36" t="s">
        <v>1496</v>
      </c>
      <c r="E2551" s="36" t="s">
        <v>287</v>
      </c>
      <c r="F2551" s="36" t="s">
        <v>286</v>
      </c>
      <c r="G2551" s="36" t="s">
        <v>411</v>
      </c>
      <c r="H2551" s="37">
        <v>2.92</v>
      </c>
      <c r="I2551" s="36" t="s">
        <v>1301</v>
      </c>
      <c r="J2551" s="39" t="s">
        <v>286</v>
      </c>
      <c r="K2551" s="38"/>
      <c r="L2551" s="38"/>
    </row>
    <row r="2552" ht="22.5" customHeight="1">
      <c r="A2552" s="36" t="s">
        <v>5789</v>
      </c>
      <c r="B2552" s="36" t="s">
        <v>5790</v>
      </c>
      <c r="C2552" s="36" t="s">
        <v>1495</v>
      </c>
      <c r="D2552" s="36" t="s">
        <v>1496</v>
      </c>
      <c r="E2552" s="36" t="s">
        <v>287</v>
      </c>
      <c r="F2552" s="36" t="s">
        <v>286</v>
      </c>
      <c r="G2552" s="36" t="s">
        <v>411</v>
      </c>
      <c r="H2552" s="37">
        <v>3.96</v>
      </c>
      <c r="I2552" s="36" t="s">
        <v>1301</v>
      </c>
      <c r="J2552" s="39" t="s">
        <v>286</v>
      </c>
      <c r="K2552" s="38"/>
      <c r="L2552" s="38"/>
    </row>
    <row r="2553" ht="22.5" customHeight="1">
      <c r="A2553" s="36" t="s">
        <v>5791</v>
      </c>
      <c r="B2553" s="36" t="s">
        <v>5792</v>
      </c>
      <c r="C2553" s="36" t="s">
        <v>1495</v>
      </c>
      <c r="D2553" s="36" t="s">
        <v>1496</v>
      </c>
      <c r="E2553" s="36" t="s">
        <v>287</v>
      </c>
      <c r="F2553" s="36" t="s">
        <v>286</v>
      </c>
      <c r="G2553" s="36" t="s">
        <v>411</v>
      </c>
      <c r="H2553" s="37">
        <v>7.3</v>
      </c>
      <c r="I2553" s="36" t="s">
        <v>1301</v>
      </c>
      <c r="J2553" s="39" t="s">
        <v>286</v>
      </c>
      <c r="K2553" s="38"/>
      <c r="L2553" s="38"/>
    </row>
    <row r="2554" ht="22.5" customHeight="1">
      <c r="A2554" s="36" t="s">
        <v>5793</v>
      </c>
      <c r="B2554" s="36" t="s">
        <v>5794</v>
      </c>
      <c r="C2554" s="36" t="s">
        <v>1495</v>
      </c>
      <c r="D2554" s="36" t="s">
        <v>1496</v>
      </c>
      <c r="E2554" s="36" t="s">
        <v>287</v>
      </c>
      <c r="F2554" s="36" t="s">
        <v>286</v>
      </c>
      <c r="G2554" s="36" t="s">
        <v>411</v>
      </c>
      <c r="H2554" s="37">
        <v>11.86</v>
      </c>
      <c r="I2554" s="36" t="s">
        <v>1301</v>
      </c>
      <c r="J2554" s="39" t="s">
        <v>286</v>
      </c>
      <c r="K2554" s="38"/>
      <c r="L2554" s="38"/>
    </row>
    <row r="2555" ht="22.5" customHeight="1">
      <c r="A2555" s="36" t="s">
        <v>5795</v>
      </c>
      <c r="B2555" s="36" t="s">
        <v>5796</v>
      </c>
      <c r="C2555" s="36" t="s">
        <v>1495</v>
      </c>
      <c r="D2555" s="36" t="s">
        <v>1496</v>
      </c>
      <c r="E2555" s="36" t="s">
        <v>287</v>
      </c>
      <c r="F2555" s="36" t="s">
        <v>286</v>
      </c>
      <c r="G2555" s="36" t="s">
        <v>411</v>
      </c>
      <c r="H2555" s="37">
        <v>47.61</v>
      </c>
      <c r="I2555" s="36" t="s">
        <v>1301</v>
      </c>
      <c r="J2555" s="39" t="s">
        <v>286</v>
      </c>
      <c r="K2555" s="38"/>
      <c r="L2555" s="38"/>
    </row>
    <row r="2556" ht="22.5" customHeight="1">
      <c r="A2556" s="36" t="s">
        <v>5797</v>
      </c>
      <c r="B2556" s="36" t="s">
        <v>5798</v>
      </c>
      <c r="C2556" s="36" t="s">
        <v>1495</v>
      </c>
      <c r="D2556" s="36" t="s">
        <v>1496</v>
      </c>
      <c r="E2556" s="36" t="s">
        <v>287</v>
      </c>
      <c r="F2556" s="36" t="s">
        <v>286</v>
      </c>
      <c r="G2556" s="36" t="s">
        <v>411</v>
      </c>
      <c r="H2556" s="37">
        <v>40.09</v>
      </c>
      <c r="I2556" s="36" t="s">
        <v>1301</v>
      </c>
      <c r="J2556" s="39" t="s">
        <v>286</v>
      </c>
      <c r="K2556" s="38"/>
      <c r="L2556" s="38"/>
    </row>
    <row r="2557" ht="22.5" customHeight="1">
      <c r="A2557" s="36" t="s">
        <v>5799</v>
      </c>
      <c r="B2557" s="36" t="s">
        <v>5800</v>
      </c>
      <c r="C2557" s="36" t="s">
        <v>1495</v>
      </c>
      <c r="D2557" s="36" t="s">
        <v>1496</v>
      </c>
      <c r="E2557" s="36" t="s">
        <v>287</v>
      </c>
      <c r="F2557" s="36" t="s">
        <v>286</v>
      </c>
      <c r="G2557" s="36" t="s">
        <v>411</v>
      </c>
      <c r="H2557" s="37">
        <v>73.5</v>
      </c>
      <c r="I2557" s="36" t="s">
        <v>1301</v>
      </c>
      <c r="J2557" s="39" t="s">
        <v>286</v>
      </c>
      <c r="K2557" s="38"/>
      <c r="L2557" s="38"/>
    </row>
    <row r="2558" ht="22.5" customHeight="1">
      <c r="A2558" s="36" t="s">
        <v>5801</v>
      </c>
      <c r="B2558" s="36" t="s">
        <v>5802</v>
      </c>
      <c r="C2558" s="36" t="s">
        <v>1495</v>
      </c>
      <c r="D2558" s="36" t="s">
        <v>1496</v>
      </c>
      <c r="E2558" s="36" t="s">
        <v>287</v>
      </c>
      <c r="F2558" s="36" t="s">
        <v>286</v>
      </c>
      <c r="G2558" s="36" t="s">
        <v>411</v>
      </c>
      <c r="H2558" s="37">
        <v>73.5</v>
      </c>
      <c r="I2558" s="36" t="s">
        <v>1301</v>
      </c>
      <c r="J2558" s="39" t="s">
        <v>286</v>
      </c>
      <c r="K2558" s="38"/>
      <c r="L2558" s="38"/>
    </row>
    <row r="2559" ht="22.5" customHeight="1">
      <c r="A2559" s="36" t="s">
        <v>5803</v>
      </c>
      <c r="B2559" s="36" t="s">
        <v>5804</v>
      </c>
      <c r="C2559" s="36" t="s">
        <v>1495</v>
      </c>
      <c r="D2559" s="36" t="s">
        <v>1496</v>
      </c>
      <c r="E2559" s="36" t="s">
        <v>287</v>
      </c>
      <c r="F2559" s="36" t="s">
        <v>286</v>
      </c>
      <c r="G2559" s="36" t="s">
        <v>411</v>
      </c>
      <c r="H2559" s="37">
        <v>218.63</v>
      </c>
      <c r="I2559" s="36" t="s">
        <v>1301</v>
      </c>
      <c r="J2559" s="39" t="s">
        <v>286</v>
      </c>
      <c r="K2559" s="38"/>
      <c r="L2559" s="38"/>
    </row>
    <row r="2560" ht="22.5" customHeight="1">
      <c r="A2560" s="36" t="s">
        <v>5805</v>
      </c>
      <c r="B2560" s="36" t="s">
        <v>5806</v>
      </c>
      <c r="C2560" s="36" t="s">
        <v>1495</v>
      </c>
      <c r="D2560" s="36" t="s">
        <v>1496</v>
      </c>
      <c r="E2560" s="36" t="s">
        <v>287</v>
      </c>
      <c r="F2560" s="36" t="s">
        <v>286</v>
      </c>
      <c r="G2560" s="36" t="s">
        <v>411</v>
      </c>
      <c r="H2560" s="37">
        <v>302.22</v>
      </c>
      <c r="I2560" s="36" t="s">
        <v>1301</v>
      </c>
      <c r="J2560" s="39" t="s">
        <v>286</v>
      </c>
      <c r="K2560" s="38"/>
      <c r="L2560" s="38"/>
    </row>
    <row r="2561" ht="22.5" customHeight="1">
      <c r="A2561" s="36" t="s">
        <v>5807</v>
      </c>
      <c r="B2561" s="36" t="s">
        <v>5808</v>
      </c>
      <c r="C2561" s="36" t="s">
        <v>1495</v>
      </c>
      <c r="D2561" s="36" t="s">
        <v>1496</v>
      </c>
      <c r="E2561" s="36" t="s">
        <v>287</v>
      </c>
      <c r="F2561" s="36" t="s">
        <v>286</v>
      </c>
      <c r="G2561" s="36" t="s">
        <v>411</v>
      </c>
      <c r="H2561" s="37">
        <v>79.06</v>
      </c>
      <c r="I2561" s="36" t="s">
        <v>1301</v>
      </c>
      <c r="J2561" s="39" t="s">
        <v>286</v>
      </c>
      <c r="K2561" s="38"/>
      <c r="L2561" s="38"/>
    </row>
    <row r="2562" ht="22.5" customHeight="1">
      <c r="A2562" s="36" t="s">
        <v>5809</v>
      </c>
      <c r="B2562" s="36" t="s">
        <v>5810</v>
      </c>
      <c r="C2562" s="36" t="s">
        <v>1495</v>
      </c>
      <c r="D2562" s="36" t="s">
        <v>1496</v>
      </c>
      <c r="E2562" s="36" t="s">
        <v>287</v>
      </c>
      <c r="F2562" s="36" t="s">
        <v>286</v>
      </c>
      <c r="G2562" s="36" t="s">
        <v>411</v>
      </c>
      <c r="H2562" s="37">
        <v>46.58</v>
      </c>
      <c r="I2562" s="36" t="s">
        <v>1301</v>
      </c>
      <c r="J2562" s="39" t="s">
        <v>286</v>
      </c>
      <c r="K2562" s="38"/>
      <c r="L2562" s="38"/>
    </row>
    <row r="2563" ht="22.5" customHeight="1">
      <c r="A2563" s="36" t="s">
        <v>5811</v>
      </c>
      <c r="B2563" s="36" t="s">
        <v>5812</v>
      </c>
      <c r="C2563" s="36" t="s">
        <v>1495</v>
      </c>
      <c r="D2563" s="36" t="s">
        <v>1496</v>
      </c>
      <c r="E2563" s="36" t="s">
        <v>287</v>
      </c>
      <c r="F2563" s="36" t="s">
        <v>286</v>
      </c>
      <c r="G2563" s="36" t="s">
        <v>411</v>
      </c>
      <c r="H2563" s="37">
        <v>3.94</v>
      </c>
      <c r="I2563" s="36" t="s">
        <v>1301</v>
      </c>
      <c r="J2563" s="39" t="s">
        <v>286</v>
      </c>
      <c r="K2563" s="38"/>
      <c r="L2563" s="38"/>
    </row>
    <row r="2564" ht="22.5" customHeight="1">
      <c r="A2564" s="36" t="s">
        <v>5813</v>
      </c>
      <c r="B2564" s="36" t="s">
        <v>5814</v>
      </c>
      <c r="C2564" s="36" t="s">
        <v>1495</v>
      </c>
      <c r="D2564" s="36" t="s">
        <v>1496</v>
      </c>
      <c r="E2564" s="36" t="s">
        <v>287</v>
      </c>
      <c r="F2564" s="36" t="s">
        <v>286</v>
      </c>
      <c r="G2564" s="36" t="s">
        <v>411</v>
      </c>
      <c r="H2564" s="37">
        <v>5.65</v>
      </c>
      <c r="I2564" s="36" t="s">
        <v>1301</v>
      </c>
      <c r="J2564" s="39" t="s">
        <v>286</v>
      </c>
      <c r="K2564" s="38"/>
      <c r="L2564" s="38"/>
    </row>
    <row r="2565" ht="22.5" customHeight="1">
      <c r="A2565" s="36" t="s">
        <v>5815</v>
      </c>
      <c r="B2565" s="36" t="s">
        <v>5816</v>
      </c>
      <c r="C2565" s="36" t="s">
        <v>1495</v>
      </c>
      <c r="D2565" s="36" t="s">
        <v>1496</v>
      </c>
      <c r="E2565" s="36" t="s">
        <v>287</v>
      </c>
      <c r="F2565" s="36" t="s">
        <v>286</v>
      </c>
      <c r="G2565" s="36" t="s">
        <v>411</v>
      </c>
      <c r="H2565" s="37">
        <v>11.29</v>
      </c>
      <c r="I2565" s="36" t="s">
        <v>1301</v>
      </c>
      <c r="J2565" s="39" t="s">
        <v>286</v>
      </c>
      <c r="K2565" s="38"/>
      <c r="L2565" s="38"/>
    </row>
    <row r="2566" ht="22.5" customHeight="1">
      <c r="A2566" s="36" t="s">
        <v>5817</v>
      </c>
      <c r="B2566" s="36" t="s">
        <v>5818</v>
      </c>
      <c r="C2566" s="36" t="s">
        <v>1495</v>
      </c>
      <c r="D2566" s="36" t="s">
        <v>1496</v>
      </c>
      <c r="E2566" s="36" t="s">
        <v>287</v>
      </c>
      <c r="F2566" s="36" t="s">
        <v>286</v>
      </c>
      <c r="G2566" s="36" t="s">
        <v>411</v>
      </c>
      <c r="H2566" s="37">
        <v>354.98</v>
      </c>
      <c r="I2566" s="36" t="s">
        <v>1301</v>
      </c>
      <c r="J2566" s="39" t="s">
        <v>286</v>
      </c>
      <c r="K2566" s="38"/>
      <c r="L2566" s="38"/>
    </row>
    <row r="2567" ht="22.5" customHeight="1">
      <c r="A2567" s="36" t="s">
        <v>5819</v>
      </c>
      <c r="B2567" s="36" t="s">
        <v>5820</v>
      </c>
      <c r="C2567" s="36" t="s">
        <v>1495</v>
      </c>
      <c r="D2567" s="36" t="s">
        <v>1496</v>
      </c>
      <c r="E2567" s="36" t="s">
        <v>287</v>
      </c>
      <c r="F2567" s="36" t="s">
        <v>286</v>
      </c>
      <c r="G2567" s="36" t="s">
        <v>411</v>
      </c>
      <c r="H2567" s="37">
        <v>107.98</v>
      </c>
      <c r="I2567" s="36" t="s">
        <v>1301</v>
      </c>
      <c r="J2567" s="39" t="s">
        <v>286</v>
      </c>
      <c r="K2567" s="38"/>
      <c r="L2567" s="38"/>
    </row>
    <row r="2568" ht="22.5" customHeight="1">
      <c r="A2568" s="36" t="s">
        <v>5821</v>
      </c>
      <c r="B2568" s="36" t="s">
        <v>5822</v>
      </c>
      <c r="C2568" s="36" t="s">
        <v>1495</v>
      </c>
      <c r="D2568" s="36" t="s">
        <v>1496</v>
      </c>
      <c r="E2568" s="36" t="s">
        <v>287</v>
      </c>
      <c r="F2568" s="36" t="s">
        <v>286</v>
      </c>
      <c r="G2568" s="36" t="s">
        <v>411</v>
      </c>
      <c r="H2568" s="37">
        <v>328.66</v>
      </c>
      <c r="I2568" s="36" t="s">
        <v>1301</v>
      </c>
      <c r="J2568" s="39" t="s">
        <v>286</v>
      </c>
      <c r="K2568" s="38"/>
      <c r="L2568" s="38"/>
    </row>
    <row r="2569" ht="22.5" customHeight="1">
      <c r="A2569" s="36" t="s">
        <v>5823</v>
      </c>
      <c r="B2569" s="36" t="s">
        <v>5824</v>
      </c>
      <c r="C2569" s="36" t="s">
        <v>1495</v>
      </c>
      <c r="D2569" s="36" t="s">
        <v>1496</v>
      </c>
      <c r="E2569" s="36" t="s">
        <v>287</v>
      </c>
      <c r="F2569" s="36" t="s">
        <v>286</v>
      </c>
      <c r="G2569" s="36" t="s">
        <v>411</v>
      </c>
      <c r="H2569" s="37">
        <v>90.0</v>
      </c>
      <c r="I2569" s="36" t="s">
        <v>1301</v>
      </c>
      <c r="J2569" s="39" t="s">
        <v>286</v>
      </c>
      <c r="K2569" s="38"/>
      <c r="L2569" s="38"/>
    </row>
    <row r="2570" ht="22.5" customHeight="1">
      <c r="A2570" s="36" t="s">
        <v>5825</v>
      </c>
      <c r="B2570" s="36" t="s">
        <v>5826</v>
      </c>
      <c r="C2570" s="36" t="s">
        <v>1495</v>
      </c>
      <c r="D2570" s="36" t="s">
        <v>1496</v>
      </c>
      <c r="E2570" s="36" t="s">
        <v>287</v>
      </c>
      <c r="F2570" s="36" t="s">
        <v>286</v>
      </c>
      <c r="G2570" s="36" t="s">
        <v>411</v>
      </c>
      <c r="H2570" s="37">
        <v>90.0</v>
      </c>
      <c r="I2570" s="36" t="s">
        <v>1301</v>
      </c>
      <c r="J2570" s="39" t="s">
        <v>286</v>
      </c>
      <c r="K2570" s="38"/>
      <c r="L2570" s="38"/>
    </row>
    <row r="2571" ht="22.5" customHeight="1">
      <c r="A2571" s="36" t="s">
        <v>5827</v>
      </c>
      <c r="B2571" s="36" t="s">
        <v>5828</v>
      </c>
      <c r="C2571" s="36" t="s">
        <v>1495</v>
      </c>
      <c r="D2571" s="36" t="s">
        <v>1496</v>
      </c>
      <c r="E2571" s="36" t="s">
        <v>287</v>
      </c>
      <c r="F2571" s="36" t="s">
        <v>286</v>
      </c>
      <c r="G2571" s="36" t="s">
        <v>411</v>
      </c>
      <c r="H2571" s="37">
        <v>15.0</v>
      </c>
      <c r="I2571" s="36" t="s">
        <v>1301</v>
      </c>
      <c r="J2571" s="39" t="s">
        <v>286</v>
      </c>
      <c r="K2571" s="38"/>
      <c r="L2571" s="38"/>
    </row>
    <row r="2572" ht="22.5" customHeight="1">
      <c r="A2572" s="36" t="s">
        <v>5829</v>
      </c>
      <c r="B2572" s="36" t="s">
        <v>5830</v>
      </c>
      <c r="C2572" s="36" t="s">
        <v>1495</v>
      </c>
      <c r="D2572" s="36" t="s">
        <v>1496</v>
      </c>
      <c r="E2572" s="36" t="s">
        <v>287</v>
      </c>
      <c r="F2572" s="36" t="s">
        <v>286</v>
      </c>
      <c r="G2572" s="36" t="s">
        <v>411</v>
      </c>
      <c r="H2572" s="37">
        <v>25.0</v>
      </c>
      <c r="I2572" s="36" t="s">
        <v>1301</v>
      </c>
      <c r="J2572" s="39" t="s">
        <v>286</v>
      </c>
      <c r="K2572" s="38"/>
      <c r="L2572" s="38"/>
    </row>
    <row r="2573" ht="22.5" customHeight="1">
      <c r="A2573" s="36" t="s">
        <v>5831</v>
      </c>
      <c r="B2573" s="36" t="s">
        <v>5832</v>
      </c>
      <c r="C2573" s="36" t="s">
        <v>1495</v>
      </c>
      <c r="D2573" s="36" t="s">
        <v>1496</v>
      </c>
      <c r="E2573" s="36" t="s">
        <v>287</v>
      </c>
      <c r="F2573" s="36" t="s">
        <v>286</v>
      </c>
      <c r="G2573" s="36" t="s">
        <v>411</v>
      </c>
      <c r="H2573" s="37">
        <v>400.0</v>
      </c>
      <c r="I2573" s="36" t="s">
        <v>1301</v>
      </c>
      <c r="J2573" s="39" t="s">
        <v>286</v>
      </c>
      <c r="K2573" s="38"/>
      <c r="L2573" s="38"/>
    </row>
    <row r="2574" ht="22.5" customHeight="1">
      <c r="A2574" s="36" t="s">
        <v>5833</v>
      </c>
      <c r="B2574" s="36" t="s">
        <v>5834</v>
      </c>
      <c r="C2574" s="36" t="s">
        <v>1495</v>
      </c>
      <c r="D2574" s="36" t="s">
        <v>1496</v>
      </c>
      <c r="E2574" s="36" t="s">
        <v>287</v>
      </c>
      <c r="F2574" s="36" t="s">
        <v>286</v>
      </c>
      <c r="G2574" s="36" t="s">
        <v>411</v>
      </c>
      <c r="H2574" s="37">
        <v>98.35</v>
      </c>
      <c r="I2574" s="36" t="s">
        <v>1301</v>
      </c>
      <c r="J2574" s="39" t="s">
        <v>286</v>
      </c>
      <c r="K2574" s="38"/>
      <c r="L2574" s="38"/>
    </row>
    <row r="2575" ht="22.5" customHeight="1">
      <c r="A2575" s="36" t="s">
        <v>5835</v>
      </c>
      <c r="B2575" s="36" t="s">
        <v>5836</v>
      </c>
      <c r="C2575" s="36" t="s">
        <v>1495</v>
      </c>
      <c r="D2575" s="36" t="s">
        <v>1496</v>
      </c>
      <c r="E2575" s="36" t="s">
        <v>287</v>
      </c>
      <c r="F2575" s="36" t="s">
        <v>286</v>
      </c>
      <c r="G2575" s="36" t="s">
        <v>411</v>
      </c>
      <c r="H2575" s="37">
        <v>86.34</v>
      </c>
      <c r="I2575" s="36" t="s">
        <v>1301</v>
      </c>
      <c r="J2575" s="39" t="s">
        <v>286</v>
      </c>
      <c r="K2575" s="38"/>
      <c r="L2575" s="38"/>
    </row>
    <row r="2576" ht="22.5" customHeight="1">
      <c r="A2576" s="36" t="s">
        <v>5837</v>
      </c>
      <c r="B2576" s="36" t="s">
        <v>5838</v>
      </c>
      <c r="C2576" s="36" t="s">
        <v>1495</v>
      </c>
      <c r="D2576" s="36" t="s">
        <v>1496</v>
      </c>
      <c r="E2576" s="36" t="s">
        <v>287</v>
      </c>
      <c r="F2576" s="36" t="s">
        <v>286</v>
      </c>
      <c r="G2576" s="36" t="s">
        <v>411</v>
      </c>
      <c r="H2576" s="37">
        <v>1.54</v>
      </c>
      <c r="I2576" s="36" t="s">
        <v>1301</v>
      </c>
      <c r="J2576" s="39" t="s">
        <v>286</v>
      </c>
      <c r="K2576" s="38"/>
      <c r="L2576" s="38"/>
    </row>
    <row r="2577" ht="22.5" customHeight="1">
      <c r="A2577" s="36" t="s">
        <v>5839</v>
      </c>
      <c r="B2577" s="36" t="s">
        <v>5840</v>
      </c>
      <c r="C2577" s="36" t="s">
        <v>1495</v>
      </c>
      <c r="D2577" s="36" t="s">
        <v>1496</v>
      </c>
      <c r="E2577" s="36" t="s">
        <v>287</v>
      </c>
      <c r="F2577" s="36" t="s">
        <v>286</v>
      </c>
      <c r="G2577" s="36" t="s">
        <v>411</v>
      </c>
      <c r="H2577" s="37">
        <v>2.65</v>
      </c>
      <c r="I2577" s="36" t="s">
        <v>1301</v>
      </c>
      <c r="J2577" s="39" t="s">
        <v>286</v>
      </c>
      <c r="K2577" s="38"/>
      <c r="L2577" s="38"/>
    </row>
    <row r="2578" ht="22.5" customHeight="1">
      <c r="A2578" s="36" t="s">
        <v>5841</v>
      </c>
      <c r="B2578" s="36" t="s">
        <v>5842</v>
      </c>
      <c r="C2578" s="36" t="s">
        <v>1495</v>
      </c>
      <c r="D2578" s="36" t="s">
        <v>1496</v>
      </c>
      <c r="E2578" s="36" t="s">
        <v>287</v>
      </c>
      <c r="F2578" s="36" t="s">
        <v>286</v>
      </c>
      <c r="G2578" s="36" t="s">
        <v>411</v>
      </c>
      <c r="H2578" s="37">
        <v>2.04</v>
      </c>
      <c r="I2578" s="36" t="s">
        <v>1301</v>
      </c>
      <c r="J2578" s="39" t="s">
        <v>286</v>
      </c>
      <c r="K2578" s="38"/>
      <c r="L2578" s="38"/>
    </row>
    <row r="2579" ht="22.5" customHeight="1">
      <c r="A2579" s="36" t="s">
        <v>5843</v>
      </c>
      <c r="B2579" s="36" t="s">
        <v>5844</v>
      </c>
      <c r="C2579" s="36" t="s">
        <v>1495</v>
      </c>
      <c r="D2579" s="36" t="s">
        <v>1496</v>
      </c>
      <c r="E2579" s="36" t="s">
        <v>287</v>
      </c>
      <c r="F2579" s="36" t="s">
        <v>286</v>
      </c>
      <c r="G2579" s="36" t="s">
        <v>411</v>
      </c>
      <c r="H2579" s="37">
        <v>3.9</v>
      </c>
      <c r="I2579" s="36" t="s">
        <v>1301</v>
      </c>
      <c r="J2579" s="39" t="s">
        <v>286</v>
      </c>
      <c r="K2579" s="38"/>
      <c r="L2579" s="38"/>
    </row>
    <row r="2580" ht="22.5" customHeight="1">
      <c r="A2580" s="36" t="s">
        <v>5845</v>
      </c>
      <c r="B2580" s="36" t="s">
        <v>5846</v>
      </c>
      <c r="C2580" s="36" t="s">
        <v>1495</v>
      </c>
      <c r="D2580" s="36" t="s">
        <v>1496</v>
      </c>
      <c r="E2580" s="36" t="s">
        <v>287</v>
      </c>
      <c r="F2580" s="36" t="s">
        <v>286</v>
      </c>
      <c r="G2580" s="36" t="s">
        <v>411</v>
      </c>
      <c r="H2580" s="37">
        <v>1.84</v>
      </c>
      <c r="I2580" s="36" t="s">
        <v>1301</v>
      </c>
      <c r="J2580" s="39" t="s">
        <v>286</v>
      </c>
      <c r="K2580" s="38"/>
      <c r="L2580" s="38"/>
    </row>
    <row r="2581" ht="22.5" customHeight="1">
      <c r="A2581" s="36" t="s">
        <v>5847</v>
      </c>
      <c r="B2581" s="36" t="s">
        <v>5848</v>
      </c>
      <c r="C2581" s="36" t="s">
        <v>1495</v>
      </c>
      <c r="D2581" s="36" t="s">
        <v>1496</v>
      </c>
      <c r="E2581" s="36" t="s">
        <v>287</v>
      </c>
      <c r="F2581" s="36" t="s">
        <v>286</v>
      </c>
      <c r="G2581" s="36" t="s">
        <v>411</v>
      </c>
      <c r="H2581" s="37">
        <v>9.16</v>
      </c>
      <c r="I2581" s="36" t="s">
        <v>1301</v>
      </c>
      <c r="J2581" s="39" t="s">
        <v>286</v>
      </c>
      <c r="K2581" s="38"/>
      <c r="L2581" s="38"/>
    </row>
    <row r="2582" ht="22.5" customHeight="1">
      <c r="A2582" s="36" t="s">
        <v>5849</v>
      </c>
      <c r="B2582" s="36" t="s">
        <v>5850</v>
      </c>
      <c r="C2582" s="36" t="s">
        <v>1495</v>
      </c>
      <c r="D2582" s="36" t="s">
        <v>1496</v>
      </c>
      <c r="E2582" s="36" t="s">
        <v>287</v>
      </c>
      <c r="F2582" s="36" t="s">
        <v>286</v>
      </c>
      <c r="G2582" s="36" t="s">
        <v>411</v>
      </c>
      <c r="H2582" s="37">
        <v>2.56</v>
      </c>
      <c r="I2582" s="36" t="s">
        <v>1301</v>
      </c>
      <c r="J2582" s="39" t="s">
        <v>286</v>
      </c>
      <c r="K2582" s="38"/>
      <c r="L2582" s="38"/>
    </row>
    <row r="2583" ht="22.5" customHeight="1">
      <c r="A2583" s="36" t="s">
        <v>5851</v>
      </c>
      <c r="B2583" s="36" t="s">
        <v>5852</v>
      </c>
      <c r="C2583" s="36" t="s">
        <v>1495</v>
      </c>
      <c r="D2583" s="36" t="s">
        <v>1496</v>
      </c>
      <c r="E2583" s="36" t="s">
        <v>287</v>
      </c>
      <c r="F2583" s="36" t="s">
        <v>286</v>
      </c>
      <c r="G2583" s="36" t="s">
        <v>411</v>
      </c>
      <c r="H2583" s="37">
        <v>7.75</v>
      </c>
      <c r="I2583" s="36" t="s">
        <v>1301</v>
      </c>
      <c r="J2583" s="39" t="s">
        <v>286</v>
      </c>
      <c r="K2583" s="38"/>
      <c r="L2583" s="38"/>
    </row>
    <row r="2584" ht="22.5" customHeight="1">
      <c r="A2584" s="36" t="s">
        <v>5853</v>
      </c>
      <c r="B2584" s="36" t="s">
        <v>5854</v>
      </c>
      <c r="C2584" s="36" t="s">
        <v>1495</v>
      </c>
      <c r="D2584" s="36" t="s">
        <v>1496</v>
      </c>
      <c r="E2584" s="36" t="s">
        <v>287</v>
      </c>
      <c r="F2584" s="36" t="s">
        <v>286</v>
      </c>
      <c r="G2584" s="36" t="s">
        <v>411</v>
      </c>
      <c r="H2584" s="37">
        <v>732.92</v>
      </c>
      <c r="I2584" s="36" t="s">
        <v>1301</v>
      </c>
      <c r="J2584" s="39" t="s">
        <v>286</v>
      </c>
      <c r="K2584" s="38"/>
      <c r="L2584" s="38"/>
    </row>
    <row r="2585" ht="22.5" customHeight="1">
      <c r="A2585" s="36" t="s">
        <v>5855</v>
      </c>
      <c r="B2585" s="36" t="s">
        <v>5856</v>
      </c>
      <c r="C2585" s="36" t="s">
        <v>1495</v>
      </c>
      <c r="D2585" s="36" t="s">
        <v>1496</v>
      </c>
      <c r="E2585" s="36" t="s">
        <v>287</v>
      </c>
      <c r="F2585" s="36" t="s">
        <v>286</v>
      </c>
      <c r="G2585" s="36" t="s">
        <v>411</v>
      </c>
      <c r="H2585" s="37">
        <v>87.24</v>
      </c>
      <c r="I2585" s="36" t="s">
        <v>1301</v>
      </c>
      <c r="J2585" s="39" t="s">
        <v>286</v>
      </c>
      <c r="K2585" s="38"/>
      <c r="L2585" s="38"/>
    </row>
    <row r="2586" ht="22.5" customHeight="1">
      <c r="A2586" s="36" t="s">
        <v>5857</v>
      </c>
      <c r="B2586" s="36" t="s">
        <v>5858</v>
      </c>
      <c r="C2586" s="36" t="s">
        <v>1495</v>
      </c>
      <c r="D2586" s="36" t="s">
        <v>1496</v>
      </c>
      <c r="E2586" s="36" t="s">
        <v>287</v>
      </c>
      <c r="F2586" s="36" t="s">
        <v>286</v>
      </c>
      <c r="G2586" s="36" t="s">
        <v>411</v>
      </c>
      <c r="H2586" s="37">
        <v>238.23</v>
      </c>
      <c r="I2586" s="36" t="s">
        <v>1301</v>
      </c>
      <c r="J2586" s="39" t="s">
        <v>286</v>
      </c>
      <c r="K2586" s="38"/>
      <c r="L2586" s="38"/>
    </row>
    <row r="2587" ht="22.5" customHeight="1">
      <c r="A2587" s="36" t="s">
        <v>5859</v>
      </c>
      <c r="B2587" s="36" t="s">
        <v>5860</v>
      </c>
      <c r="C2587" s="36" t="s">
        <v>1495</v>
      </c>
      <c r="D2587" s="36" t="s">
        <v>1496</v>
      </c>
      <c r="E2587" s="36" t="s">
        <v>287</v>
      </c>
      <c r="F2587" s="36" t="s">
        <v>286</v>
      </c>
      <c r="G2587" s="36" t="s">
        <v>411</v>
      </c>
      <c r="H2587" s="37">
        <v>95.29</v>
      </c>
      <c r="I2587" s="36" t="s">
        <v>1301</v>
      </c>
      <c r="J2587" s="39" t="s">
        <v>286</v>
      </c>
      <c r="K2587" s="38"/>
      <c r="L2587" s="38"/>
    </row>
    <row r="2588" ht="22.5" customHeight="1">
      <c r="A2588" s="36" t="s">
        <v>5861</v>
      </c>
      <c r="B2588" s="36" t="s">
        <v>5862</v>
      </c>
      <c r="C2588" s="36" t="s">
        <v>1495</v>
      </c>
      <c r="D2588" s="36" t="s">
        <v>1496</v>
      </c>
      <c r="E2588" s="36" t="s">
        <v>287</v>
      </c>
      <c r="F2588" s="36" t="s">
        <v>286</v>
      </c>
      <c r="G2588" s="36" t="s">
        <v>411</v>
      </c>
      <c r="H2588" s="37">
        <v>179.62</v>
      </c>
      <c r="I2588" s="36" t="s">
        <v>1301</v>
      </c>
      <c r="J2588" s="39" t="s">
        <v>286</v>
      </c>
      <c r="K2588" s="38"/>
      <c r="L2588" s="38"/>
    </row>
    <row r="2589" ht="22.5" customHeight="1">
      <c r="A2589" s="36" t="s">
        <v>5863</v>
      </c>
      <c r="B2589" s="36" t="s">
        <v>5864</v>
      </c>
      <c r="C2589" s="36" t="s">
        <v>1495</v>
      </c>
      <c r="D2589" s="36" t="s">
        <v>1496</v>
      </c>
      <c r="E2589" s="36" t="s">
        <v>287</v>
      </c>
      <c r="F2589" s="36" t="s">
        <v>286</v>
      </c>
      <c r="G2589" s="36" t="s">
        <v>411</v>
      </c>
      <c r="H2589" s="37">
        <v>952.944</v>
      </c>
      <c r="I2589" s="36" t="s">
        <v>1301</v>
      </c>
      <c r="J2589" s="39" t="s">
        <v>286</v>
      </c>
      <c r="K2589" s="38"/>
      <c r="L2589" s="38"/>
    </row>
    <row r="2590" ht="22.5" customHeight="1">
      <c r="A2590" s="36" t="s">
        <v>5865</v>
      </c>
      <c r="B2590" s="36" t="s">
        <v>5866</v>
      </c>
      <c r="C2590" s="36" t="s">
        <v>1495</v>
      </c>
      <c r="D2590" s="36" t="s">
        <v>1496</v>
      </c>
      <c r="E2590" s="36" t="s">
        <v>287</v>
      </c>
      <c r="F2590" s="36" t="s">
        <v>286</v>
      </c>
      <c r="G2590" s="36" t="s">
        <v>411</v>
      </c>
      <c r="H2590" s="37">
        <v>476.47</v>
      </c>
      <c r="I2590" s="36" t="s">
        <v>1301</v>
      </c>
      <c r="J2590" s="39" t="s">
        <v>286</v>
      </c>
      <c r="K2590" s="38"/>
      <c r="L2590" s="38"/>
    </row>
    <row r="2591" ht="22.5" customHeight="1">
      <c r="A2591" s="36" t="s">
        <v>5867</v>
      </c>
      <c r="B2591" s="36" t="s">
        <v>5868</v>
      </c>
      <c r="C2591" s="36" t="s">
        <v>1495</v>
      </c>
      <c r="D2591" s="36" t="s">
        <v>1496</v>
      </c>
      <c r="E2591" s="36" t="s">
        <v>287</v>
      </c>
      <c r="F2591" s="36" t="s">
        <v>286</v>
      </c>
      <c r="G2591" s="36" t="s">
        <v>411</v>
      </c>
      <c r="H2591" s="37">
        <v>476.47</v>
      </c>
      <c r="I2591" s="36" t="s">
        <v>1301</v>
      </c>
      <c r="J2591" s="39" t="s">
        <v>286</v>
      </c>
      <c r="K2591" s="38"/>
      <c r="L2591" s="38"/>
    </row>
    <row r="2592" ht="22.5" customHeight="1">
      <c r="A2592" s="36" t="s">
        <v>5869</v>
      </c>
      <c r="B2592" s="36" t="s">
        <v>5870</v>
      </c>
      <c r="C2592" s="36" t="s">
        <v>1495</v>
      </c>
      <c r="D2592" s="36" t="s">
        <v>1496</v>
      </c>
      <c r="E2592" s="36" t="s">
        <v>287</v>
      </c>
      <c r="F2592" s="36" t="s">
        <v>286</v>
      </c>
      <c r="G2592" s="36" t="s">
        <v>411</v>
      </c>
      <c r="H2592" s="37">
        <v>529.69</v>
      </c>
      <c r="I2592" s="36" t="s">
        <v>1301</v>
      </c>
      <c r="J2592" s="39" t="s">
        <v>286</v>
      </c>
      <c r="K2592" s="38"/>
      <c r="L2592" s="38"/>
    </row>
    <row r="2593" ht="22.5" customHeight="1">
      <c r="A2593" s="36" t="s">
        <v>5871</v>
      </c>
      <c r="B2593" s="36" t="s">
        <v>5872</v>
      </c>
      <c r="C2593" s="36" t="s">
        <v>1495</v>
      </c>
      <c r="D2593" s="36" t="s">
        <v>1496</v>
      </c>
      <c r="E2593" s="36" t="s">
        <v>287</v>
      </c>
      <c r="F2593" s="36" t="s">
        <v>286</v>
      </c>
      <c r="G2593" s="36" t="s">
        <v>411</v>
      </c>
      <c r="H2593" s="37">
        <v>529.69</v>
      </c>
      <c r="I2593" s="36" t="s">
        <v>1301</v>
      </c>
      <c r="J2593" s="39" t="s">
        <v>286</v>
      </c>
      <c r="K2593" s="38"/>
      <c r="L2593" s="38"/>
    </row>
    <row r="2594" ht="22.5" customHeight="1">
      <c r="A2594" s="36" t="s">
        <v>5873</v>
      </c>
      <c r="B2594" s="36" t="s">
        <v>5874</v>
      </c>
      <c r="C2594" s="36" t="s">
        <v>1495</v>
      </c>
      <c r="D2594" s="36" t="s">
        <v>1496</v>
      </c>
      <c r="E2594" s="36" t="s">
        <v>287</v>
      </c>
      <c r="F2594" s="36" t="s">
        <v>286</v>
      </c>
      <c r="G2594" s="36" t="s">
        <v>411</v>
      </c>
      <c r="H2594" s="37">
        <v>794.12</v>
      </c>
      <c r="I2594" s="36" t="s">
        <v>1301</v>
      </c>
      <c r="J2594" s="39" t="s">
        <v>286</v>
      </c>
      <c r="K2594" s="38"/>
      <c r="L2594" s="38"/>
    </row>
    <row r="2595" ht="22.5" customHeight="1">
      <c r="A2595" s="36" t="s">
        <v>5875</v>
      </c>
      <c r="B2595" s="36" t="s">
        <v>5876</v>
      </c>
      <c r="C2595" s="36" t="s">
        <v>1495</v>
      </c>
      <c r="D2595" s="36" t="s">
        <v>1496</v>
      </c>
      <c r="E2595" s="36" t="s">
        <v>287</v>
      </c>
      <c r="F2595" s="36" t="s">
        <v>286</v>
      </c>
      <c r="G2595" s="36" t="s">
        <v>411</v>
      </c>
      <c r="H2595" s="37">
        <v>530.05</v>
      </c>
      <c r="I2595" s="36" t="s">
        <v>1301</v>
      </c>
      <c r="J2595" s="39" t="s">
        <v>286</v>
      </c>
      <c r="K2595" s="38"/>
      <c r="L2595" s="38"/>
    </row>
    <row r="2596" ht="22.5" customHeight="1">
      <c r="A2596" s="36" t="s">
        <v>5877</v>
      </c>
      <c r="B2596" s="36" t="s">
        <v>5878</v>
      </c>
      <c r="C2596" s="36" t="s">
        <v>1495</v>
      </c>
      <c r="D2596" s="36" t="s">
        <v>1496</v>
      </c>
      <c r="E2596" s="36" t="s">
        <v>287</v>
      </c>
      <c r="F2596" s="36" t="s">
        <v>286</v>
      </c>
      <c r="G2596" s="36" t="s">
        <v>411</v>
      </c>
      <c r="H2596" s="37">
        <v>828.64</v>
      </c>
      <c r="I2596" s="36" t="s">
        <v>1301</v>
      </c>
      <c r="J2596" s="39" t="s">
        <v>286</v>
      </c>
      <c r="K2596" s="38"/>
      <c r="L2596" s="38"/>
    </row>
    <row r="2597" ht="22.5" customHeight="1">
      <c r="A2597" s="36" t="s">
        <v>5879</v>
      </c>
      <c r="B2597" s="36" t="s">
        <v>5880</v>
      </c>
      <c r="C2597" s="36" t="s">
        <v>1495</v>
      </c>
      <c r="D2597" s="36" t="s">
        <v>1496</v>
      </c>
      <c r="E2597" s="36" t="s">
        <v>287</v>
      </c>
      <c r="F2597" s="36" t="s">
        <v>286</v>
      </c>
      <c r="G2597" s="36" t="s">
        <v>411</v>
      </c>
      <c r="H2597" s="37">
        <v>226.89</v>
      </c>
      <c r="I2597" s="36" t="s">
        <v>1301</v>
      </c>
      <c r="J2597" s="39" t="s">
        <v>286</v>
      </c>
      <c r="K2597" s="38"/>
      <c r="L2597" s="38"/>
    </row>
    <row r="2598" ht="22.5" customHeight="1">
      <c r="A2598" s="36" t="s">
        <v>5881</v>
      </c>
      <c r="B2598" s="36" t="s">
        <v>5882</v>
      </c>
      <c r="C2598" s="36" t="s">
        <v>1495</v>
      </c>
      <c r="D2598" s="36" t="s">
        <v>1496</v>
      </c>
      <c r="E2598" s="36" t="s">
        <v>287</v>
      </c>
      <c r="F2598" s="36" t="s">
        <v>286</v>
      </c>
      <c r="G2598" s="36" t="s">
        <v>411</v>
      </c>
      <c r="H2598" s="37">
        <v>105.61</v>
      </c>
      <c r="I2598" s="36" t="s">
        <v>1301</v>
      </c>
      <c r="J2598" s="39" t="s">
        <v>286</v>
      </c>
      <c r="K2598" s="38"/>
      <c r="L2598" s="38"/>
    </row>
    <row r="2599" ht="22.5" customHeight="1">
      <c r="A2599" s="36" t="s">
        <v>5883</v>
      </c>
      <c r="B2599" s="36" t="s">
        <v>5884</v>
      </c>
      <c r="C2599" s="36" t="s">
        <v>1495</v>
      </c>
      <c r="D2599" s="36" t="s">
        <v>1496</v>
      </c>
      <c r="E2599" s="36" t="s">
        <v>287</v>
      </c>
      <c r="F2599" s="36" t="s">
        <v>286</v>
      </c>
      <c r="G2599" s="36" t="s">
        <v>411</v>
      </c>
      <c r="H2599" s="37">
        <v>969.516</v>
      </c>
      <c r="I2599" s="36" t="s">
        <v>1301</v>
      </c>
      <c r="J2599" s="39" t="s">
        <v>286</v>
      </c>
      <c r="K2599" s="38"/>
      <c r="L2599" s="38"/>
    </row>
    <row r="2600" ht="22.5" customHeight="1">
      <c r="A2600" s="36" t="s">
        <v>5885</v>
      </c>
      <c r="B2600" s="36" t="s">
        <v>5886</v>
      </c>
      <c r="C2600" s="36" t="s">
        <v>1495</v>
      </c>
      <c r="D2600" s="36" t="s">
        <v>1496</v>
      </c>
      <c r="E2600" s="36" t="s">
        <v>287</v>
      </c>
      <c r="F2600" s="36" t="s">
        <v>286</v>
      </c>
      <c r="G2600" s="36" t="s">
        <v>411</v>
      </c>
      <c r="H2600" s="37">
        <v>357.51</v>
      </c>
      <c r="I2600" s="36" t="s">
        <v>1301</v>
      </c>
      <c r="J2600" s="39" t="s">
        <v>286</v>
      </c>
      <c r="K2600" s="38"/>
      <c r="L2600" s="38"/>
    </row>
    <row r="2601" ht="22.5" customHeight="1">
      <c r="A2601" s="36" t="s">
        <v>5887</v>
      </c>
      <c r="B2601" s="36" t="s">
        <v>5888</v>
      </c>
      <c r="C2601" s="36" t="s">
        <v>1495</v>
      </c>
      <c r="D2601" s="36" t="s">
        <v>1496</v>
      </c>
      <c r="E2601" s="36" t="s">
        <v>287</v>
      </c>
      <c r="F2601" s="36" t="s">
        <v>286</v>
      </c>
      <c r="G2601" s="36" t="s">
        <v>411</v>
      </c>
      <c r="H2601" s="37">
        <v>56.7</v>
      </c>
      <c r="I2601" s="36" t="s">
        <v>1301</v>
      </c>
      <c r="J2601" s="39" t="s">
        <v>286</v>
      </c>
      <c r="K2601" s="38"/>
      <c r="L2601" s="38"/>
    </row>
    <row r="2602" ht="22.5" customHeight="1">
      <c r="A2602" s="36" t="s">
        <v>5889</v>
      </c>
      <c r="B2602" s="36" t="s">
        <v>5890</v>
      </c>
      <c r="C2602" s="36" t="s">
        <v>1495</v>
      </c>
      <c r="D2602" s="36" t="s">
        <v>1496</v>
      </c>
      <c r="E2602" s="36" t="s">
        <v>287</v>
      </c>
      <c r="F2602" s="36" t="s">
        <v>286</v>
      </c>
      <c r="G2602" s="36" t="s">
        <v>411</v>
      </c>
      <c r="H2602" s="37">
        <v>893.38</v>
      </c>
      <c r="I2602" s="36" t="s">
        <v>1301</v>
      </c>
      <c r="J2602" s="39" t="s">
        <v>286</v>
      </c>
      <c r="K2602" s="38"/>
      <c r="L2602" s="38"/>
    </row>
    <row r="2603" ht="22.5" customHeight="1">
      <c r="A2603" s="36" t="s">
        <v>5891</v>
      </c>
      <c r="B2603" s="36" t="s">
        <v>5892</v>
      </c>
      <c r="C2603" s="36" t="s">
        <v>1495</v>
      </c>
      <c r="D2603" s="36" t="s">
        <v>1496</v>
      </c>
      <c r="E2603" s="36" t="s">
        <v>287</v>
      </c>
      <c r="F2603" s="36" t="s">
        <v>286</v>
      </c>
      <c r="G2603" s="36" t="s">
        <v>411</v>
      </c>
      <c r="H2603" s="37">
        <v>95.29</v>
      </c>
      <c r="I2603" s="36" t="s">
        <v>1301</v>
      </c>
      <c r="J2603" s="39" t="s">
        <v>286</v>
      </c>
      <c r="K2603" s="38"/>
      <c r="L2603" s="38"/>
    </row>
    <row r="2604" ht="22.5" customHeight="1">
      <c r="A2604" s="36" t="s">
        <v>5893</v>
      </c>
      <c r="B2604" s="36" t="s">
        <v>5894</v>
      </c>
      <c r="C2604" s="36" t="s">
        <v>1495</v>
      </c>
      <c r="D2604" s="36" t="s">
        <v>1496</v>
      </c>
      <c r="E2604" s="36" t="s">
        <v>287</v>
      </c>
      <c r="F2604" s="36" t="s">
        <v>286</v>
      </c>
      <c r="G2604" s="36" t="s">
        <v>411</v>
      </c>
      <c r="H2604" s="37">
        <v>234.66</v>
      </c>
      <c r="I2604" s="36" t="s">
        <v>1301</v>
      </c>
      <c r="J2604" s="39" t="s">
        <v>286</v>
      </c>
      <c r="K2604" s="38"/>
      <c r="L2604" s="38"/>
    </row>
    <row r="2605" ht="22.5" customHeight="1">
      <c r="A2605" s="36" t="s">
        <v>5895</v>
      </c>
      <c r="B2605" s="36" t="s">
        <v>5896</v>
      </c>
      <c r="C2605" s="36" t="s">
        <v>1495</v>
      </c>
      <c r="D2605" s="36" t="s">
        <v>1496</v>
      </c>
      <c r="E2605" s="36" t="s">
        <v>287</v>
      </c>
      <c r="F2605" s="36" t="s">
        <v>286</v>
      </c>
      <c r="G2605" s="36" t="s">
        <v>411</v>
      </c>
      <c r="H2605" s="37">
        <v>115.39</v>
      </c>
      <c r="I2605" s="36" t="s">
        <v>1301</v>
      </c>
      <c r="J2605" s="39" t="s">
        <v>286</v>
      </c>
      <c r="K2605" s="38"/>
      <c r="L2605" s="38"/>
    </row>
    <row r="2606" ht="22.5" customHeight="1">
      <c r="A2606" s="36" t="s">
        <v>5897</v>
      </c>
      <c r="B2606" s="36" t="s">
        <v>5898</v>
      </c>
      <c r="C2606" s="36" t="s">
        <v>1495</v>
      </c>
      <c r="D2606" s="36" t="s">
        <v>1496</v>
      </c>
      <c r="E2606" s="36" t="s">
        <v>287</v>
      </c>
      <c r="F2606" s="36" t="s">
        <v>286</v>
      </c>
      <c r="G2606" s="36" t="s">
        <v>411</v>
      </c>
      <c r="H2606" s="37">
        <v>115.39</v>
      </c>
      <c r="I2606" s="36" t="s">
        <v>1301</v>
      </c>
      <c r="J2606" s="39" t="s">
        <v>286</v>
      </c>
      <c r="K2606" s="38"/>
      <c r="L2606" s="38"/>
    </row>
    <row r="2607" ht="22.5" customHeight="1">
      <c r="A2607" s="36" t="s">
        <v>5899</v>
      </c>
      <c r="B2607" s="36" t="s">
        <v>5900</v>
      </c>
      <c r="C2607" s="36" t="s">
        <v>1495</v>
      </c>
      <c r="D2607" s="36" t="s">
        <v>1496</v>
      </c>
      <c r="E2607" s="36" t="s">
        <v>287</v>
      </c>
      <c r="F2607" s="36" t="s">
        <v>286</v>
      </c>
      <c r="G2607" s="36" t="s">
        <v>411</v>
      </c>
      <c r="H2607" s="37">
        <v>3.11</v>
      </c>
      <c r="I2607" s="36" t="s">
        <v>1301</v>
      </c>
      <c r="J2607" s="39" t="s">
        <v>286</v>
      </c>
      <c r="K2607" s="38"/>
      <c r="L2607" s="38"/>
    </row>
    <row r="2608" ht="22.5" customHeight="1">
      <c r="A2608" s="36" t="s">
        <v>5901</v>
      </c>
      <c r="B2608" s="36" t="s">
        <v>5902</v>
      </c>
      <c r="C2608" s="36" t="s">
        <v>1495</v>
      </c>
      <c r="D2608" s="36" t="s">
        <v>1496</v>
      </c>
      <c r="E2608" s="36" t="s">
        <v>287</v>
      </c>
      <c r="F2608" s="36" t="s">
        <v>286</v>
      </c>
      <c r="G2608" s="36" t="s">
        <v>411</v>
      </c>
      <c r="H2608" s="37">
        <v>863.18</v>
      </c>
      <c r="I2608" s="36" t="s">
        <v>1301</v>
      </c>
      <c r="J2608" s="39" t="s">
        <v>286</v>
      </c>
      <c r="K2608" s="38"/>
      <c r="L2608" s="38"/>
    </row>
    <row r="2609" ht="22.5" customHeight="1">
      <c r="A2609" s="36" t="s">
        <v>5903</v>
      </c>
      <c r="B2609" s="36" t="s">
        <v>5904</v>
      </c>
      <c r="C2609" s="36" t="s">
        <v>1495</v>
      </c>
      <c r="D2609" s="36" t="s">
        <v>1496</v>
      </c>
      <c r="E2609" s="36" t="s">
        <v>287</v>
      </c>
      <c r="F2609" s="36" t="s">
        <v>286</v>
      </c>
      <c r="G2609" s="36" t="s">
        <v>411</v>
      </c>
      <c r="H2609" s="37">
        <v>414.33</v>
      </c>
      <c r="I2609" s="36" t="s">
        <v>1301</v>
      </c>
      <c r="J2609" s="39" t="s">
        <v>286</v>
      </c>
      <c r="K2609" s="38"/>
      <c r="L2609" s="38"/>
    </row>
    <row r="2610" ht="22.5" customHeight="1">
      <c r="A2610" s="36" t="s">
        <v>5905</v>
      </c>
      <c r="B2610" s="36" t="s">
        <v>5906</v>
      </c>
      <c r="C2610" s="36" t="s">
        <v>1495</v>
      </c>
      <c r="D2610" s="36" t="s">
        <v>1496</v>
      </c>
      <c r="E2610" s="36" t="s">
        <v>287</v>
      </c>
      <c r="F2610" s="36" t="s">
        <v>286</v>
      </c>
      <c r="G2610" s="36" t="s">
        <v>411</v>
      </c>
      <c r="H2610" s="37">
        <v>414.33</v>
      </c>
      <c r="I2610" s="36" t="s">
        <v>1301</v>
      </c>
      <c r="J2610" s="39" t="s">
        <v>286</v>
      </c>
      <c r="K2610" s="38"/>
      <c r="L2610" s="38"/>
    </row>
    <row r="2611" ht="22.5" customHeight="1">
      <c r="A2611" s="36" t="s">
        <v>5907</v>
      </c>
      <c r="B2611" s="36" t="s">
        <v>5908</v>
      </c>
      <c r="C2611" s="36" t="s">
        <v>1495</v>
      </c>
      <c r="D2611" s="36" t="s">
        <v>1496</v>
      </c>
      <c r="E2611" s="36" t="s">
        <v>287</v>
      </c>
      <c r="F2611" s="36" t="s">
        <v>286</v>
      </c>
      <c r="G2611" s="36" t="s">
        <v>411</v>
      </c>
      <c r="H2611" s="37">
        <v>1093.36</v>
      </c>
      <c r="I2611" s="36" t="s">
        <v>1301</v>
      </c>
      <c r="J2611" s="39" t="s">
        <v>286</v>
      </c>
      <c r="K2611" s="38"/>
      <c r="L2611" s="38"/>
    </row>
    <row r="2612" ht="22.5" customHeight="1">
      <c r="A2612" s="36" t="s">
        <v>5909</v>
      </c>
      <c r="B2612" s="36" t="s">
        <v>5910</v>
      </c>
      <c r="C2612" s="36" t="s">
        <v>1495</v>
      </c>
      <c r="D2612" s="36" t="s">
        <v>1496</v>
      </c>
      <c r="E2612" s="36" t="s">
        <v>287</v>
      </c>
      <c r="F2612" s="36" t="s">
        <v>286</v>
      </c>
      <c r="G2612" s="36" t="s">
        <v>411</v>
      </c>
      <c r="H2612" s="37">
        <v>506.36</v>
      </c>
      <c r="I2612" s="36" t="s">
        <v>1301</v>
      </c>
      <c r="J2612" s="39" t="s">
        <v>286</v>
      </c>
      <c r="K2612" s="38"/>
      <c r="L2612" s="38"/>
    </row>
    <row r="2613" ht="22.5" customHeight="1">
      <c r="A2613" s="36" t="s">
        <v>5911</v>
      </c>
      <c r="B2613" s="36" t="s">
        <v>5912</v>
      </c>
      <c r="C2613" s="36" t="s">
        <v>1495</v>
      </c>
      <c r="D2613" s="36" t="s">
        <v>1496</v>
      </c>
      <c r="E2613" s="36" t="s">
        <v>287</v>
      </c>
      <c r="F2613" s="36" t="s">
        <v>286</v>
      </c>
      <c r="G2613" s="36" t="s">
        <v>411</v>
      </c>
      <c r="H2613" s="37">
        <v>506.36</v>
      </c>
      <c r="I2613" s="36" t="s">
        <v>1301</v>
      </c>
      <c r="J2613" s="39" t="s">
        <v>286</v>
      </c>
      <c r="K2613" s="38"/>
      <c r="L2613" s="38"/>
    </row>
    <row r="2614" ht="22.5" customHeight="1">
      <c r="A2614" s="36" t="s">
        <v>5913</v>
      </c>
      <c r="B2614" s="36" t="s">
        <v>5914</v>
      </c>
      <c r="C2614" s="36" t="s">
        <v>1495</v>
      </c>
      <c r="D2614" s="36" t="s">
        <v>1496</v>
      </c>
      <c r="E2614" s="36" t="s">
        <v>287</v>
      </c>
      <c r="F2614" s="36" t="s">
        <v>286</v>
      </c>
      <c r="G2614" s="36" t="s">
        <v>411</v>
      </c>
      <c r="H2614" s="37">
        <v>794.12</v>
      </c>
      <c r="I2614" s="36" t="s">
        <v>1301</v>
      </c>
      <c r="J2614" s="39" t="s">
        <v>286</v>
      </c>
      <c r="K2614" s="38"/>
      <c r="L2614" s="38"/>
    </row>
    <row r="2615" ht="22.5" customHeight="1">
      <c r="A2615" s="36" t="s">
        <v>5915</v>
      </c>
      <c r="B2615" s="36" t="s">
        <v>5916</v>
      </c>
      <c r="C2615" s="36" t="s">
        <v>1495</v>
      </c>
      <c r="D2615" s="36" t="s">
        <v>1496</v>
      </c>
      <c r="E2615" s="36" t="s">
        <v>287</v>
      </c>
      <c r="F2615" s="36" t="s">
        <v>286</v>
      </c>
      <c r="G2615" s="36" t="s">
        <v>411</v>
      </c>
      <c r="H2615" s="37">
        <v>530.05</v>
      </c>
      <c r="I2615" s="36" t="s">
        <v>1301</v>
      </c>
      <c r="J2615" s="39" t="s">
        <v>286</v>
      </c>
      <c r="K2615" s="38"/>
      <c r="L2615" s="38"/>
    </row>
    <row r="2616" ht="22.5" customHeight="1">
      <c r="A2616" s="36" t="s">
        <v>5917</v>
      </c>
      <c r="B2616" s="36" t="s">
        <v>5918</v>
      </c>
      <c r="C2616" s="36" t="s">
        <v>1495</v>
      </c>
      <c r="D2616" s="36" t="s">
        <v>1496</v>
      </c>
      <c r="E2616" s="36" t="s">
        <v>287</v>
      </c>
      <c r="F2616" s="36" t="s">
        <v>286</v>
      </c>
      <c r="G2616" s="36" t="s">
        <v>411</v>
      </c>
      <c r="H2616" s="37">
        <v>828.64</v>
      </c>
      <c r="I2616" s="36" t="s">
        <v>1301</v>
      </c>
      <c r="J2616" s="39" t="s">
        <v>286</v>
      </c>
      <c r="K2616" s="38"/>
      <c r="L2616" s="38"/>
    </row>
    <row r="2617" ht="22.5" customHeight="1">
      <c r="A2617" s="36" t="s">
        <v>5919</v>
      </c>
      <c r="B2617" s="36" t="s">
        <v>5920</v>
      </c>
      <c r="C2617" s="36" t="s">
        <v>1495</v>
      </c>
      <c r="D2617" s="36" t="s">
        <v>1496</v>
      </c>
      <c r="E2617" s="36" t="s">
        <v>287</v>
      </c>
      <c r="F2617" s="36" t="s">
        <v>286</v>
      </c>
      <c r="G2617" s="36" t="s">
        <v>411</v>
      </c>
      <c r="H2617" s="37">
        <v>226.89</v>
      </c>
      <c r="I2617" s="36" t="s">
        <v>1301</v>
      </c>
      <c r="J2617" s="39" t="s">
        <v>286</v>
      </c>
      <c r="K2617" s="38"/>
      <c r="L2617" s="38"/>
    </row>
    <row r="2618" ht="22.5" customHeight="1">
      <c r="A2618" s="36" t="s">
        <v>5921</v>
      </c>
      <c r="B2618" s="36" t="s">
        <v>5922</v>
      </c>
      <c r="C2618" s="36" t="s">
        <v>1495</v>
      </c>
      <c r="D2618" s="36" t="s">
        <v>1496</v>
      </c>
      <c r="E2618" s="36" t="s">
        <v>287</v>
      </c>
      <c r="F2618" s="36" t="s">
        <v>286</v>
      </c>
      <c r="G2618" s="36" t="s">
        <v>411</v>
      </c>
      <c r="H2618" s="37">
        <v>287.73</v>
      </c>
      <c r="I2618" s="36" t="s">
        <v>1301</v>
      </c>
      <c r="J2618" s="39" t="s">
        <v>286</v>
      </c>
      <c r="K2618" s="38"/>
      <c r="L2618" s="38"/>
    </row>
    <row r="2619" ht="22.5" customHeight="1">
      <c r="A2619" s="36" t="s">
        <v>5923</v>
      </c>
      <c r="B2619" s="36" t="s">
        <v>5924</v>
      </c>
      <c r="C2619" s="36" t="s">
        <v>1495</v>
      </c>
      <c r="D2619" s="36" t="s">
        <v>1496</v>
      </c>
      <c r="E2619" s="36" t="s">
        <v>287</v>
      </c>
      <c r="F2619" s="36" t="s">
        <v>286</v>
      </c>
      <c r="G2619" s="36" t="s">
        <v>411</v>
      </c>
      <c r="H2619" s="37">
        <v>105.61</v>
      </c>
      <c r="I2619" s="36" t="s">
        <v>1301</v>
      </c>
      <c r="J2619" s="39" t="s">
        <v>286</v>
      </c>
      <c r="K2619" s="38"/>
      <c r="L2619" s="38"/>
    </row>
    <row r="2620" ht="22.5" customHeight="1">
      <c r="A2620" s="36" t="s">
        <v>5925</v>
      </c>
      <c r="B2620" s="36" t="s">
        <v>5926</v>
      </c>
      <c r="C2620" s="36" t="s">
        <v>1495</v>
      </c>
      <c r="D2620" s="36" t="s">
        <v>1496</v>
      </c>
      <c r="E2620" s="36" t="s">
        <v>287</v>
      </c>
      <c r="F2620" s="36" t="s">
        <v>286</v>
      </c>
      <c r="G2620" s="36" t="s">
        <v>411</v>
      </c>
      <c r="H2620" s="37">
        <v>102.5</v>
      </c>
      <c r="I2620" s="36" t="s">
        <v>1301</v>
      </c>
      <c r="J2620" s="39" t="s">
        <v>286</v>
      </c>
      <c r="K2620" s="38"/>
      <c r="L2620" s="38"/>
    </row>
    <row r="2621" ht="22.5" customHeight="1">
      <c r="A2621" s="36" t="s">
        <v>5927</v>
      </c>
      <c r="B2621" s="36" t="s">
        <v>5928</v>
      </c>
      <c r="C2621" s="36" t="s">
        <v>1495</v>
      </c>
      <c r="D2621" s="36" t="s">
        <v>1496</v>
      </c>
      <c r="E2621" s="36" t="s">
        <v>287</v>
      </c>
      <c r="F2621" s="36" t="s">
        <v>286</v>
      </c>
      <c r="G2621" s="36" t="s">
        <v>411</v>
      </c>
      <c r="H2621" s="37">
        <v>91.71</v>
      </c>
      <c r="I2621" s="36" t="s">
        <v>1301</v>
      </c>
      <c r="J2621" s="39" t="s">
        <v>286</v>
      </c>
      <c r="K2621" s="38"/>
      <c r="L2621" s="38"/>
    </row>
    <row r="2622" ht="22.5" customHeight="1">
      <c r="A2622" s="36" t="s">
        <v>5929</v>
      </c>
      <c r="B2622" s="36" t="s">
        <v>5930</v>
      </c>
      <c r="C2622" s="36" t="s">
        <v>1495</v>
      </c>
      <c r="D2622" s="36" t="s">
        <v>1496</v>
      </c>
      <c r="E2622" s="36" t="s">
        <v>287</v>
      </c>
      <c r="F2622" s="36" t="s">
        <v>286</v>
      </c>
      <c r="G2622" s="36" t="s">
        <v>411</v>
      </c>
      <c r="H2622" s="37">
        <v>8.63</v>
      </c>
      <c r="I2622" s="36" t="s">
        <v>1301</v>
      </c>
      <c r="J2622" s="39" t="s">
        <v>286</v>
      </c>
      <c r="K2622" s="38"/>
      <c r="L2622" s="38"/>
    </row>
    <row r="2623" ht="22.5" customHeight="1">
      <c r="A2623" s="36" t="s">
        <v>5931</v>
      </c>
      <c r="B2623" s="36" t="s">
        <v>5932</v>
      </c>
      <c r="C2623" s="36" t="s">
        <v>1495</v>
      </c>
      <c r="D2623" s="36" t="s">
        <v>1496</v>
      </c>
      <c r="E2623" s="36" t="s">
        <v>287</v>
      </c>
      <c r="F2623" s="36" t="s">
        <v>286</v>
      </c>
      <c r="G2623" s="36" t="s">
        <v>411</v>
      </c>
      <c r="H2623" s="37">
        <v>1.66</v>
      </c>
      <c r="I2623" s="36" t="s">
        <v>1301</v>
      </c>
      <c r="J2623" s="39" t="s">
        <v>286</v>
      </c>
      <c r="K2623" s="38"/>
      <c r="L2623" s="38"/>
    </row>
    <row r="2624" ht="22.5" customHeight="1">
      <c r="A2624" s="36" t="s">
        <v>5933</v>
      </c>
      <c r="B2624" s="36" t="s">
        <v>5934</v>
      </c>
      <c r="C2624" s="36" t="s">
        <v>1495</v>
      </c>
      <c r="D2624" s="36" t="s">
        <v>1496</v>
      </c>
      <c r="E2624" s="36" t="s">
        <v>287</v>
      </c>
      <c r="F2624" s="36" t="s">
        <v>286</v>
      </c>
      <c r="G2624" s="36" t="s">
        <v>411</v>
      </c>
      <c r="H2624" s="37">
        <v>25000.0</v>
      </c>
      <c r="I2624" s="36" t="s">
        <v>1301</v>
      </c>
      <c r="J2624" s="39" t="s">
        <v>286</v>
      </c>
      <c r="K2624" s="38"/>
      <c r="L2624" s="38"/>
    </row>
    <row r="2625" ht="22.5" customHeight="1">
      <c r="A2625" s="36" t="s">
        <v>5935</v>
      </c>
      <c r="B2625" s="36" t="s">
        <v>5936</v>
      </c>
      <c r="C2625" s="36" t="s">
        <v>1495</v>
      </c>
      <c r="D2625" s="36" t="s">
        <v>1496</v>
      </c>
      <c r="E2625" s="36" t="s">
        <v>287</v>
      </c>
      <c r="F2625" s="36" t="s">
        <v>286</v>
      </c>
      <c r="G2625" s="36" t="s">
        <v>411</v>
      </c>
      <c r="H2625" s="37">
        <v>12.5</v>
      </c>
      <c r="I2625" s="36" t="s">
        <v>1301</v>
      </c>
      <c r="J2625" s="39" t="s">
        <v>286</v>
      </c>
      <c r="K2625" s="38"/>
      <c r="L2625" s="38"/>
    </row>
    <row r="2626" ht="22.5" customHeight="1">
      <c r="A2626" s="36" t="s">
        <v>5937</v>
      </c>
      <c r="B2626" s="36" t="s">
        <v>5938</v>
      </c>
      <c r="C2626" s="36" t="s">
        <v>1495</v>
      </c>
      <c r="D2626" s="36" t="s">
        <v>1496</v>
      </c>
      <c r="E2626" s="36" t="s">
        <v>287</v>
      </c>
      <c r="F2626" s="36" t="s">
        <v>286</v>
      </c>
      <c r="G2626" s="36" t="s">
        <v>411</v>
      </c>
      <c r="H2626" s="37">
        <v>165.03</v>
      </c>
      <c r="I2626" s="36" t="s">
        <v>1301</v>
      </c>
      <c r="J2626" s="39" t="s">
        <v>286</v>
      </c>
      <c r="K2626" s="38"/>
      <c r="L2626" s="38"/>
    </row>
    <row r="2627" ht="22.5" customHeight="1">
      <c r="A2627" s="36" t="s">
        <v>5939</v>
      </c>
      <c r="B2627" s="36" t="s">
        <v>5940</v>
      </c>
      <c r="C2627" s="36" t="s">
        <v>1495</v>
      </c>
      <c r="D2627" s="36" t="s">
        <v>1496</v>
      </c>
      <c r="E2627" s="36" t="s">
        <v>287</v>
      </c>
      <c r="F2627" s="36" t="s">
        <v>286</v>
      </c>
      <c r="G2627" s="36" t="s">
        <v>411</v>
      </c>
      <c r="H2627" s="37">
        <v>78.06</v>
      </c>
      <c r="I2627" s="36" t="s">
        <v>1301</v>
      </c>
      <c r="J2627" s="39" t="s">
        <v>286</v>
      </c>
      <c r="K2627" s="38"/>
      <c r="L2627" s="38"/>
    </row>
    <row r="2628" ht="22.5" customHeight="1">
      <c r="A2628" s="36" t="s">
        <v>5941</v>
      </c>
      <c r="B2628" s="36" t="s">
        <v>5942</v>
      </c>
      <c r="C2628" s="36" t="s">
        <v>1495</v>
      </c>
      <c r="D2628" s="36" t="s">
        <v>1496</v>
      </c>
      <c r="E2628" s="36" t="s">
        <v>287</v>
      </c>
      <c r="F2628" s="36" t="s">
        <v>286</v>
      </c>
      <c r="G2628" s="36" t="s">
        <v>411</v>
      </c>
      <c r="H2628" s="37">
        <v>75.0</v>
      </c>
      <c r="I2628" s="36" t="s">
        <v>1301</v>
      </c>
      <c r="J2628" s="39" t="s">
        <v>286</v>
      </c>
      <c r="K2628" s="38"/>
      <c r="L2628" s="38"/>
    </row>
    <row r="2629" ht="22.5" customHeight="1">
      <c r="A2629" s="36" t="s">
        <v>5943</v>
      </c>
      <c r="B2629" s="36" t="s">
        <v>5944</v>
      </c>
      <c r="C2629" s="36" t="s">
        <v>1495</v>
      </c>
      <c r="D2629" s="36" t="s">
        <v>1496</v>
      </c>
      <c r="E2629" s="36" t="s">
        <v>287</v>
      </c>
      <c r="F2629" s="36" t="s">
        <v>286</v>
      </c>
      <c r="G2629" s="36" t="s">
        <v>411</v>
      </c>
      <c r="H2629" s="37">
        <v>1.1</v>
      </c>
      <c r="I2629" s="36" t="s">
        <v>1301</v>
      </c>
      <c r="J2629" s="39" t="s">
        <v>286</v>
      </c>
      <c r="K2629" s="38"/>
      <c r="L2629" s="38"/>
    </row>
    <row r="2630" ht="22.5" customHeight="1">
      <c r="A2630" s="36" t="s">
        <v>5945</v>
      </c>
      <c r="B2630" s="36" t="s">
        <v>5946</v>
      </c>
      <c r="C2630" s="36" t="s">
        <v>1495</v>
      </c>
      <c r="D2630" s="36" t="s">
        <v>1496</v>
      </c>
      <c r="E2630" s="36" t="s">
        <v>287</v>
      </c>
      <c r="F2630" s="36" t="s">
        <v>286</v>
      </c>
      <c r="G2630" s="36" t="s">
        <v>411</v>
      </c>
      <c r="H2630" s="37">
        <v>191.7</v>
      </c>
      <c r="I2630" s="36" t="s">
        <v>1301</v>
      </c>
      <c r="J2630" s="39" t="s">
        <v>286</v>
      </c>
      <c r="K2630" s="38"/>
      <c r="L2630" s="38"/>
    </row>
    <row r="2631" ht="22.5" customHeight="1">
      <c r="A2631" s="36" t="s">
        <v>5947</v>
      </c>
      <c r="B2631" s="36" t="s">
        <v>5948</v>
      </c>
      <c r="C2631" s="36" t="s">
        <v>1495</v>
      </c>
      <c r="D2631" s="36" t="s">
        <v>1496</v>
      </c>
      <c r="E2631" s="36" t="s">
        <v>287</v>
      </c>
      <c r="F2631" s="36" t="s">
        <v>286</v>
      </c>
      <c r="G2631" s="36" t="s">
        <v>411</v>
      </c>
      <c r="H2631" s="37">
        <v>171.46</v>
      </c>
      <c r="I2631" s="36" t="s">
        <v>1301</v>
      </c>
      <c r="J2631" s="39" t="s">
        <v>286</v>
      </c>
      <c r="K2631" s="38"/>
      <c r="L2631" s="38"/>
    </row>
    <row r="2632" ht="22.5" customHeight="1">
      <c r="A2632" s="36" t="s">
        <v>5949</v>
      </c>
      <c r="B2632" s="36" t="s">
        <v>5950</v>
      </c>
      <c r="C2632" s="36" t="s">
        <v>1495</v>
      </c>
      <c r="D2632" s="36" t="s">
        <v>1496</v>
      </c>
      <c r="E2632" s="36" t="s">
        <v>287</v>
      </c>
      <c r="F2632" s="36" t="s">
        <v>286</v>
      </c>
      <c r="G2632" s="36" t="s">
        <v>411</v>
      </c>
      <c r="H2632" s="37">
        <v>14.58</v>
      </c>
      <c r="I2632" s="36" t="s">
        <v>1301</v>
      </c>
      <c r="J2632" s="39" t="s">
        <v>286</v>
      </c>
      <c r="K2632" s="38"/>
      <c r="L2632" s="38"/>
    </row>
    <row r="2633" ht="22.5" customHeight="1">
      <c r="A2633" s="36" t="s">
        <v>5951</v>
      </c>
      <c r="B2633" s="36" t="s">
        <v>5952</v>
      </c>
      <c r="C2633" s="36" t="s">
        <v>1495</v>
      </c>
      <c r="D2633" s="36" t="s">
        <v>1496</v>
      </c>
      <c r="E2633" s="36" t="s">
        <v>287</v>
      </c>
      <c r="F2633" s="36" t="s">
        <v>286</v>
      </c>
      <c r="G2633" s="36" t="s">
        <v>411</v>
      </c>
      <c r="H2633" s="37">
        <v>26.2</v>
      </c>
      <c r="I2633" s="36" t="s">
        <v>1301</v>
      </c>
      <c r="J2633" s="39" t="s">
        <v>286</v>
      </c>
      <c r="K2633" s="38"/>
      <c r="L2633" s="38"/>
    </row>
    <row r="2634" ht="22.5" customHeight="1">
      <c r="A2634" s="36" t="s">
        <v>5953</v>
      </c>
      <c r="B2634" s="36" t="s">
        <v>5954</v>
      </c>
      <c r="C2634" s="36" t="s">
        <v>1495</v>
      </c>
      <c r="D2634" s="36" t="s">
        <v>1496</v>
      </c>
      <c r="E2634" s="36" t="s">
        <v>287</v>
      </c>
      <c r="F2634" s="36" t="s">
        <v>286</v>
      </c>
      <c r="G2634" s="36" t="s">
        <v>411</v>
      </c>
      <c r="H2634" s="37">
        <v>259.67</v>
      </c>
      <c r="I2634" s="36" t="s">
        <v>1301</v>
      </c>
      <c r="J2634" s="39" t="s">
        <v>286</v>
      </c>
      <c r="K2634" s="38"/>
      <c r="L2634" s="38"/>
    </row>
    <row r="2635" ht="22.5" customHeight="1">
      <c r="A2635" s="36" t="s">
        <v>5955</v>
      </c>
      <c r="B2635" s="36" t="s">
        <v>5956</v>
      </c>
      <c r="C2635" s="36" t="s">
        <v>1495</v>
      </c>
      <c r="D2635" s="36" t="s">
        <v>1496</v>
      </c>
      <c r="E2635" s="36" t="s">
        <v>287</v>
      </c>
      <c r="F2635" s="36" t="s">
        <v>286</v>
      </c>
      <c r="G2635" s="36" t="s">
        <v>411</v>
      </c>
      <c r="H2635" s="37">
        <v>86.56</v>
      </c>
      <c r="I2635" s="36" t="s">
        <v>1301</v>
      </c>
      <c r="J2635" s="39" t="s">
        <v>286</v>
      </c>
      <c r="K2635" s="38"/>
      <c r="L2635" s="38"/>
    </row>
    <row r="2636" ht="22.5" customHeight="1">
      <c r="A2636" s="36" t="s">
        <v>5957</v>
      </c>
      <c r="B2636" s="36" t="s">
        <v>5958</v>
      </c>
      <c r="C2636" s="36" t="s">
        <v>1495</v>
      </c>
      <c r="D2636" s="36" t="s">
        <v>1496</v>
      </c>
      <c r="E2636" s="36" t="s">
        <v>287</v>
      </c>
      <c r="F2636" s="36" t="s">
        <v>286</v>
      </c>
      <c r="G2636" s="36" t="s">
        <v>411</v>
      </c>
      <c r="H2636" s="37">
        <v>190.0</v>
      </c>
      <c r="I2636" s="36" t="s">
        <v>1301</v>
      </c>
      <c r="J2636" s="39" t="s">
        <v>286</v>
      </c>
      <c r="K2636" s="38"/>
      <c r="L2636" s="38"/>
    </row>
    <row r="2637" ht="22.5" customHeight="1">
      <c r="A2637" s="36" t="s">
        <v>5959</v>
      </c>
      <c r="B2637" s="36" t="s">
        <v>5960</v>
      </c>
      <c r="C2637" s="36" t="s">
        <v>1495</v>
      </c>
      <c r="D2637" s="36" t="s">
        <v>1496</v>
      </c>
      <c r="E2637" s="36" t="s">
        <v>287</v>
      </c>
      <c r="F2637" s="36" t="s">
        <v>286</v>
      </c>
      <c r="G2637" s="36" t="s">
        <v>411</v>
      </c>
      <c r="H2637" s="37">
        <v>0.0</v>
      </c>
      <c r="I2637" s="36" t="s">
        <v>1301</v>
      </c>
      <c r="J2637" s="39" t="s">
        <v>286</v>
      </c>
      <c r="K2637" s="38"/>
      <c r="L2637" s="38"/>
    </row>
    <row r="2638" ht="22.5" customHeight="1">
      <c r="A2638" s="36" t="s">
        <v>5961</v>
      </c>
      <c r="B2638" s="36" t="s">
        <v>5962</v>
      </c>
      <c r="C2638" s="36" t="s">
        <v>1495</v>
      </c>
      <c r="D2638" s="36" t="s">
        <v>1496</v>
      </c>
      <c r="E2638" s="36" t="s">
        <v>287</v>
      </c>
      <c r="F2638" s="36" t="s">
        <v>286</v>
      </c>
      <c r="G2638" s="36" t="s">
        <v>411</v>
      </c>
      <c r="H2638" s="37">
        <v>0.0</v>
      </c>
      <c r="I2638" s="36" t="s">
        <v>1301</v>
      </c>
      <c r="J2638" s="39" t="s">
        <v>286</v>
      </c>
      <c r="K2638" s="38"/>
      <c r="L2638" s="38"/>
    </row>
    <row r="2639" ht="22.5" customHeight="1">
      <c r="A2639" s="36" t="s">
        <v>5963</v>
      </c>
      <c r="B2639" s="36" t="s">
        <v>5964</v>
      </c>
      <c r="C2639" s="36" t="s">
        <v>1495</v>
      </c>
      <c r="D2639" s="36" t="s">
        <v>1496</v>
      </c>
      <c r="E2639" s="36" t="s">
        <v>287</v>
      </c>
      <c r="F2639" s="36" t="s">
        <v>286</v>
      </c>
      <c r="G2639" s="36" t="s">
        <v>411</v>
      </c>
      <c r="H2639" s="37">
        <v>275.0</v>
      </c>
      <c r="I2639" s="36" t="s">
        <v>1301</v>
      </c>
      <c r="J2639" s="39" t="s">
        <v>286</v>
      </c>
      <c r="K2639" s="38"/>
      <c r="L2639" s="38"/>
    </row>
    <row r="2640" ht="22.5" customHeight="1">
      <c r="A2640" s="36" t="s">
        <v>5965</v>
      </c>
      <c r="B2640" s="36" t="s">
        <v>5966</v>
      </c>
      <c r="C2640" s="36" t="s">
        <v>1495</v>
      </c>
      <c r="D2640" s="36" t="s">
        <v>1496</v>
      </c>
      <c r="E2640" s="36" t="s">
        <v>287</v>
      </c>
      <c r="F2640" s="36" t="s">
        <v>286</v>
      </c>
      <c r="G2640" s="36" t="s">
        <v>411</v>
      </c>
      <c r="H2640" s="37">
        <v>715.28</v>
      </c>
      <c r="I2640" s="36" t="s">
        <v>1301</v>
      </c>
      <c r="J2640" s="39" t="s">
        <v>286</v>
      </c>
      <c r="K2640" s="38"/>
      <c r="L2640" s="38"/>
    </row>
    <row r="2641" ht="22.5" customHeight="1">
      <c r="A2641" s="36" t="s">
        <v>5967</v>
      </c>
      <c r="B2641" s="36" t="s">
        <v>5968</v>
      </c>
      <c r="C2641" s="36" t="s">
        <v>1495</v>
      </c>
      <c r="D2641" s="36" t="s">
        <v>1496</v>
      </c>
      <c r="E2641" s="36" t="s">
        <v>287</v>
      </c>
      <c r="F2641" s="36" t="s">
        <v>286</v>
      </c>
      <c r="G2641" s="36" t="s">
        <v>411</v>
      </c>
      <c r="H2641" s="37">
        <v>375.98</v>
      </c>
      <c r="I2641" s="36" t="s">
        <v>1301</v>
      </c>
      <c r="J2641" s="39" t="s">
        <v>286</v>
      </c>
      <c r="K2641" s="38"/>
      <c r="L2641" s="38"/>
    </row>
    <row r="2642" ht="22.5" customHeight="1">
      <c r="A2642" s="36" t="s">
        <v>5969</v>
      </c>
      <c r="B2642" s="36" t="s">
        <v>5970</v>
      </c>
      <c r="C2642" s="36" t="s">
        <v>1495</v>
      </c>
      <c r="D2642" s="36" t="s">
        <v>1496</v>
      </c>
      <c r="E2642" s="36" t="s">
        <v>287</v>
      </c>
      <c r="F2642" s="36" t="s">
        <v>286</v>
      </c>
      <c r="G2642" s="36" t="s">
        <v>411</v>
      </c>
      <c r="H2642" s="37">
        <v>1006.39</v>
      </c>
      <c r="I2642" s="36" t="s">
        <v>1301</v>
      </c>
      <c r="J2642" s="39" t="s">
        <v>286</v>
      </c>
      <c r="K2642" s="38"/>
      <c r="L2642" s="38"/>
    </row>
    <row r="2643" ht="22.5" customHeight="1">
      <c r="A2643" s="36" t="s">
        <v>5971</v>
      </c>
      <c r="B2643" s="36" t="s">
        <v>5972</v>
      </c>
      <c r="C2643" s="36" t="s">
        <v>1495</v>
      </c>
      <c r="D2643" s="36" t="s">
        <v>1496</v>
      </c>
      <c r="E2643" s="36" t="s">
        <v>287</v>
      </c>
      <c r="F2643" s="36" t="s">
        <v>286</v>
      </c>
      <c r="G2643" s="36" t="s">
        <v>411</v>
      </c>
      <c r="H2643" s="37">
        <v>2.46</v>
      </c>
      <c r="I2643" s="36" t="s">
        <v>1301</v>
      </c>
      <c r="J2643" s="39" t="s">
        <v>286</v>
      </c>
      <c r="K2643" s="38"/>
      <c r="L2643" s="38"/>
    </row>
    <row r="2644" ht="22.5" customHeight="1">
      <c r="A2644" s="36" t="s">
        <v>5973</v>
      </c>
      <c r="B2644" s="36" t="s">
        <v>5974</v>
      </c>
      <c r="C2644" s="36" t="s">
        <v>1495</v>
      </c>
      <c r="D2644" s="36" t="s">
        <v>1496</v>
      </c>
      <c r="E2644" s="36" t="s">
        <v>287</v>
      </c>
      <c r="F2644" s="36" t="s">
        <v>286</v>
      </c>
      <c r="G2644" s="36" t="s">
        <v>411</v>
      </c>
      <c r="H2644" s="37">
        <v>35.0</v>
      </c>
      <c r="I2644" s="36" t="s">
        <v>1301</v>
      </c>
      <c r="J2644" s="39" t="s">
        <v>286</v>
      </c>
      <c r="K2644" s="38"/>
      <c r="L2644" s="38"/>
    </row>
    <row r="2645" ht="22.5" customHeight="1">
      <c r="A2645" s="36" t="s">
        <v>5975</v>
      </c>
      <c r="B2645" s="36" t="s">
        <v>5976</v>
      </c>
      <c r="C2645" s="36" t="s">
        <v>1495</v>
      </c>
      <c r="D2645" s="36" t="s">
        <v>1496</v>
      </c>
      <c r="E2645" s="36" t="s">
        <v>287</v>
      </c>
      <c r="F2645" s="36" t="s">
        <v>286</v>
      </c>
      <c r="G2645" s="36" t="s">
        <v>411</v>
      </c>
      <c r="H2645" s="37">
        <v>2.92</v>
      </c>
      <c r="I2645" s="36" t="s">
        <v>1301</v>
      </c>
      <c r="J2645" s="39" t="s">
        <v>286</v>
      </c>
      <c r="K2645" s="38"/>
      <c r="L2645" s="38"/>
    </row>
    <row r="2646" ht="22.5" customHeight="1">
      <c r="A2646" s="36" t="s">
        <v>5977</v>
      </c>
      <c r="B2646" s="36" t="s">
        <v>5978</v>
      </c>
      <c r="C2646" s="36" t="s">
        <v>1495</v>
      </c>
      <c r="D2646" s="36" t="s">
        <v>1496</v>
      </c>
      <c r="E2646" s="36" t="s">
        <v>287</v>
      </c>
      <c r="F2646" s="36" t="s">
        <v>286</v>
      </c>
      <c r="G2646" s="36" t="s">
        <v>411</v>
      </c>
      <c r="H2646" s="37">
        <v>20.0</v>
      </c>
      <c r="I2646" s="36" t="s">
        <v>1301</v>
      </c>
      <c r="J2646" s="39" t="s">
        <v>286</v>
      </c>
      <c r="K2646" s="38"/>
      <c r="L2646" s="38"/>
    </row>
    <row r="2647" ht="22.5" customHeight="1">
      <c r="A2647" s="36" t="s">
        <v>5979</v>
      </c>
      <c r="B2647" s="36" t="s">
        <v>5980</v>
      </c>
      <c r="C2647" s="36" t="s">
        <v>1495</v>
      </c>
      <c r="D2647" s="36" t="s">
        <v>1496</v>
      </c>
      <c r="E2647" s="36" t="s">
        <v>287</v>
      </c>
      <c r="F2647" s="36" t="s">
        <v>286</v>
      </c>
      <c r="G2647" s="36" t="s">
        <v>411</v>
      </c>
      <c r="H2647" s="37">
        <v>400.0</v>
      </c>
      <c r="I2647" s="36" t="s">
        <v>1301</v>
      </c>
      <c r="J2647" s="39" t="s">
        <v>286</v>
      </c>
      <c r="K2647" s="38"/>
      <c r="L2647" s="38"/>
    </row>
    <row r="2648" ht="22.5" customHeight="1">
      <c r="A2648" s="36" t="s">
        <v>5981</v>
      </c>
      <c r="B2648" s="36" t="s">
        <v>5982</v>
      </c>
      <c r="C2648" s="36" t="s">
        <v>1495</v>
      </c>
      <c r="D2648" s="36" t="s">
        <v>1496</v>
      </c>
      <c r="E2648" s="36" t="s">
        <v>287</v>
      </c>
      <c r="F2648" s="36" t="s">
        <v>286</v>
      </c>
      <c r="G2648" s="36" t="s">
        <v>411</v>
      </c>
      <c r="H2648" s="37">
        <v>400.0</v>
      </c>
      <c r="I2648" s="36" t="s">
        <v>1301</v>
      </c>
      <c r="J2648" s="39" t="s">
        <v>286</v>
      </c>
      <c r="K2648" s="38"/>
      <c r="L2648" s="38"/>
    </row>
    <row r="2649" ht="22.5" customHeight="1">
      <c r="A2649" s="36" t="s">
        <v>5983</v>
      </c>
      <c r="B2649" s="36" t="s">
        <v>5984</v>
      </c>
      <c r="C2649" s="36" t="s">
        <v>1495</v>
      </c>
      <c r="D2649" s="36" t="s">
        <v>1496</v>
      </c>
      <c r="E2649" s="36" t="s">
        <v>287</v>
      </c>
      <c r="F2649" s="36" t="s">
        <v>286</v>
      </c>
      <c r="G2649" s="36" t="s">
        <v>411</v>
      </c>
      <c r="H2649" s="37">
        <v>2.07</v>
      </c>
      <c r="I2649" s="36" t="s">
        <v>1301</v>
      </c>
      <c r="J2649" s="39" t="s">
        <v>286</v>
      </c>
      <c r="K2649" s="38"/>
      <c r="L2649" s="38"/>
    </row>
    <row r="2650" ht="22.5" customHeight="1">
      <c r="A2650" s="36" t="s">
        <v>5985</v>
      </c>
      <c r="B2650" s="36" t="s">
        <v>5986</v>
      </c>
      <c r="C2650" s="36" t="s">
        <v>1495</v>
      </c>
      <c r="D2650" s="36" t="s">
        <v>1496</v>
      </c>
      <c r="E2650" s="36" t="s">
        <v>287</v>
      </c>
      <c r="F2650" s="36" t="s">
        <v>286</v>
      </c>
      <c r="G2650" s="36" t="s">
        <v>411</v>
      </c>
      <c r="H2650" s="37">
        <v>9.12</v>
      </c>
      <c r="I2650" s="36" t="s">
        <v>1301</v>
      </c>
      <c r="J2650" s="39" t="s">
        <v>286</v>
      </c>
      <c r="K2650" s="38"/>
      <c r="L2650" s="38"/>
    </row>
    <row r="2651" ht="22.5" customHeight="1">
      <c r="A2651" s="36" t="s">
        <v>5987</v>
      </c>
      <c r="B2651" s="36" t="s">
        <v>5988</v>
      </c>
      <c r="C2651" s="36" t="s">
        <v>1495</v>
      </c>
      <c r="D2651" s="36" t="s">
        <v>1496</v>
      </c>
      <c r="E2651" s="36" t="s">
        <v>287</v>
      </c>
      <c r="F2651" s="36" t="s">
        <v>286</v>
      </c>
      <c r="G2651" s="36" t="s">
        <v>411</v>
      </c>
      <c r="H2651" s="37">
        <v>1.91</v>
      </c>
      <c r="I2651" s="36" t="s">
        <v>1301</v>
      </c>
      <c r="J2651" s="39" t="s">
        <v>286</v>
      </c>
      <c r="K2651" s="38"/>
      <c r="L2651" s="38"/>
    </row>
    <row r="2652" ht="22.5" customHeight="1">
      <c r="A2652" s="36" t="s">
        <v>5989</v>
      </c>
      <c r="B2652" s="36" t="s">
        <v>5990</v>
      </c>
      <c r="C2652" s="36" t="s">
        <v>1495</v>
      </c>
      <c r="D2652" s="36" t="s">
        <v>1496</v>
      </c>
      <c r="E2652" s="36" t="s">
        <v>287</v>
      </c>
      <c r="F2652" s="36" t="s">
        <v>286</v>
      </c>
      <c r="G2652" s="36" t="s">
        <v>411</v>
      </c>
      <c r="H2652" s="37">
        <v>173.15</v>
      </c>
      <c r="I2652" s="36" t="s">
        <v>1301</v>
      </c>
      <c r="J2652" s="39" t="s">
        <v>286</v>
      </c>
      <c r="K2652" s="38"/>
      <c r="L2652" s="38"/>
    </row>
    <row r="2653" ht="22.5" customHeight="1">
      <c r="A2653" s="36" t="s">
        <v>5991</v>
      </c>
      <c r="B2653" s="36" t="s">
        <v>5992</v>
      </c>
      <c r="C2653" s="36" t="s">
        <v>1495</v>
      </c>
      <c r="D2653" s="36" t="s">
        <v>1496</v>
      </c>
      <c r="E2653" s="36" t="s">
        <v>287</v>
      </c>
      <c r="F2653" s="36" t="s">
        <v>286</v>
      </c>
      <c r="G2653" s="36" t="s">
        <v>411</v>
      </c>
      <c r="H2653" s="37">
        <v>3.56</v>
      </c>
      <c r="I2653" s="36" t="s">
        <v>1301</v>
      </c>
      <c r="J2653" s="39" t="s">
        <v>286</v>
      </c>
      <c r="K2653" s="38"/>
      <c r="L2653" s="38"/>
    </row>
    <row r="2654" ht="22.5" customHeight="1">
      <c r="A2654" s="36" t="s">
        <v>5993</v>
      </c>
      <c r="B2654" s="36" t="s">
        <v>5994</v>
      </c>
      <c r="C2654" s="36" t="s">
        <v>1495</v>
      </c>
      <c r="D2654" s="36" t="s">
        <v>1496</v>
      </c>
      <c r="E2654" s="36" t="s">
        <v>1285</v>
      </c>
      <c r="F2654" s="36" t="s">
        <v>286</v>
      </c>
      <c r="G2654" s="36" t="s">
        <v>411</v>
      </c>
      <c r="H2654" s="37">
        <v>3.38</v>
      </c>
      <c r="I2654" s="36" t="s">
        <v>1301</v>
      </c>
      <c r="J2654" s="39" t="s">
        <v>286</v>
      </c>
      <c r="K2654" s="38"/>
      <c r="L2654" s="38"/>
    </row>
    <row r="2655" ht="22.5" customHeight="1">
      <c r="A2655" s="36" t="s">
        <v>5995</v>
      </c>
      <c r="B2655" s="36" t="s">
        <v>5996</v>
      </c>
      <c r="C2655" s="36" t="s">
        <v>1495</v>
      </c>
      <c r="D2655" s="36" t="s">
        <v>1496</v>
      </c>
      <c r="E2655" s="36" t="s">
        <v>1285</v>
      </c>
      <c r="F2655" s="36" t="s">
        <v>286</v>
      </c>
      <c r="G2655" s="36" t="s">
        <v>411</v>
      </c>
      <c r="H2655" s="37">
        <v>3.35</v>
      </c>
      <c r="I2655" s="36" t="s">
        <v>1301</v>
      </c>
      <c r="J2655" s="39" t="s">
        <v>286</v>
      </c>
      <c r="K2655" s="38"/>
      <c r="L2655" s="38"/>
    </row>
    <row r="2656" ht="22.5" customHeight="1">
      <c r="A2656" s="36" t="s">
        <v>5997</v>
      </c>
      <c r="B2656" s="36" t="s">
        <v>5998</v>
      </c>
      <c r="C2656" s="36" t="s">
        <v>1495</v>
      </c>
      <c r="D2656" s="36" t="s">
        <v>1496</v>
      </c>
      <c r="E2656" s="36" t="s">
        <v>1285</v>
      </c>
      <c r="F2656" s="36" t="s">
        <v>286</v>
      </c>
      <c r="G2656" s="36" t="s">
        <v>411</v>
      </c>
      <c r="H2656" s="37">
        <v>15.22</v>
      </c>
      <c r="I2656" s="36" t="s">
        <v>1301</v>
      </c>
      <c r="J2656" s="39" t="s">
        <v>286</v>
      </c>
      <c r="K2656" s="38"/>
      <c r="L2656" s="38"/>
    </row>
    <row r="2657" ht="22.5" customHeight="1">
      <c r="A2657" s="36" t="s">
        <v>5999</v>
      </c>
      <c r="B2657" s="36" t="s">
        <v>6000</v>
      </c>
      <c r="C2657" s="36" t="s">
        <v>1495</v>
      </c>
      <c r="D2657" s="36" t="s">
        <v>1496</v>
      </c>
      <c r="E2657" s="36" t="s">
        <v>1285</v>
      </c>
      <c r="F2657" s="36" t="s">
        <v>286</v>
      </c>
      <c r="G2657" s="36" t="s">
        <v>411</v>
      </c>
      <c r="H2657" s="37">
        <v>15.22</v>
      </c>
      <c r="I2657" s="36" t="s">
        <v>1301</v>
      </c>
      <c r="J2657" s="39" t="s">
        <v>286</v>
      </c>
      <c r="K2657" s="38"/>
      <c r="L2657" s="38"/>
    </row>
    <row r="2658" ht="22.5" customHeight="1">
      <c r="A2658" s="36" t="s">
        <v>6001</v>
      </c>
      <c r="B2658" s="36" t="s">
        <v>6002</v>
      </c>
      <c r="C2658" s="36" t="s">
        <v>1495</v>
      </c>
      <c r="D2658" s="36" t="s">
        <v>1496</v>
      </c>
      <c r="E2658" s="36" t="s">
        <v>1285</v>
      </c>
      <c r="F2658" s="36" t="s">
        <v>286</v>
      </c>
      <c r="G2658" s="36" t="s">
        <v>411</v>
      </c>
      <c r="H2658" s="37">
        <v>13.63</v>
      </c>
      <c r="I2658" s="36" t="s">
        <v>1301</v>
      </c>
      <c r="J2658" s="39" t="s">
        <v>286</v>
      </c>
      <c r="K2658" s="38"/>
      <c r="L2658" s="38"/>
    </row>
    <row r="2659" ht="22.5" customHeight="1">
      <c r="A2659" s="36" t="s">
        <v>6003</v>
      </c>
      <c r="B2659" s="36" t="s">
        <v>6004</v>
      </c>
      <c r="C2659" s="36" t="s">
        <v>1495</v>
      </c>
      <c r="D2659" s="36" t="s">
        <v>1496</v>
      </c>
      <c r="E2659" s="36" t="s">
        <v>1285</v>
      </c>
      <c r="F2659" s="36" t="s">
        <v>286</v>
      </c>
      <c r="G2659" s="36" t="s">
        <v>411</v>
      </c>
      <c r="H2659" s="37">
        <v>61.72</v>
      </c>
      <c r="I2659" s="36" t="s">
        <v>1301</v>
      </c>
      <c r="J2659" s="39" t="s">
        <v>286</v>
      </c>
      <c r="K2659" s="38"/>
      <c r="L2659" s="38"/>
    </row>
    <row r="2660" ht="22.5" customHeight="1">
      <c r="A2660" s="36" t="s">
        <v>6005</v>
      </c>
      <c r="B2660" s="36" t="s">
        <v>6006</v>
      </c>
      <c r="C2660" s="36" t="s">
        <v>1495</v>
      </c>
      <c r="D2660" s="36" t="s">
        <v>1496</v>
      </c>
      <c r="E2660" s="36" t="s">
        <v>1285</v>
      </c>
      <c r="F2660" s="36" t="s">
        <v>286</v>
      </c>
      <c r="G2660" s="36" t="s">
        <v>411</v>
      </c>
      <c r="H2660" s="37">
        <v>275.0</v>
      </c>
      <c r="I2660" s="36" t="s">
        <v>1301</v>
      </c>
      <c r="J2660" s="39" t="s">
        <v>286</v>
      </c>
      <c r="K2660" s="38"/>
      <c r="L2660" s="38"/>
    </row>
    <row r="2661" ht="22.5" customHeight="1">
      <c r="A2661" s="36" t="s">
        <v>6007</v>
      </c>
      <c r="B2661" s="36" t="s">
        <v>6008</v>
      </c>
      <c r="C2661" s="36" t="s">
        <v>1495</v>
      </c>
      <c r="D2661" s="36" t="s">
        <v>1496</v>
      </c>
      <c r="E2661" s="36" t="s">
        <v>1285</v>
      </c>
      <c r="F2661" s="36" t="s">
        <v>286</v>
      </c>
      <c r="G2661" s="36" t="s">
        <v>411</v>
      </c>
      <c r="H2661" s="37">
        <v>4.58</v>
      </c>
      <c r="I2661" s="36" t="s">
        <v>1301</v>
      </c>
      <c r="J2661" s="39" t="s">
        <v>286</v>
      </c>
      <c r="K2661" s="38"/>
      <c r="L2661" s="38"/>
    </row>
    <row r="2662" ht="22.5" customHeight="1">
      <c r="A2662" s="36" t="s">
        <v>6009</v>
      </c>
      <c r="B2662" s="36" t="s">
        <v>6010</v>
      </c>
      <c r="C2662" s="36" t="s">
        <v>1495</v>
      </c>
      <c r="D2662" s="36" t="s">
        <v>1496</v>
      </c>
      <c r="E2662" s="36" t="s">
        <v>1285</v>
      </c>
      <c r="F2662" s="36" t="s">
        <v>286</v>
      </c>
      <c r="G2662" s="36" t="s">
        <v>411</v>
      </c>
      <c r="H2662" s="37">
        <v>21.24</v>
      </c>
      <c r="I2662" s="36" t="s">
        <v>1301</v>
      </c>
      <c r="J2662" s="39" t="s">
        <v>286</v>
      </c>
      <c r="K2662" s="38"/>
      <c r="L2662" s="38"/>
    </row>
    <row r="2663" ht="22.5" customHeight="1">
      <c r="A2663" s="36" t="s">
        <v>6011</v>
      </c>
      <c r="B2663" s="36" t="s">
        <v>6012</v>
      </c>
      <c r="C2663" s="36" t="s">
        <v>1495</v>
      </c>
      <c r="D2663" s="36" t="s">
        <v>1496</v>
      </c>
      <c r="E2663" s="36" t="s">
        <v>1285</v>
      </c>
      <c r="F2663" s="36" t="s">
        <v>286</v>
      </c>
      <c r="G2663" s="36" t="s">
        <v>411</v>
      </c>
      <c r="H2663" s="37">
        <v>198.65</v>
      </c>
      <c r="I2663" s="36" t="s">
        <v>1301</v>
      </c>
      <c r="J2663" s="39" t="s">
        <v>286</v>
      </c>
      <c r="K2663" s="38"/>
      <c r="L2663" s="38"/>
    </row>
    <row r="2664" ht="22.5" customHeight="1">
      <c r="A2664" s="36" t="s">
        <v>6013</v>
      </c>
      <c r="B2664" s="36" t="s">
        <v>6014</v>
      </c>
      <c r="C2664" s="36" t="s">
        <v>1495</v>
      </c>
      <c r="D2664" s="36" t="s">
        <v>1496</v>
      </c>
      <c r="E2664" s="36" t="s">
        <v>1285</v>
      </c>
      <c r="F2664" s="36" t="s">
        <v>286</v>
      </c>
      <c r="G2664" s="36" t="s">
        <v>411</v>
      </c>
      <c r="H2664" s="37">
        <v>46.9</v>
      </c>
      <c r="I2664" s="36" t="s">
        <v>1301</v>
      </c>
      <c r="J2664" s="39" t="s">
        <v>286</v>
      </c>
      <c r="K2664" s="38"/>
      <c r="L2664" s="38"/>
    </row>
    <row r="2665" ht="22.5" customHeight="1">
      <c r="A2665" s="36" t="s">
        <v>6015</v>
      </c>
      <c r="B2665" s="36" t="s">
        <v>6016</v>
      </c>
      <c r="C2665" s="36" t="s">
        <v>1495</v>
      </c>
      <c r="D2665" s="36" t="s">
        <v>1496</v>
      </c>
      <c r="E2665" s="36" t="s">
        <v>1285</v>
      </c>
      <c r="F2665" s="36" t="s">
        <v>286</v>
      </c>
      <c r="G2665" s="36" t="s">
        <v>411</v>
      </c>
      <c r="H2665" s="37">
        <v>46.9</v>
      </c>
      <c r="I2665" s="36" t="s">
        <v>1301</v>
      </c>
      <c r="J2665" s="39" t="s">
        <v>286</v>
      </c>
      <c r="K2665" s="38"/>
      <c r="L2665" s="38"/>
    </row>
    <row r="2666" ht="22.5" customHeight="1">
      <c r="A2666" s="36" t="s">
        <v>6017</v>
      </c>
      <c r="B2666" s="36" t="s">
        <v>6018</v>
      </c>
      <c r="C2666" s="36" t="s">
        <v>1495</v>
      </c>
      <c r="D2666" s="36" t="s">
        <v>1496</v>
      </c>
      <c r="E2666" s="36" t="s">
        <v>1285</v>
      </c>
      <c r="F2666" s="36" t="s">
        <v>286</v>
      </c>
      <c r="G2666" s="36" t="s">
        <v>411</v>
      </c>
      <c r="H2666" s="37">
        <v>340.72</v>
      </c>
      <c r="I2666" s="36" t="s">
        <v>1301</v>
      </c>
      <c r="J2666" s="39" t="s">
        <v>286</v>
      </c>
      <c r="K2666" s="38"/>
      <c r="L2666" s="38"/>
    </row>
    <row r="2667" ht="22.5" customHeight="1">
      <c r="A2667" s="36" t="s">
        <v>6019</v>
      </c>
      <c r="B2667" s="36" t="s">
        <v>6020</v>
      </c>
      <c r="C2667" s="36" t="s">
        <v>1495</v>
      </c>
      <c r="D2667" s="36" t="s">
        <v>1496</v>
      </c>
      <c r="E2667" s="36" t="s">
        <v>1285</v>
      </c>
      <c r="F2667" s="36" t="s">
        <v>286</v>
      </c>
      <c r="G2667" s="36" t="s">
        <v>411</v>
      </c>
      <c r="H2667" s="37">
        <v>265.75</v>
      </c>
      <c r="I2667" s="36" t="s">
        <v>1301</v>
      </c>
      <c r="J2667" s="39" t="s">
        <v>286</v>
      </c>
      <c r="K2667" s="38"/>
      <c r="L2667" s="38"/>
    </row>
    <row r="2668" ht="22.5" customHeight="1">
      <c r="A2668" s="36" t="s">
        <v>6021</v>
      </c>
      <c r="B2668" s="36" t="s">
        <v>6022</v>
      </c>
      <c r="C2668" s="36" t="s">
        <v>1495</v>
      </c>
      <c r="D2668" s="36" t="s">
        <v>1496</v>
      </c>
      <c r="E2668" s="36" t="s">
        <v>1285</v>
      </c>
      <c r="F2668" s="36" t="s">
        <v>286</v>
      </c>
      <c r="G2668" s="36" t="s">
        <v>411</v>
      </c>
      <c r="H2668" s="37">
        <v>85.26</v>
      </c>
      <c r="I2668" s="36" t="s">
        <v>1301</v>
      </c>
      <c r="J2668" s="39" t="s">
        <v>286</v>
      </c>
      <c r="K2668" s="38"/>
      <c r="L2668" s="38"/>
    </row>
    <row r="2669" ht="22.5" customHeight="1">
      <c r="A2669" s="36" t="s">
        <v>6023</v>
      </c>
      <c r="B2669" s="36" t="s">
        <v>6024</v>
      </c>
      <c r="C2669" s="36" t="s">
        <v>1495</v>
      </c>
      <c r="D2669" s="36" t="s">
        <v>1496</v>
      </c>
      <c r="E2669" s="36" t="s">
        <v>1285</v>
      </c>
      <c r="F2669" s="36" t="s">
        <v>286</v>
      </c>
      <c r="G2669" s="36" t="s">
        <v>411</v>
      </c>
      <c r="H2669" s="37">
        <v>60.1</v>
      </c>
      <c r="I2669" s="36" t="s">
        <v>1301</v>
      </c>
      <c r="J2669" s="39" t="s">
        <v>286</v>
      </c>
      <c r="K2669" s="38"/>
      <c r="L2669" s="38"/>
    </row>
    <row r="2670" ht="22.5" customHeight="1">
      <c r="A2670" s="36" t="s">
        <v>6025</v>
      </c>
      <c r="B2670" s="36" t="s">
        <v>6026</v>
      </c>
      <c r="C2670" s="36" t="s">
        <v>1495</v>
      </c>
      <c r="D2670" s="36" t="s">
        <v>1496</v>
      </c>
      <c r="E2670" s="36" t="s">
        <v>1285</v>
      </c>
      <c r="F2670" s="36" t="s">
        <v>286</v>
      </c>
      <c r="G2670" s="36" t="s">
        <v>411</v>
      </c>
      <c r="H2670" s="37">
        <v>96.44</v>
      </c>
      <c r="I2670" s="36" t="s">
        <v>1301</v>
      </c>
      <c r="J2670" s="39" t="s">
        <v>286</v>
      </c>
      <c r="K2670" s="38"/>
      <c r="L2670" s="38"/>
    </row>
    <row r="2671" ht="22.5" customHeight="1">
      <c r="A2671" s="36" t="s">
        <v>6027</v>
      </c>
      <c r="B2671" s="36" t="s">
        <v>6028</v>
      </c>
      <c r="C2671" s="36" t="s">
        <v>1495</v>
      </c>
      <c r="D2671" s="36" t="s">
        <v>1496</v>
      </c>
      <c r="E2671" s="36" t="s">
        <v>1285</v>
      </c>
      <c r="F2671" s="36" t="s">
        <v>286</v>
      </c>
      <c r="G2671" s="36" t="s">
        <v>411</v>
      </c>
      <c r="H2671" s="37">
        <v>95.5</v>
      </c>
      <c r="I2671" s="36" t="s">
        <v>1301</v>
      </c>
      <c r="J2671" s="39" t="s">
        <v>286</v>
      </c>
      <c r="K2671" s="38"/>
      <c r="L2671" s="38"/>
    </row>
    <row r="2672" ht="22.5" customHeight="1">
      <c r="A2672" s="36" t="s">
        <v>6029</v>
      </c>
      <c r="B2672" s="36" t="s">
        <v>6030</v>
      </c>
      <c r="C2672" s="36" t="s">
        <v>1495</v>
      </c>
      <c r="D2672" s="36" t="s">
        <v>1496</v>
      </c>
      <c r="E2672" s="36" t="s">
        <v>1285</v>
      </c>
      <c r="F2672" s="36" t="s">
        <v>286</v>
      </c>
      <c r="G2672" s="36" t="s">
        <v>411</v>
      </c>
      <c r="H2672" s="37">
        <v>106.56</v>
      </c>
      <c r="I2672" s="36" t="s">
        <v>1301</v>
      </c>
      <c r="J2672" s="39" t="s">
        <v>286</v>
      </c>
      <c r="K2672" s="38"/>
      <c r="L2672" s="38"/>
    </row>
    <row r="2673" ht="22.5" customHeight="1">
      <c r="A2673" s="36" t="s">
        <v>6031</v>
      </c>
      <c r="B2673" s="36" t="s">
        <v>6032</v>
      </c>
      <c r="C2673" s="36" t="s">
        <v>1495</v>
      </c>
      <c r="D2673" s="36" t="s">
        <v>1496</v>
      </c>
      <c r="E2673" s="36" t="s">
        <v>1285</v>
      </c>
      <c r="F2673" s="36" t="s">
        <v>286</v>
      </c>
      <c r="G2673" s="36" t="s">
        <v>411</v>
      </c>
      <c r="H2673" s="37">
        <v>106.56</v>
      </c>
      <c r="I2673" s="36" t="s">
        <v>1301</v>
      </c>
      <c r="J2673" s="39" t="s">
        <v>286</v>
      </c>
      <c r="K2673" s="38"/>
      <c r="L2673" s="38"/>
    </row>
    <row r="2674" ht="22.5" customHeight="1">
      <c r="A2674" s="36" t="s">
        <v>6033</v>
      </c>
      <c r="B2674" s="36" t="s">
        <v>6034</v>
      </c>
      <c r="C2674" s="36" t="s">
        <v>1495</v>
      </c>
      <c r="D2674" s="36" t="s">
        <v>1496</v>
      </c>
      <c r="E2674" s="36" t="s">
        <v>1285</v>
      </c>
      <c r="F2674" s="36" t="s">
        <v>286</v>
      </c>
      <c r="G2674" s="36" t="s">
        <v>411</v>
      </c>
      <c r="H2674" s="37">
        <v>56.08</v>
      </c>
      <c r="I2674" s="36" t="s">
        <v>1301</v>
      </c>
      <c r="J2674" s="39" t="s">
        <v>286</v>
      </c>
      <c r="K2674" s="38"/>
      <c r="L2674" s="38"/>
    </row>
    <row r="2675" ht="22.5" customHeight="1">
      <c r="A2675" s="36" t="s">
        <v>6035</v>
      </c>
      <c r="B2675" s="36" t="s">
        <v>6036</v>
      </c>
      <c r="C2675" s="36" t="s">
        <v>1495</v>
      </c>
      <c r="D2675" s="36" t="s">
        <v>1496</v>
      </c>
      <c r="E2675" s="36" t="s">
        <v>1285</v>
      </c>
      <c r="F2675" s="36" t="s">
        <v>286</v>
      </c>
      <c r="G2675" s="36" t="s">
        <v>411</v>
      </c>
      <c r="H2675" s="37">
        <v>7.28</v>
      </c>
      <c r="I2675" s="36" t="s">
        <v>1301</v>
      </c>
      <c r="J2675" s="39" t="s">
        <v>286</v>
      </c>
      <c r="K2675" s="38"/>
      <c r="L2675" s="38"/>
    </row>
    <row r="2676" ht="22.5" customHeight="1">
      <c r="A2676" s="36" t="s">
        <v>6037</v>
      </c>
      <c r="B2676" s="36" t="s">
        <v>6038</v>
      </c>
      <c r="C2676" s="36" t="s">
        <v>1495</v>
      </c>
      <c r="D2676" s="36" t="s">
        <v>1496</v>
      </c>
      <c r="E2676" s="36" t="s">
        <v>1285</v>
      </c>
      <c r="F2676" s="36" t="s">
        <v>286</v>
      </c>
      <c r="G2676" s="36" t="s">
        <v>411</v>
      </c>
      <c r="H2676" s="37">
        <v>15.05</v>
      </c>
      <c r="I2676" s="36" t="s">
        <v>1301</v>
      </c>
      <c r="J2676" s="39" t="s">
        <v>286</v>
      </c>
      <c r="K2676" s="38"/>
      <c r="L2676" s="38"/>
    </row>
    <row r="2677" ht="22.5" customHeight="1">
      <c r="A2677" s="36" t="s">
        <v>6039</v>
      </c>
      <c r="B2677" s="36" t="s">
        <v>6040</v>
      </c>
      <c r="C2677" s="36" t="s">
        <v>1495</v>
      </c>
      <c r="D2677" s="36" t="s">
        <v>1496</v>
      </c>
      <c r="E2677" s="36" t="s">
        <v>1285</v>
      </c>
      <c r="F2677" s="36" t="s">
        <v>286</v>
      </c>
      <c r="G2677" s="36" t="s">
        <v>411</v>
      </c>
      <c r="H2677" s="37">
        <v>50.05</v>
      </c>
      <c r="I2677" s="36" t="s">
        <v>1301</v>
      </c>
      <c r="J2677" s="39" t="s">
        <v>286</v>
      </c>
      <c r="K2677" s="38"/>
      <c r="L2677" s="38"/>
    </row>
    <row r="2678" ht="22.5" customHeight="1">
      <c r="A2678" s="36" t="s">
        <v>6041</v>
      </c>
      <c r="B2678" s="36" t="s">
        <v>6042</v>
      </c>
      <c r="C2678" s="36" t="s">
        <v>1495</v>
      </c>
      <c r="D2678" s="36" t="s">
        <v>1496</v>
      </c>
      <c r="E2678" s="36" t="s">
        <v>1285</v>
      </c>
      <c r="F2678" s="36" t="s">
        <v>286</v>
      </c>
      <c r="G2678" s="36" t="s">
        <v>411</v>
      </c>
      <c r="H2678" s="37">
        <v>42.76</v>
      </c>
      <c r="I2678" s="36" t="s">
        <v>1301</v>
      </c>
      <c r="J2678" s="39" t="s">
        <v>286</v>
      </c>
      <c r="K2678" s="38"/>
      <c r="L2678" s="38"/>
    </row>
    <row r="2679" ht="22.5" customHeight="1">
      <c r="A2679" s="36" t="s">
        <v>6043</v>
      </c>
      <c r="B2679" s="36" t="s">
        <v>6044</v>
      </c>
      <c r="C2679" s="36" t="s">
        <v>1495</v>
      </c>
      <c r="D2679" s="36" t="s">
        <v>1496</v>
      </c>
      <c r="E2679" s="36" t="s">
        <v>1285</v>
      </c>
      <c r="F2679" s="36" t="s">
        <v>286</v>
      </c>
      <c r="G2679" s="36" t="s">
        <v>411</v>
      </c>
      <c r="H2679" s="37">
        <v>3.85</v>
      </c>
      <c r="I2679" s="36" t="s">
        <v>1301</v>
      </c>
      <c r="J2679" s="39" t="s">
        <v>286</v>
      </c>
      <c r="K2679" s="38"/>
      <c r="L2679" s="38"/>
    </row>
    <row r="2680" ht="22.5" customHeight="1">
      <c r="A2680" s="36" t="s">
        <v>6045</v>
      </c>
      <c r="B2680" s="36" t="s">
        <v>6046</v>
      </c>
      <c r="C2680" s="36" t="s">
        <v>1495</v>
      </c>
      <c r="D2680" s="36" t="s">
        <v>1496</v>
      </c>
      <c r="E2680" s="36" t="s">
        <v>1285</v>
      </c>
      <c r="F2680" s="36" t="s">
        <v>286</v>
      </c>
      <c r="G2680" s="36" t="s">
        <v>411</v>
      </c>
      <c r="H2680" s="37">
        <v>89.39</v>
      </c>
      <c r="I2680" s="36" t="s">
        <v>1301</v>
      </c>
      <c r="J2680" s="39" t="s">
        <v>286</v>
      </c>
      <c r="K2680" s="38"/>
      <c r="L2680" s="38"/>
    </row>
    <row r="2681" ht="22.5" customHeight="1">
      <c r="A2681" s="36" t="s">
        <v>6047</v>
      </c>
      <c r="B2681" s="36" t="s">
        <v>6048</v>
      </c>
      <c r="C2681" s="36" t="s">
        <v>1495</v>
      </c>
      <c r="D2681" s="36" t="s">
        <v>1496</v>
      </c>
      <c r="E2681" s="36" t="s">
        <v>1285</v>
      </c>
      <c r="F2681" s="36" t="s">
        <v>286</v>
      </c>
      <c r="G2681" s="36" t="s">
        <v>411</v>
      </c>
      <c r="H2681" s="37">
        <v>300.0</v>
      </c>
      <c r="I2681" s="36" t="s">
        <v>1301</v>
      </c>
      <c r="J2681" s="39" t="s">
        <v>286</v>
      </c>
      <c r="K2681" s="38"/>
      <c r="L2681" s="38"/>
    </row>
    <row r="2682" ht="22.5" customHeight="1">
      <c r="A2682" s="36" t="s">
        <v>6049</v>
      </c>
      <c r="B2682" s="36" t="s">
        <v>6050</v>
      </c>
      <c r="C2682" s="36" t="s">
        <v>1495</v>
      </c>
      <c r="D2682" s="36" t="s">
        <v>1496</v>
      </c>
      <c r="E2682" s="36" t="s">
        <v>1285</v>
      </c>
      <c r="F2682" s="36" t="s">
        <v>286</v>
      </c>
      <c r="G2682" s="36" t="s">
        <v>411</v>
      </c>
      <c r="H2682" s="37">
        <v>11.67</v>
      </c>
      <c r="I2682" s="36" t="s">
        <v>1301</v>
      </c>
      <c r="J2682" s="39" t="s">
        <v>286</v>
      </c>
      <c r="K2682" s="38"/>
      <c r="L2682" s="38"/>
    </row>
    <row r="2683" ht="22.5" customHeight="1">
      <c r="A2683" s="36" t="s">
        <v>6051</v>
      </c>
      <c r="B2683" s="36" t="s">
        <v>6052</v>
      </c>
      <c r="C2683" s="36" t="s">
        <v>1495</v>
      </c>
      <c r="D2683" s="36" t="s">
        <v>1496</v>
      </c>
      <c r="E2683" s="36" t="s">
        <v>1285</v>
      </c>
      <c r="F2683" s="36" t="s">
        <v>286</v>
      </c>
      <c r="G2683" s="36" t="s">
        <v>411</v>
      </c>
      <c r="H2683" s="37">
        <v>23.33</v>
      </c>
      <c r="I2683" s="36" t="s">
        <v>1301</v>
      </c>
      <c r="J2683" s="39" t="s">
        <v>286</v>
      </c>
      <c r="K2683" s="38"/>
      <c r="L2683" s="38"/>
    </row>
    <row r="2684" ht="22.5" customHeight="1">
      <c r="A2684" s="36" t="s">
        <v>6053</v>
      </c>
      <c r="B2684" s="36" t="s">
        <v>6054</v>
      </c>
      <c r="C2684" s="36" t="s">
        <v>1495</v>
      </c>
      <c r="D2684" s="36" t="s">
        <v>1496</v>
      </c>
      <c r="E2684" s="36" t="s">
        <v>1285</v>
      </c>
      <c r="F2684" s="36" t="s">
        <v>286</v>
      </c>
      <c r="G2684" s="36" t="s">
        <v>411</v>
      </c>
      <c r="H2684" s="37">
        <v>42.5</v>
      </c>
      <c r="I2684" s="36" t="s">
        <v>1301</v>
      </c>
      <c r="J2684" s="39" t="s">
        <v>286</v>
      </c>
      <c r="K2684" s="38"/>
      <c r="L2684" s="38"/>
    </row>
    <row r="2685" ht="22.5" customHeight="1">
      <c r="A2685" s="36" t="s">
        <v>6055</v>
      </c>
      <c r="B2685" s="36" t="s">
        <v>6056</v>
      </c>
      <c r="C2685" s="36" t="s">
        <v>1495</v>
      </c>
      <c r="D2685" s="36" t="s">
        <v>1496</v>
      </c>
      <c r="E2685" s="36" t="s">
        <v>1285</v>
      </c>
      <c r="F2685" s="36" t="s">
        <v>286</v>
      </c>
      <c r="G2685" s="36" t="s">
        <v>411</v>
      </c>
      <c r="H2685" s="37">
        <v>24.17</v>
      </c>
      <c r="I2685" s="36" t="s">
        <v>1301</v>
      </c>
      <c r="J2685" s="39" t="s">
        <v>286</v>
      </c>
      <c r="K2685" s="38"/>
      <c r="L2685" s="38"/>
    </row>
    <row r="2686" ht="22.5" customHeight="1">
      <c r="A2686" s="36" t="s">
        <v>6057</v>
      </c>
      <c r="B2686" s="36" t="s">
        <v>6058</v>
      </c>
      <c r="C2686" s="36" t="s">
        <v>1495</v>
      </c>
      <c r="D2686" s="36" t="s">
        <v>1496</v>
      </c>
      <c r="E2686" s="36" t="s">
        <v>1285</v>
      </c>
      <c r="F2686" s="36" t="s">
        <v>286</v>
      </c>
      <c r="G2686" s="36" t="s">
        <v>411</v>
      </c>
      <c r="H2686" s="37">
        <v>16.5</v>
      </c>
      <c r="I2686" s="36" t="s">
        <v>1301</v>
      </c>
      <c r="J2686" s="39" t="s">
        <v>286</v>
      </c>
      <c r="K2686" s="38"/>
      <c r="L2686" s="38"/>
    </row>
    <row r="2687" ht="22.5" customHeight="1">
      <c r="A2687" s="36" t="s">
        <v>6059</v>
      </c>
      <c r="B2687" s="36" t="s">
        <v>6060</v>
      </c>
      <c r="C2687" s="36" t="s">
        <v>1495</v>
      </c>
      <c r="D2687" s="36" t="s">
        <v>1496</v>
      </c>
      <c r="E2687" s="36" t="s">
        <v>1285</v>
      </c>
      <c r="F2687" s="36" t="s">
        <v>286</v>
      </c>
      <c r="G2687" s="36" t="s">
        <v>411</v>
      </c>
      <c r="H2687" s="37">
        <v>7388.63</v>
      </c>
      <c r="I2687" s="36" t="s">
        <v>1301</v>
      </c>
      <c r="J2687" s="39" t="s">
        <v>286</v>
      </c>
      <c r="K2687" s="38"/>
      <c r="L2687" s="38"/>
    </row>
    <row r="2688" ht="22.5" customHeight="1">
      <c r="A2688" s="36" t="s">
        <v>6061</v>
      </c>
      <c r="B2688" s="36" t="s">
        <v>6062</v>
      </c>
      <c r="C2688" s="36" t="s">
        <v>1495</v>
      </c>
      <c r="D2688" s="36" t="s">
        <v>1496</v>
      </c>
      <c r="E2688" s="36" t="s">
        <v>1285</v>
      </c>
      <c r="F2688" s="36" t="s">
        <v>286</v>
      </c>
      <c r="G2688" s="36" t="s">
        <v>411</v>
      </c>
      <c r="H2688" s="37">
        <v>590.6</v>
      </c>
      <c r="I2688" s="36" t="s">
        <v>1301</v>
      </c>
      <c r="J2688" s="39" t="s">
        <v>286</v>
      </c>
      <c r="K2688" s="38"/>
      <c r="L2688" s="38"/>
    </row>
    <row r="2689" ht="22.5" customHeight="1">
      <c r="A2689" s="36" t="s">
        <v>6063</v>
      </c>
      <c r="B2689" s="36" t="s">
        <v>6064</v>
      </c>
      <c r="C2689" s="36" t="s">
        <v>1495</v>
      </c>
      <c r="D2689" s="36" t="s">
        <v>1496</v>
      </c>
      <c r="E2689" s="36" t="s">
        <v>1285</v>
      </c>
      <c r="F2689" s="36" t="s">
        <v>286</v>
      </c>
      <c r="G2689" s="36" t="s">
        <v>411</v>
      </c>
      <c r="H2689" s="37">
        <v>730.98</v>
      </c>
      <c r="I2689" s="36" t="s">
        <v>1301</v>
      </c>
      <c r="J2689" s="39" t="s">
        <v>286</v>
      </c>
      <c r="K2689" s="38"/>
      <c r="L2689" s="38"/>
    </row>
    <row r="2690" ht="22.5" customHeight="1">
      <c r="A2690" s="36" t="s">
        <v>6065</v>
      </c>
      <c r="B2690" s="36" t="s">
        <v>6066</v>
      </c>
      <c r="C2690" s="36" t="s">
        <v>1495</v>
      </c>
      <c r="D2690" s="36" t="s">
        <v>1496</v>
      </c>
      <c r="E2690" s="36" t="s">
        <v>1285</v>
      </c>
      <c r="F2690" s="36" t="s">
        <v>286</v>
      </c>
      <c r="G2690" s="36" t="s">
        <v>1659</v>
      </c>
      <c r="H2690" s="37">
        <v>131.6</v>
      </c>
      <c r="I2690" s="36" t="s">
        <v>1301</v>
      </c>
      <c r="J2690" s="39" t="s">
        <v>286</v>
      </c>
      <c r="K2690" s="38"/>
      <c r="L2690" s="38"/>
    </row>
    <row r="2691" ht="22.5" customHeight="1">
      <c r="A2691" s="36" t="s">
        <v>6067</v>
      </c>
      <c r="B2691" s="36" t="s">
        <v>6068</v>
      </c>
      <c r="C2691" s="36" t="s">
        <v>1495</v>
      </c>
      <c r="D2691" s="36" t="s">
        <v>1496</v>
      </c>
      <c r="E2691" s="36" t="s">
        <v>1285</v>
      </c>
      <c r="F2691" s="36" t="s">
        <v>286</v>
      </c>
      <c r="G2691" s="36" t="s">
        <v>1659</v>
      </c>
      <c r="H2691" s="37">
        <v>124.83</v>
      </c>
      <c r="I2691" s="36" t="s">
        <v>1301</v>
      </c>
      <c r="J2691" s="39" t="s">
        <v>286</v>
      </c>
      <c r="K2691" s="38"/>
      <c r="L2691" s="38"/>
    </row>
    <row r="2692" ht="22.5" customHeight="1">
      <c r="A2692" s="36" t="s">
        <v>6069</v>
      </c>
      <c r="B2692" s="36" t="s">
        <v>6070</v>
      </c>
      <c r="C2692" s="36" t="s">
        <v>1495</v>
      </c>
      <c r="D2692" s="36" t="s">
        <v>1496</v>
      </c>
      <c r="E2692" s="36" t="s">
        <v>1285</v>
      </c>
      <c r="F2692" s="36" t="s">
        <v>286</v>
      </c>
      <c r="G2692" s="36" t="s">
        <v>1659</v>
      </c>
      <c r="H2692" s="37">
        <v>88.98</v>
      </c>
      <c r="I2692" s="36" t="s">
        <v>1301</v>
      </c>
      <c r="J2692" s="39" t="s">
        <v>286</v>
      </c>
      <c r="K2692" s="38"/>
      <c r="L2692" s="38"/>
    </row>
    <row r="2693" ht="22.5" customHeight="1">
      <c r="A2693" s="36" t="s">
        <v>6071</v>
      </c>
      <c r="B2693" s="36" t="s">
        <v>6072</v>
      </c>
      <c r="C2693" s="36" t="s">
        <v>1495</v>
      </c>
      <c r="D2693" s="36" t="s">
        <v>1496</v>
      </c>
      <c r="E2693" s="36" t="s">
        <v>1285</v>
      </c>
      <c r="F2693" s="36" t="s">
        <v>286</v>
      </c>
      <c r="G2693" s="36" t="s">
        <v>411</v>
      </c>
      <c r="H2693" s="37">
        <v>200.0</v>
      </c>
      <c r="I2693" s="36" t="s">
        <v>1301</v>
      </c>
      <c r="J2693" s="39" t="s">
        <v>286</v>
      </c>
      <c r="K2693" s="38"/>
      <c r="L2693" s="38"/>
    </row>
    <row r="2694" ht="22.5" customHeight="1">
      <c r="A2694" s="36" t="s">
        <v>6073</v>
      </c>
      <c r="B2694" s="36" t="s">
        <v>6074</v>
      </c>
      <c r="C2694" s="36" t="s">
        <v>1495</v>
      </c>
      <c r="D2694" s="36" t="s">
        <v>1496</v>
      </c>
      <c r="E2694" s="36" t="s">
        <v>1285</v>
      </c>
      <c r="F2694" s="36" t="s">
        <v>286</v>
      </c>
      <c r="G2694" s="36" t="s">
        <v>411</v>
      </c>
      <c r="H2694" s="37">
        <v>958.01</v>
      </c>
      <c r="I2694" s="36" t="s">
        <v>1301</v>
      </c>
      <c r="J2694" s="39" t="s">
        <v>286</v>
      </c>
      <c r="K2694" s="38"/>
      <c r="L2694" s="38"/>
    </row>
    <row r="2695" ht="22.5" customHeight="1">
      <c r="A2695" s="36" t="s">
        <v>6075</v>
      </c>
      <c r="B2695" s="36" t="s">
        <v>6076</v>
      </c>
      <c r="C2695" s="36" t="s">
        <v>1495</v>
      </c>
      <c r="D2695" s="36" t="s">
        <v>1496</v>
      </c>
      <c r="E2695" s="36" t="s">
        <v>1285</v>
      </c>
      <c r="F2695" s="36" t="s">
        <v>286</v>
      </c>
      <c r="G2695" s="36" t="s">
        <v>411</v>
      </c>
      <c r="H2695" s="37">
        <v>65.6</v>
      </c>
      <c r="I2695" s="36" t="s">
        <v>1301</v>
      </c>
      <c r="J2695" s="39" t="s">
        <v>286</v>
      </c>
      <c r="K2695" s="38"/>
      <c r="L2695" s="38"/>
    </row>
    <row r="2696" ht="22.5" customHeight="1">
      <c r="A2696" s="36" t="s">
        <v>6077</v>
      </c>
      <c r="B2696" s="36" t="s">
        <v>6078</v>
      </c>
      <c r="C2696" s="36" t="s">
        <v>1495</v>
      </c>
      <c r="D2696" s="36" t="s">
        <v>1496</v>
      </c>
      <c r="E2696" s="36" t="s">
        <v>1285</v>
      </c>
      <c r="F2696" s="36" t="s">
        <v>286</v>
      </c>
      <c r="G2696" s="36" t="s">
        <v>411</v>
      </c>
      <c r="H2696" s="37">
        <v>30.5</v>
      </c>
      <c r="I2696" s="36" t="s">
        <v>1301</v>
      </c>
      <c r="J2696" s="39" t="s">
        <v>286</v>
      </c>
      <c r="K2696" s="38"/>
      <c r="L2696" s="38"/>
    </row>
    <row r="2697" ht="22.5" customHeight="1">
      <c r="A2697" s="36" t="s">
        <v>6079</v>
      </c>
      <c r="B2697" s="36" t="s">
        <v>6080</v>
      </c>
      <c r="C2697" s="36" t="s">
        <v>1495</v>
      </c>
      <c r="D2697" s="36" t="s">
        <v>1496</v>
      </c>
      <c r="E2697" s="36" t="s">
        <v>1285</v>
      </c>
      <c r="F2697" s="36" t="s">
        <v>286</v>
      </c>
      <c r="G2697" s="36" t="s">
        <v>411</v>
      </c>
      <c r="H2697" s="37">
        <v>368.39</v>
      </c>
      <c r="I2697" s="36" t="s">
        <v>1301</v>
      </c>
      <c r="J2697" s="39" t="s">
        <v>286</v>
      </c>
      <c r="K2697" s="38"/>
      <c r="L2697" s="38"/>
    </row>
    <row r="2698" ht="22.5" customHeight="1">
      <c r="A2698" s="36" t="s">
        <v>6081</v>
      </c>
      <c r="B2698" s="36" t="s">
        <v>6082</v>
      </c>
      <c r="C2698" s="36" t="s">
        <v>1495</v>
      </c>
      <c r="D2698" s="36" t="s">
        <v>1496</v>
      </c>
      <c r="E2698" s="36" t="s">
        <v>1285</v>
      </c>
      <c r="F2698" s="36" t="s">
        <v>286</v>
      </c>
      <c r="G2698" s="36" t="s">
        <v>411</v>
      </c>
      <c r="H2698" s="37">
        <v>46.62</v>
      </c>
      <c r="I2698" s="36" t="s">
        <v>1301</v>
      </c>
      <c r="J2698" s="39" t="s">
        <v>286</v>
      </c>
      <c r="K2698" s="38"/>
      <c r="L2698" s="38"/>
    </row>
    <row r="2699" ht="22.5" customHeight="1">
      <c r="A2699" s="36" t="s">
        <v>6083</v>
      </c>
      <c r="B2699" s="36" t="s">
        <v>6084</v>
      </c>
      <c r="C2699" s="36" t="s">
        <v>1495</v>
      </c>
      <c r="D2699" s="36" t="s">
        <v>1496</v>
      </c>
      <c r="E2699" s="36" t="s">
        <v>1285</v>
      </c>
      <c r="F2699" s="36" t="s">
        <v>286</v>
      </c>
      <c r="G2699" s="36" t="s">
        <v>411</v>
      </c>
      <c r="H2699" s="37">
        <v>65.6</v>
      </c>
      <c r="I2699" s="36" t="s">
        <v>1301</v>
      </c>
      <c r="J2699" s="39" t="s">
        <v>286</v>
      </c>
      <c r="K2699" s="38"/>
      <c r="L2699" s="38"/>
    </row>
    <row r="2700" ht="22.5" customHeight="1">
      <c r="A2700" s="36" t="s">
        <v>6085</v>
      </c>
      <c r="B2700" s="36" t="s">
        <v>6086</v>
      </c>
      <c r="C2700" s="36" t="s">
        <v>1495</v>
      </c>
      <c r="D2700" s="36" t="s">
        <v>1496</v>
      </c>
      <c r="E2700" s="36" t="s">
        <v>1285</v>
      </c>
      <c r="F2700" s="36" t="s">
        <v>286</v>
      </c>
      <c r="G2700" s="36" t="s">
        <v>411</v>
      </c>
      <c r="H2700" s="37">
        <v>52.98</v>
      </c>
      <c r="I2700" s="36" t="s">
        <v>1301</v>
      </c>
      <c r="J2700" s="39" t="s">
        <v>286</v>
      </c>
      <c r="K2700" s="38"/>
      <c r="L2700" s="38"/>
    </row>
    <row r="2701" ht="22.5" customHeight="1">
      <c r="A2701" s="36" t="s">
        <v>6087</v>
      </c>
      <c r="B2701" s="36" t="s">
        <v>6088</v>
      </c>
      <c r="C2701" s="36" t="s">
        <v>1495</v>
      </c>
      <c r="D2701" s="36" t="s">
        <v>1496</v>
      </c>
      <c r="E2701" s="36" t="s">
        <v>1285</v>
      </c>
      <c r="F2701" s="36" t="s">
        <v>286</v>
      </c>
      <c r="G2701" s="36" t="s">
        <v>411</v>
      </c>
      <c r="H2701" s="37">
        <v>2.17</v>
      </c>
      <c r="I2701" s="36" t="s">
        <v>1301</v>
      </c>
      <c r="J2701" s="39" t="s">
        <v>286</v>
      </c>
      <c r="K2701" s="38"/>
      <c r="L2701" s="38"/>
    </row>
    <row r="2702" ht="22.5" customHeight="1">
      <c r="A2702" s="36" t="s">
        <v>6089</v>
      </c>
      <c r="B2702" s="36" t="s">
        <v>6090</v>
      </c>
      <c r="C2702" s="36" t="s">
        <v>1495</v>
      </c>
      <c r="D2702" s="36" t="s">
        <v>1496</v>
      </c>
      <c r="E2702" s="36" t="s">
        <v>1285</v>
      </c>
      <c r="F2702" s="36" t="s">
        <v>286</v>
      </c>
      <c r="G2702" s="36" t="s">
        <v>411</v>
      </c>
      <c r="H2702" s="37">
        <v>1.79</v>
      </c>
      <c r="I2702" s="36" t="s">
        <v>1301</v>
      </c>
      <c r="J2702" s="39" t="s">
        <v>286</v>
      </c>
      <c r="K2702" s="38"/>
      <c r="L2702" s="38"/>
    </row>
    <row r="2703" ht="22.5" customHeight="1">
      <c r="A2703" s="36" t="s">
        <v>6091</v>
      </c>
      <c r="B2703" s="36" t="s">
        <v>6092</v>
      </c>
      <c r="C2703" s="36" t="s">
        <v>1495</v>
      </c>
      <c r="D2703" s="36" t="s">
        <v>1496</v>
      </c>
      <c r="E2703" s="36" t="s">
        <v>1285</v>
      </c>
      <c r="F2703" s="36" t="s">
        <v>286</v>
      </c>
      <c r="G2703" s="36" t="s">
        <v>411</v>
      </c>
      <c r="H2703" s="37">
        <v>8.96</v>
      </c>
      <c r="I2703" s="36" t="s">
        <v>1301</v>
      </c>
      <c r="J2703" s="39" t="s">
        <v>286</v>
      </c>
      <c r="K2703" s="38"/>
      <c r="L2703" s="38"/>
    </row>
    <row r="2704" ht="22.5" customHeight="1">
      <c r="A2704" s="36" t="s">
        <v>6093</v>
      </c>
      <c r="B2704" s="36" t="s">
        <v>6094</v>
      </c>
      <c r="C2704" s="36" t="s">
        <v>1495</v>
      </c>
      <c r="D2704" s="36" t="s">
        <v>1496</v>
      </c>
      <c r="E2704" s="36" t="s">
        <v>287</v>
      </c>
      <c r="F2704" s="36" t="s">
        <v>286</v>
      </c>
      <c r="G2704" s="36" t="s">
        <v>411</v>
      </c>
      <c r="H2704" s="37">
        <v>490.0</v>
      </c>
      <c r="I2704" s="36" t="s">
        <v>1301</v>
      </c>
      <c r="J2704" s="39" t="s">
        <v>286</v>
      </c>
      <c r="K2704" s="38"/>
      <c r="L2704" s="38"/>
    </row>
    <row r="2705" ht="22.5" customHeight="1">
      <c r="A2705" s="36" t="s">
        <v>6095</v>
      </c>
      <c r="B2705" s="36" t="s">
        <v>6096</v>
      </c>
      <c r="C2705" s="36" t="s">
        <v>1495</v>
      </c>
      <c r="D2705" s="36" t="s">
        <v>1496</v>
      </c>
      <c r="E2705" s="36" t="s">
        <v>287</v>
      </c>
      <c r="F2705" s="36" t="s">
        <v>286</v>
      </c>
      <c r="G2705" s="36" t="s">
        <v>411</v>
      </c>
      <c r="H2705" s="37">
        <v>2820.98</v>
      </c>
      <c r="I2705" s="36" t="s">
        <v>1301</v>
      </c>
      <c r="J2705" s="39" t="s">
        <v>286</v>
      </c>
      <c r="K2705" s="38"/>
      <c r="L2705" s="38"/>
    </row>
    <row r="2706" ht="22.5" customHeight="1">
      <c r="A2706" s="36" t="s">
        <v>6097</v>
      </c>
      <c r="B2706" s="36" t="s">
        <v>6098</v>
      </c>
      <c r="C2706" s="36" t="s">
        <v>1495</v>
      </c>
      <c r="D2706" s="36" t="s">
        <v>1496</v>
      </c>
      <c r="E2706" s="36" t="s">
        <v>287</v>
      </c>
      <c r="F2706" s="36" t="s">
        <v>286</v>
      </c>
      <c r="G2706" s="36" t="s">
        <v>411</v>
      </c>
      <c r="H2706" s="37">
        <v>542.63</v>
      </c>
      <c r="I2706" s="36" t="s">
        <v>1301</v>
      </c>
      <c r="J2706" s="39" t="s">
        <v>286</v>
      </c>
      <c r="K2706" s="38"/>
      <c r="L2706" s="38"/>
    </row>
    <row r="2707" ht="22.5" customHeight="1">
      <c r="A2707" s="36" t="s">
        <v>6099</v>
      </c>
      <c r="B2707" s="36" t="s">
        <v>6100</v>
      </c>
      <c r="C2707" s="36" t="s">
        <v>1495</v>
      </c>
      <c r="D2707" s="36" t="s">
        <v>1496</v>
      </c>
      <c r="E2707" s="36" t="s">
        <v>287</v>
      </c>
      <c r="F2707" s="36" t="s">
        <v>286</v>
      </c>
      <c r="G2707" s="36" t="s">
        <v>411</v>
      </c>
      <c r="H2707" s="37">
        <v>729.33</v>
      </c>
      <c r="I2707" s="36" t="s">
        <v>1301</v>
      </c>
      <c r="J2707" s="39" t="s">
        <v>286</v>
      </c>
      <c r="K2707" s="38"/>
      <c r="L2707" s="38"/>
    </row>
    <row r="2708" ht="22.5" customHeight="1">
      <c r="A2708" s="36" t="s">
        <v>6101</v>
      </c>
      <c r="B2708" s="36" t="s">
        <v>6102</v>
      </c>
      <c r="C2708" s="36" t="s">
        <v>1495</v>
      </c>
      <c r="D2708" s="36" t="s">
        <v>1496</v>
      </c>
      <c r="E2708" s="36" t="s">
        <v>287</v>
      </c>
      <c r="F2708" s="36" t="s">
        <v>286</v>
      </c>
      <c r="G2708" s="36" t="s">
        <v>411</v>
      </c>
      <c r="H2708" s="37">
        <v>245.33</v>
      </c>
      <c r="I2708" s="36" t="s">
        <v>1301</v>
      </c>
      <c r="J2708" s="39" t="s">
        <v>286</v>
      </c>
      <c r="K2708" s="38"/>
      <c r="L2708" s="38"/>
    </row>
    <row r="2709" ht="22.5" customHeight="1">
      <c r="A2709" s="36" t="s">
        <v>6103</v>
      </c>
      <c r="B2709" s="36" t="s">
        <v>6104</v>
      </c>
      <c r="C2709" s="36" t="s">
        <v>1495</v>
      </c>
      <c r="D2709" s="36" t="s">
        <v>1496</v>
      </c>
      <c r="E2709" s="36" t="s">
        <v>287</v>
      </c>
      <c r="F2709" s="36" t="s">
        <v>286</v>
      </c>
      <c r="G2709" s="36" t="s">
        <v>411</v>
      </c>
      <c r="H2709" s="37">
        <v>250.0</v>
      </c>
      <c r="I2709" s="36" t="s">
        <v>1301</v>
      </c>
      <c r="J2709" s="39" t="s">
        <v>286</v>
      </c>
      <c r="K2709" s="38"/>
      <c r="L2709" s="38"/>
    </row>
    <row r="2710" ht="22.5" customHeight="1">
      <c r="A2710" s="36" t="s">
        <v>6105</v>
      </c>
      <c r="B2710" s="36" t="s">
        <v>6106</v>
      </c>
      <c r="C2710" s="36" t="s">
        <v>1495</v>
      </c>
      <c r="D2710" s="36" t="s">
        <v>1496</v>
      </c>
      <c r="E2710" s="36" t="s">
        <v>287</v>
      </c>
      <c r="F2710" s="36" t="s">
        <v>286</v>
      </c>
      <c r="G2710" s="36" t="s">
        <v>411</v>
      </c>
      <c r="H2710" s="37">
        <v>8.06</v>
      </c>
      <c r="I2710" s="36" t="s">
        <v>1301</v>
      </c>
      <c r="J2710" s="39" t="s">
        <v>286</v>
      </c>
      <c r="K2710" s="38"/>
      <c r="L2710" s="38"/>
    </row>
    <row r="2711" ht="22.5" customHeight="1">
      <c r="A2711" s="36" t="s">
        <v>6107</v>
      </c>
      <c r="B2711" s="36" t="s">
        <v>6108</v>
      </c>
      <c r="C2711" s="36" t="s">
        <v>1495</v>
      </c>
      <c r="D2711" s="36" t="s">
        <v>1496</v>
      </c>
      <c r="E2711" s="36" t="s">
        <v>287</v>
      </c>
      <c r="F2711" s="36" t="s">
        <v>286</v>
      </c>
      <c r="G2711" s="36" t="s">
        <v>411</v>
      </c>
      <c r="H2711" s="37">
        <v>6.46</v>
      </c>
      <c r="I2711" s="36" t="s">
        <v>1301</v>
      </c>
      <c r="J2711" s="39" t="s">
        <v>286</v>
      </c>
      <c r="K2711" s="38"/>
      <c r="L2711" s="38"/>
    </row>
    <row r="2712" ht="22.5" customHeight="1">
      <c r="A2712" s="36" t="s">
        <v>6109</v>
      </c>
      <c r="B2712" s="36" t="s">
        <v>6110</v>
      </c>
      <c r="C2712" s="36" t="s">
        <v>1495</v>
      </c>
      <c r="D2712" s="36" t="s">
        <v>1496</v>
      </c>
      <c r="E2712" s="36" t="s">
        <v>287</v>
      </c>
      <c r="F2712" s="36" t="s">
        <v>286</v>
      </c>
      <c r="G2712" s="36" t="s">
        <v>411</v>
      </c>
      <c r="H2712" s="37">
        <v>37.0</v>
      </c>
      <c r="I2712" s="36" t="s">
        <v>1301</v>
      </c>
      <c r="J2712" s="39" t="s">
        <v>286</v>
      </c>
      <c r="K2712" s="38"/>
      <c r="L2712" s="38"/>
    </row>
    <row r="2713" ht="22.5" customHeight="1">
      <c r="A2713" s="36" t="s">
        <v>6111</v>
      </c>
      <c r="B2713" s="36" t="s">
        <v>6112</v>
      </c>
      <c r="C2713" s="36" t="s">
        <v>1495</v>
      </c>
      <c r="D2713" s="36" t="s">
        <v>1496</v>
      </c>
      <c r="E2713" s="36" t="s">
        <v>287</v>
      </c>
      <c r="F2713" s="36" t="s">
        <v>286</v>
      </c>
      <c r="G2713" s="36" t="s">
        <v>411</v>
      </c>
      <c r="H2713" s="37">
        <v>78.0</v>
      </c>
      <c r="I2713" s="36" t="s">
        <v>1301</v>
      </c>
      <c r="J2713" s="39" t="s">
        <v>286</v>
      </c>
      <c r="K2713" s="38"/>
      <c r="L2713" s="38"/>
    </row>
    <row r="2714" ht="22.5" customHeight="1">
      <c r="A2714" s="36" t="s">
        <v>6113</v>
      </c>
      <c r="B2714" s="36" t="s">
        <v>6114</v>
      </c>
      <c r="C2714" s="36" t="s">
        <v>1495</v>
      </c>
      <c r="D2714" s="36" t="s">
        <v>1496</v>
      </c>
      <c r="E2714" s="36" t="s">
        <v>287</v>
      </c>
      <c r="F2714" s="36" t="s">
        <v>286</v>
      </c>
      <c r="G2714" s="36" t="s">
        <v>411</v>
      </c>
      <c r="H2714" s="37">
        <v>11.93</v>
      </c>
      <c r="I2714" s="36" t="s">
        <v>1301</v>
      </c>
      <c r="J2714" s="39" t="s">
        <v>286</v>
      </c>
      <c r="K2714" s="38"/>
      <c r="L2714" s="38"/>
    </row>
    <row r="2715" ht="22.5" customHeight="1">
      <c r="A2715" s="36" t="s">
        <v>6115</v>
      </c>
      <c r="B2715" s="36" t="s">
        <v>6116</v>
      </c>
      <c r="C2715" s="36" t="s">
        <v>1495</v>
      </c>
      <c r="D2715" s="36" t="s">
        <v>1496</v>
      </c>
      <c r="E2715" s="36" t="s">
        <v>287</v>
      </c>
      <c r="F2715" s="36" t="s">
        <v>286</v>
      </c>
      <c r="G2715" s="36" t="s">
        <v>411</v>
      </c>
      <c r="H2715" s="37">
        <v>42.68</v>
      </c>
      <c r="I2715" s="36" t="s">
        <v>1301</v>
      </c>
      <c r="J2715" s="39" t="s">
        <v>286</v>
      </c>
      <c r="K2715" s="38"/>
      <c r="L2715" s="38"/>
    </row>
    <row r="2716" ht="22.5" customHeight="1">
      <c r="A2716" s="36" t="s">
        <v>6117</v>
      </c>
      <c r="B2716" s="36" t="s">
        <v>6118</v>
      </c>
      <c r="C2716" s="36" t="s">
        <v>1495</v>
      </c>
      <c r="D2716" s="36" t="s">
        <v>1496</v>
      </c>
      <c r="E2716" s="36" t="s">
        <v>287</v>
      </c>
      <c r="F2716" s="36" t="s">
        <v>286</v>
      </c>
      <c r="G2716" s="36" t="s">
        <v>411</v>
      </c>
      <c r="H2716" s="37">
        <v>40.68</v>
      </c>
      <c r="I2716" s="36" t="s">
        <v>1301</v>
      </c>
      <c r="J2716" s="39" t="s">
        <v>286</v>
      </c>
      <c r="K2716" s="38"/>
      <c r="L2716" s="38"/>
    </row>
    <row r="2717" ht="22.5" customHeight="1">
      <c r="A2717" s="36" t="s">
        <v>6119</v>
      </c>
      <c r="B2717" s="36" t="s">
        <v>6120</v>
      </c>
      <c r="C2717" s="36" t="s">
        <v>1495</v>
      </c>
      <c r="D2717" s="36" t="s">
        <v>1496</v>
      </c>
      <c r="E2717" s="36" t="s">
        <v>1285</v>
      </c>
      <c r="F2717" s="36" t="s">
        <v>286</v>
      </c>
      <c r="G2717" s="36" t="s">
        <v>411</v>
      </c>
      <c r="H2717" s="37">
        <v>51.25</v>
      </c>
      <c r="I2717" s="36" t="s">
        <v>1301</v>
      </c>
      <c r="J2717" s="39" t="s">
        <v>286</v>
      </c>
      <c r="K2717" s="38"/>
      <c r="L2717" s="38"/>
    </row>
    <row r="2718" ht="22.5" customHeight="1">
      <c r="A2718" s="36" t="s">
        <v>6121</v>
      </c>
      <c r="B2718" s="36" t="s">
        <v>6122</v>
      </c>
      <c r="C2718" s="36" t="s">
        <v>1495</v>
      </c>
      <c r="D2718" s="36" t="s">
        <v>1496</v>
      </c>
      <c r="E2718" s="36" t="s">
        <v>1285</v>
      </c>
      <c r="F2718" s="36" t="s">
        <v>286</v>
      </c>
      <c r="G2718" s="36" t="s">
        <v>411</v>
      </c>
      <c r="H2718" s="37">
        <v>52.92</v>
      </c>
      <c r="I2718" s="36" t="s">
        <v>1301</v>
      </c>
      <c r="J2718" s="39" t="s">
        <v>286</v>
      </c>
      <c r="K2718" s="38"/>
      <c r="L2718" s="38"/>
    </row>
    <row r="2719" ht="22.5" customHeight="1">
      <c r="A2719" s="36" t="s">
        <v>6123</v>
      </c>
      <c r="B2719" s="36" t="s">
        <v>6124</v>
      </c>
      <c r="C2719" s="36" t="s">
        <v>1495</v>
      </c>
      <c r="D2719" s="36" t="s">
        <v>1496</v>
      </c>
      <c r="E2719" s="36" t="s">
        <v>1285</v>
      </c>
      <c r="F2719" s="36" t="s">
        <v>286</v>
      </c>
      <c r="G2719" s="36" t="s">
        <v>411</v>
      </c>
      <c r="H2719" s="37">
        <v>26.74</v>
      </c>
      <c r="I2719" s="36" t="s">
        <v>1301</v>
      </c>
      <c r="J2719" s="39" t="s">
        <v>286</v>
      </c>
      <c r="K2719" s="38"/>
      <c r="L2719" s="38"/>
    </row>
    <row r="2720" ht="22.5" customHeight="1">
      <c r="A2720" s="36" t="s">
        <v>6125</v>
      </c>
      <c r="B2720" s="36" t="s">
        <v>6126</v>
      </c>
      <c r="C2720" s="36" t="s">
        <v>1495</v>
      </c>
      <c r="D2720" s="36" t="s">
        <v>1496</v>
      </c>
      <c r="E2720" s="36" t="s">
        <v>1285</v>
      </c>
      <c r="F2720" s="36" t="s">
        <v>286</v>
      </c>
      <c r="G2720" s="36" t="s">
        <v>411</v>
      </c>
      <c r="H2720" s="37">
        <v>2.81</v>
      </c>
      <c r="I2720" s="36" t="s">
        <v>1301</v>
      </c>
      <c r="J2720" s="39" t="s">
        <v>286</v>
      </c>
      <c r="K2720" s="38"/>
      <c r="L2720" s="38"/>
    </row>
    <row r="2721" ht="22.5" customHeight="1">
      <c r="A2721" s="36" t="s">
        <v>6127</v>
      </c>
      <c r="B2721" s="36" t="s">
        <v>6128</v>
      </c>
      <c r="C2721" s="36" t="s">
        <v>1495</v>
      </c>
      <c r="D2721" s="36" t="s">
        <v>1496</v>
      </c>
      <c r="E2721" s="36" t="s">
        <v>1285</v>
      </c>
      <c r="F2721" s="36" t="s">
        <v>286</v>
      </c>
      <c r="G2721" s="36" t="s">
        <v>411</v>
      </c>
      <c r="H2721" s="37">
        <v>367.98</v>
      </c>
      <c r="I2721" s="36" t="s">
        <v>1301</v>
      </c>
      <c r="J2721" s="39" t="s">
        <v>286</v>
      </c>
      <c r="K2721" s="38"/>
      <c r="L2721" s="38"/>
    </row>
    <row r="2722" ht="22.5" customHeight="1">
      <c r="A2722" s="36" t="s">
        <v>6129</v>
      </c>
      <c r="B2722" s="36" t="s">
        <v>6130</v>
      </c>
      <c r="C2722" s="36" t="s">
        <v>1495</v>
      </c>
      <c r="D2722" s="36" t="s">
        <v>1496</v>
      </c>
      <c r="E2722" s="36" t="s">
        <v>1285</v>
      </c>
      <c r="F2722" s="36" t="s">
        <v>286</v>
      </c>
      <c r="G2722" s="36" t="s">
        <v>411</v>
      </c>
      <c r="H2722" s="37">
        <v>188.0</v>
      </c>
      <c r="I2722" s="36" t="s">
        <v>1301</v>
      </c>
      <c r="J2722" s="39" t="s">
        <v>286</v>
      </c>
      <c r="K2722" s="38"/>
      <c r="L2722" s="38"/>
    </row>
    <row r="2723" ht="22.5" customHeight="1">
      <c r="A2723" s="36" t="s">
        <v>6131</v>
      </c>
      <c r="B2723" s="36" t="s">
        <v>6132</v>
      </c>
      <c r="C2723" s="36" t="s">
        <v>1495</v>
      </c>
      <c r="D2723" s="36" t="s">
        <v>1496</v>
      </c>
      <c r="E2723" s="36" t="s">
        <v>1285</v>
      </c>
      <c r="F2723" s="36" t="s">
        <v>286</v>
      </c>
      <c r="G2723" s="36" t="s">
        <v>411</v>
      </c>
      <c r="H2723" s="37">
        <v>42.0</v>
      </c>
      <c r="I2723" s="36" t="s">
        <v>1301</v>
      </c>
      <c r="J2723" s="39" t="s">
        <v>286</v>
      </c>
      <c r="K2723" s="38"/>
      <c r="L2723" s="38"/>
    </row>
    <row r="2724" ht="22.5" customHeight="1">
      <c r="A2724" s="36" t="s">
        <v>6133</v>
      </c>
      <c r="B2724" s="36" t="s">
        <v>6134</v>
      </c>
      <c r="C2724" s="36" t="s">
        <v>1495</v>
      </c>
      <c r="D2724" s="36" t="s">
        <v>1496</v>
      </c>
      <c r="E2724" s="36" t="s">
        <v>1285</v>
      </c>
      <c r="F2724" s="36" t="s">
        <v>286</v>
      </c>
      <c r="G2724" s="36" t="s">
        <v>411</v>
      </c>
      <c r="H2724" s="37">
        <v>42.0</v>
      </c>
      <c r="I2724" s="36" t="s">
        <v>1301</v>
      </c>
      <c r="J2724" s="39" t="s">
        <v>286</v>
      </c>
      <c r="K2724" s="38"/>
      <c r="L2724" s="38"/>
    </row>
    <row r="2725" ht="22.5" customHeight="1">
      <c r="A2725" s="36" t="s">
        <v>6135</v>
      </c>
      <c r="B2725" s="36" t="s">
        <v>6136</v>
      </c>
      <c r="C2725" s="36" t="s">
        <v>1495</v>
      </c>
      <c r="D2725" s="36" t="s">
        <v>1496</v>
      </c>
      <c r="E2725" s="36" t="s">
        <v>1285</v>
      </c>
      <c r="F2725" s="36" t="s">
        <v>286</v>
      </c>
      <c r="G2725" s="36" t="s">
        <v>411</v>
      </c>
      <c r="H2725" s="37">
        <v>598.98</v>
      </c>
      <c r="I2725" s="36" t="s">
        <v>1301</v>
      </c>
      <c r="J2725" s="39" t="s">
        <v>286</v>
      </c>
      <c r="K2725" s="38"/>
      <c r="L2725" s="38"/>
    </row>
    <row r="2726" ht="22.5" customHeight="1">
      <c r="A2726" s="36" t="s">
        <v>6137</v>
      </c>
      <c r="B2726" s="36" t="s">
        <v>6138</v>
      </c>
      <c r="C2726" s="36" t="s">
        <v>286</v>
      </c>
      <c r="D2726" s="36" t="s">
        <v>1363</v>
      </c>
      <c r="E2726" s="36" t="s">
        <v>1285</v>
      </c>
      <c r="F2726" s="36" t="s">
        <v>286</v>
      </c>
      <c r="G2726" s="36" t="s">
        <v>411</v>
      </c>
      <c r="H2726" s="37">
        <v>598.66</v>
      </c>
      <c r="I2726" s="36" t="s">
        <v>1301</v>
      </c>
      <c r="J2726" s="39" t="s">
        <v>286</v>
      </c>
      <c r="K2726" s="38"/>
      <c r="L2726" s="38"/>
    </row>
    <row r="2727" ht="22.5" customHeight="1">
      <c r="A2727" s="36" t="s">
        <v>6139</v>
      </c>
      <c r="B2727" s="36" t="s">
        <v>6140</v>
      </c>
      <c r="C2727" s="36" t="s">
        <v>1495</v>
      </c>
      <c r="D2727" s="36" t="s">
        <v>1496</v>
      </c>
      <c r="E2727" s="36" t="s">
        <v>1285</v>
      </c>
      <c r="F2727" s="36" t="s">
        <v>286</v>
      </c>
      <c r="G2727" s="36" t="s">
        <v>411</v>
      </c>
      <c r="H2727" s="37">
        <v>0.0</v>
      </c>
      <c r="I2727" s="36" t="s">
        <v>1301</v>
      </c>
      <c r="J2727" s="39" t="s">
        <v>286</v>
      </c>
      <c r="K2727" s="38"/>
      <c r="L2727" s="38"/>
    </row>
    <row r="2728" ht="22.5" customHeight="1">
      <c r="A2728" s="36" t="s">
        <v>6141</v>
      </c>
      <c r="B2728" s="36" t="s">
        <v>6142</v>
      </c>
      <c r="C2728" s="36" t="s">
        <v>1495</v>
      </c>
      <c r="D2728" s="36" t="s">
        <v>1496</v>
      </c>
      <c r="E2728" s="36" t="s">
        <v>1285</v>
      </c>
      <c r="F2728" s="36" t="s">
        <v>286</v>
      </c>
      <c r="G2728" s="36" t="s">
        <v>411</v>
      </c>
      <c r="H2728" s="37">
        <v>100.07</v>
      </c>
      <c r="I2728" s="36" t="s">
        <v>1301</v>
      </c>
      <c r="J2728" s="39" t="s">
        <v>286</v>
      </c>
      <c r="K2728" s="38"/>
      <c r="L2728" s="38"/>
    </row>
    <row r="2729" ht="22.5" customHeight="1">
      <c r="A2729" s="36" t="s">
        <v>6143</v>
      </c>
      <c r="B2729" s="36" t="s">
        <v>6144</v>
      </c>
      <c r="C2729" s="36" t="s">
        <v>1495</v>
      </c>
      <c r="D2729" s="36" t="s">
        <v>1496</v>
      </c>
      <c r="E2729" s="36" t="s">
        <v>1285</v>
      </c>
      <c r="F2729" s="36" t="s">
        <v>286</v>
      </c>
      <c r="G2729" s="36" t="s">
        <v>411</v>
      </c>
      <c r="H2729" s="37">
        <v>11.46</v>
      </c>
      <c r="I2729" s="36" t="s">
        <v>1301</v>
      </c>
      <c r="J2729" s="39" t="s">
        <v>286</v>
      </c>
      <c r="K2729" s="38"/>
      <c r="L2729" s="38"/>
    </row>
    <row r="2730" ht="22.5" customHeight="1">
      <c r="A2730" s="36" t="s">
        <v>6145</v>
      </c>
      <c r="B2730" s="36" t="s">
        <v>6146</v>
      </c>
      <c r="C2730" s="36" t="s">
        <v>1495</v>
      </c>
      <c r="D2730" s="36" t="s">
        <v>1496</v>
      </c>
      <c r="E2730" s="36" t="s">
        <v>1285</v>
      </c>
      <c r="F2730" s="36" t="s">
        <v>286</v>
      </c>
      <c r="G2730" s="36" t="s">
        <v>411</v>
      </c>
      <c r="H2730" s="37">
        <v>6.72</v>
      </c>
      <c r="I2730" s="36" t="s">
        <v>1301</v>
      </c>
      <c r="J2730" s="39" t="s">
        <v>286</v>
      </c>
      <c r="K2730" s="38"/>
      <c r="L2730" s="38"/>
    </row>
    <row r="2731" ht="22.5" customHeight="1">
      <c r="A2731" s="36" t="s">
        <v>6147</v>
      </c>
      <c r="B2731" s="36" t="s">
        <v>6148</v>
      </c>
      <c r="C2731" s="36" t="s">
        <v>1495</v>
      </c>
      <c r="D2731" s="36" t="s">
        <v>1496</v>
      </c>
      <c r="E2731" s="36" t="s">
        <v>1285</v>
      </c>
      <c r="F2731" s="36" t="s">
        <v>286</v>
      </c>
      <c r="G2731" s="36" t="s">
        <v>411</v>
      </c>
      <c r="H2731" s="37">
        <v>8.78</v>
      </c>
      <c r="I2731" s="36" t="s">
        <v>1301</v>
      </c>
      <c r="J2731" s="39" t="s">
        <v>286</v>
      </c>
      <c r="K2731" s="38"/>
      <c r="L2731" s="38"/>
    </row>
    <row r="2732" ht="22.5" customHeight="1">
      <c r="A2732" s="36" t="s">
        <v>6149</v>
      </c>
      <c r="B2732" s="36" t="s">
        <v>6150</v>
      </c>
      <c r="C2732" s="36" t="s">
        <v>1495</v>
      </c>
      <c r="D2732" s="36" t="s">
        <v>1496</v>
      </c>
      <c r="E2732" s="36" t="s">
        <v>1285</v>
      </c>
      <c r="F2732" s="36" t="s">
        <v>286</v>
      </c>
      <c r="G2732" s="36" t="s">
        <v>411</v>
      </c>
      <c r="H2732" s="37">
        <v>6.68</v>
      </c>
      <c r="I2732" s="36" t="s">
        <v>1301</v>
      </c>
      <c r="J2732" s="39" t="s">
        <v>286</v>
      </c>
      <c r="K2732" s="38"/>
      <c r="L2732" s="38"/>
    </row>
    <row r="2733" ht="22.5" customHeight="1">
      <c r="A2733" s="36" t="s">
        <v>6151</v>
      </c>
      <c r="B2733" s="36" t="s">
        <v>6152</v>
      </c>
      <c r="C2733" s="36" t="s">
        <v>1495</v>
      </c>
      <c r="D2733" s="36" t="s">
        <v>1496</v>
      </c>
      <c r="E2733" s="36" t="s">
        <v>1285</v>
      </c>
      <c r="F2733" s="36" t="s">
        <v>286</v>
      </c>
      <c r="G2733" s="36" t="s">
        <v>411</v>
      </c>
      <c r="H2733" s="37">
        <v>350.0</v>
      </c>
      <c r="I2733" s="36" t="s">
        <v>1301</v>
      </c>
      <c r="J2733" s="39" t="s">
        <v>286</v>
      </c>
      <c r="K2733" s="38"/>
      <c r="L2733" s="38"/>
    </row>
    <row r="2734" ht="22.5" customHeight="1">
      <c r="A2734" s="36" t="s">
        <v>6153</v>
      </c>
      <c r="B2734" s="36" t="s">
        <v>6154</v>
      </c>
      <c r="C2734" s="36" t="s">
        <v>1495</v>
      </c>
      <c r="D2734" s="36" t="s">
        <v>1496</v>
      </c>
      <c r="E2734" s="36" t="s">
        <v>1285</v>
      </c>
      <c r="F2734" s="36" t="s">
        <v>286</v>
      </c>
      <c r="G2734" s="36" t="s">
        <v>411</v>
      </c>
      <c r="H2734" s="37">
        <v>1.85</v>
      </c>
      <c r="I2734" s="36" t="s">
        <v>1301</v>
      </c>
      <c r="J2734" s="39" t="s">
        <v>286</v>
      </c>
      <c r="K2734" s="38"/>
      <c r="L2734" s="38"/>
    </row>
    <row r="2735" ht="22.5" customHeight="1">
      <c r="A2735" s="36" t="s">
        <v>6155</v>
      </c>
      <c r="B2735" s="36" t="s">
        <v>6156</v>
      </c>
      <c r="C2735" s="36" t="s">
        <v>1495</v>
      </c>
      <c r="D2735" s="36" t="s">
        <v>1496</v>
      </c>
      <c r="E2735" s="36" t="s">
        <v>1285</v>
      </c>
      <c r="F2735" s="36" t="s">
        <v>286</v>
      </c>
      <c r="G2735" s="36" t="s">
        <v>411</v>
      </c>
      <c r="H2735" s="37">
        <v>72.66</v>
      </c>
      <c r="I2735" s="36" t="s">
        <v>1301</v>
      </c>
      <c r="J2735" s="39" t="s">
        <v>286</v>
      </c>
      <c r="K2735" s="38"/>
      <c r="L2735" s="38"/>
    </row>
    <row r="2736" ht="22.5" customHeight="1">
      <c r="A2736" s="36" t="s">
        <v>6157</v>
      </c>
      <c r="B2736" s="36" t="s">
        <v>6158</v>
      </c>
      <c r="C2736" s="36" t="s">
        <v>1495</v>
      </c>
      <c r="D2736" s="36" t="s">
        <v>1496</v>
      </c>
      <c r="E2736" s="36" t="s">
        <v>1285</v>
      </c>
      <c r="F2736" s="36" t="s">
        <v>286</v>
      </c>
      <c r="G2736" s="36" t="s">
        <v>411</v>
      </c>
      <c r="H2736" s="37">
        <v>16.33</v>
      </c>
      <c r="I2736" s="36" t="s">
        <v>1301</v>
      </c>
      <c r="J2736" s="39" t="s">
        <v>286</v>
      </c>
      <c r="K2736" s="38"/>
      <c r="L2736" s="38"/>
    </row>
    <row r="2737" ht="22.5" customHeight="1">
      <c r="A2737" s="36" t="s">
        <v>6159</v>
      </c>
      <c r="B2737" s="36" t="s">
        <v>6160</v>
      </c>
      <c r="C2737" s="36" t="s">
        <v>1495</v>
      </c>
      <c r="D2737" s="36" t="s">
        <v>1496</v>
      </c>
      <c r="E2737" s="36" t="s">
        <v>1285</v>
      </c>
      <c r="F2737" s="36" t="s">
        <v>286</v>
      </c>
      <c r="G2737" s="36" t="s">
        <v>411</v>
      </c>
      <c r="H2737" s="37">
        <v>8.47</v>
      </c>
      <c r="I2737" s="36" t="s">
        <v>1301</v>
      </c>
      <c r="J2737" s="39" t="s">
        <v>286</v>
      </c>
      <c r="K2737" s="38"/>
      <c r="L2737" s="38"/>
    </row>
    <row r="2738" ht="22.5" customHeight="1">
      <c r="A2738" s="36" t="s">
        <v>6161</v>
      </c>
      <c r="B2738" s="36" t="s">
        <v>6162</v>
      </c>
      <c r="C2738" s="36" t="s">
        <v>1495</v>
      </c>
      <c r="D2738" s="36" t="s">
        <v>1496</v>
      </c>
      <c r="E2738" s="36" t="s">
        <v>1285</v>
      </c>
      <c r="F2738" s="36" t="s">
        <v>286</v>
      </c>
      <c r="G2738" s="36" t="s">
        <v>411</v>
      </c>
      <c r="H2738" s="37">
        <v>42.71</v>
      </c>
      <c r="I2738" s="36" t="s">
        <v>1301</v>
      </c>
      <c r="J2738" s="39" t="s">
        <v>286</v>
      </c>
      <c r="K2738" s="38"/>
      <c r="L2738" s="38"/>
    </row>
    <row r="2739" ht="22.5" customHeight="1">
      <c r="A2739" s="36" t="s">
        <v>6163</v>
      </c>
      <c r="B2739" s="36" t="s">
        <v>6164</v>
      </c>
      <c r="C2739" s="36" t="s">
        <v>1495</v>
      </c>
      <c r="D2739" s="36" t="s">
        <v>1496</v>
      </c>
      <c r="E2739" s="36" t="s">
        <v>1285</v>
      </c>
      <c r="F2739" s="36" t="s">
        <v>286</v>
      </c>
      <c r="G2739" s="36" t="s">
        <v>411</v>
      </c>
      <c r="H2739" s="37">
        <v>30.45</v>
      </c>
      <c r="I2739" s="36" t="s">
        <v>1301</v>
      </c>
      <c r="J2739" s="39" t="s">
        <v>286</v>
      </c>
      <c r="K2739" s="38"/>
      <c r="L2739" s="38"/>
    </row>
    <row r="2740" ht="22.5" customHeight="1">
      <c r="A2740" s="36" t="s">
        <v>6165</v>
      </c>
      <c r="B2740" s="36" t="s">
        <v>6166</v>
      </c>
      <c r="C2740" s="36" t="s">
        <v>1495</v>
      </c>
      <c r="D2740" s="36" t="s">
        <v>1496</v>
      </c>
      <c r="E2740" s="36" t="s">
        <v>287</v>
      </c>
      <c r="F2740" s="36" t="s">
        <v>286</v>
      </c>
      <c r="G2740" s="36" t="s">
        <v>1659</v>
      </c>
      <c r="H2740" s="37">
        <v>144.0</v>
      </c>
      <c r="I2740" s="36" t="s">
        <v>333</v>
      </c>
      <c r="J2740" s="39" t="s">
        <v>286</v>
      </c>
      <c r="K2740" s="38"/>
      <c r="L2740" s="38"/>
    </row>
    <row r="2741" ht="22.5" customHeight="1">
      <c r="A2741" s="36" t="s">
        <v>6167</v>
      </c>
      <c r="B2741" s="36" t="s">
        <v>6168</v>
      </c>
      <c r="C2741" s="36" t="s">
        <v>1495</v>
      </c>
      <c r="D2741" s="36" t="s">
        <v>1496</v>
      </c>
      <c r="E2741" s="36" t="s">
        <v>287</v>
      </c>
      <c r="F2741" s="36" t="s">
        <v>286</v>
      </c>
      <c r="G2741" s="36" t="s">
        <v>1659</v>
      </c>
      <c r="H2741" s="37">
        <v>102.0</v>
      </c>
      <c r="I2741" s="36" t="s">
        <v>333</v>
      </c>
      <c r="J2741" s="39" t="s">
        <v>286</v>
      </c>
      <c r="K2741" s="38"/>
      <c r="L2741" s="38"/>
    </row>
    <row r="2742" ht="22.5" customHeight="1">
      <c r="A2742" s="36" t="s">
        <v>6169</v>
      </c>
      <c r="B2742" s="36" t="s">
        <v>6170</v>
      </c>
      <c r="C2742" s="36" t="s">
        <v>1495</v>
      </c>
      <c r="D2742" s="36" t="s">
        <v>1496</v>
      </c>
      <c r="E2742" s="36" t="s">
        <v>287</v>
      </c>
      <c r="F2742" s="36" t="s">
        <v>286</v>
      </c>
      <c r="G2742" s="36" t="s">
        <v>1659</v>
      </c>
      <c r="H2742" s="37">
        <v>155.8</v>
      </c>
      <c r="I2742" s="36" t="s">
        <v>333</v>
      </c>
      <c r="J2742" s="39" t="s">
        <v>286</v>
      </c>
      <c r="K2742" s="38"/>
      <c r="L2742" s="38"/>
    </row>
    <row r="2743" ht="22.5" customHeight="1">
      <c r="A2743" s="36" t="s">
        <v>6171</v>
      </c>
      <c r="B2743" s="36" t="s">
        <v>6172</v>
      </c>
      <c r="C2743" s="36" t="s">
        <v>1495</v>
      </c>
      <c r="D2743" s="36" t="s">
        <v>1496</v>
      </c>
      <c r="E2743" s="36" t="s">
        <v>287</v>
      </c>
      <c r="F2743" s="36" t="s">
        <v>286</v>
      </c>
      <c r="G2743" s="36" t="s">
        <v>1659</v>
      </c>
      <c r="H2743" s="37">
        <v>59.95</v>
      </c>
      <c r="I2743" s="36" t="s">
        <v>333</v>
      </c>
      <c r="J2743" s="39" t="s">
        <v>286</v>
      </c>
      <c r="K2743" s="38"/>
      <c r="L2743" s="38"/>
    </row>
    <row r="2744" ht="22.5" customHeight="1">
      <c r="A2744" s="36" t="s">
        <v>6173</v>
      </c>
      <c r="B2744" s="36" t="s">
        <v>6174</v>
      </c>
      <c r="C2744" s="36" t="s">
        <v>1495</v>
      </c>
      <c r="D2744" s="36" t="s">
        <v>1496</v>
      </c>
      <c r="E2744" s="36" t="s">
        <v>287</v>
      </c>
      <c r="F2744" s="36" t="s">
        <v>286</v>
      </c>
      <c r="G2744" s="36" t="s">
        <v>411</v>
      </c>
      <c r="H2744" s="37">
        <v>9.78</v>
      </c>
      <c r="I2744" s="36" t="s">
        <v>1301</v>
      </c>
      <c r="J2744" s="39" t="s">
        <v>286</v>
      </c>
      <c r="K2744" s="38"/>
      <c r="L2744" s="38"/>
    </row>
    <row r="2745" ht="22.5" customHeight="1">
      <c r="A2745" s="36" t="s">
        <v>6175</v>
      </c>
      <c r="B2745" s="36" t="s">
        <v>6176</v>
      </c>
      <c r="C2745" s="36" t="s">
        <v>1495</v>
      </c>
      <c r="D2745" s="36" t="s">
        <v>1496</v>
      </c>
      <c r="E2745" s="36" t="s">
        <v>287</v>
      </c>
      <c r="F2745" s="36" t="s">
        <v>286</v>
      </c>
      <c r="G2745" s="36" t="s">
        <v>411</v>
      </c>
      <c r="H2745" s="37">
        <v>115.09</v>
      </c>
      <c r="I2745" s="36" t="s">
        <v>1301</v>
      </c>
      <c r="J2745" s="39" t="s">
        <v>286</v>
      </c>
      <c r="K2745" s="38"/>
      <c r="L2745" s="38"/>
    </row>
    <row r="2746" ht="22.5" customHeight="1">
      <c r="A2746" s="36" t="s">
        <v>6177</v>
      </c>
      <c r="B2746" s="36" t="s">
        <v>6178</v>
      </c>
      <c r="C2746" s="36" t="s">
        <v>286</v>
      </c>
      <c r="D2746" s="36" t="s">
        <v>286</v>
      </c>
      <c r="E2746" s="36" t="s">
        <v>287</v>
      </c>
      <c r="F2746" s="36" t="s">
        <v>286</v>
      </c>
      <c r="G2746" s="36" t="s">
        <v>411</v>
      </c>
      <c r="H2746" s="37">
        <v>230.18</v>
      </c>
      <c r="I2746" s="36" t="s">
        <v>1301</v>
      </c>
      <c r="J2746" s="39" t="s">
        <v>286</v>
      </c>
      <c r="K2746" s="38"/>
      <c r="L2746" s="38"/>
    </row>
    <row r="2747" ht="22.5" customHeight="1">
      <c r="A2747" s="36" t="s">
        <v>6179</v>
      </c>
      <c r="B2747" s="36" t="s">
        <v>6180</v>
      </c>
      <c r="C2747" s="36" t="s">
        <v>1495</v>
      </c>
      <c r="D2747" s="36" t="s">
        <v>1496</v>
      </c>
      <c r="E2747" s="36" t="s">
        <v>287</v>
      </c>
      <c r="F2747" s="36" t="s">
        <v>286</v>
      </c>
      <c r="G2747" s="36" t="s">
        <v>411</v>
      </c>
      <c r="H2747" s="37">
        <v>183.1</v>
      </c>
      <c r="I2747" s="36" t="s">
        <v>1301</v>
      </c>
      <c r="J2747" s="39" t="s">
        <v>286</v>
      </c>
      <c r="K2747" s="38"/>
      <c r="L2747" s="38"/>
    </row>
    <row r="2748" ht="22.5" customHeight="1">
      <c r="A2748" s="36" t="s">
        <v>6181</v>
      </c>
      <c r="B2748" s="36" t="s">
        <v>6182</v>
      </c>
      <c r="C2748" s="36" t="s">
        <v>1495</v>
      </c>
      <c r="D2748" s="36" t="s">
        <v>1496</v>
      </c>
      <c r="E2748" s="36" t="s">
        <v>287</v>
      </c>
      <c r="F2748" s="36" t="s">
        <v>286</v>
      </c>
      <c r="G2748" s="36" t="s">
        <v>411</v>
      </c>
      <c r="H2748" s="37">
        <v>123.98</v>
      </c>
      <c r="I2748" s="36" t="s">
        <v>1301</v>
      </c>
      <c r="J2748" s="39" t="s">
        <v>286</v>
      </c>
      <c r="K2748" s="38"/>
      <c r="L2748" s="38"/>
    </row>
    <row r="2749" ht="22.5" customHeight="1">
      <c r="A2749" s="36" t="s">
        <v>6183</v>
      </c>
      <c r="B2749" s="36" t="s">
        <v>6184</v>
      </c>
      <c r="C2749" s="36" t="s">
        <v>1495</v>
      </c>
      <c r="D2749" s="36" t="s">
        <v>1496</v>
      </c>
      <c r="E2749" s="36" t="s">
        <v>287</v>
      </c>
      <c r="F2749" s="36" t="s">
        <v>286</v>
      </c>
      <c r="G2749" s="36" t="s">
        <v>411</v>
      </c>
      <c r="H2749" s="37">
        <v>123.98</v>
      </c>
      <c r="I2749" s="36" t="s">
        <v>1301</v>
      </c>
      <c r="J2749" s="39" t="s">
        <v>286</v>
      </c>
      <c r="K2749" s="38"/>
      <c r="L2749" s="38"/>
    </row>
    <row r="2750" ht="22.5" customHeight="1">
      <c r="A2750" s="36" t="s">
        <v>6185</v>
      </c>
      <c r="B2750" s="36" t="s">
        <v>6186</v>
      </c>
      <c r="C2750" s="36" t="s">
        <v>1495</v>
      </c>
      <c r="D2750" s="36" t="s">
        <v>1496</v>
      </c>
      <c r="E2750" s="36" t="s">
        <v>287</v>
      </c>
      <c r="F2750" s="36" t="s">
        <v>286</v>
      </c>
      <c r="G2750" s="36" t="s">
        <v>411</v>
      </c>
      <c r="H2750" s="37">
        <v>119.5</v>
      </c>
      <c r="I2750" s="36" t="s">
        <v>1301</v>
      </c>
      <c r="J2750" s="39" t="s">
        <v>286</v>
      </c>
      <c r="K2750" s="38"/>
      <c r="L2750" s="38"/>
    </row>
    <row r="2751" ht="22.5" customHeight="1">
      <c r="A2751" s="36" t="s">
        <v>6187</v>
      </c>
      <c r="B2751" s="36" t="s">
        <v>6188</v>
      </c>
      <c r="C2751" s="36" t="s">
        <v>1495</v>
      </c>
      <c r="D2751" s="36" t="s">
        <v>1496</v>
      </c>
      <c r="E2751" s="36" t="s">
        <v>287</v>
      </c>
      <c r="F2751" s="36" t="s">
        <v>286</v>
      </c>
      <c r="G2751" s="36" t="s">
        <v>411</v>
      </c>
      <c r="H2751" s="37">
        <v>283.68</v>
      </c>
      <c r="I2751" s="36" t="s">
        <v>1301</v>
      </c>
      <c r="J2751" s="39" t="s">
        <v>286</v>
      </c>
      <c r="K2751" s="38"/>
      <c r="L2751" s="38"/>
    </row>
    <row r="2752" ht="22.5" customHeight="1">
      <c r="A2752" s="36" t="s">
        <v>6189</v>
      </c>
      <c r="B2752" s="36" t="s">
        <v>6190</v>
      </c>
      <c r="C2752" s="36" t="s">
        <v>1495</v>
      </c>
      <c r="D2752" s="36" t="s">
        <v>1496</v>
      </c>
      <c r="E2752" s="36" t="s">
        <v>287</v>
      </c>
      <c r="F2752" s="36" t="s">
        <v>286</v>
      </c>
      <c r="G2752" s="36" t="s">
        <v>411</v>
      </c>
      <c r="H2752" s="37">
        <v>38.43</v>
      </c>
      <c r="I2752" s="36" t="s">
        <v>1301</v>
      </c>
      <c r="J2752" s="39" t="s">
        <v>286</v>
      </c>
      <c r="K2752" s="38"/>
      <c r="L2752" s="38"/>
    </row>
    <row r="2753" ht="22.5" customHeight="1">
      <c r="A2753" s="36" t="s">
        <v>6191</v>
      </c>
      <c r="B2753" s="36" t="s">
        <v>6192</v>
      </c>
      <c r="C2753" s="36" t="s">
        <v>1495</v>
      </c>
      <c r="D2753" s="36" t="s">
        <v>1496</v>
      </c>
      <c r="E2753" s="36" t="s">
        <v>287</v>
      </c>
      <c r="F2753" s="36" t="s">
        <v>286</v>
      </c>
      <c r="G2753" s="36" t="s">
        <v>411</v>
      </c>
      <c r="H2753" s="37">
        <v>9.0</v>
      </c>
      <c r="I2753" s="36" t="s">
        <v>1301</v>
      </c>
      <c r="J2753" s="39" t="s">
        <v>286</v>
      </c>
      <c r="K2753" s="38"/>
      <c r="L2753" s="38"/>
    </row>
    <row r="2754" ht="22.5" customHeight="1">
      <c r="A2754" s="36" t="s">
        <v>6193</v>
      </c>
      <c r="B2754" s="36" t="s">
        <v>6194</v>
      </c>
      <c r="C2754" s="36" t="s">
        <v>1495</v>
      </c>
      <c r="D2754" s="36" t="s">
        <v>1496</v>
      </c>
      <c r="E2754" s="36" t="s">
        <v>287</v>
      </c>
      <c r="F2754" s="36" t="s">
        <v>286</v>
      </c>
      <c r="G2754" s="36" t="s">
        <v>411</v>
      </c>
      <c r="H2754" s="37">
        <v>9.0</v>
      </c>
      <c r="I2754" s="36" t="s">
        <v>1301</v>
      </c>
      <c r="J2754" s="39" t="s">
        <v>286</v>
      </c>
      <c r="K2754" s="38"/>
      <c r="L2754" s="38"/>
    </row>
    <row r="2755" ht="22.5" customHeight="1">
      <c r="A2755" s="36" t="s">
        <v>6195</v>
      </c>
      <c r="B2755" s="36" t="s">
        <v>6196</v>
      </c>
      <c r="C2755" s="36" t="s">
        <v>1495</v>
      </c>
      <c r="D2755" s="36" t="s">
        <v>1496</v>
      </c>
      <c r="E2755" s="36" t="s">
        <v>287</v>
      </c>
      <c r="F2755" s="36" t="s">
        <v>286</v>
      </c>
      <c r="G2755" s="36" t="s">
        <v>411</v>
      </c>
      <c r="H2755" s="37">
        <v>2.83</v>
      </c>
      <c r="I2755" s="36" t="s">
        <v>1301</v>
      </c>
      <c r="J2755" s="39" t="s">
        <v>286</v>
      </c>
      <c r="K2755" s="38"/>
      <c r="L2755" s="38"/>
    </row>
    <row r="2756" ht="22.5" customHeight="1">
      <c r="A2756" s="36" t="s">
        <v>6197</v>
      </c>
      <c r="B2756" s="36" t="s">
        <v>6198</v>
      </c>
      <c r="C2756" s="36" t="s">
        <v>1495</v>
      </c>
      <c r="D2756" s="36" t="s">
        <v>1496</v>
      </c>
      <c r="E2756" s="36" t="s">
        <v>287</v>
      </c>
      <c r="F2756" s="36" t="s">
        <v>286</v>
      </c>
      <c r="G2756" s="36" t="s">
        <v>411</v>
      </c>
      <c r="H2756" s="37">
        <v>2.52</v>
      </c>
      <c r="I2756" s="36" t="s">
        <v>1301</v>
      </c>
      <c r="J2756" s="39" t="s">
        <v>286</v>
      </c>
      <c r="K2756" s="38"/>
      <c r="L2756" s="38"/>
    </row>
    <row r="2757" ht="22.5" customHeight="1">
      <c r="A2757" s="36" t="s">
        <v>6199</v>
      </c>
      <c r="B2757" s="36" t="s">
        <v>6200</v>
      </c>
      <c r="C2757" s="36" t="s">
        <v>1495</v>
      </c>
      <c r="D2757" s="36" t="s">
        <v>1496</v>
      </c>
      <c r="E2757" s="36" t="s">
        <v>287</v>
      </c>
      <c r="F2757" s="36" t="s">
        <v>286</v>
      </c>
      <c r="G2757" s="36" t="s">
        <v>411</v>
      </c>
      <c r="H2757" s="37">
        <v>3.28</v>
      </c>
      <c r="I2757" s="36" t="s">
        <v>1301</v>
      </c>
      <c r="J2757" s="39" t="s">
        <v>286</v>
      </c>
      <c r="K2757" s="38"/>
      <c r="L2757" s="38"/>
    </row>
    <row r="2758" ht="22.5" customHeight="1">
      <c r="A2758" s="36" t="s">
        <v>6201</v>
      </c>
      <c r="B2758" s="36" t="s">
        <v>6202</v>
      </c>
      <c r="C2758" s="36" t="s">
        <v>1495</v>
      </c>
      <c r="D2758" s="36" t="s">
        <v>1496</v>
      </c>
      <c r="E2758" s="36" t="s">
        <v>287</v>
      </c>
      <c r="F2758" s="36" t="s">
        <v>286</v>
      </c>
      <c r="G2758" s="36" t="s">
        <v>411</v>
      </c>
      <c r="H2758" s="37">
        <v>19.0</v>
      </c>
      <c r="I2758" s="36" t="s">
        <v>1301</v>
      </c>
      <c r="J2758" s="39" t="s">
        <v>286</v>
      </c>
      <c r="K2758" s="38"/>
      <c r="L2758" s="38"/>
    </row>
    <row r="2759" ht="22.5" customHeight="1">
      <c r="A2759" s="36" t="s">
        <v>6203</v>
      </c>
      <c r="B2759" s="36" t="s">
        <v>6204</v>
      </c>
      <c r="C2759" s="36" t="s">
        <v>1495</v>
      </c>
      <c r="D2759" s="36" t="s">
        <v>1496</v>
      </c>
      <c r="E2759" s="36" t="s">
        <v>287</v>
      </c>
      <c r="F2759" s="36" t="s">
        <v>286</v>
      </c>
      <c r="G2759" s="36" t="s">
        <v>411</v>
      </c>
      <c r="H2759" s="37">
        <v>19.0</v>
      </c>
      <c r="I2759" s="36" t="s">
        <v>1301</v>
      </c>
      <c r="J2759" s="39" t="s">
        <v>286</v>
      </c>
      <c r="K2759" s="38"/>
      <c r="L2759" s="38"/>
    </row>
    <row r="2760" ht="22.5" customHeight="1">
      <c r="A2760" s="36" t="s">
        <v>6205</v>
      </c>
      <c r="B2760" s="36" t="s">
        <v>6206</v>
      </c>
      <c r="C2760" s="36" t="s">
        <v>1495</v>
      </c>
      <c r="D2760" s="36" t="s">
        <v>1496</v>
      </c>
      <c r="E2760" s="36" t="s">
        <v>287</v>
      </c>
      <c r="F2760" s="36" t="s">
        <v>286</v>
      </c>
      <c r="G2760" s="36" t="s">
        <v>411</v>
      </c>
      <c r="H2760" s="37">
        <v>14.86</v>
      </c>
      <c r="I2760" s="36" t="s">
        <v>1301</v>
      </c>
      <c r="J2760" s="39" t="s">
        <v>286</v>
      </c>
      <c r="K2760" s="38"/>
      <c r="L2760" s="38"/>
    </row>
    <row r="2761" ht="22.5" customHeight="1">
      <c r="A2761" s="36" t="s">
        <v>6207</v>
      </c>
      <c r="B2761" s="36" t="s">
        <v>6208</v>
      </c>
      <c r="C2761" s="36" t="s">
        <v>1495</v>
      </c>
      <c r="D2761" s="36" t="s">
        <v>1496</v>
      </c>
      <c r="E2761" s="36" t="s">
        <v>287</v>
      </c>
      <c r="F2761" s="36" t="s">
        <v>286</v>
      </c>
      <c r="G2761" s="36" t="s">
        <v>411</v>
      </c>
      <c r="H2761" s="37">
        <v>385.9</v>
      </c>
      <c r="I2761" s="36" t="s">
        <v>1301</v>
      </c>
      <c r="J2761" s="39" t="s">
        <v>286</v>
      </c>
      <c r="K2761" s="38"/>
      <c r="L2761" s="38"/>
    </row>
    <row r="2762" ht="22.5" customHeight="1">
      <c r="A2762" s="36" t="s">
        <v>6209</v>
      </c>
      <c r="B2762" s="36" t="s">
        <v>6210</v>
      </c>
      <c r="C2762" s="36" t="s">
        <v>1495</v>
      </c>
      <c r="D2762" s="36" t="s">
        <v>1496</v>
      </c>
      <c r="E2762" s="36" t="s">
        <v>287</v>
      </c>
      <c r="F2762" s="36" t="s">
        <v>286</v>
      </c>
      <c r="G2762" s="36" t="s">
        <v>411</v>
      </c>
      <c r="H2762" s="37">
        <v>46.87</v>
      </c>
      <c r="I2762" s="36" t="s">
        <v>1301</v>
      </c>
      <c r="J2762" s="39" t="s">
        <v>286</v>
      </c>
      <c r="K2762" s="38"/>
      <c r="L2762" s="38"/>
    </row>
    <row r="2763" ht="22.5" customHeight="1">
      <c r="A2763" s="36" t="s">
        <v>6211</v>
      </c>
      <c r="B2763" s="36" t="s">
        <v>6212</v>
      </c>
      <c r="C2763" s="36" t="s">
        <v>286</v>
      </c>
      <c r="D2763" s="36" t="s">
        <v>286</v>
      </c>
      <c r="E2763" s="36" t="s">
        <v>287</v>
      </c>
      <c r="F2763" s="36" t="s">
        <v>286</v>
      </c>
      <c r="G2763" s="36" t="s">
        <v>411</v>
      </c>
      <c r="H2763" s="37">
        <v>54.64</v>
      </c>
      <c r="I2763" s="36" t="s">
        <v>1301</v>
      </c>
      <c r="J2763" s="39" t="s">
        <v>286</v>
      </c>
      <c r="K2763" s="38"/>
      <c r="L2763" s="38"/>
    </row>
    <row r="2764" ht="22.5" customHeight="1">
      <c r="A2764" s="36" t="s">
        <v>6213</v>
      </c>
      <c r="B2764" s="36" t="s">
        <v>6214</v>
      </c>
      <c r="C2764" s="36" t="s">
        <v>1495</v>
      </c>
      <c r="D2764" s="36" t="s">
        <v>1496</v>
      </c>
      <c r="E2764" s="36" t="s">
        <v>287</v>
      </c>
      <c r="F2764" s="36" t="s">
        <v>286</v>
      </c>
      <c r="G2764" s="36" t="s">
        <v>411</v>
      </c>
      <c r="H2764" s="37">
        <v>53.08</v>
      </c>
      <c r="I2764" s="36" t="s">
        <v>1301</v>
      </c>
      <c r="J2764" s="39" t="s">
        <v>286</v>
      </c>
      <c r="K2764" s="38"/>
      <c r="L2764" s="38"/>
    </row>
    <row r="2765" ht="22.5" customHeight="1">
      <c r="A2765" s="36" t="s">
        <v>6215</v>
      </c>
      <c r="B2765" s="36" t="s">
        <v>6216</v>
      </c>
      <c r="C2765" s="36" t="s">
        <v>1495</v>
      </c>
      <c r="D2765" s="36" t="s">
        <v>1496</v>
      </c>
      <c r="E2765" s="36" t="s">
        <v>287</v>
      </c>
      <c r="F2765" s="36" t="s">
        <v>286</v>
      </c>
      <c r="G2765" s="36" t="s">
        <v>411</v>
      </c>
      <c r="H2765" s="37">
        <v>41.43</v>
      </c>
      <c r="I2765" s="36" t="s">
        <v>1301</v>
      </c>
      <c r="J2765" s="39" t="s">
        <v>286</v>
      </c>
      <c r="K2765" s="38"/>
      <c r="L2765" s="38"/>
    </row>
    <row r="2766" ht="22.5" customHeight="1">
      <c r="A2766" s="36" t="s">
        <v>6217</v>
      </c>
      <c r="B2766" s="36" t="s">
        <v>6218</v>
      </c>
      <c r="C2766" s="36" t="s">
        <v>1495</v>
      </c>
      <c r="D2766" s="36" t="s">
        <v>1496</v>
      </c>
      <c r="E2766" s="36" t="s">
        <v>287</v>
      </c>
      <c r="F2766" s="36" t="s">
        <v>286</v>
      </c>
      <c r="G2766" s="36" t="s">
        <v>411</v>
      </c>
      <c r="H2766" s="37">
        <v>18.0</v>
      </c>
      <c r="I2766" s="36" t="s">
        <v>1301</v>
      </c>
      <c r="J2766" s="39" t="s">
        <v>286</v>
      </c>
      <c r="K2766" s="38"/>
      <c r="L2766" s="38"/>
    </row>
    <row r="2767" ht="22.5" customHeight="1">
      <c r="A2767" s="36" t="s">
        <v>6219</v>
      </c>
      <c r="B2767" s="36" t="s">
        <v>6220</v>
      </c>
      <c r="C2767" s="36" t="s">
        <v>1495</v>
      </c>
      <c r="D2767" s="36" t="s">
        <v>1496</v>
      </c>
      <c r="E2767" s="36" t="s">
        <v>287</v>
      </c>
      <c r="F2767" s="36" t="s">
        <v>286</v>
      </c>
      <c r="G2767" s="36" t="s">
        <v>411</v>
      </c>
      <c r="H2767" s="37">
        <v>9.41</v>
      </c>
      <c r="I2767" s="36" t="s">
        <v>1301</v>
      </c>
      <c r="J2767" s="39" t="s">
        <v>286</v>
      </c>
      <c r="K2767" s="38"/>
      <c r="L2767" s="38"/>
    </row>
    <row r="2768" ht="22.5" customHeight="1">
      <c r="A2768" s="36" t="s">
        <v>6221</v>
      </c>
      <c r="B2768" s="36" t="s">
        <v>6222</v>
      </c>
      <c r="C2768" s="36" t="s">
        <v>1495</v>
      </c>
      <c r="D2768" s="36" t="s">
        <v>1496</v>
      </c>
      <c r="E2768" s="36" t="s">
        <v>287</v>
      </c>
      <c r="F2768" s="36" t="s">
        <v>286</v>
      </c>
      <c r="G2768" s="36" t="s">
        <v>411</v>
      </c>
      <c r="H2768" s="37">
        <v>16.07</v>
      </c>
      <c r="I2768" s="36" t="s">
        <v>1301</v>
      </c>
      <c r="J2768" s="39" t="s">
        <v>286</v>
      </c>
      <c r="K2768" s="38"/>
      <c r="L2768" s="38"/>
    </row>
    <row r="2769" ht="22.5" customHeight="1">
      <c r="A2769" s="36" t="s">
        <v>6223</v>
      </c>
      <c r="B2769" s="36" t="s">
        <v>6224</v>
      </c>
      <c r="C2769" s="36" t="s">
        <v>1495</v>
      </c>
      <c r="D2769" s="36" t="s">
        <v>1496</v>
      </c>
      <c r="E2769" s="36" t="s">
        <v>287</v>
      </c>
      <c r="F2769" s="36" t="s">
        <v>286</v>
      </c>
      <c r="G2769" s="36" t="s">
        <v>411</v>
      </c>
      <c r="H2769" s="37">
        <v>14.96</v>
      </c>
      <c r="I2769" s="36" t="s">
        <v>1301</v>
      </c>
      <c r="J2769" s="39" t="s">
        <v>286</v>
      </c>
      <c r="K2769" s="38"/>
      <c r="L2769" s="38"/>
    </row>
    <row r="2770" ht="22.5" customHeight="1">
      <c r="A2770" s="36" t="s">
        <v>6225</v>
      </c>
      <c r="B2770" s="36" t="s">
        <v>6226</v>
      </c>
      <c r="C2770" s="36" t="s">
        <v>1495</v>
      </c>
      <c r="D2770" s="36" t="s">
        <v>1496</v>
      </c>
      <c r="E2770" s="36" t="s">
        <v>287</v>
      </c>
      <c r="F2770" s="36" t="s">
        <v>286</v>
      </c>
      <c r="G2770" s="36" t="s">
        <v>411</v>
      </c>
      <c r="H2770" s="37">
        <v>17.7</v>
      </c>
      <c r="I2770" s="36" t="s">
        <v>1301</v>
      </c>
      <c r="J2770" s="39" t="s">
        <v>286</v>
      </c>
      <c r="K2770" s="38"/>
      <c r="L2770" s="38"/>
    </row>
    <row r="2771" ht="22.5" customHeight="1">
      <c r="A2771" s="36" t="s">
        <v>6227</v>
      </c>
      <c r="B2771" s="36" t="s">
        <v>6228</v>
      </c>
      <c r="C2771" s="36" t="s">
        <v>1495</v>
      </c>
      <c r="D2771" s="36" t="s">
        <v>1496</v>
      </c>
      <c r="E2771" s="36" t="s">
        <v>287</v>
      </c>
      <c r="F2771" s="36" t="s">
        <v>286</v>
      </c>
      <c r="G2771" s="36" t="s">
        <v>411</v>
      </c>
      <c r="H2771" s="37">
        <v>358.68</v>
      </c>
      <c r="I2771" s="36" t="s">
        <v>1301</v>
      </c>
      <c r="J2771" s="39" t="s">
        <v>286</v>
      </c>
      <c r="K2771" s="38"/>
      <c r="L2771" s="38"/>
    </row>
    <row r="2772" ht="22.5" customHeight="1">
      <c r="A2772" s="36" t="s">
        <v>6229</v>
      </c>
      <c r="B2772" s="36" t="s">
        <v>6230</v>
      </c>
      <c r="C2772" s="36" t="s">
        <v>1495</v>
      </c>
      <c r="D2772" s="36" t="s">
        <v>1496</v>
      </c>
      <c r="E2772" s="36" t="s">
        <v>287</v>
      </c>
      <c r="F2772" s="36" t="s">
        <v>286</v>
      </c>
      <c r="G2772" s="36" t="s">
        <v>411</v>
      </c>
      <c r="H2772" s="37">
        <v>213.35</v>
      </c>
      <c r="I2772" s="36" t="s">
        <v>1301</v>
      </c>
      <c r="J2772" s="39" t="s">
        <v>286</v>
      </c>
      <c r="K2772" s="38"/>
      <c r="L2772" s="38"/>
    </row>
    <row r="2773" ht="22.5" customHeight="1">
      <c r="A2773" s="36" t="s">
        <v>6231</v>
      </c>
      <c r="B2773" s="36" t="s">
        <v>6232</v>
      </c>
      <c r="C2773" s="36" t="s">
        <v>1495</v>
      </c>
      <c r="D2773" s="36" t="s">
        <v>1496</v>
      </c>
      <c r="E2773" s="36" t="s">
        <v>287</v>
      </c>
      <c r="F2773" s="36" t="s">
        <v>286</v>
      </c>
      <c r="G2773" s="36" t="s">
        <v>411</v>
      </c>
      <c r="H2773" s="37">
        <v>55.17</v>
      </c>
      <c r="I2773" s="36" t="s">
        <v>1301</v>
      </c>
      <c r="J2773" s="39" t="s">
        <v>286</v>
      </c>
      <c r="K2773" s="38"/>
      <c r="L2773" s="38"/>
    </row>
    <row r="2774" ht="22.5" customHeight="1">
      <c r="A2774" s="36" t="s">
        <v>6233</v>
      </c>
      <c r="B2774" s="36" t="s">
        <v>6234</v>
      </c>
      <c r="C2774" s="36" t="s">
        <v>1495</v>
      </c>
      <c r="D2774" s="36" t="s">
        <v>1496</v>
      </c>
      <c r="E2774" s="36" t="s">
        <v>287</v>
      </c>
      <c r="F2774" s="36" t="s">
        <v>286</v>
      </c>
      <c r="G2774" s="36" t="s">
        <v>411</v>
      </c>
      <c r="H2774" s="37">
        <v>51.43</v>
      </c>
      <c r="I2774" s="36" t="s">
        <v>1301</v>
      </c>
      <c r="J2774" s="39" t="s">
        <v>286</v>
      </c>
      <c r="K2774" s="38"/>
      <c r="L2774" s="38"/>
    </row>
    <row r="2775" ht="22.5" customHeight="1">
      <c r="A2775" s="36" t="s">
        <v>6235</v>
      </c>
      <c r="B2775" s="36" t="s">
        <v>6236</v>
      </c>
      <c r="C2775" s="36" t="s">
        <v>1495</v>
      </c>
      <c r="D2775" s="36" t="s">
        <v>1496</v>
      </c>
      <c r="E2775" s="36" t="s">
        <v>287</v>
      </c>
      <c r="F2775" s="36" t="s">
        <v>286</v>
      </c>
      <c r="G2775" s="36" t="s">
        <v>411</v>
      </c>
      <c r="H2775" s="37">
        <v>15.03</v>
      </c>
      <c r="I2775" s="36" t="s">
        <v>1301</v>
      </c>
      <c r="J2775" s="39" t="s">
        <v>286</v>
      </c>
      <c r="K2775" s="38"/>
      <c r="L2775" s="38"/>
    </row>
    <row r="2776" ht="22.5" customHeight="1">
      <c r="A2776" s="36" t="s">
        <v>6237</v>
      </c>
      <c r="B2776" s="36" t="s">
        <v>6238</v>
      </c>
      <c r="C2776" s="36" t="s">
        <v>1495</v>
      </c>
      <c r="D2776" s="36" t="s">
        <v>1496</v>
      </c>
      <c r="E2776" s="36" t="s">
        <v>287</v>
      </c>
      <c r="F2776" s="36" t="s">
        <v>286</v>
      </c>
      <c r="G2776" s="36" t="s">
        <v>411</v>
      </c>
      <c r="H2776" s="37">
        <v>10.53</v>
      </c>
      <c r="I2776" s="36" t="s">
        <v>1301</v>
      </c>
      <c r="J2776" s="39" t="s">
        <v>286</v>
      </c>
      <c r="K2776" s="38"/>
      <c r="L2776" s="38"/>
    </row>
    <row r="2777" ht="22.5" customHeight="1">
      <c r="A2777" s="36" t="s">
        <v>6239</v>
      </c>
      <c r="B2777" s="36" t="s">
        <v>6240</v>
      </c>
      <c r="C2777" s="36" t="s">
        <v>1495</v>
      </c>
      <c r="D2777" s="36" t="s">
        <v>1496</v>
      </c>
      <c r="E2777" s="36" t="s">
        <v>287</v>
      </c>
      <c r="F2777" s="36" t="s">
        <v>286</v>
      </c>
      <c r="G2777" s="36" t="s">
        <v>411</v>
      </c>
      <c r="H2777" s="37">
        <v>31.22</v>
      </c>
      <c r="I2777" s="36" t="s">
        <v>1301</v>
      </c>
      <c r="J2777" s="39" t="s">
        <v>286</v>
      </c>
      <c r="K2777" s="38"/>
      <c r="L2777" s="38"/>
    </row>
    <row r="2778" ht="22.5" customHeight="1">
      <c r="A2778" s="36" t="s">
        <v>6241</v>
      </c>
      <c r="B2778" s="36" t="s">
        <v>6242</v>
      </c>
      <c r="C2778" s="36" t="s">
        <v>1495</v>
      </c>
      <c r="D2778" s="36" t="s">
        <v>1496</v>
      </c>
      <c r="E2778" s="36" t="s">
        <v>287</v>
      </c>
      <c r="F2778" s="36" t="s">
        <v>286</v>
      </c>
      <c r="G2778" s="36" t="s">
        <v>411</v>
      </c>
      <c r="H2778" s="37">
        <v>32.54</v>
      </c>
      <c r="I2778" s="36" t="s">
        <v>1301</v>
      </c>
      <c r="J2778" s="39" t="s">
        <v>286</v>
      </c>
      <c r="K2778" s="38"/>
      <c r="L2778" s="38"/>
    </row>
    <row r="2779" ht="22.5" customHeight="1">
      <c r="A2779" s="36" t="s">
        <v>6243</v>
      </c>
      <c r="B2779" s="36" t="s">
        <v>6244</v>
      </c>
      <c r="C2779" s="36" t="s">
        <v>1495</v>
      </c>
      <c r="D2779" s="36" t="s">
        <v>1496</v>
      </c>
      <c r="E2779" s="36" t="s">
        <v>287</v>
      </c>
      <c r="F2779" s="36" t="s">
        <v>286</v>
      </c>
      <c r="G2779" s="36" t="s">
        <v>411</v>
      </c>
      <c r="H2779" s="37">
        <v>22.46</v>
      </c>
      <c r="I2779" s="36" t="s">
        <v>1301</v>
      </c>
      <c r="J2779" s="39" t="s">
        <v>286</v>
      </c>
      <c r="K2779" s="38"/>
      <c r="L2779" s="38"/>
    </row>
    <row r="2780" ht="22.5" customHeight="1">
      <c r="A2780" s="36" t="s">
        <v>6245</v>
      </c>
      <c r="B2780" s="36" t="s">
        <v>6246</v>
      </c>
      <c r="C2780" s="36" t="s">
        <v>1495</v>
      </c>
      <c r="D2780" s="36" t="s">
        <v>1496</v>
      </c>
      <c r="E2780" s="36" t="s">
        <v>287</v>
      </c>
      <c r="F2780" s="36" t="s">
        <v>286</v>
      </c>
      <c r="G2780" s="36" t="s">
        <v>411</v>
      </c>
      <c r="H2780" s="37">
        <v>22.99</v>
      </c>
      <c r="I2780" s="36" t="s">
        <v>1301</v>
      </c>
      <c r="J2780" s="39" t="s">
        <v>286</v>
      </c>
      <c r="K2780" s="38"/>
      <c r="L2780" s="38"/>
    </row>
    <row r="2781" ht="22.5" customHeight="1">
      <c r="A2781" s="36" t="s">
        <v>6247</v>
      </c>
      <c r="B2781" s="36" t="s">
        <v>6248</v>
      </c>
      <c r="C2781" s="36" t="s">
        <v>1495</v>
      </c>
      <c r="D2781" s="36" t="s">
        <v>1496</v>
      </c>
      <c r="E2781" s="36" t="s">
        <v>287</v>
      </c>
      <c r="F2781" s="36" t="s">
        <v>286</v>
      </c>
      <c r="G2781" s="36" t="s">
        <v>411</v>
      </c>
      <c r="H2781" s="37">
        <v>9.17</v>
      </c>
      <c r="I2781" s="36" t="s">
        <v>1301</v>
      </c>
      <c r="J2781" s="39" t="s">
        <v>286</v>
      </c>
      <c r="K2781" s="38"/>
      <c r="L2781" s="38"/>
    </row>
    <row r="2782" ht="22.5" customHeight="1">
      <c r="A2782" s="36" t="s">
        <v>6249</v>
      </c>
      <c r="B2782" s="36" t="s">
        <v>6250</v>
      </c>
      <c r="C2782" s="36" t="s">
        <v>1495</v>
      </c>
      <c r="D2782" s="36" t="s">
        <v>1496</v>
      </c>
      <c r="E2782" s="36" t="s">
        <v>287</v>
      </c>
      <c r="F2782" s="36" t="s">
        <v>286</v>
      </c>
      <c r="G2782" s="36" t="s">
        <v>411</v>
      </c>
      <c r="H2782" s="37">
        <v>4.31</v>
      </c>
      <c r="I2782" s="36" t="s">
        <v>1301</v>
      </c>
      <c r="J2782" s="39" t="s">
        <v>286</v>
      </c>
      <c r="K2782" s="38"/>
      <c r="L2782" s="38"/>
    </row>
    <row r="2783" ht="22.5" customHeight="1">
      <c r="A2783" s="36" t="s">
        <v>6251</v>
      </c>
      <c r="B2783" s="36" t="s">
        <v>6252</v>
      </c>
      <c r="C2783" s="36" t="s">
        <v>1495</v>
      </c>
      <c r="D2783" s="36" t="s">
        <v>1496</v>
      </c>
      <c r="E2783" s="36" t="s">
        <v>1285</v>
      </c>
      <c r="F2783" s="36" t="s">
        <v>286</v>
      </c>
      <c r="G2783" s="36" t="s">
        <v>411</v>
      </c>
      <c r="H2783" s="37">
        <v>10.08</v>
      </c>
      <c r="I2783" s="36" t="s">
        <v>1301</v>
      </c>
      <c r="J2783" s="39" t="s">
        <v>286</v>
      </c>
      <c r="K2783" s="38"/>
      <c r="L2783" s="38"/>
    </row>
    <row r="2784" ht="22.5" customHeight="1">
      <c r="A2784" s="36" t="s">
        <v>6253</v>
      </c>
      <c r="B2784" s="36" t="s">
        <v>6254</v>
      </c>
      <c r="C2784" s="36" t="s">
        <v>1495</v>
      </c>
      <c r="D2784" s="36" t="s">
        <v>1496</v>
      </c>
      <c r="E2784" s="36" t="s">
        <v>1285</v>
      </c>
      <c r="F2784" s="36" t="s">
        <v>286</v>
      </c>
      <c r="G2784" s="36" t="s">
        <v>411</v>
      </c>
      <c r="H2784" s="37">
        <v>4.31</v>
      </c>
      <c r="I2784" s="36" t="s">
        <v>1301</v>
      </c>
      <c r="J2784" s="39" t="s">
        <v>286</v>
      </c>
      <c r="K2784" s="38"/>
      <c r="L2784" s="38"/>
    </row>
    <row r="2785" ht="22.5" customHeight="1">
      <c r="A2785" s="36" t="s">
        <v>6255</v>
      </c>
      <c r="B2785" s="36" t="s">
        <v>6256</v>
      </c>
      <c r="C2785" s="36" t="s">
        <v>286</v>
      </c>
      <c r="D2785" s="36" t="s">
        <v>286</v>
      </c>
      <c r="E2785" s="36" t="s">
        <v>287</v>
      </c>
      <c r="F2785" s="36" t="s">
        <v>286</v>
      </c>
      <c r="G2785" s="36" t="s">
        <v>411</v>
      </c>
      <c r="H2785" s="37">
        <v>10.64</v>
      </c>
      <c r="I2785" s="36" t="s">
        <v>1301</v>
      </c>
      <c r="J2785" s="39" t="s">
        <v>286</v>
      </c>
      <c r="K2785" s="38"/>
      <c r="L2785" s="38"/>
    </row>
    <row r="2786" ht="22.5" customHeight="1">
      <c r="A2786" s="36" t="s">
        <v>6257</v>
      </c>
      <c r="B2786" s="36" t="s">
        <v>6258</v>
      </c>
      <c r="C2786" s="36" t="s">
        <v>1495</v>
      </c>
      <c r="D2786" s="36" t="s">
        <v>1496</v>
      </c>
      <c r="E2786" s="36" t="s">
        <v>1285</v>
      </c>
      <c r="F2786" s="36" t="s">
        <v>286</v>
      </c>
      <c r="G2786" s="36" t="s">
        <v>411</v>
      </c>
      <c r="H2786" s="37">
        <v>3.69</v>
      </c>
      <c r="I2786" s="36" t="s">
        <v>1301</v>
      </c>
      <c r="J2786" s="39" t="s">
        <v>286</v>
      </c>
      <c r="K2786" s="38"/>
      <c r="L2786" s="38"/>
    </row>
    <row r="2787" ht="22.5" customHeight="1">
      <c r="A2787" s="36" t="s">
        <v>6259</v>
      </c>
      <c r="B2787" s="36" t="s">
        <v>6260</v>
      </c>
      <c r="C2787" s="36" t="s">
        <v>1495</v>
      </c>
      <c r="D2787" s="36" t="s">
        <v>1496</v>
      </c>
      <c r="E2787" s="36" t="s">
        <v>1285</v>
      </c>
      <c r="F2787" s="36" t="s">
        <v>286</v>
      </c>
      <c r="G2787" s="36" t="s">
        <v>411</v>
      </c>
      <c r="H2787" s="37">
        <v>4.57</v>
      </c>
      <c r="I2787" s="36" t="s">
        <v>1301</v>
      </c>
      <c r="J2787" s="39" t="s">
        <v>286</v>
      </c>
      <c r="K2787" s="38"/>
      <c r="L2787" s="38"/>
    </row>
    <row r="2788" ht="22.5" customHeight="1">
      <c r="A2788" s="36" t="s">
        <v>6261</v>
      </c>
      <c r="B2788" s="36" t="s">
        <v>6262</v>
      </c>
      <c r="C2788" s="36" t="s">
        <v>1495</v>
      </c>
      <c r="D2788" s="36" t="s">
        <v>1496</v>
      </c>
      <c r="E2788" s="36" t="s">
        <v>1285</v>
      </c>
      <c r="F2788" s="36" t="s">
        <v>286</v>
      </c>
      <c r="G2788" s="36" t="s">
        <v>411</v>
      </c>
      <c r="H2788" s="37">
        <v>9.61</v>
      </c>
      <c r="I2788" s="36" t="s">
        <v>1301</v>
      </c>
      <c r="J2788" s="39" t="s">
        <v>286</v>
      </c>
      <c r="K2788" s="38"/>
      <c r="L2788" s="38"/>
    </row>
    <row r="2789" ht="22.5" customHeight="1">
      <c r="A2789" s="36" t="s">
        <v>6263</v>
      </c>
      <c r="B2789" s="36" t="s">
        <v>6264</v>
      </c>
      <c r="C2789" s="36" t="s">
        <v>1495</v>
      </c>
      <c r="D2789" s="36" t="s">
        <v>1496</v>
      </c>
      <c r="E2789" s="36" t="s">
        <v>1285</v>
      </c>
      <c r="F2789" s="36" t="s">
        <v>286</v>
      </c>
      <c r="G2789" s="36" t="s">
        <v>411</v>
      </c>
      <c r="H2789" s="37">
        <v>224.51</v>
      </c>
      <c r="I2789" s="36" t="s">
        <v>1301</v>
      </c>
      <c r="J2789" s="39" t="s">
        <v>286</v>
      </c>
      <c r="K2789" s="38"/>
      <c r="L2789" s="38"/>
    </row>
    <row r="2790" ht="22.5" customHeight="1">
      <c r="A2790" s="36" t="s">
        <v>6265</v>
      </c>
      <c r="B2790" s="36" t="s">
        <v>6266</v>
      </c>
      <c r="C2790" s="36" t="s">
        <v>286</v>
      </c>
      <c r="D2790" s="36" t="s">
        <v>286</v>
      </c>
      <c r="E2790" s="36" t="s">
        <v>287</v>
      </c>
      <c r="F2790" s="36" t="s">
        <v>286</v>
      </c>
      <c r="G2790" s="36" t="s">
        <v>411</v>
      </c>
      <c r="H2790" s="37">
        <v>96.06</v>
      </c>
      <c r="I2790" s="36" t="s">
        <v>1301</v>
      </c>
      <c r="J2790" s="39" t="s">
        <v>286</v>
      </c>
      <c r="K2790" s="38"/>
      <c r="L2790" s="38"/>
    </row>
    <row r="2791" ht="22.5" customHeight="1">
      <c r="A2791" s="36" t="s">
        <v>6267</v>
      </c>
      <c r="B2791" s="36" t="s">
        <v>6268</v>
      </c>
      <c r="C2791" s="36" t="s">
        <v>1495</v>
      </c>
      <c r="D2791" s="36" t="s">
        <v>1496</v>
      </c>
      <c r="E2791" s="36" t="s">
        <v>1285</v>
      </c>
      <c r="F2791" s="36" t="s">
        <v>286</v>
      </c>
      <c r="G2791" s="36" t="s">
        <v>411</v>
      </c>
      <c r="H2791" s="37">
        <v>68.96</v>
      </c>
      <c r="I2791" s="36" t="s">
        <v>1301</v>
      </c>
      <c r="J2791" s="39" t="s">
        <v>286</v>
      </c>
      <c r="K2791" s="38"/>
      <c r="L2791" s="38"/>
    </row>
    <row r="2792" ht="22.5" customHeight="1">
      <c r="A2792" s="36" t="s">
        <v>6269</v>
      </c>
      <c r="B2792" s="36" t="s">
        <v>6270</v>
      </c>
      <c r="C2792" s="36" t="s">
        <v>1495</v>
      </c>
      <c r="D2792" s="36" t="s">
        <v>1496</v>
      </c>
      <c r="E2792" s="36" t="s">
        <v>1285</v>
      </c>
      <c r="F2792" s="36" t="s">
        <v>286</v>
      </c>
      <c r="G2792" s="36" t="s">
        <v>411</v>
      </c>
      <c r="H2792" s="37">
        <v>3.61</v>
      </c>
      <c r="I2792" s="36" t="s">
        <v>1301</v>
      </c>
      <c r="J2792" s="39" t="s">
        <v>286</v>
      </c>
      <c r="K2792" s="38"/>
      <c r="L2792" s="38"/>
    </row>
    <row r="2793" ht="22.5" customHeight="1">
      <c r="A2793" s="36" t="s">
        <v>6271</v>
      </c>
      <c r="B2793" s="36" t="s">
        <v>6272</v>
      </c>
      <c r="C2793" s="36" t="s">
        <v>1495</v>
      </c>
      <c r="D2793" s="36" t="s">
        <v>1496</v>
      </c>
      <c r="E2793" s="36" t="s">
        <v>1285</v>
      </c>
      <c r="F2793" s="36" t="s">
        <v>286</v>
      </c>
      <c r="G2793" s="36" t="s">
        <v>411</v>
      </c>
      <c r="H2793" s="37">
        <v>8.62</v>
      </c>
      <c r="I2793" s="36" t="s">
        <v>1301</v>
      </c>
      <c r="J2793" s="39" t="s">
        <v>286</v>
      </c>
      <c r="K2793" s="38"/>
      <c r="L2793" s="38"/>
    </row>
    <row r="2794" ht="22.5" customHeight="1">
      <c r="A2794" s="36" t="s">
        <v>6273</v>
      </c>
      <c r="B2794" s="36" t="s">
        <v>6274</v>
      </c>
      <c r="C2794" s="36" t="s">
        <v>1495</v>
      </c>
      <c r="D2794" s="36" t="s">
        <v>1496</v>
      </c>
      <c r="E2794" s="36" t="s">
        <v>1285</v>
      </c>
      <c r="F2794" s="36" t="s">
        <v>286</v>
      </c>
      <c r="G2794" s="36" t="s">
        <v>411</v>
      </c>
      <c r="H2794" s="37">
        <v>4.27</v>
      </c>
      <c r="I2794" s="36" t="s">
        <v>1301</v>
      </c>
      <c r="J2794" s="39" t="s">
        <v>286</v>
      </c>
      <c r="K2794" s="38"/>
      <c r="L2794" s="38"/>
    </row>
    <row r="2795" ht="22.5" customHeight="1">
      <c r="A2795" s="36" t="s">
        <v>6275</v>
      </c>
      <c r="B2795" s="36" t="s">
        <v>6276</v>
      </c>
      <c r="C2795" s="36" t="s">
        <v>1495</v>
      </c>
      <c r="D2795" s="36" t="s">
        <v>1496</v>
      </c>
      <c r="E2795" s="36" t="s">
        <v>1285</v>
      </c>
      <c r="F2795" s="36" t="s">
        <v>286</v>
      </c>
      <c r="G2795" s="36" t="s">
        <v>411</v>
      </c>
      <c r="H2795" s="37">
        <v>4.53</v>
      </c>
      <c r="I2795" s="36" t="s">
        <v>1301</v>
      </c>
      <c r="J2795" s="39" t="s">
        <v>286</v>
      </c>
      <c r="K2795" s="38"/>
      <c r="L2795" s="38"/>
    </row>
    <row r="2796" ht="22.5" customHeight="1">
      <c r="A2796" s="36" t="s">
        <v>6277</v>
      </c>
      <c r="B2796" s="36" t="s">
        <v>6278</v>
      </c>
      <c r="C2796" s="36" t="s">
        <v>1495</v>
      </c>
      <c r="D2796" s="36" t="s">
        <v>1496</v>
      </c>
      <c r="E2796" s="36" t="s">
        <v>1285</v>
      </c>
      <c r="F2796" s="36" t="s">
        <v>286</v>
      </c>
      <c r="G2796" s="36" t="s">
        <v>411</v>
      </c>
      <c r="H2796" s="37">
        <v>24.85</v>
      </c>
      <c r="I2796" s="36" t="s">
        <v>1301</v>
      </c>
      <c r="J2796" s="39" t="s">
        <v>286</v>
      </c>
      <c r="K2796" s="38"/>
      <c r="L2796" s="38"/>
    </row>
    <row r="2797" ht="22.5" customHeight="1">
      <c r="A2797" s="36" t="s">
        <v>6279</v>
      </c>
      <c r="B2797" s="36" t="s">
        <v>6280</v>
      </c>
      <c r="C2797" s="36" t="s">
        <v>1495</v>
      </c>
      <c r="D2797" s="36" t="s">
        <v>1496</v>
      </c>
      <c r="E2797" s="36" t="s">
        <v>1285</v>
      </c>
      <c r="F2797" s="36" t="s">
        <v>286</v>
      </c>
      <c r="G2797" s="36" t="s">
        <v>411</v>
      </c>
      <c r="H2797" s="37">
        <v>39.68</v>
      </c>
      <c r="I2797" s="36" t="s">
        <v>1301</v>
      </c>
      <c r="J2797" s="39" t="s">
        <v>286</v>
      </c>
      <c r="K2797" s="38"/>
      <c r="L2797" s="38"/>
    </row>
    <row r="2798" ht="22.5" customHeight="1">
      <c r="A2798" s="36" t="s">
        <v>6281</v>
      </c>
      <c r="B2798" s="36" t="s">
        <v>6282</v>
      </c>
      <c r="C2798" s="36" t="s">
        <v>1495</v>
      </c>
      <c r="D2798" s="36" t="s">
        <v>1496</v>
      </c>
      <c r="E2798" s="36" t="s">
        <v>1285</v>
      </c>
      <c r="F2798" s="36" t="s">
        <v>286</v>
      </c>
      <c r="G2798" s="36" t="s">
        <v>411</v>
      </c>
      <c r="H2798" s="37">
        <v>28.23</v>
      </c>
      <c r="I2798" s="36" t="s">
        <v>1301</v>
      </c>
      <c r="J2798" s="39" t="s">
        <v>286</v>
      </c>
      <c r="K2798" s="38"/>
      <c r="L2798" s="38"/>
    </row>
    <row r="2799" ht="22.5" customHeight="1">
      <c r="A2799" s="36" t="s">
        <v>6283</v>
      </c>
      <c r="B2799" s="36" t="s">
        <v>6284</v>
      </c>
      <c r="C2799" s="36" t="s">
        <v>1495</v>
      </c>
      <c r="D2799" s="36" t="s">
        <v>1496</v>
      </c>
      <c r="E2799" s="36" t="s">
        <v>1285</v>
      </c>
      <c r="F2799" s="36" t="s">
        <v>286</v>
      </c>
      <c r="G2799" s="36" t="s">
        <v>411</v>
      </c>
      <c r="H2799" s="37">
        <v>9.64</v>
      </c>
      <c r="I2799" s="36" t="s">
        <v>1301</v>
      </c>
      <c r="J2799" s="39" t="s">
        <v>286</v>
      </c>
      <c r="K2799" s="38"/>
      <c r="L2799" s="38"/>
    </row>
    <row r="2800" ht="22.5" customHeight="1">
      <c r="A2800" s="36" t="s">
        <v>6285</v>
      </c>
      <c r="B2800" s="36" t="s">
        <v>6286</v>
      </c>
      <c r="C2800" s="36" t="s">
        <v>1495</v>
      </c>
      <c r="D2800" s="36" t="s">
        <v>1496</v>
      </c>
      <c r="E2800" s="36" t="s">
        <v>1285</v>
      </c>
      <c r="F2800" s="36" t="s">
        <v>286</v>
      </c>
      <c r="G2800" s="36" t="s">
        <v>411</v>
      </c>
      <c r="H2800" s="37">
        <v>3.7</v>
      </c>
      <c r="I2800" s="36" t="s">
        <v>1301</v>
      </c>
      <c r="J2800" s="39" t="s">
        <v>286</v>
      </c>
      <c r="K2800" s="38"/>
      <c r="L2800" s="38"/>
    </row>
    <row r="2801" ht="22.5" customHeight="1">
      <c r="A2801" s="36" t="s">
        <v>6287</v>
      </c>
      <c r="B2801" s="36" t="s">
        <v>6288</v>
      </c>
      <c r="C2801" s="36" t="s">
        <v>1495</v>
      </c>
      <c r="D2801" s="36" t="s">
        <v>1496</v>
      </c>
      <c r="E2801" s="36" t="s">
        <v>1285</v>
      </c>
      <c r="F2801" s="36" t="s">
        <v>286</v>
      </c>
      <c r="G2801" s="36" t="s">
        <v>411</v>
      </c>
      <c r="H2801" s="37">
        <v>4.14</v>
      </c>
      <c r="I2801" s="36" t="s">
        <v>1301</v>
      </c>
      <c r="J2801" s="39" t="s">
        <v>286</v>
      </c>
      <c r="K2801" s="38"/>
      <c r="L2801" s="38"/>
    </row>
    <row r="2802" ht="22.5" customHeight="1">
      <c r="A2802" s="36" t="s">
        <v>6289</v>
      </c>
      <c r="B2802" s="36" t="s">
        <v>6290</v>
      </c>
      <c r="C2802" s="36" t="s">
        <v>1495</v>
      </c>
      <c r="D2802" s="36" t="s">
        <v>1496</v>
      </c>
      <c r="E2802" s="36" t="s">
        <v>1285</v>
      </c>
      <c r="F2802" s="36" t="s">
        <v>286</v>
      </c>
      <c r="G2802" s="36" t="s">
        <v>411</v>
      </c>
      <c r="H2802" s="37">
        <v>3.87</v>
      </c>
      <c r="I2802" s="36" t="s">
        <v>1301</v>
      </c>
      <c r="J2802" s="39" t="s">
        <v>286</v>
      </c>
      <c r="K2802" s="38"/>
      <c r="L2802" s="38"/>
    </row>
    <row r="2803" ht="22.5" customHeight="1">
      <c r="A2803" s="36" t="s">
        <v>6291</v>
      </c>
      <c r="B2803" s="36" t="s">
        <v>6292</v>
      </c>
      <c r="C2803" s="36" t="s">
        <v>1495</v>
      </c>
      <c r="D2803" s="36" t="s">
        <v>1496</v>
      </c>
      <c r="E2803" s="36" t="s">
        <v>1285</v>
      </c>
      <c r="F2803" s="36" t="s">
        <v>286</v>
      </c>
      <c r="G2803" s="36" t="s">
        <v>411</v>
      </c>
      <c r="H2803" s="37">
        <v>4.05</v>
      </c>
      <c r="I2803" s="36" t="s">
        <v>1301</v>
      </c>
      <c r="J2803" s="39" t="s">
        <v>286</v>
      </c>
      <c r="K2803" s="38"/>
      <c r="L2803" s="38"/>
    </row>
    <row r="2804" ht="22.5" customHeight="1">
      <c r="A2804" s="36" t="s">
        <v>6293</v>
      </c>
      <c r="B2804" s="36" t="s">
        <v>6294</v>
      </c>
      <c r="C2804" s="36" t="s">
        <v>1495</v>
      </c>
      <c r="D2804" s="36" t="s">
        <v>1496</v>
      </c>
      <c r="E2804" s="36" t="s">
        <v>1285</v>
      </c>
      <c r="F2804" s="36" t="s">
        <v>286</v>
      </c>
      <c r="G2804" s="36" t="s">
        <v>411</v>
      </c>
      <c r="H2804" s="37">
        <v>29.79</v>
      </c>
      <c r="I2804" s="36" t="s">
        <v>1301</v>
      </c>
      <c r="J2804" s="39" t="s">
        <v>286</v>
      </c>
      <c r="K2804" s="38"/>
      <c r="L2804" s="38"/>
    </row>
    <row r="2805" ht="22.5" customHeight="1">
      <c r="A2805" s="36" t="s">
        <v>6295</v>
      </c>
      <c r="B2805" s="36" t="s">
        <v>6296</v>
      </c>
      <c r="C2805" s="36" t="s">
        <v>286</v>
      </c>
      <c r="D2805" s="36" t="s">
        <v>286</v>
      </c>
      <c r="E2805" s="36" t="s">
        <v>287</v>
      </c>
      <c r="F2805" s="36" t="s">
        <v>286</v>
      </c>
      <c r="G2805" s="36" t="s">
        <v>411</v>
      </c>
      <c r="H2805" s="37">
        <v>36.23</v>
      </c>
      <c r="I2805" s="36" t="s">
        <v>1301</v>
      </c>
      <c r="J2805" s="39" t="s">
        <v>286</v>
      </c>
      <c r="K2805" s="38"/>
      <c r="L2805" s="38"/>
    </row>
    <row r="2806" ht="22.5" customHeight="1">
      <c r="A2806" s="36" t="s">
        <v>6297</v>
      </c>
      <c r="B2806" s="36" t="s">
        <v>6298</v>
      </c>
      <c r="C2806" s="36" t="s">
        <v>1495</v>
      </c>
      <c r="D2806" s="36" t="s">
        <v>1496</v>
      </c>
      <c r="E2806" s="36" t="s">
        <v>1285</v>
      </c>
      <c r="F2806" s="36" t="s">
        <v>286</v>
      </c>
      <c r="G2806" s="36" t="s">
        <v>411</v>
      </c>
      <c r="H2806" s="37">
        <v>16.42</v>
      </c>
      <c r="I2806" s="36" t="s">
        <v>1301</v>
      </c>
      <c r="J2806" s="39" t="s">
        <v>286</v>
      </c>
      <c r="K2806" s="38"/>
      <c r="L2806" s="38"/>
    </row>
    <row r="2807" ht="22.5" customHeight="1">
      <c r="A2807" s="36" t="s">
        <v>6299</v>
      </c>
      <c r="B2807" s="36" t="s">
        <v>6300</v>
      </c>
      <c r="C2807" s="36" t="s">
        <v>286</v>
      </c>
      <c r="D2807" s="36" t="s">
        <v>1363</v>
      </c>
      <c r="E2807" s="36" t="s">
        <v>1285</v>
      </c>
      <c r="F2807" s="36" t="s">
        <v>286</v>
      </c>
      <c r="G2807" s="36" t="s">
        <v>411</v>
      </c>
      <c r="H2807" s="37">
        <v>90.17</v>
      </c>
      <c r="I2807" s="36" t="s">
        <v>1301</v>
      </c>
      <c r="J2807" s="39" t="s">
        <v>286</v>
      </c>
      <c r="K2807" s="38"/>
      <c r="L2807" s="38"/>
    </row>
    <row r="2808" ht="22.5" customHeight="1">
      <c r="A2808" s="36" t="s">
        <v>6301</v>
      </c>
      <c r="B2808" s="36" t="s">
        <v>6302</v>
      </c>
      <c r="C2808" s="36" t="s">
        <v>1495</v>
      </c>
      <c r="D2808" s="36" t="s">
        <v>1496</v>
      </c>
      <c r="E2808" s="36" t="s">
        <v>1285</v>
      </c>
      <c r="F2808" s="36" t="s">
        <v>286</v>
      </c>
      <c r="G2808" s="36" t="s">
        <v>411</v>
      </c>
      <c r="H2808" s="37">
        <v>84.94</v>
      </c>
      <c r="I2808" s="36" t="s">
        <v>1301</v>
      </c>
      <c r="J2808" s="39" t="s">
        <v>286</v>
      </c>
      <c r="K2808" s="38"/>
      <c r="L2808" s="38"/>
    </row>
    <row r="2809" ht="22.5" customHeight="1">
      <c r="A2809" s="36" t="s">
        <v>6303</v>
      </c>
      <c r="B2809" s="36" t="s">
        <v>6304</v>
      </c>
      <c r="C2809" s="36" t="s">
        <v>1495</v>
      </c>
      <c r="D2809" s="36" t="s">
        <v>1496</v>
      </c>
      <c r="E2809" s="36" t="s">
        <v>1285</v>
      </c>
      <c r="F2809" s="36" t="s">
        <v>286</v>
      </c>
      <c r="G2809" s="36" t="s">
        <v>411</v>
      </c>
      <c r="H2809" s="37">
        <v>50.54</v>
      </c>
      <c r="I2809" s="36" t="s">
        <v>1301</v>
      </c>
      <c r="J2809" s="39" t="s">
        <v>286</v>
      </c>
      <c r="K2809" s="38"/>
      <c r="L2809" s="38"/>
    </row>
    <row r="2810" ht="22.5" customHeight="1">
      <c r="A2810" s="36" t="s">
        <v>6305</v>
      </c>
      <c r="B2810" s="36" t="s">
        <v>6306</v>
      </c>
      <c r="C2810" s="36" t="s">
        <v>1495</v>
      </c>
      <c r="D2810" s="36" t="s">
        <v>1496</v>
      </c>
      <c r="E2810" s="36" t="s">
        <v>1285</v>
      </c>
      <c r="F2810" s="36" t="s">
        <v>286</v>
      </c>
      <c r="G2810" s="36" t="s">
        <v>411</v>
      </c>
      <c r="H2810" s="37">
        <v>61.0</v>
      </c>
      <c r="I2810" s="36" t="s">
        <v>1301</v>
      </c>
      <c r="J2810" s="39" t="s">
        <v>286</v>
      </c>
      <c r="K2810" s="38"/>
      <c r="L2810" s="38"/>
    </row>
    <row r="2811" ht="22.5" customHeight="1">
      <c r="A2811" s="36" t="s">
        <v>6307</v>
      </c>
      <c r="B2811" s="36" t="s">
        <v>6308</v>
      </c>
      <c r="C2811" s="36" t="s">
        <v>1495</v>
      </c>
      <c r="D2811" s="36" t="s">
        <v>1496</v>
      </c>
      <c r="E2811" s="36" t="s">
        <v>1285</v>
      </c>
      <c r="F2811" s="36" t="s">
        <v>286</v>
      </c>
      <c r="G2811" s="36" t="s">
        <v>411</v>
      </c>
      <c r="H2811" s="37">
        <v>70.41</v>
      </c>
      <c r="I2811" s="36" t="s">
        <v>1301</v>
      </c>
      <c r="J2811" s="39" t="s">
        <v>286</v>
      </c>
      <c r="K2811" s="38"/>
      <c r="L2811" s="38"/>
    </row>
    <row r="2812" ht="22.5" customHeight="1">
      <c r="A2812" s="36" t="s">
        <v>6309</v>
      </c>
      <c r="B2812" s="36" t="s">
        <v>6310</v>
      </c>
      <c r="C2812" s="36" t="s">
        <v>1495</v>
      </c>
      <c r="D2812" s="36" t="s">
        <v>1496</v>
      </c>
      <c r="E2812" s="36" t="s">
        <v>1285</v>
      </c>
      <c r="F2812" s="36" t="s">
        <v>286</v>
      </c>
      <c r="G2812" s="36" t="s">
        <v>411</v>
      </c>
      <c r="H2812" s="37">
        <v>227.89</v>
      </c>
      <c r="I2812" s="36" t="s">
        <v>1301</v>
      </c>
      <c r="J2812" s="39" t="s">
        <v>286</v>
      </c>
      <c r="K2812" s="38"/>
      <c r="L2812" s="38"/>
    </row>
    <row r="2813" ht="22.5" customHeight="1">
      <c r="A2813" s="36" t="s">
        <v>6311</v>
      </c>
      <c r="B2813" s="36" t="s">
        <v>6312</v>
      </c>
      <c r="C2813" s="36" t="s">
        <v>1495</v>
      </c>
      <c r="D2813" s="36" t="s">
        <v>1496</v>
      </c>
      <c r="E2813" s="36" t="s">
        <v>1285</v>
      </c>
      <c r="F2813" s="36" t="s">
        <v>286</v>
      </c>
      <c r="G2813" s="36" t="s">
        <v>411</v>
      </c>
      <c r="H2813" s="37">
        <v>62.15</v>
      </c>
      <c r="I2813" s="36" t="s">
        <v>1301</v>
      </c>
      <c r="J2813" s="39" t="s">
        <v>286</v>
      </c>
      <c r="K2813" s="38"/>
      <c r="L2813" s="38"/>
    </row>
    <row r="2814" ht="22.5" customHeight="1">
      <c r="A2814" s="36" t="s">
        <v>6313</v>
      </c>
      <c r="B2814" s="36" t="s">
        <v>6314</v>
      </c>
      <c r="C2814" s="36" t="s">
        <v>1495</v>
      </c>
      <c r="D2814" s="36" t="s">
        <v>1496</v>
      </c>
      <c r="E2814" s="36" t="s">
        <v>1285</v>
      </c>
      <c r="F2814" s="36" t="s">
        <v>286</v>
      </c>
      <c r="G2814" s="36" t="s">
        <v>411</v>
      </c>
      <c r="H2814" s="37">
        <v>66.53</v>
      </c>
      <c r="I2814" s="36" t="s">
        <v>1301</v>
      </c>
      <c r="J2814" s="39" t="s">
        <v>286</v>
      </c>
      <c r="K2814" s="38"/>
      <c r="L2814" s="38"/>
    </row>
    <row r="2815" ht="22.5" customHeight="1">
      <c r="A2815" s="36" t="s">
        <v>6315</v>
      </c>
      <c r="B2815" s="36" t="s">
        <v>6316</v>
      </c>
      <c r="C2815" s="36" t="s">
        <v>1495</v>
      </c>
      <c r="D2815" s="36" t="s">
        <v>1496</v>
      </c>
      <c r="E2815" s="36" t="s">
        <v>1285</v>
      </c>
      <c r="F2815" s="36" t="s">
        <v>286</v>
      </c>
      <c r="G2815" s="36" t="s">
        <v>411</v>
      </c>
      <c r="H2815" s="37">
        <v>63.08</v>
      </c>
      <c r="I2815" s="36" t="s">
        <v>1301</v>
      </c>
      <c r="J2815" s="39" t="s">
        <v>286</v>
      </c>
      <c r="K2815" s="38"/>
      <c r="L2815" s="38"/>
    </row>
    <row r="2816" ht="22.5" customHeight="1">
      <c r="A2816" s="36" t="s">
        <v>6317</v>
      </c>
      <c r="B2816" s="36" t="s">
        <v>6318</v>
      </c>
      <c r="C2816" s="36" t="s">
        <v>1495</v>
      </c>
      <c r="D2816" s="36" t="s">
        <v>1496</v>
      </c>
      <c r="E2816" s="36" t="s">
        <v>1285</v>
      </c>
      <c r="F2816" s="36" t="s">
        <v>286</v>
      </c>
      <c r="G2816" s="36" t="s">
        <v>411</v>
      </c>
      <c r="H2816" s="37">
        <v>475.0</v>
      </c>
      <c r="I2816" s="36" t="s">
        <v>1301</v>
      </c>
      <c r="J2816" s="39" t="s">
        <v>286</v>
      </c>
      <c r="K2816" s="38"/>
      <c r="L2816" s="38"/>
    </row>
    <row r="2817" ht="22.5" customHeight="1">
      <c r="A2817" s="36" t="s">
        <v>6319</v>
      </c>
      <c r="B2817" s="36" t="s">
        <v>6320</v>
      </c>
      <c r="C2817" s="36" t="s">
        <v>286</v>
      </c>
      <c r="D2817" s="36" t="s">
        <v>286</v>
      </c>
      <c r="E2817" s="36" t="s">
        <v>287</v>
      </c>
      <c r="F2817" s="36" t="s">
        <v>286</v>
      </c>
      <c r="G2817" s="36" t="s">
        <v>411</v>
      </c>
      <c r="H2817" s="37">
        <v>173.68</v>
      </c>
      <c r="I2817" s="36" t="s">
        <v>1301</v>
      </c>
      <c r="J2817" s="39" t="s">
        <v>286</v>
      </c>
      <c r="K2817" s="38"/>
      <c r="L2817" s="38"/>
    </row>
    <row r="2818" ht="22.5" customHeight="1">
      <c r="A2818" s="36" t="s">
        <v>6321</v>
      </c>
      <c r="B2818" s="36" t="s">
        <v>6322</v>
      </c>
      <c r="C2818" s="36" t="s">
        <v>1495</v>
      </c>
      <c r="D2818" s="36" t="s">
        <v>1496</v>
      </c>
      <c r="E2818" s="36" t="s">
        <v>1285</v>
      </c>
      <c r="F2818" s="36" t="s">
        <v>286</v>
      </c>
      <c r="G2818" s="36" t="s">
        <v>411</v>
      </c>
      <c r="H2818" s="37">
        <v>23.13</v>
      </c>
      <c r="I2818" s="36" t="s">
        <v>1301</v>
      </c>
      <c r="J2818" s="39" t="s">
        <v>286</v>
      </c>
      <c r="K2818" s="38"/>
      <c r="L2818" s="38"/>
    </row>
    <row r="2819" ht="22.5" customHeight="1">
      <c r="A2819" s="36" t="s">
        <v>6323</v>
      </c>
      <c r="B2819" s="36" t="s">
        <v>6324</v>
      </c>
      <c r="C2819" s="36" t="s">
        <v>1495</v>
      </c>
      <c r="D2819" s="36" t="s">
        <v>1496</v>
      </c>
      <c r="E2819" s="36" t="s">
        <v>1285</v>
      </c>
      <c r="F2819" s="36" t="s">
        <v>286</v>
      </c>
      <c r="G2819" s="36" t="s">
        <v>411</v>
      </c>
      <c r="H2819" s="37">
        <v>13.71</v>
      </c>
      <c r="I2819" s="36" t="s">
        <v>1301</v>
      </c>
      <c r="J2819" s="39" t="s">
        <v>286</v>
      </c>
      <c r="K2819" s="38"/>
      <c r="L2819" s="38"/>
    </row>
    <row r="2820" ht="22.5" customHeight="1">
      <c r="A2820" s="36" t="s">
        <v>6325</v>
      </c>
      <c r="B2820" s="36" t="s">
        <v>6326</v>
      </c>
      <c r="C2820" s="36" t="s">
        <v>286</v>
      </c>
      <c r="D2820" s="36" t="s">
        <v>1363</v>
      </c>
      <c r="E2820" s="36" t="s">
        <v>1285</v>
      </c>
      <c r="F2820" s="36" t="s">
        <v>286</v>
      </c>
      <c r="G2820" s="36" t="s">
        <v>411</v>
      </c>
      <c r="H2820" s="37">
        <v>5.24</v>
      </c>
      <c r="I2820" s="36" t="s">
        <v>1301</v>
      </c>
      <c r="J2820" s="39" t="s">
        <v>286</v>
      </c>
      <c r="K2820" s="38"/>
      <c r="L2820" s="38"/>
    </row>
    <row r="2821" ht="22.5" customHeight="1">
      <c r="A2821" s="36" t="s">
        <v>6327</v>
      </c>
      <c r="B2821" s="36" t="s">
        <v>6328</v>
      </c>
      <c r="C2821" s="36" t="s">
        <v>1495</v>
      </c>
      <c r="D2821" s="36" t="s">
        <v>1496</v>
      </c>
      <c r="E2821" s="36" t="s">
        <v>1285</v>
      </c>
      <c r="F2821" s="36" t="s">
        <v>286</v>
      </c>
      <c r="G2821" s="36" t="s">
        <v>411</v>
      </c>
      <c r="H2821" s="37">
        <v>3.01</v>
      </c>
      <c r="I2821" s="36" t="s">
        <v>1301</v>
      </c>
      <c r="J2821" s="39" t="s">
        <v>286</v>
      </c>
      <c r="K2821" s="38"/>
      <c r="L2821" s="38"/>
    </row>
    <row r="2822" ht="22.5" customHeight="1">
      <c r="A2822" s="36" t="s">
        <v>6329</v>
      </c>
      <c r="B2822" s="36" t="s">
        <v>6330</v>
      </c>
      <c r="C2822" s="36" t="s">
        <v>1495</v>
      </c>
      <c r="D2822" s="36" t="s">
        <v>1496</v>
      </c>
      <c r="E2822" s="36" t="s">
        <v>1285</v>
      </c>
      <c r="F2822" s="36" t="s">
        <v>286</v>
      </c>
      <c r="G2822" s="36" t="s">
        <v>411</v>
      </c>
      <c r="H2822" s="37">
        <v>12.44</v>
      </c>
      <c r="I2822" s="36" t="s">
        <v>1301</v>
      </c>
      <c r="J2822" s="39" t="s">
        <v>286</v>
      </c>
      <c r="K2822" s="38"/>
      <c r="L2822" s="38"/>
    </row>
    <row r="2823" ht="22.5" customHeight="1">
      <c r="A2823" s="36" t="s">
        <v>6331</v>
      </c>
      <c r="B2823" s="36" t="s">
        <v>6332</v>
      </c>
      <c r="C2823" s="36" t="s">
        <v>1495</v>
      </c>
      <c r="D2823" s="36" t="s">
        <v>1496</v>
      </c>
      <c r="E2823" s="36" t="s">
        <v>1285</v>
      </c>
      <c r="F2823" s="36" t="s">
        <v>286</v>
      </c>
      <c r="G2823" s="36" t="s">
        <v>411</v>
      </c>
      <c r="H2823" s="37">
        <v>16.27</v>
      </c>
      <c r="I2823" s="36" t="s">
        <v>1301</v>
      </c>
      <c r="J2823" s="39" t="s">
        <v>286</v>
      </c>
      <c r="K2823" s="38"/>
      <c r="L2823" s="38"/>
    </row>
    <row r="2824" ht="22.5" customHeight="1">
      <c r="A2824" s="36" t="s">
        <v>6333</v>
      </c>
      <c r="B2824" s="36" t="s">
        <v>6334</v>
      </c>
      <c r="C2824" s="36" t="s">
        <v>1495</v>
      </c>
      <c r="D2824" s="36" t="s">
        <v>1496</v>
      </c>
      <c r="E2824" s="36" t="s">
        <v>1285</v>
      </c>
      <c r="F2824" s="36" t="s">
        <v>286</v>
      </c>
      <c r="G2824" s="36" t="s">
        <v>411</v>
      </c>
      <c r="H2824" s="37">
        <v>5.57</v>
      </c>
      <c r="I2824" s="36" t="s">
        <v>1301</v>
      </c>
      <c r="J2824" s="39" t="s">
        <v>286</v>
      </c>
      <c r="K2824" s="38"/>
      <c r="L2824" s="38"/>
    </row>
    <row r="2825" ht="22.5" customHeight="1">
      <c r="A2825" s="36" t="s">
        <v>6335</v>
      </c>
      <c r="B2825" s="36" t="s">
        <v>6336</v>
      </c>
      <c r="C2825" s="36" t="s">
        <v>1495</v>
      </c>
      <c r="D2825" s="36" t="s">
        <v>1496</v>
      </c>
      <c r="E2825" s="36" t="s">
        <v>1285</v>
      </c>
      <c r="F2825" s="36" t="s">
        <v>286</v>
      </c>
      <c r="G2825" s="36" t="s">
        <v>411</v>
      </c>
      <c r="H2825" s="37">
        <v>45.33</v>
      </c>
      <c r="I2825" s="36" t="s">
        <v>1301</v>
      </c>
      <c r="J2825" s="39" t="s">
        <v>286</v>
      </c>
      <c r="K2825" s="38"/>
      <c r="L2825" s="38"/>
    </row>
    <row r="2826" ht="22.5" customHeight="1">
      <c r="A2826" s="36" t="s">
        <v>6337</v>
      </c>
      <c r="B2826" s="36" t="s">
        <v>6338</v>
      </c>
      <c r="C2826" s="36" t="s">
        <v>1495</v>
      </c>
      <c r="D2826" s="36" t="s">
        <v>1496</v>
      </c>
      <c r="E2826" s="36" t="s">
        <v>1285</v>
      </c>
      <c r="F2826" s="36" t="s">
        <v>286</v>
      </c>
      <c r="G2826" s="36" t="s">
        <v>411</v>
      </c>
      <c r="H2826" s="37">
        <v>17.85</v>
      </c>
      <c r="I2826" s="36" t="s">
        <v>1301</v>
      </c>
      <c r="J2826" s="39" t="s">
        <v>286</v>
      </c>
      <c r="K2826" s="38"/>
      <c r="L2826" s="38"/>
    </row>
    <row r="2827" ht="22.5" customHeight="1">
      <c r="A2827" s="36" t="s">
        <v>6339</v>
      </c>
      <c r="B2827" s="36" t="s">
        <v>6340</v>
      </c>
      <c r="C2827" s="36" t="s">
        <v>1495</v>
      </c>
      <c r="D2827" s="36" t="s">
        <v>1496</v>
      </c>
      <c r="E2827" s="36" t="s">
        <v>1285</v>
      </c>
      <c r="F2827" s="36" t="s">
        <v>286</v>
      </c>
      <c r="G2827" s="36" t="s">
        <v>411</v>
      </c>
      <c r="H2827" s="37">
        <v>5.24</v>
      </c>
      <c r="I2827" s="36" t="s">
        <v>1301</v>
      </c>
      <c r="J2827" s="39" t="s">
        <v>286</v>
      </c>
      <c r="K2827" s="38"/>
      <c r="L2827" s="38"/>
    </row>
    <row r="2828" ht="22.5" customHeight="1">
      <c r="A2828" s="36" t="s">
        <v>6341</v>
      </c>
      <c r="B2828" s="36" t="s">
        <v>6342</v>
      </c>
      <c r="C2828" s="36" t="s">
        <v>286</v>
      </c>
      <c r="D2828" s="36" t="s">
        <v>1363</v>
      </c>
      <c r="E2828" s="36" t="s">
        <v>1285</v>
      </c>
      <c r="F2828" s="36" t="s">
        <v>286</v>
      </c>
      <c r="G2828" s="36" t="s">
        <v>411</v>
      </c>
      <c r="H2828" s="37">
        <v>14.4</v>
      </c>
      <c r="I2828" s="36" t="s">
        <v>1301</v>
      </c>
      <c r="J2828" s="39" t="s">
        <v>286</v>
      </c>
      <c r="K2828" s="38"/>
      <c r="L2828" s="38"/>
    </row>
    <row r="2829" ht="22.5" customHeight="1">
      <c r="A2829" s="36" t="s">
        <v>6343</v>
      </c>
      <c r="B2829" s="36" t="s">
        <v>6344</v>
      </c>
      <c r="C2829" s="36" t="s">
        <v>1495</v>
      </c>
      <c r="D2829" s="36" t="s">
        <v>1496</v>
      </c>
      <c r="E2829" s="36" t="s">
        <v>1285</v>
      </c>
      <c r="F2829" s="36" t="s">
        <v>286</v>
      </c>
      <c r="G2829" s="36" t="s">
        <v>411</v>
      </c>
      <c r="H2829" s="37">
        <v>16.36</v>
      </c>
      <c r="I2829" s="36" t="s">
        <v>1301</v>
      </c>
      <c r="J2829" s="39" t="s">
        <v>286</v>
      </c>
      <c r="K2829" s="38"/>
      <c r="L2829" s="38"/>
    </row>
    <row r="2830" ht="22.5" customHeight="1">
      <c r="A2830" s="36" t="s">
        <v>6345</v>
      </c>
      <c r="B2830" s="36" t="s">
        <v>6346</v>
      </c>
      <c r="C2830" s="36" t="s">
        <v>1495</v>
      </c>
      <c r="D2830" s="36" t="s">
        <v>1496</v>
      </c>
      <c r="E2830" s="36" t="s">
        <v>1285</v>
      </c>
      <c r="F2830" s="36" t="s">
        <v>286</v>
      </c>
      <c r="G2830" s="36" t="s">
        <v>411</v>
      </c>
      <c r="H2830" s="37">
        <v>4.18</v>
      </c>
      <c r="I2830" s="36" t="s">
        <v>1301</v>
      </c>
      <c r="J2830" s="39" t="s">
        <v>286</v>
      </c>
      <c r="K2830" s="38"/>
      <c r="L2830" s="38"/>
    </row>
    <row r="2831" ht="22.5" customHeight="1">
      <c r="A2831" s="36" t="s">
        <v>6347</v>
      </c>
      <c r="B2831" s="36" t="s">
        <v>6348</v>
      </c>
      <c r="C2831" s="36" t="s">
        <v>1495</v>
      </c>
      <c r="D2831" s="36" t="s">
        <v>1496</v>
      </c>
      <c r="E2831" s="36" t="s">
        <v>1285</v>
      </c>
      <c r="F2831" s="36" t="s">
        <v>286</v>
      </c>
      <c r="G2831" s="36" t="s">
        <v>411</v>
      </c>
      <c r="H2831" s="37">
        <v>29.33</v>
      </c>
      <c r="I2831" s="36" t="s">
        <v>1301</v>
      </c>
      <c r="J2831" s="39" t="s">
        <v>286</v>
      </c>
      <c r="K2831" s="38"/>
      <c r="L2831" s="38"/>
    </row>
    <row r="2832" ht="22.5" customHeight="1">
      <c r="A2832" s="36" t="s">
        <v>6349</v>
      </c>
      <c r="B2832" s="36" t="s">
        <v>6350</v>
      </c>
      <c r="C2832" s="36" t="s">
        <v>1495</v>
      </c>
      <c r="D2832" s="36" t="s">
        <v>1496</v>
      </c>
      <c r="E2832" s="36" t="s">
        <v>1285</v>
      </c>
      <c r="F2832" s="36" t="s">
        <v>286</v>
      </c>
      <c r="G2832" s="36" t="s">
        <v>411</v>
      </c>
      <c r="H2832" s="37">
        <v>22.25</v>
      </c>
      <c r="I2832" s="36" t="s">
        <v>1301</v>
      </c>
      <c r="J2832" s="39" t="s">
        <v>286</v>
      </c>
      <c r="K2832" s="38"/>
      <c r="L2832" s="38"/>
    </row>
    <row r="2833" ht="22.5" customHeight="1">
      <c r="A2833" s="36" t="s">
        <v>6351</v>
      </c>
      <c r="B2833" s="36" t="s">
        <v>6352</v>
      </c>
      <c r="C2833" s="36" t="s">
        <v>1495</v>
      </c>
      <c r="D2833" s="36" t="s">
        <v>1496</v>
      </c>
      <c r="E2833" s="36" t="s">
        <v>1285</v>
      </c>
      <c r="F2833" s="36" t="s">
        <v>286</v>
      </c>
      <c r="G2833" s="36" t="s">
        <v>411</v>
      </c>
      <c r="H2833" s="37">
        <v>2.86</v>
      </c>
      <c r="I2833" s="36" t="s">
        <v>1301</v>
      </c>
      <c r="J2833" s="39" t="s">
        <v>286</v>
      </c>
      <c r="K2833" s="38"/>
      <c r="L2833" s="38"/>
    </row>
    <row r="2834" ht="22.5" customHeight="1">
      <c r="A2834" s="36" t="s">
        <v>6353</v>
      </c>
      <c r="B2834" s="36" t="s">
        <v>6354</v>
      </c>
      <c r="C2834" s="36" t="s">
        <v>1495</v>
      </c>
      <c r="D2834" s="36" t="s">
        <v>1496</v>
      </c>
      <c r="E2834" s="36" t="s">
        <v>1285</v>
      </c>
      <c r="F2834" s="36" t="s">
        <v>286</v>
      </c>
      <c r="G2834" s="36" t="s">
        <v>411</v>
      </c>
      <c r="H2834" s="37">
        <v>2.42</v>
      </c>
      <c r="I2834" s="36" t="s">
        <v>1301</v>
      </c>
      <c r="J2834" s="39" t="s">
        <v>286</v>
      </c>
      <c r="K2834" s="38"/>
      <c r="L2834" s="38"/>
    </row>
    <row r="2835" ht="22.5" customHeight="1">
      <c r="A2835" s="36" t="s">
        <v>6355</v>
      </c>
      <c r="B2835" s="36" t="s">
        <v>6356</v>
      </c>
      <c r="C2835" s="36" t="s">
        <v>1495</v>
      </c>
      <c r="D2835" s="36" t="s">
        <v>1496</v>
      </c>
      <c r="E2835" s="36" t="s">
        <v>1285</v>
      </c>
      <c r="F2835" s="36" t="s">
        <v>286</v>
      </c>
      <c r="G2835" s="36" t="s">
        <v>411</v>
      </c>
      <c r="H2835" s="37">
        <v>72.81</v>
      </c>
      <c r="I2835" s="36" t="s">
        <v>1301</v>
      </c>
      <c r="J2835" s="39" t="s">
        <v>286</v>
      </c>
      <c r="K2835" s="38"/>
      <c r="L2835" s="38"/>
    </row>
    <row r="2836" ht="22.5" customHeight="1">
      <c r="A2836" s="36" t="s">
        <v>6357</v>
      </c>
      <c r="B2836" s="36" t="s">
        <v>6358</v>
      </c>
      <c r="C2836" s="36" t="s">
        <v>1495</v>
      </c>
      <c r="D2836" s="36" t="s">
        <v>1496</v>
      </c>
      <c r="E2836" s="36" t="s">
        <v>1285</v>
      </c>
      <c r="F2836" s="36" t="s">
        <v>286</v>
      </c>
      <c r="G2836" s="36" t="s">
        <v>411</v>
      </c>
      <c r="H2836" s="37">
        <v>72.81</v>
      </c>
      <c r="I2836" s="36" t="s">
        <v>1301</v>
      </c>
      <c r="J2836" s="39" t="s">
        <v>286</v>
      </c>
      <c r="K2836" s="38"/>
      <c r="L2836" s="38"/>
    </row>
    <row r="2837" ht="22.5" customHeight="1">
      <c r="A2837" s="36" t="s">
        <v>6359</v>
      </c>
      <c r="B2837" s="36" t="s">
        <v>6360</v>
      </c>
      <c r="C2837" s="36" t="s">
        <v>1495</v>
      </c>
      <c r="D2837" s="36" t="s">
        <v>1496</v>
      </c>
      <c r="E2837" s="36" t="s">
        <v>1285</v>
      </c>
      <c r="F2837" s="36" t="s">
        <v>286</v>
      </c>
      <c r="G2837" s="36" t="s">
        <v>411</v>
      </c>
      <c r="H2837" s="37">
        <v>47.47</v>
      </c>
      <c r="I2837" s="36" t="s">
        <v>1301</v>
      </c>
      <c r="J2837" s="39" t="s">
        <v>286</v>
      </c>
      <c r="K2837" s="38"/>
      <c r="L2837" s="38"/>
    </row>
    <row r="2838" ht="22.5" customHeight="1">
      <c r="A2838" s="36" t="s">
        <v>6361</v>
      </c>
      <c r="B2838" s="36" t="s">
        <v>6362</v>
      </c>
      <c r="C2838" s="36" t="s">
        <v>1495</v>
      </c>
      <c r="D2838" s="36" t="s">
        <v>1496</v>
      </c>
      <c r="E2838" s="36" t="s">
        <v>1285</v>
      </c>
      <c r="F2838" s="36" t="s">
        <v>286</v>
      </c>
      <c r="G2838" s="36" t="s">
        <v>411</v>
      </c>
      <c r="H2838" s="37">
        <v>4.19</v>
      </c>
      <c r="I2838" s="36" t="s">
        <v>1301</v>
      </c>
      <c r="J2838" s="39" t="s">
        <v>286</v>
      </c>
      <c r="K2838" s="38"/>
      <c r="L2838" s="38"/>
    </row>
    <row r="2839" ht="22.5" customHeight="1">
      <c r="A2839" s="36" t="s">
        <v>6363</v>
      </c>
      <c r="B2839" s="36" t="s">
        <v>6364</v>
      </c>
      <c r="C2839" s="36" t="s">
        <v>1495</v>
      </c>
      <c r="D2839" s="36" t="s">
        <v>1496</v>
      </c>
      <c r="E2839" s="36" t="s">
        <v>1285</v>
      </c>
      <c r="F2839" s="36" t="s">
        <v>286</v>
      </c>
      <c r="G2839" s="36" t="s">
        <v>411</v>
      </c>
      <c r="H2839" s="37">
        <v>106.45</v>
      </c>
      <c r="I2839" s="36" t="s">
        <v>1301</v>
      </c>
      <c r="J2839" s="39" t="s">
        <v>286</v>
      </c>
      <c r="K2839" s="38"/>
      <c r="L2839" s="38"/>
    </row>
    <row r="2840" ht="22.5" customHeight="1">
      <c r="A2840" s="36" t="s">
        <v>6365</v>
      </c>
      <c r="B2840" s="36" t="s">
        <v>6366</v>
      </c>
      <c r="C2840" s="36" t="s">
        <v>1495</v>
      </c>
      <c r="D2840" s="36" t="s">
        <v>1496</v>
      </c>
      <c r="E2840" s="36" t="s">
        <v>1285</v>
      </c>
      <c r="F2840" s="36" t="s">
        <v>286</v>
      </c>
      <c r="G2840" s="36" t="s">
        <v>411</v>
      </c>
      <c r="H2840" s="37">
        <v>113.13</v>
      </c>
      <c r="I2840" s="36" t="s">
        <v>1301</v>
      </c>
      <c r="J2840" s="39" t="s">
        <v>286</v>
      </c>
      <c r="K2840" s="38"/>
      <c r="L2840" s="38"/>
    </row>
    <row r="2841" ht="22.5" customHeight="1">
      <c r="A2841" s="36" t="s">
        <v>6367</v>
      </c>
      <c r="B2841" s="36" t="s">
        <v>6368</v>
      </c>
      <c r="C2841" s="36" t="s">
        <v>1495</v>
      </c>
      <c r="D2841" s="36" t="s">
        <v>1496</v>
      </c>
      <c r="E2841" s="36" t="s">
        <v>1285</v>
      </c>
      <c r="F2841" s="36" t="s">
        <v>286</v>
      </c>
      <c r="G2841" s="36" t="s">
        <v>411</v>
      </c>
      <c r="H2841" s="37">
        <v>106.75</v>
      </c>
      <c r="I2841" s="36" t="s">
        <v>1301</v>
      </c>
      <c r="J2841" s="39" t="s">
        <v>286</v>
      </c>
      <c r="K2841" s="38"/>
      <c r="L2841" s="38"/>
    </row>
    <row r="2842" ht="22.5" customHeight="1">
      <c r="A2842" s="36" t="s">
        <v>6369</v>
      </c>
      <c r="B2842" s="36" t="s">
        <v>6370</v>
      </c>
      <c r="C2842" s="36" t="s">
        <v>1495</v>
      </c>
      <c r="D2842" s="36" t="s">
        <v>1496</v>
      </c>
      <c r="E2842" s="36" t="s">
        <v>1285</v>
      </c>
      <c r="F2842" s="36" t="s">
        <v>286</v>
      </c>
      <c r="G2842" s="36" t="s">
        <v>411</v>
      </c>
      <c r="H2842" s="37">
        <v>95.64</v>
      </c>
      <c r="I2842" s="36" t="s">
        <v>1301</v>
      </c>
      <c r="J2842" s="39" t="s">
        <v>286</v>
      </c>
      <c r="K2842" s="38"/>
      <c r="L2842" s="38"/>
    </row>
    <row r="2843" ht="22.5" customHeight="1">
      <c r="A2843" s="36" t="s">
        <v>6371</v>
      </c>
      <c r="B2843" s="36" t="s">
        <v>6372</v>
      </c>
      <c r="C2843" s="36" t="s">
        <v>1495</v>
      </c>
      <c r="D2843" s="36" t="s">
        <v>1496</v>
      </c>
      <c r="E2843" s="36" t="s">
        <v>1285</v>
      </c>
      <c r="F2843" s="36" t="s">
        <v>286</v>
      </c>
      <c r="G2843" s="36" t="s">
        <v>411</v>
      </c>
      <c r="H2843" s="37">
        <v>73.86</v>
      </c>
      <c r="I2843" s="36" t="s">
        <v>1301</v>
      </c>
      <c r="J2843" s="39" t="s">
        <v>286</v>
      </c>
      <c r="K2843" s="38"/>
      <c r="L2843" s="38"/>
    </row>
    <row r="2844" ht="22.5" customHeight="1">
      <c r="A2844" s="36" t="s">
        <v>6373</v>
      </c>
      <c r="B2844" s="36" t="s">
        <v>6374</v>
      </c>
      <c r="C2844" s="36" t="s">
        <v>1495</v>
      </c>
      <c r="D2844" s="36" t="s">
        <v>1496</v>
      </c>
      <c r="E2844" s="36" t="s">
        <v>1285</v>
      </c>
      <c r="F2844" s="36" t="s">
        <v>286</v>
      </c>
      <c r="G2844" s="36" t="s">
        <v>411</v>
      </c>
      <c r="H2844" s="37">
        <v>59.2</v>
      </c>
      <c r="I2844" s="36" t="s">
        <v>1301</v>
      </c>
      <c r="J2844" s="39" t="s">
        <v>286</v>
      </c>
      <c r="K2844" s="38"/>
      <c r="L2844" s="38"/>
    </row>
    <row r="2845" ht="22.5" customHeight="1">
      <c r="A2845" s="36" t="s">
        <v>6375</v>
      </c>
      <c r="B2845" s="36" t="s">
        <v>6376</v>
      </c>
      <c r="C2845" s="36" t="s">
        <v>1495</v>
      </c>
      <c r="D2845" s="36" t="s">
        <v>1496</v>
      </c>
      <c r="E2845" s="36" t="s">
        <v>1285</v>
      </c>
      <c r="F2845" s="36" t="s">
        <v>286</v>
      </c>
      <c r="G2845" s="36" t="s">
        <v>411</v>
      </c>
      <c r="H2845" s="37">
        <v>51.36</v>
      </c>
      <c r="I2845" s="36" t="s">
        <v>1301</v>
      </c>
      <c r="J2845" s="39" t="s">
        <v>286</v>
      </c>
      <c r="K2845" s="38"/>
      <c r="L2845" s="38"/>
    </row>
    <row r="2846" ht="22.5" customHeight="1">
      <c r="A2846" s="36" t="s">
        <v>6377</v>
      </c>
      <c r="B2846" s="36" t="s">
        <v>6378</v>
      </c>
      <c r="C2846" s="36" t="s">
        <v>1495</v>
      </c>
      <c r="D2846" s="36" t="s">
        <v>1496</v>
      </c>
      <c r="E2846" s="36" t="s">
        <v>1285</v>
      </c>
      <c r="F2846" s="36" t="s">
        <v>286</v>
      </c>
      <c r="G2846" s="36" t="s">
        <v>411</v>
      </c>
      <c r="H2846" s="37">
        <v>45.53</v>
      </c>
      <c r="I2846" s="36" t="s">
        <v>1301</v>
      </c>
      <c r="J2846" s="39" t="s">
        <v>286</v>
      </c>
      <c r="K2846" s="38"/>
      <c r="L2846" s="38"/>
    </row>
    <row r="2847" ht="22.5" customHeight="1">
      <c r="A2847" s="36" t="s">
        <v>6379</v>
      </c>
      <c r="B2847" s="36" t="s">
        <v>6380</v>
      </c>
      <c r="C2847" s="36" t="s">
        <v>1495</v>
      </c>
      <c r="D2847" s="36" t="s">
        <v>1496</v>
      </c>
      <c r="E2847" s="36" t="s">
        <v>1285</v>
      </c>
      <c r="F2847" s="36" t="s">
        <v>286</v>
      </c>
      <c r="G2847" s="36" t="s">
        <v>411</v>
      </c>
      <c r="H2847" s="37">
        <v>46.2</v>
      </c>
      <c r="I2847" s="36" t="s">
        <v>1301</v>
      </c>
      <c r="J2847" s="39" t="s">
        <v>286</v>
      </c>
      <c r="K2847" s="38"/>
      <c r="L2847" s="38"/>
    </row>
    <row r="2848" ht="22.5" customHeight="1">
      <c r="A2848" s="36" t="s">
        <v>6381</v>
      </c>
      <c r="B2848" s="36" t="s">
        <v>6382</v>
      </c>
      <c r="C2848" s="36" t="s">
        <v>1495</v>
      </c>
      <c r="D2848" s="36" t="s">
        <v>1496</v>
      </c>
      <c r="E2848" s="36" t="s">
        <v>1285</v>
      </c>
      <c r="F2848" s="36" t="s">
        <v>286</v>
      </c>
      <c r="G2848" s="36" t="s">
        <v>411</v>
      </c>
      <c r="H2848" s="37">
        <v>40.96</v>
      </c>
      <c r="I2848" s="36" t="s">
        <v>1301</v>
      </c>
      <c r="J2848" s="39" t="s">
        <v>286</v>
      </c>
      <c r="K2848" s="38"/>
      <c r="L2848" s="38"/>
    </row>
    <row r="2849" ht="22.5" customHeight="1">
      <c r="A2849" s="36" t="s">
        <v>6383</v>
      </c>
      <c r="B2849" s="36" t="s">
        <v>6384</v>
      </c>
      <c r="C2849" s="36" t="s">
        <v>1495</v>
      </c>
      <c r="D2849" s="36" t="s">
        <v>1496</v>
      </c>
      <c r="E2849" s="36" t="s">
        <v>1285</v>
      </c>
      <c r="F2849" s="36" t="s">
        <v>286</v>
      </c>
      <c r="G2849" s="36" t="s">
        <v>411</v>
      </c>
      <c r="H2849" s="37">
        <v>46.2</v>
      </c>
      <c r="I2849" s="36" t="s">
        <v>1301</v>
      </c>
      <c r="J2849" s="39" t="s">
        <v>286</v>
      </c>
      <c r="K2849" s="38"/>
      <c r="L2849" s="38"/>
    </row>
    <row r="2850" ht="22.5" customHeight="1">
      <c r="A2850" s="36" t="s">
        <v>6385</v>
      </c>
      <c r="B2850" s="36" t="s">
        <v>6386</v>
      </c>
      <c r="C2850" s="36" t="s">
        <v>1495</v>
      </c>
      <c r="D2850" s="36" t="s">
        <v>1496</v>
      </c>
      <c r="E2850" s="36" t="s">
        <v>1285</v>
      </c>
      <c r="F2850" s="36" t="s">
        <v>286</v>
      </c>
      <c r="G2850" s="36" t="s">
        <v>411</v>
      </c>
      <c r="H2850" s="37">
        <v>78.47</v>
      </c>
      <c r="I2850" s="36" t="s">
        <v>1301</v>
      </c>
      <c r="J2850" s="39" t="s">
        <v>286</v>
      </c>
      <c r="K2850" s="38"/>
      <c r="L2850" s="38"/>
    </row>
    <row r="2851" ht="22.5" customHeight="1">
      <c r="A2851" s="36" t="s">
        <v>6387</v>
      </c>
      <c r="B2851" s="36" t="s">
        <v>6388</v>
      </c>
      <c r="C2851" s="36" t="s">
        <v>1495</v>
      </c>
      <c r="D2851" s="36" t="s">
        <v>1496</v>
      </c>
      <c r="E2851" s="36" t="s">
        <v>1285</v>
      </c>
      <c r="F2851" s="36" t="s">
        <v>286</v>
      </c>
      <c r="G2851" s="36" t="s">
        <v>411</v>
      </c>
      <c r="H2851" s="37">
        <v>36.61</v>
      </c>
      <c r="I2851" s="36" t="s">
        <v>1301</v>
      </c>
      <c r="J2851" s="39" t="s">
        <v>286</v>
      </c>
      <c r="K2851" s="38"/>
      <c r="L2851" s="38"/>
    </row>
    <row r="2852" ht="22.5" customHeight="1">
      <c r="A2852" s="36" t="s">
        <v>6389</v>
      </c>
      <c r="B2852" s="36" t="s">
        <v>6390</v>
      </c>
      <c r="C2852" s="36" t="s">
        <v>1495</v>
      </c>
      <c r="D2852" s="36" t="s">
        <v>1496</v>
      </c>
      <c r="E2852" s="36" t="s">
        <v>1285</v>
      </c>
      <c r="F2852" s="36" t="s">
        <v>286</v>
      </c>
      <c r="G2852" s="36" t="s">
        <v>411</v>
      </c>
      <c r="H2852" s="37">
        <v>28.35</v>
      </c>
      <c r="I2852" s="36" t="s">
        <v>1301</v>
      </c>
      <c r="J2852" s="39" t="s">
        <v>286</v>
      </c>
      <c r="K2852" s="38"/>
      <c r="L2852" s="38"/>
    </row>
    <row r="2853" ht="22.5" customHeight="1">
      <c r="A2853" s="36" t="s">
        <v>6391</v>
      </c>
      <c r="B2853" s="36" t="s">
        <v>6392</v>
      </c>
      <c r="C2853" s="36" t="s">
        <v>286</v>
      </c>
      <c r="D2853" s="36" t="s">
        <v>1363</v>
      </c>
      <c r="E2853" s="36" t="s">
        <v>1285</v>
      </c>
      <c r="F2853" s="36" t="s">
        <v>286</v>
      </c>
      <c r="G2853" s="36" t="s">
        <v>411</v>
      </c>
      <c r="H2853" s="37">
        <v>53.35</v>
      </c>
      <c r="I2853" s="36" t="s">
        <v>1301</v>
      </c>
      <c r="J2853" s="39" t="s">
        <v>286</v>
      </c>
      <c r="K2853" s="38"/>
      <c r="L2853" s="38"/>
    </row>
    <row r="2854" ht="22.5" customHeight="1">
      <c r="A2854" s="36" t="s">
        <v>6393</v>
      </c>
      <c r="B2854" s="36" t="s">
        <v>6394</v>
      </c>
      <c r="C2854" s="36" t="s">
        <v>1495</v>
      </c>
      <c r="D2854" s="36" t="s">
        <v>1496</v>
      </c>
      <c r="E2854" s="36" t="s">
        <v>1285</v>
      </c>
      <c r="F2854" s="36" t="s">
        <v>286</v>
      </c>
      <c r="G2854" s="36" t="s">
        <v>411</v>
      </c>
      <c r="H2854" s="37">
        <v>33.83</v>
      </c>
      <c r="I2854" s="36" t="s">
        <v>1301</v>
      </c>
      <c r="J2854" s="39" t="s">
        <v>286</v>
      </c>
      <c r="K2854" s="38"/>
      <c r="L2854" s="38"/>
    </row>
    <row r="2855" ht="22.5" customHeight="1">
      <c r="A2855" s="36" t="s">
        <v>6395</v>
      </c>
      <c r="B2855" s="36" t="s">
        <v>6396</v>
      </c>
      <c r="C2855" s="36" t="s">
        <v>1495</v>
      </c>
      <c r="D2855" s="36" t="s">
        <v>1496</v>
      </c>
      <c r="E2855" s="36" t="s">
        <v>1285</v>
      </c>
      <c r="F2855" s="36" t="s">
        <v>286</v>
      </c>
      <c r="G2855" s="36" t="s">
        <v>411</v>
      </c>
      <c r="H2855" s="37">
        <v>33.35</v>
      </c>
      <c r="I2855" s="36" t="s">
        <v>1301</v>
      </c>
      <c r="J2855" s="39" t="s">
        <v>286</v>
      </c>
      <c r="K2855" s="38"/>
      <c r="L2855" s="38"/>
    </row>
    <row r="2856" ht="22.5" customHeight="1">
      <c r="A2856" s="36" t="s">
        <v>6397</v>
      </c>
      <c r="B2856" s="36" t="s">
        <v>6398</v>
      </c>
      <c r="C2856" s="36" t="s">
        <v>1495</v>
      </c>
      <c r="D2856" s="36" t="s">
        <v>1496</v>
      </c>
      <c r="E2856" s="36" t="s">
        <v>1285</v>
      </c>
      <c r="F2856" s="36" t="s">
        <v>286</v>
      </c>
      <c r="G2856" s="36" t="s">
        <v>411</v>
      </c>
      <c r="H2856" s="37">
        <v>31.89</v>
      </c>
      <c r="I2856" s="36" t="s">
        <v>1301</v>
      </c>
      <c r="J2856" s="39" t="s">
        <v>286</v>
      </c>
      <c r="K2856" s="38"/>
      <c r="L2856" s="38"/>
    </row>
    <row r="2857" ht="22.5" customHeight="1">
      <c r="A2857" s="36" t="s">
        <v>6399</v>
      </c>
      <c r="B2857" s="36" t="s">
        <v>6400</v>
      </c>
      <c r="C2857" s="36" t="s">
        <v>1495</v>
      </c>
      <c r="D2857" s="36" t="s">
        <v>1496</v>
      </c>
      <c r="E2857" s="36" t="s">
        <v>1285</v>
      </c>
      <c r="F2857" s="36" t="s">
        <v>286</v>
      </c>
      <c r="G2857" s="36" t="s">
        <v>411</v>
      </c>
      <c r="H2857" s="37">
        <v>5.03</v>
      </c>
      <c r="I2857" s="36" t="s">
        <v>1301</v>
      </c>
      <c r="J2857" s="39" t="s">
        <v>286</v>
      </c>
      <c r="K2857" s="38"/>
      <c r="L2857" s="38"/>
    </row>
    <row r="2858" ht="22.5" customHeight="1">
      <c r="A2858" s="36" t="s">
        <v>6401</v>
      </c>
      <c r="B2858" s="36" t="s">
        <v>6402</v>
      </c>
      <c r="C2858" s="36" t="s">
        <v>1495</v>
      </c>
      <c r="D2858" s="36" t="s">
        <v>1496</v>
      </c>
      <c r="E2858" s="36" t="s">
        <v>1285</v>
      </c>
      <c r="F2858" s="36" t="s">
        <v>286</v>
      </c>
      <c r="G2858" s="36" t="s">
        <v>411</v>
      </c>
      <c r="H2858" s="37">
        <v>5.03</v>
      </c>
      <c r="I2858" s="36" t="s">
        <v>1301</v>
      </c>
      <c r="J2858" s="39" t="s">
        <v>286</v>
      </c>
      <c r="K2858" s="38"/>
      <c r="L2858" s="38"/>
    </row>
    <row r="2859" ht="22.5" customHeight="1">
      <c r="A2859" s="36" t="s">
        <v>6403</v>
      </c>
      <c r="B2859" s="36" t="s">
        <v>6404</v>
      </c>
      <c r="C2859" s="36" t="s">
        <v>1495</v>
      </c>
      <c r="D2859" s="36" t="s">
        <v>1496</v>
      </c>
      <c r="E2859" s="36" t="s">
        <v>1285</v>
      </c>
      <c r="F2859" s="36" t="s">
        <v>286</v>
      </c>
      <c r="G2859" s="36" t="s">
        <v>411</v>
      </c>
      <c r="H2859" s="37">
        <v>4.33</v>
      </c>
      <c r="I2859" s="36" t="s">
        <v>1301</v>
      </c>
      <c r="J2859" s="39" t="s">
        <v>286</v>
      </c>
      <c r="K2859" s="38"/>
      <c r="L2859" s="38"/>
    </row>
    <row r="2860" ht="22.5" customHeight="1">
      <c r="A2860" s="36" t="s">
        <v>6405</v>
      </c>
      <c r="B2860" s="36" t="s">
        <v>6406</v>
      </c>
      <c r="C2860" s="36" t="s">
        <v>1495</v>
      </c>
      <c r="D2860" s="36" t="s">
        <v>1496</v>
      </c>
      <c r="E2860" s="36" t="s">
        <v>1285</v>
      </c>
      <c r="F2860" s="36" t="s">
        <v>286</v>
      </c>
      <c r="G2860" s="36" t="s">
        <v>411</v>
      </c>
      <c r="H2860" s="37">
        <v>4.33</v>
      </c>
      <c r="I2860" s="36" t="s">
        <v>1301</v>
      </c>
      <c r="J2860" s="39" t="s">
        <v>286</v>
      </c>
      <c r="K2860" s="38"/>
      <c r="L2860" s="38"/>
    </row>
    <row r="2861" ht="22.5" customHeight="1">
      <c r="A2861" s="36" t="s">
        <v>6407</v>
      </c>
      <c r="B2861" s="36" t="s">
        <v>6408</v>
      </c>
      <c r="C2861" s="36" t="s">
        <v>1495</v>
      </c>
      <c r="D2861" s="36" t="s">
        <v>1496</v>
      </c>
      <c r="E2861" s="36" t="s">
        <v>1285</v>
      </c>
      <c r="F2861" s="36" t="s">
        <v>286</v>
      </c>
      <c r="G2861" s="36" t="s">
        <v>411</v>
      </c>
      <c r="H2861" s="37">
        <v>277.83</v>
      </c>
      <c r="I2861" s="36" t="s">
        <v>1301</v>
      </c>
      <c r="J2861" s="39" t="s">
        <v>286</v>
      </c>
      <c r="K2861" s="38"/>
      <c r="L2861" s="38"/>
    </row>
    <row r="2862" ht="22.5" customHeight="1">
      <c r="A2862" s="36" t="s">
        <v>6409</v>
      </c>
      <c r="B2862" s="36" t="s">
        <v>6410</v>
      </c>
      <c r="C2862" s="36" t="s">
        <v>1495</v>
      </c>
      <c r="D2862" s="36" t="s">
        <v>1496</v>
      </c>
      <c r="E2862" s="36" t="s">
        <v>1285</v>
      </c>
      <c r="F2862" s="36" t="s">
        <v>286</v>
      </c>
      <c r="G2862" s="36" t="s">
        <v>411</v>
      </c>
      <c r="H2862" s="37">
        <v>192.34</v>
      </c>
      <c r="I2862" s="36" t="s">
        <v>1301</v>
      </c>
      <c r="J2862" s="39" t="s">
        <v>286</v>
      </c>
      <c r="K2862" s="38"/>
      <c r="L2862" s="38"/>
    </row>
    <row r="2863" ht="22.5" customHeight="1">
      <c r="A2863" s="36" t="s">
        <v>6411</v>
      </c>
      <c r="B2863" s="36" t="s">
        <v>6412</v>
      </c>
      <c r="C2863" s="36" t="s">
        <v>1495</v>
      </c>
      <c r="D2863" s="36" t="s">
        <v>1496</v>
      </c>
      <c r="E2863" s="36" t="s">
        <v>1285</v>
      </c>
      <c r="F2863" s="36" t="s">
        <v>286</v>
      </c>
      <c r="G2863" s="36" t="s">
        <v>411</v>
      </c>
      <c r="H2863" s="37">
        <v>354.34</v>
      </c>
      <c r="I2863" s="36" t="s">
        <v>1301</v>
      </c>
      <c r="J2863" s="39" t="s">
        <v>286</v>
      </c>
      <c r="K2863" s="38"/>
      <c r="L2863" s="38"/>
    </row>
    <row r="2864" ht="22.5" customHeight="1">
      <c r="A2864" s="36" t="s">
        <v>6413</v>
      </c>
      <c r="B2864" s="36" t="s">
        <v>6414</v>
      </c>
      <c r="C2864" s="36" t="s">
        <v>1495</v>
      </c>
      <c r="D2864" s="36" t="s">
        <v>1496</v>
      </c>
      <c r="E2864" s="36" t="s">
        <v>1285</v>
      </c>
      <c r="F2864" s="36" t="s">
        <v>286</v>
      </c>
      <c r="G2864" s="36" t="s">
        <v>411</v>
      </c>
      <c r="H2864" s="37">
        <v>960.86</v>
      </c>
      <c r="I2864" s="36" t="s">
        <v>1301</v>
      </c>
      <c r="J2864" s="39" t="s">
        <v>286</v>
      </c>
      <c r="K2864" s="38"/>
      <c r="L2864" s="38"/>
    </row>
    <row r="2865" ht="22.5" customHeight="1">
      <c r="A2865" s="36" t="s">
        <v>6415</v>
      </c>
      <c r="B2865" s="36" t="s">
        <v>6416</v>
      </c>
      <c r="C2865" s="36" t="s">
        <v>1495</v>
      </c>
      <c r="D2865" s="36" t="s">
        <v>1496</v>
      </c>
      <c r="E2865" s="36" t="s">
        <v>1285</v>
      </c>
      <c r="F2865" s="36" t="s">
        <v>286</v>
      </c>
      <c r="G2865" s="36" t="s">
        <v>411</v>
      </c>
      <c r="H2865" s="37">
        <v>864.77</v>
      </c>
      <c r="I2865" s="36" t="s">
        <v>1301</v>
      </c>
      <c r="J2865" s="39" t="s">
        <v>286</v>
      </c>
      <c r="K2865" s="38"/>
      <c r="L2865" s="38"/>
    </row>
    <row r="2866" ht="22.5" customHeight="1">
      <c r="A2866" s="36" t="s">
        <v>6417</v>
      </c>
      <c r="B2866" s="36" t="s">
        <v>6418</v>
      </c>
      <c r="C2866" s="36" t="s">
        <v>1495</v>
      </c>
      <c r="D2866" s="36" t="s">
        <v>1496</v>
      </c>
      <c r="E2866" s="36" t="s">
        <v>1285</v>
      </c>
      <c r="F2866" s="36" t="s">
        <v>286</v>
      </c>
      <c r="G2866" s="36" t="s">
        <v>411</v>
      </c>
      <c r="H2866" s="37">
        <v>798.36</v>
      </c>
      <c r="I2866" s="36" t="s">
        <v>1301</v>
      </c>
      <c r="J2866" s="39" t="s">
        <v>286</v>
      </c>
      <c r="K2866" s="38"/>
      <c r="L2866" s="38"/>
    </row>
    <row r="2867" ht="22.5" customHeight="1">
      <c r="A2867" s="36" t="s">
        <v>6419</v>
      </c>
      <c r="B2867" s="36" t="s">
        <v>6420</v>
      </c>
      <c r="C2867" s="36" t="s">
        <v>1495</v>
      </c>
      <c r="D2867" s="36" t="s">
        <v>1496</v>
      </c>
      <c r="E2867" s="36" t="s">
        <v>1285</v>
      </c>
      <c r="F2867" s="36" t="s">
        <v>286</v>
      </c>
      <c r="G2867" s="36" t="s">
        <v>411</v>
      </c>
      <c r="H2867" s="37">
        <v>23.39</v>
      </c>
      <c r="I2867" s="36" t="s">
        <v>1301</v>
      </c>
      <c r="J2867" s="39" t="s">
        <v>286</v>
      </c>
      <c r="K2867" s="38"/>
      <c r="L2867" s="38"/>
    </row>
    <row r="2868" ht="22.5" customHeight="1">
      <c r="A2868" s="36" t="s">
        <v>6421</v>
      </c>
      <c r="B2868" s="36" t="s">
        <v>6422</v>
      </c>
      <c r="C2868" s="36" t="s">
        <v>1495</v>
      </c>
      <c r="D2868" s="36" t="s">
        <v>1496</v>
      </c>
      <c r="E2868" s="36" t="s">
        <v>1285</v>
      </c>
      <c r="F2868" s="36" t="s">
        <v>286</v>
      </c>
      <c r="G2868" s="36" t="s">
        <v>411</v>
      </c>
      <c r="H2868" s="37">
        <v>89.53</v>
      </c>
      <c r="I2868" s="36" t="s">
        <v>1301</v>
      </c>
      <c r="J2868" s="39" t="s">
        <v>286</v>
      </c>
      <c r="K2868" s="38"/>
      <c r="L2868" s="38"/>
    </row>
    <row r="2869" ht="22.5" customHeight="1">
      <c r="A2869" s="36" t="s">
        <v>6423</v>
      </c>
      <c r="B2869" s="36" t="s">
        <v>6424</v>
      </c>
      <c r="C2869" s="36" t="s">
        <v>1495</v>
      </c>
      <c r="D2869" s="36" t="s">
        <v>1496</v>
      </c>
      <c r="E2869" s="36" t="s">
        <v>1285</v>
      </c>
      <c r="F2869" s="36" t="s">
        <v>286</v>
      </c>
      <c r="G2869" s="36" t="s">
        <v>411</v>
      </c>
      <c r="H2869" s="37">
        <v>67.93</v>
      </c>
      <c r="I2869" s="36" t="s">
        <v>1301</v>
      </c>
      <c r="J2869" s="39" t="s">
        <v>286</v>
      </c>
      <c r="K2869" s="38"/>
      <c r="L2869" s="38"/>
    </row>
    <row r="2870" ht="22.5" customHeight="1">
      <c r="A2870" s="36" t="s">
        <v>6425</v>
      </c>
      <c r="B2870" s="36" t="s">
        <v>6426</v>
      </c>
      <c r="C2870" s="36" t="s">
        <v>1495</v>
      </c>
      <c r="D2870" s="36" t="s">
        <v>1496</v>
      </c>
      <c r="E2870" s="36" t="s">
        <v>1285</v>
      </c>
      <c r="F2870" s="36" t="s">
        <v>286</v>
      </c>
      <c r="G2870" s="36" t="s">
        <v>411</v>
      </c>
      <c r="H2870" s="37">
        <v>378.3</v>
      </c>
      <c r="I2870" s="36" t="s">
        <v>1301</v>
      </c>
      <c r="J2870" s="39" t="s">
        <v>286</v>
      </c>
      <c r="K2870" s="38"/>
      <c r="L2870" s="38"/>
    </row>
    <row r="2871" ht="22.5" customHeight="1">
      <c r="A2871" s="36" t="s">
        <v>6427</v>
      </c>
      <c r="B2871" s="36" t="s">
        <v>6428</v>
      </c>
      <c r="C2871" s="36" t="s">
        <v>1495</v>
      </c>
      <c r="D2871" s="36" t="s">
        <v>1496</v>
      </c>
      <c r="E2871" s="36" t="s">
        <v>1285</v>
      </c>
      <c r="F2871" s="36" t="s">
        <v>286</v>
      </c>
      <c r="G2871" s="36" t="s">
        <v>411</v>
      </c>
      <c r="H2871" s="37">
        <v>1395.68</v>
      </c>
      <c r="I2871" s="36" t="s">
        <v>1301</v>
      </c>
      <c r="J2871" s="39" t="s">
        <v>286</v>
      </c>
      <c r="K2871" s="38"/>
      <c r="L2871" s="38"/>
    </row>
    <row r="2872" ht="22.5" customHeight="1">
      <c r="A2872" s="36" t="s">
        <v>6429</v>
      </c>
      <c r="B2872" s="36" t="s">
        <v>6430</v>
      </c>
      <c r="C2872" s="36" t="s">
        <v>1495</v>
      </c>
      <c r="D2872" s="36" t="s">
        <v>1496</v>
      </c>
      <c r="E2872" s="36" t="s">
        <v>1285</v>
      </c>
      <c r="F2872" s="36" t="s">
        <v>286</v>
      </c>
      <c r="G2872" s="36" t="s">
        <v>411</v>
      </c>
      <c r="H2872" s="37">
        <v>45.91</v>
      </c>
      <c r="I2872" s="36" t="s">
        <v>1301</v>
      </c>
      <c r="J2872" s="39" t="s">
        <v>286</v>
      </c>
      <c r="K2872" s="38"/>
      <c r="L2872" s="38"/>
    </row>
    <row r="2873" ht="22.5" customHeight="1">
      <c r="A2873" s="36" t="s">
        <v>6431</v>
      </c>
      <c r="B2873" s="36" t="s">
        <v>6432</v>
      </c>
      <c r="C2873" s="36" t="s">
        <v>1495</v>
      </c>
      <c r="D2873" s="36" t="s">
        <v>1496</v>
      </c>
      <c r="E2873" s="36" t="s">
        <v>1285</v>
      </c>
      <c r="F2873" s="36" t="s">
        <v>286</v>
      </c>
      <c r="G2873" s="36" t="s">
        <v>411</v>
      </c>
      <c r="H2873" s="37">
        <v>32.72</v>
      </c>
      <c r="I2873" s="36" t="s">
        <v>1301</v>
      </c>
      <c r="J2873" s="39" t="s">
        <v>286</v>
      </c>
      <c r="K2873" s="38"/>
      <c r="L2873" s="38"/>
    </row>
    <row r="2874" ht="22.5" customHeight="1">
      <c r="A2874" s="36" t="s">
        <v>6433</v>
      </c>
      <c r="B2874" s="36" t="s">
        <v>6434</v>
      </c>
      <c r="C2874" s="36" t="s">
        <v>1495</v>
      </c>
      <c r="D2874" s="36" t="s">
        <v>1496</v>
      </c>
      <c r="E2874" s="36" t="s">
        <v>1285</v>
      </c>
      <c r="F2874" s="36" t="s">
        <v>286</v>
      </c>
      <c r="G2874" s="36" t="s">
        <v>411</v>
      </c>
      <c r="H2874" s="37">
        <v>32.72</v>
      </c>
      <c r="I2874" s="36" t="s">
        <v>1301</v>
      </c>
      <c r="J2874" s="39" t="s">
        <v>286</v>
      </c>
      <c r="K2874" s="38"/>
      <c r="L2874" s="38"/>
    </row>
    <row r="2875" ht="22.5" customHeight="1">
      <c r="A2875" s="36" t="s">
        <v>6435</v>
      </c>
      <c r="B2875" s="36" t="s">
        <v>6436</v>
      </c>
      <c r="C2875" s="36" t="s">
        <v>1495</v>
      </c>
      <c r="D2875" s="36" t="s">
        <v>1496</v>
      </c>
      <c r="E2875" s="36" t="s">
        <v>1285</v>
      </c>
      <c r="F2875" s="36" t="s">
        <v>286</v>
      </c>
      <c r="G2875" s="36" t="s">
        <v>411</v>
      </c>
      <c r="H2875" s="37">
        <v>39.31</v>
      </c>
      <c r="I2875" s="36" t="s">
        <v>1301</v>
      </c>
      <c r="J2875" s="39" t="s">
        <v>286</v>
      </c>
      <c r="K2875" s="38"/>
      <c r="L2875" s="38"/>
    </row>
    <row r="2876" ht="22.5" customHeight="1">
      <c r="A2876" s="36" t="s">
        <v>6437</v>
      </c>
      <c r="B2876" s="36" t="s">
        <v>6438</v>
      </c>
      <c r="C2876" s="36" t="s">
        <v>1495</v>
      </c>
      <c r="D2876" s="36" t="s">
        <v>1496</v>
      </c>
      <c r="E2876" s="36" t="s">
        <v>1285</v>
      </c>
      <c r="F2876" s="36" t="s">
        <v>286</v>
      </c>
      <c r="G2876" s="36" t="s">
        <v>411</v>
      </c>
      <c r="H2876" s="37">
        <v>55.86</v>
      </c>
      <c r="I2876" s="36" t="s">
        <v>1301</v>
      </c>
      <c r="J2876" s="39" t="s">
        <v>286</v>
      </c>
      <c r="K2876" s="38"/>
      <c r="L2876" s="38"/>
    </row>
    <row r="2877" ht="22.5" customHeight="1">
      <c r="A2877" s="36" t="s">
        <v>6439</v>
      </c>
      <c r="B2877" s="36" t="s">
        <v>6440</v>
      </c>
      <c r="C2877" s="36" t="s">
        <v>286</v>
      </c>
      <c r="D2877" s="36" t="s">
        <v>1363</v>
      </c>
      <c r="E2877" s="36" t="s">
        <v>1285</v>
      </c>
      <c r="F2877" s="36" t="s">
        <v>286</v>
      </c>
      <c r="G2877" s="36" t="s">
        <v>411</v>
      </c>
      <c r="H2877" s="37">
        <v>55.86</v>
      </c>
      <c r="I2877" s="36" t="s">
        <v>1301</v>
      </c>
      <c r="J2877" s="39" t="s">
        <v>286</v>
      </c>
      <c r="K2877" s="38"/>
      <c r="L2877" s="38"/>
    </row>
    <row r="2878" ht="22.5" customHeight="1">
      <c r="A2878" s="36" t="s">
        <v>6441</v>
      </c>
      <c r="B2878" s="36" t="s">
        <v>6442</v>
      </c>
      <c r="C2878" s="36" t="s">
        <v>1495</v>
      </c>
      <c r="D2878" s="36" t="s">
        <v>1496</v>
      </c>
      <c r="E2878" s="36" t="s">
        <v>1285</v>
      </c>
      <c r="F2878" s="36" t="s">
        <v>286</v>
      </c>
      <c r="G2878" s="36" t="s">
        <v>411</v>
      </c>
      <c r="H2878" s="37">
        <v>59.28</v>
      </c>
      <c r="I2878" s="36" t="s">
        <v>1301</v>
      </c>
      <c r="J2878" s="39" t="s">
        <v>286</v>
      </c>
      <c r="K2878" s="38"/>
      <c r="L2878" s="38"/>
    </row>
    <row r="2879" ht="22.5" customHeight="1">
      <c r="A2879" s="36" t="s">
        <v>6443</v>
      </c>
      <c r="B2879" s="36" t="s">
        <v>6444</v>
      </c>
      <c r="C2879" s="36" t="s">
        <v>1495</v>
      </c>
      <c r="D2879" s="36" t="s">
        <v>1496</v>
      </c>
      <c r="E2879" s="36" t="s">
        <v>1285</v>
      </c>
      <c r="F2879" s="36" t="s">
        <v>286</v>
      </c>
      <c r="G2879" s="36" t="s">
        <v>411</v>
      </c>
      <c r="H2879" s="37">
        <v>9.49</v>
      </c>
      <c r="I2879" s="36" t="s">
        <v>1301</v>
      </c>
      <c r="J2879" s="39" t="s">
        <v>286</v>
      </c>
      <c r="K2879" s="38"/>
      <c r="L2879" s="38"/>
    </row>
    <row r="2880" ht="22.5" customHeight="1">
      <c r="A2880" s="36" t="s">
        <v>6445</v>
      </c>
      <c r="B2880" s="36" t="s">
        <v>6446</v>
      </c>
      <c r="C2880" s="36" t="s">
        <v>1495</v>
      </c>
      <c r="D2880" s="36" t="s">
        <v>1496</v>
      </c>
      <c r="E2880" s="36" t="s">
        <v>1285</v>
      </c>
      <c r="F2880" s="36" t="s">
        <v>286</v>
      </c>
      <c r="G2880" s="36" t="s">
        <v>411</v>
      </c>
      <c r="H2880" s="37">
        <v>7.98</v>
      </c>
      <c r="I2880" s="36" t="s">
        <v>1301</v>
      </c>
      <c r="J2880" s="39" t="s">
        <v>286</v>
      </c>
      <c r="K2880" s="38"/>
      <c r="L2880" s="38"/>
    </row>
    <row r="2881" ht="22.5" customHeight="1">
      <c r="A2881" s="36" t="s">
        <v>6447</v>
      </c>
      <c r="B2881" s="36" t="s">
        <v>6448</v>
      </c>
      <c r="C2881" s="36" t="s">
        <v>1495</v>
      </c>
      <c r="D2881" s="36" t="s">
        <v>1496</v>
      </c>
      <c r="E2881" s="36" t="s">
        <v>1285</v>
      </c>
      <c r="F2881" s="36" t="s">
        <v>286</v>
      </c>
      <c r="G2881" s="36" t="s">
        <v>411</v>
      </c>
      <c r="H2881" s="37">
        <v>7.7</v>
      </c>
      <c r="I2881" s="36" t="s">
        <v>1301</v>
      </c>
      <c r="J2881" s="39" t="s">
        <v>286</v>
      </c>
      <c r="K2881" s="38"/>
      <c r="L2881" s="38"/>
    </row>
    <row r="2882" ht="22.5" customHeight="1">
      <c r="A2882" s="36" t="s">
        <v>6449</v>
      </c>
      <c r="B2882" s="36" t="s">
        <v>6450</v>
      </c>
      <c r="C2882" s="36" t="s">
        <v>1495</v>
      </c>
      <c r="D2882" s="36" t="s">
        <v>1496</v>
      </c>
      <c r="E2882" s="36" t="s">
        <v>1285</v>
      </c>
      <c r="F2882" s="36" t="s">
        <v>286</v>
      </c>
      <c r="G2882" s="36" t="s">
        <v>411</v>
      </c>
      <c r="H2882" s="37">
        <v>4.56</v>
      </c>
      <c r="I2882" s="36" t="s">
        <v>1301</v>
      </c>
      <c r="J2882" s="39" t="s">
        <v>286</v>
      </c>
      <c r="K2882" s="38"/>
      <c r="L2882" s="38"/>
    </row>
    <row r="2883" ht="22.5" customHeight="1">
      <c r="A2883" s="36" t="s">
        <v>6451</v>
      </c>
      <c r="B2883" s="36" t="s">
        <v>6452</v>
      </c>
      <c r="C2883" s="36" t="s">
        <v>1495</v>
      </c>
      <c r="D2883" s="36" t="s">
        <v>1496</v>
      </c>
      <c r="E2883" s="36" t="s">
        <v>1285</v>
      </c>
      <c r="F2883" s="36" t="s">
        <v>286</v>
      </c>
      <c r="G2883" s="36" t="s">
        <v>411</v>
      </c>
      <c r="H2883" s="37">
        <v>26.41</v>
      </c>
      <c r="I2883" s="36" t="s">
        <v>1301</v>
      </c>
      <c r="J2883" s="39" t="s">
        <v>286</v>
      </c>
      <c r="K2883" s="38"/>
      <c r="L2883" s="38"/>
    </row>
    <row r="2884" ht="22.5" customHeight="1">
      <c r="A2884" s="36" t="s">
        <v>6453</v>
      </c>
      <c r="B2884" s="36" t="s">
        <v>6454</v>
      </c>
      <c r="C2884" s="36" t="s">
        <v>1495</v>
      </c>
      <c r="D2884" s="36" t="s">
        <v>1496</v>
      </c>
      <c r="E2884" s="36" t="s">
        <v>1285</v>
      </c>
      <c r="F2884" s="36" t="s">
        <v>286</v>
      </c>
      <c r="G2884" s="36" t="s">
        <v>411</v>
      </c>
      <c r="H2884" s="37">
        <v>4.78</v>
      </c>
      <c r="I2884" s="36" t="s">
        <v>1301</v>
      </c>
      <c r="J2884" s="39" t="s">
        <v>286</v>
      </c>
      <c r="K2884" s="38"/>
      <c r="L2884" s="38"/>
    </row>
    <row r="2885" ht="22.5" customHeight="1">
      <c r="A2885" s="36" t="s">
        <v>6455</v>
      </c>
      <c r="B2885" s="36" t="s">
        <v>6456</v>
      </c>
      <c r="C2885" s="36" t="s">
        <v>1495</v>
      </c>
      <c r="D2885" s="36" t="s">
        <v>1496</v>
      </c>
      <c r="E2885" s="36" t="s">
        <v>1285</v>
      </c>
      <c r="F2885" s="36" t="s">
        <v>286</v>
      </c>
      <c r="G2885" s="36" t="s">
        <v>411</v>
      </c>
      <c r="H2885" s="37">
        <v>99.58</v>
      </c>
      <c r="I2885" s="36" t="s">
        <v>1301</v>
      </c>
      <c r="J2885" s="39" t="s">
        <v>286</v>
      </c>
      <c r="K2885" s="38"/>
      <c r="L2885" s="38"/>
    </row>
    <row r="2886" ht="22.5" customHeight="1">
      <c r="A2886" s="36" t="s">
        <v>6457</v>
      </c>
      <c r="B2886" s="36" t="s">
        <v>6458</v>
      </c>
      <c r="C2886" s="36" t="s">
        <v>286</v>
      </c>
      <c r="D2886" s="36" t="s">
        <v>1363</v>
      </c>
      <c r="E2886" s="36" t="s">
        <v>1285</v>
      </c>
      <c r="F2886" s="36" t="s">
        <v>286</v>
      </c>
      <c r="G2886" s="36" t="s">
        <v>411</v>
      </c>
      <c r="H2886" s="37">
        <v>156.32</v>
      </c>
      <c r="I2886" s="36" t="s">
        <v>1301</v>
      </c>
      <c r="J2886" s="39" t="s">
        <v>286</v>
      </c>
      <c r="K2886" s="38"/>
      <c r="L2886" s="38"/>
    </row>
    <row r="2887" ht="22.5" customHeight="1">
      <c r="A2887" s="36" t="s">
        <v>6459</v>
      </c>
      <c r="B2887" s="36" t="s">
        <v>6460</v>
      </c>
      <c r="C2887" s="36" t="s">
        <v>1495</v>
      </c>
      <c r="D2887" s="36" t="s">
        <v>1496</v>
      </c>
      <c r="E2887" s="36" t="s">
        <v>1285</v>
      </c>
      <c r="F2887" s="36" t="s">
        <v>286</v>
      </c>
      <c r="G2887" s="36" t="s">
        <v>411</v>
      </c>
      <c r="H2887" s="37">
        <v>430.0</v>
      </c>
      <c r="I2887" s="36" t="s">
        <v>1301</v>
      </c>
      <c r="J2887" s="39" t="s">
        <v>286</v>
      </c>
      <c r="K2887" s="38"/>
      <c r="L2887" s="38"/>
    </row>
    <row r="2888" ht="22.5" customHeight="1">
      <c r="A2888" s="36" t="s">
        <v>6461</v>
      </c>
      <c r="B2888" s="36" t="s">
        <v>6462</v>
      </c>
      <c r="C2888" s="36" t="s">
        <v>1495</v>
      </c>
      <c r="D2888" s="36" t="s">
        <v>1496</v>
      </c>
      <c r="E2888" s="36" t="s">
        <v>1285</v>
      </c>
      <c r="F2888" s="36" t="s">
        <v>286</v>
      </c>
      <c r="G2888" s="36" t="s">
        <v>411</v>
      </c>
      <c r="H2888" s="37">
        <v>180.0</v>
      </c>
      <c r="I2888" s="36" t="s">
        <v>1301</v>
      </c>
      <c r="J2888" s="39" t="s">
        <v>286</v>
      </c>
      <c r="K2888" s="38"/>
      <c r="L2888" s="38"/>
    </row>
    <row r="2889" ht="22.5" customHeight="1">
      <c r="A2889" s="36" t="s">
        <v>6463</v>
      </c>
      <c r="B2889" s="36" t="s">
        <v>6464</v>
      </c>
      <c r="C2889" s="36" t="s">
        <v>1495</v>
      </c>
      <c r="D2889" s="36" t="s">
        <v>1496</v>
      </c>
      <c r="E2889" s="36" t="s">
        <v>1285</v>
      </c>
      <c r="F2889" s="36" t="s">
        <v>286</v>
      </c>
      <c r="G2889" s="36" t="s">
        <v>411</v>
      </c>
      <c r="H2889" s="37">
        <v>95.0</v>
      </c>
      <c r="I2889" s="36" t="s">
        <v>1301</v>
      </c>
      <c r="J2889" s="39" t="s">
        <v>286</v>
      </c>
      <c r="K2889" s="38"/>
      <c r="L2889" s="38"/>
    </row>
    <row r="2890" ht="22.5" customHeight="1">
      <c r="A2890" s="36" t="s">
        <v>6465</v>
      </c>
      <c r="B2890" s="36" t="s">
        <v>6466</v>
      </c>
      <c r="C2890" s="36" t="s">
        <v>1495</v>
      </c>
      <c r="D2890" s="36" t="s">
        <v>1496</v>
      </c>
      <c r="E2890" s="36" t="s">
        <v>1285</v>
      </c>
      <c r="F2890" s="36" t="s">
        <v>286</v>
      </c>
      <c r="G2890" s="36" t="s">
        <v>411</v>
      </c>
      <c r="H2890" s="37">
        <v>50.03</v>
      </c>
      <c r="I2890" s="36" t="s">
        <v>1301</v>
      </c>
      <c r="J2890" s="39" t="s">
        <v>286</v>
      </c>
      <c r="K2890" s="38"/>
      <c r="L2890" s="38"/>
    </row>
    <row r="2891" ht="22.5" customHeight="1">
      <c r="A2891" s="36" t="s">
        <v>6467</v>
      </c>
      <c r="B2891" s="36" t="s">
        <v>6468</v>
      </c>
      <c r="C2891" s="36" t="s">
        <v>1495</v>
      </c>
      <c r="D2891" s="36" t="s">
        <v>1496</v>
      </c>
      <c r="E2891" s="36" t="s">
        <v>1285</v>
      </c>
      <c r="F2891" s="36" t="s">
        <v>286</v>
      </c>
      <c r="G2891" s="36" t="s">
        <v>411</v>
      </c>
      <c r="H2891" s="37">
        <v>51.92</v>
      </c>
      <c r="I2891" s="36" t="s">
        <v>1301</v>
      </c>
      <c r="J2891" s="39" t="s">
        <v>286</v>
      </c>
      <c r="K2891" s="38"/>
      <c r="L2891" s="38"/>
    </row>
    <row r="2892" ht="22.5" customHeight="1">
      <c r="A2892" s="36" t="s">
        <v>6469</v>
      </c>
      <c r="B2892" s="36" t="s">
        <v>6470</v>
      </c>
      <c r="C2892" s="36" t="s">
        <v>1495</v>
      </c>
      <c r="D2892" s="36" t="s">
        <v>1496</v>
      </c>
      <c r="E2892" s="36" t="s">
        <v>1285</v>
      </c>
      <c r="F2892" s="36" t="s">
        <v>286</v>
      </c>
      <c r="G2892" s="36" t="s">
        <v>411</v>
      </c>
      <c r="H2892" s="37">
        <v>34.91</v>
      </c>
      <c r="I2892" s="36" t="s">
        <v>1301</v>
      </c>
      <c r="J2892" s="39" t="s">
        <v>286</v>
      </c>
      <c r="K2892" s="38"/>
      <c r="L2892" s="38"/>
    </row>
    <row r="2893" ht="22.5" customHeight="1">
      <c r="A2893" s="36" t="s">
        <v>6471</v>
      </c>
      <c r="B2893" s="36" t="s">
        <v>6472</v>
      </c>
      <c r="C2893" s="36" t="s">
        <v>1495</v>
      </c>
      <c r="D2893" s="36" t="s">
        <v>1496</v>
      </c>
      <c r="E2893" s="36" t="s">
        <v>1285</v>
      </c>
      <c r="F2893" s="36" t="s">
        <v>286</v>
      </c>
      <c r="G2893" s="36" t="s">
        <v>411</v>
      </c>
      <c r="H2893" s="37">
        <v>35.67</v>
      </c>
      <c r="I2893" s="36" t="s">
        <v>1301</v>
      </c>
      <c r="J2893" s="39" t="s">
        <v>286</v>
      </c>
      <c r="K2893" s="38"/>
      <c r="L2893" s="38"/>
    </row>
    <row r="2894" ht="22.5" customHeight="1">
      <c r="A2894" s="36" t="s">
        <v>6473</v>
      </c>
      <c r="B2894" s="36" t="s">
        <v>6474</v>
      </c>
      <c r="C2894" s="36" t="s">
        <v>286</v>
      </c>
      <c r="D2894" s="36" t="s">
        <v>286</v>
      </c>
      <c r="E2894" s="36" t="s">
        <v>287</v>
      </c>
      <c r="F2894" s="36" t="s">
        <v>286</v>
      </c>
      <c r="G2894" s="36" t="s">
        <v>408</v>
      </c>
      <c r="H2894" s="37">
        <v>10.0</v>
      </c>
      <c r="I2894" s="36" t="s">
        <v>402</v>
      </c>
      <c r="J2894" s="39" t="s">
        <v>286</v>
      </c>
      <c r="K2894" s="38"/>
      <c r="L2894" s="38"/>
    </row>
    <row r="2895" ht="22.5" customHeight="1">
      <c r="A2895" s="36" t="s">
        <v>6475</v>
      </c>
      <c r="B2895" s="36" t="s">
        <v>6476</v>
      </c>
      <c r="C2895" s="36" t="s">
        <v>1495</v>
      </c>
      <c r="D2895" s="36" t="s">
        <v>1496</v>
      </c>
      <c r="E2895" s="36" t="s">
        <v>1285</v>
      </c>
      <c r="F2895" s="36" t="s">
        <v>286</v>
      </c>
      <c r="G2895" s="36" t="s">
        <v>411</v>
      </c>
      <c r="H2895" s="37">
        <v>6984.99</v>
      </c>
      <c r="I2895" s="36" t="s">
        <v>1301</v>
      </c>
      <c r="J2895" s="39" t="s">
        <v>286</v>
      </c>
      <c r="K2895" s="38"/>
      <c r="L2895" s="38"/>
    </row>
    <row r="2896" ht="22.5" customHeight="1">
      <c r="A2896" s="36" t="s">
        <v>6477</v>
      </c>
      <c r="B2896" s="36" t="s">
        <v>6478</v>
      </c>
      <c r="C2896" s="36" t="s">
        <v>1495</v>
      </c>
      <c r="D2896" s="36" t="s">
        <v>1496</v>
      </c>
      <c r="E2896" s="36" t="s">
        <v>1285</v>
      </c>
      <c r="F2896" s="36" t="s">
        <v>286</v>
      </c>
      <c r="G2896" s="36" t="s">
        <v>411</v>
      </c>
      <c r="H2896" s="37">
        <v>3327.89</v>
      </c>
      <c r="I2896" s="36" t="s">
        <v>1301</v>
      </c>
      <c r="J2896" s="39" t="s">
        <v>286</v>
      </c>
      <c r="K2896" s="38"/>
      <c r="L2896" s="38"/>
    </row>
    <row r="2897" ht="22.5" customHeight="1">
      <c r="A2897" s="36" t="s">
        <v>6479</v>
      </c>
      <c r="B2897" s="36" t="s">
        <v>6480</v>
      </c>
      <c r="C2897" s="36" t="s">
        <v>1495</v>
      </c>
      <c r="D2897" s="36" t="s">
        <v>1496</v>
      </c>
      <c r="E2897" s="36" t="s">
        <v>1285</v>
      </c>
      <c r="F2897" s="36" t="s">
        <v>286</v>
      </c>
      <c r="G2897" s="36" t="s">
        <v>411</v>
      </c>
      <c r="H2897" s="37">
        <v>4967.44</v>
      </c>
      <c r="I2897" s="36" t="s">
        <v>1301</v>
      </c>
      <c r="J2897" s="39" t="s">
        <v>286</v>
      </c>
      <c r="K2897" s="38"/>
      <c r="L2897" s="38"/>
    </row>
    <row r="2898" ht="22.5" customHeight="1">
      <c r="A2898" s="36" t="s">
        <v>6481</v>
      </c>
      <c r="B2898" s="36" t="s">
        <v>6482</v>
      </c>
      <c r="C2898" s="36" t="s">
        <v>1495</v>
      </c>
      <c r="D2898" s="36" t="s">
        <v>1496</v>
      </c>
      <c r="E2898" s="36" t="s">
        <v>1285</v>
      </c>
      <c r="F2898" s="36" t="s">
        <v>286</v>
      </c>
      <c r="G2898" s="36" t="s">
        <v>411</v>
      </c>
      <c r="H2898" s="37">
        <v>358.36</v>
      </c>
      <c r="I2898" s="36" t="s">
        <v>1301</v>
      </c>
      <c r="J2898" s="39" t="s">
        <v>286</v>
      </c>
      <c r="K2898" s="38"/>
      <c r="L2898" s="38"/>
    </row>
    <row r="2899" ht="22.5" customHeight="1">
      <c r="A2899" s="36" t="s">
        <v>6483</v>
      </c>
      <c r="B2899" s="36" t="s">
        <v>6484</v>
      </c>
      <c r="C2899" s="36" t="s">
        <v>1495</v>
      </c>
      <c r="D2899" s="36" t="s">
        <v>1496</v>
      </c>
      <c r="E2899" s="36" t="s">
        <v>1285</v>
      </c>
      <c r="F2899" s="36" t="s">
        <v>286</v>
      </c>
      <c r="G2899" s="36" t="s">
        <v>411</v>
      </c>
      <c r="H2899" s="37">
        <v>4967.88</v>
      </c>
      <c r="I2899" s="36" t="s">
        <v>1301</v>
      </c>
      <c r="J2899" s="39" t="s">
        <v>286</v>
      </c>
      <c r="K2899" s="38"/>
      <c r="L2899" s="38"/>
    </row>
    <row r="2900" ht="22.5" customHeight="1">
      <c r="A2900" s="36" t="s">
        <v>6485</v>
      </c>
      <c r="B2900" s="36" t="s">
        <v>6486</v>
      </c>
      <c r="C2900" s="36" t="s">
        <v>1495</v>
      </c>
      <c r="D2900" s="36" t="s">
        <v>1496</v>
      </c>
      <c r="E2900" s="36" t="s">
        <v>1285</v>
      </c>
      <c r="F2900" s="36" t="s">
        <v>286</v>
      </c>
      <c r="G2900" s="36" t="s">
        <v>411</v>
      </c>
      <c r="H2900" s="37">
        <v>1366.7</v>
      </c>
      <c r="I2900" s="36" t="s">
        <v>1301</v>
      </c>
      <c r="J2900" s="39" t="s">
        <v>286</v>
      </c>
      <c r="K2900" s="38"/>
      <c r="L2900" s="38"/>
    </row>
    <row r="2901" ht="22.5" customHeight="1">
      <c r="A2901" s="36" t="s">
        <v>6487</v>
      </c>
      <c r="B2901" s="36" t="s">
        <v>6488</v>
      </c>
      <c r="C2901" s="36" t="s">
        <v>1495</v>
      </c>
      <c r="D2901" s="36" t="s">
        <v>1496</v>
      </c>
      <c r="E2901" s="36" t="s">
        <v>1285</v>
      </c>
      <c r="F2901" s="36" t="s">
        <v>286</v>
      </c>
      <c r="G2901" s="36" t="s">
        <v>411</v>
      </c>
      <c r="H2901" s="37">
        <v>33.98</v>
      </c>
      <c r="I2901" s="36" t="s">
        <v>1301</v>
      </c>
      <c r="J2901" s="39" t="s">
        <v>286</v>
      </c>
      <c r="K2901" s="38"/>
      <c r="L2901" s="38"/>
    </row>
    <row r="2902" ht="22.5" customHeight="1">
      <c r="A2902" s="36" t="s">
        <v>6489</v>
      </c>
      <c r="B2902" s="36" t="s">
        <v>6490</v>
      </c>
      <c r="C2902" s="36" t="s">
        <v>1495</v>
      </c>
      <c r="D2902" s="36" t="s">
        <v>1496</v>
      </c>
      <c r="E2902" s="36" t="s">
        <v>1285</v>
      </c>
      <c r="F2902" s="36" t="s">
        <v>286</v>
      </c>
      <c r="G2902" s="36" t="s">
        <v>411</v>
      </c>
      <c r="H2902" s="37">
        <v>96.39</v>
      </c>
      <c r="I2902" s="36" t="s">
        <v>1301</v>
      </c>
      <c r="J2902" s="39" t="s">
        <v>286</v>
      </c>
      <c r="K2902" s="38"/>
      <c r="L2902" s="38"/>
    </row>
    <row r="2903" ht="22.5" customHeight="1">
      <c r="A2903" s="36" t="s">
        <v>6491</v>
      </c>
      <c r="B2903" s="36" t="s">
        <v>6492</v>
      </c>
      <c r="C2903" s="36" t="s">
        <v>1495</v>
      </c>
      <c r="D2903" s="36" t="s">
        <v>1496</v>
      </c>
      <c r="E2903" s="36" t="s">
        <v>1285</v>
      </c>
      <c r="F2903" s="36" t="s">
        <v>286</v>
      </c>
      <c r="G2903" s="36" t="s">
        <v>411</v>
      </c>
      <c r="H2903" s="37">
        <v>82.25</v>
      </c>
      <c r="I2903" s="36" t="s">
        <v>1301</v>
      </c>
      <c r="J2903" s="39" t="s">
        <v>286</v>
      </c>
      <c r="K2903" s="38"/>
      <c r="L2903" s="38"/>
    </row>
    <row r="2904" ht="22.5" customHeight="1">
      <c r="A2904" s="36" t="s">
        <v>6493</v>
      </c>
      <c r="B2904" s="36" t="s">
        <v>6494</v>
      </c>
      <c r="C2904" s="36" t="s">
        <v>1495</v>
      </c>
      <c r="D2904" s="36" t="s">
        <v>1496</v>
      </c>
      <c r="E2904" s="36" t="s">
        <v>1285</v>
      </c>
      <c r="F2904" s="36" t="s">
        <v>286</v>
      </c>
      <c r="G2904" s="36" t="s">
        <v>411</v>
      </c>
      <c r="H2904" s="37">
        <v>32.98</v>
      </c>
      <c r="I2904" s="36" t="s">
        <v>1301</v>
      </c>
      <c r="J2904" s="39" t="s">
        <v>286</v>
      </c>
      <c r="K2904" s="38"/>
      <c r="L2904" s="38"/>
    </row>
    <row r="2905" ht="22.5" customHeight="1">
      <c r="A2905" s="36" t="s">
        <v>6495</v>
      </c>
      <c r="B2905" s="36" t="s">
        <v>6496</v>
      </c>
      <c r="C2905" s="36" t="s">
        <v>1495</v>
      </c>
      <c r="D2905" s="36" t="s">
        <v>1496</v>
      </c>
      <c r="E2905" s="36" t="s">
        <v>1285</v>
      </c>
      <c r="F2905" s="36" t="s">
        <v>286</v>
      </c>
      <c r="G2905" s="36" t="s">
        <v>411</v>
      </c>
      <c r="H2905" s="37">
        <v>251.22</v>
      </c>
      <c r="I2905" s="36" t="s">
        <v>1301</v>
      </c>
      <c r="J2905" s="39" t="s">
        <v>286</v>
      </c>
      <c r="K2905" s="38"/>
      <c r="L2905" s="38"/>
    </row>
    <row r="2906" ht="22.5" customHeight="1">
      <c r="A2906" s="36" t="s">
        <v>6497</v>
      </c>
      <c r="B2906" s="36" t="s">
        <v>6498</v>
      </c>
      <c r="C2906" s="36" t="s">
        <v>1495</v>
      </c>
      <c r="D2906" s="36" t="s">
        <v>1496</v>
      </c>
      <c r="E2906" s="36" t="s">
        <v>1285</v>
      </c>
      <c r="F2906" s="36" t="s">
        <v>286</v>
      </c>
      <c r="G2906" s="36" t="s">
        <v>411</v>
      </c>
      <c r="H2906" s="37">
        <v>188.42</v>
      </c>
      <c r="I2906" s="36" t="s">
        <v>1301</v>
      </c>
      <c r="J2906" s="39" t="s">
        <v>286</v>
      </c>
      <c r="K2906" s="38"/>
      <c r="L2906" s="38"/>
    </row>
    <row r="2907" ht="22.5" customHeight="1">
      <c r="A2907" s="36" t="s">
        <v>6499</v>
      </c>
      <c r="B2907" s="36" t="s">
        <v>6500</v>
      </c>
      <c r="C2907" s="36" t="s">
        <v>1495</v>
      </c>
      <c r="D2907" s="36" t="s">
        <v>1496</v>
      </c>
      <c r="E2907" s="36" t="s">
        <v>1285</v>
      </c>
      <c r="F2907" s="36" t="s">
        <v>286</v>
      </c>
      <c r="G2907" s="36" t="s">
        <v>411</v>
      </c>
      <c r="H2907" s="37">
        <v>158.67</v>
      </c>
      <c r="I2907" s="36" t="s">
        <v>1301</v>
      </c>
      <c r="J2907" s="39" t="s">
        <v>286</v>
      </c>
      <c r="K2907" s="38"/>
      <c r="L2907" s="38"/>
    </row>
    <row r="2908" ht="22.5" customHeight="1">
      <c r="A2908" s="36" t="s">
        <v>6501</v>
      </c>
      <c r="B2908" s="36" t="s">
        <v>6502</v>
      </c>
      <c r="C2908" s="36" t="s">
        <v>1495</v>
      </c>
      <c r="D2908" s="36" t="s">
        <v>1496</v>
      </c>
      <c r="E2908" s="36" t="s">
        <v>1285</v>
      </c>
      <c r="F2908" s="36" t="s">
        <v>286</v>
      </c>
      <c r="G2908" s="36" t="s">
        <v>411</v>
      </c>
      <c r="H2908" s="37">
        <v>91.35</v>
      </c>
      <c r="I2908" s="36" t="s">
        <v>1301</v>
      </c>
      <c r="J2908" s="39" t="s">
        <v>286</v>
      </c>
      <c r="K2908" s="38"/>
      <c r="L2908" s="38"/>
    </row>
    <row r="2909" ht="22.5" customHeight="1">
      <c r="A2909" s="36" t="s">
        <v>6503</v>
      </c>
      <c r="B2909" s="36" t="s">
        <v>6504</v>
      </c>
      <c r="C2909" s="36" t="s">
        <v>1495</v>
      </c>
      <c r="D2909" s="36" t="s">
        <v>1496</v>
      </c>
      <c r="E2909" s="36" t="s">
        <v>1285</v>
      </c>
      <c r="F2909" s="36" t="s">
        <v>286</v>
      </c>
      <c r="G2909" s="36" t="s">
        <v>411</v>
      </c>
      <c r="H2909" s="37">
        <v>26.44</v>
      </c>
      <c r="I2909" s="36" t="s">
        <v>1301</v>
      </c>
      <c r="J2909" s="39" t="s">
        <v>286</v>
      </c>
      <c r="K2909" s="38"/>
      <c r="L2909" s="38"/>
    </row>
    <row r="2910" ht="22.5" customHeight="1">
      <c r="A2910" s="36" t="s">
        <v>6505</v>
      </c>
      <c r="B2910" s="36" t="s">
        <v>6506</v>
      </c>
      <c r="C2910" s="36" t="s">
        <v>1495</v>
      </c>
      <c r="D2910" s="36" t="s">
        <v>1496</v>
      </c>
      <c r="E2910" s="36" t="s">
        <v>1285</v>
      </c>
      <c r="F2910" s="36" t="s">
        <v>286</v>
      </c>
      <c r="G2910" s="36" t="s">
        <v>411</v>
      </c>
      <c r="H2910" s="37">
        <v>76.0</v>
      </c>
      <c r="I2910" s="36" t="s">
        <v>1301</v>
      </c>
      <c r="J2910" s="39" t="s">
        <v>286</v>
      </c>
      <c r="K2910" s="38"/>
      <c r="L2910" s="38"/>
    </row>
    <row r="2911" ht="22.5" customHeight="1">
      <c r="A2911" s="36" t="s">
        <v>6507</v>
      </c>
      <c r="B2911" s="36" t="s">
        <v>6508</v>
      </c>
      <c r="C2911" s="36" t="s">
        <v>1495</v>
      </c>
      <c r="D2911" s="36" t="s">
        <v>1496</v>
      </c>
      <c r="E2911" s="36" t="s">
        <v>1285</v>
      </c>
      <c r="F2911" s="36" t="s">
        <v>286</v>
      </c>
      <c r="G2911" s="36" t="s">
        <v>411</v>
      </c>
      <c r="H2911" s="37">
        <v>200.0</v>
      </c>
      <c r="I2911" s="36" t="s">
        <v>1301</v>
      </c>
      <c r="J2911" s="39" t="s">
        <v>286</v>
      </c>
      <c r="K2911" s="38"/>
      <c r="L2911" s="38"/>
    </row>
    <row r="2912" ht="22.5" customHeight="1">
      <c r="A2912" s="36" t="s">
        <v>6509</v>
      </c>
      <c r="B2912" s="36" t="s">
        <v>6510</v>
      </c>
      <c r="C2912" s="36" t="s">
        <v>1495</v>
      </c>
      <c r="D2912" s="36" t="s">
        <v>1496</v>
      </c>
      <c r="E2912" s="36" t="s">
        <v>1285</v>
      </c>
      <c r="F2912" s="36" t="s">
        <v>286</v>
      </c>
      <c r="G2912" s="36" t="s">
        <v>411</v>
      </c>
      <c r="H2912" s="37">
        <v>164.33</v>
      </c>
      <c r="I2912" s="36" t="s">
        <v>1301</v>
      </c>
      <c r="J2912" s="39" t="s">
        <v>286</v>
      </c>
      <c r="K2912" s="38"/>
      <c r="L2912" s="38"/>
    </row>
    <row r="2913" ht="22.5" customHeight="1">
      <c r="A2913" s="36" t="s">
        <v>6511</v>
      </c>
      <c r="B2913" s="36" t="s">
        <v>6512</v>
      </c>
      <c r="C2913" s="36" t="s">
        <v>1495</v>
      </c>
      <c r="D2913" s="36" t="s">
        <v>1496</v>
      </c>
      <c r="E2913" s="36" t="s">
        <v>1285</v>
      </c>
      <c r="F2913" s="36" t="s">
        <v>286</v>
      </c>
      <c r="G2913" s="36" t="s">
        <v>411</v>
      </c>
      <c r="H2913" s="37">
        <v>81.95</v>
      </c>
      <c r="I2913" s="36" t="s">
        <v>1301</v>
      </c>
      <c r="J2913" s="39" t="s">
        <v>286</v>
      </c>
      <c r="K2913" s="38"/>
      <c r="L2913" s="38"/>
    </row>
    <row r="2914" ht="22.5" customHeight="1">
      <c r="A2914" s="36" t="s">
        <v>6513</v>
      </c>
      <c r="B2914" s="36" t="s">
        <v>6514</v>
      </c>
      <c r="C2914" s="36" t="s">
        <v>1495</v>
      </c>
      <c r="D2914" s="36" t="s">
        <v>1496</v>
      </c>
      <c r="E2914" s="36" t="s">
        <v>1285</v>
      </c>
      <c r="F2914" s="36" t="s">
        <v>286</v>
      </c>
      <c r="G2914" s="36" t="s">
        <v>411</v>
      </c>
      <c r="H2914" s="37">
        <v>25.38</v>
      </c>
      <c r="I2914" s="36" t="s">
        <v>1301</v>
      </c>
      <c r="J2914" s="39" t="s">
        <v>286</v>
      </c>
      <c r="K2914" s="38"/>
      <c r="L2914" s="38"/>
    </row>
    <row r="2915" ht="22.5" customHeight="1">
      <c r="A2915" s="36" t="s">
        <v>6515</v>
      </c>
      <c r="B2915" s="36" t="s">
        <v>6516</v>
      </c>
      <c r="C2915" s="36" t="s">
        <v>1495</v>
      </c>
      <c r="D2915" s="36" t="s">
        <v>1496</v>
      </c>
      <c r="E2915" s="36" t="s">
        <v>1285</v>
      </c>
      <c r="F2915" s="36" t="s">
        <v>286</v>
      </c>
      <c r="G2915" s="36" t="s">
        <v>411</v>
      </c>
      <c r="H2915" s="37">
        <v>1078.75</v>
      </c>
      <c r="I2915" s="36" t="s">
        <v>1301</v>
      </c>
      <c r="J2915" s="39" t="s">
        <v>286</v>
      </c>
      <c r="K2915" s="38"/>
      <c r="L2915" s="38"/>
    </row>
    <row r="2916" ht="22.5" customHeight="1">
      <c r="A2916" s="36" t="s">
        <v>6517</v>
      </c>
      <c r="B2916" s="36" t="s">
        <v>6518</v>
      </c>
      <c r="C2916" s="36" t="s">
        <v>1495</v>
      </c>
      <c r="D2916" s="36" t="s">
        <v>1496</v>
      </c>
      <c r="E2916" s="36" t="s">
        <v>1285</v>
      </c>
      <c r="F2916" s="36" t="s">
        <v>286</v>
      </c>
      <c r="G2916" s="36" t="s">
        <v>411</v>
      </c>
      <c r="H2916" s="37">
        <v>7.96</v>
      </c>
      <c r="I2916" s="36" t="s">
        <v>1301</v>
      </c>
      <c r="J2916" s="39" t="s">
        <v>286</v>
      </c>
      <c r="K2916" s="38"/>
      <c r="L2916" s="38"/>
    </row>
    <row r="2917" ht="22.5" customHeight="1">
      <c r="A2917" s="36" t="s">
        <v>6519</v>
      </c>
      <c r="B2917" s="36" t="s">
        <v>6520</v>
      </c>
      <c r="C2917" s="36" t="s">
        <v>1495</v>
      </c>
      <c r="D2917" s="36" t="s">
        <v>1496</v>
      </c>
      <c r="E2917" s="36" t="s">
        <v>1285</v>
      </c>
      <c r="F2917" s="36" t="s">
        <v>286</v>
      </c>
      <c r="G2917" s="36" t="s">
        <v>411</v>
      </c>
      <c r="H2917" s="37">
        <v>70.18</v>
      </c>
      <c r="I2917" s="36" t="s">
        <v>1301</v>
      </c>
      <c r="J2917" s="39" t="s">
        <v>286</v>
      </c>
      <c r="K2917" s="38"/>
      <c r="L2917" s="38"/>
    </row>
    <row r="2918" ht="22.5" customHeight="1">
      <c r="A2918" s="36" t="s">
        <v>6521</v>
      </c>
      <c r="B2918" s="36" t="s">
        <v>6522</v>
      </c>
      <c r="C2918" s="36" t="s">
        <v>1495</v>
      </c>
      <c r="D2918" s="36" t="s">
        <v>1496</v>
      </c>
      <c r="E2918" s="36" t="s">
        <v>1285</v>
      </c>
      <c r="F2918" s="36" t="s">
        <v>286</v>
      </c>
      <c r="G2918" s="36" t="s">
        <v>411</v>
      </c>
      <c r="H2918" s="37">
        <v>73.59</v>
      </c>
      <c r="I2918" s="36" t="s">
        <v>1301</v>
      </c>
      <c r="J2918" s="39" t="s">
        <v>286</v>
      </c>
      <c r="K2918" s="38"/>
      <c r="L2918" s="38"/>
    </row>
    <row r="2919" ht="22.5" customHeight="1">
      <c r="A2919" s="36" t="s">
        <v>6523</v>
      </c>
      <c r="B2919" s="36" t="s">
        <v>6524</v>
      </c>
      <c r="C2919" s="36" t="s">
        <v>1495</v>
      </c>
      <c r="D2919" s="36" t="s">
        <v>1496</v>
      </c>
      <c r="E2919" s="36" t="s">
        <v>1285</v>
      </c>
      <c r="F2919" s="36" t="s">
        <v>286</v>
      </c>
      <c r="G2919" s="36" t="s">
        <v>411</v>
      </c>
      <c r="H2919" s="37">
        <v>18.27</v>
      </c>
      <c r="I2919" s="36" t="s">
        <v>1301</v>
      </c>
      <c r="J2919" s="39" t="s">
        <v>286</v>
      </c>
      <c r="K2919" s="38"/>
      <c r="L2919" s="38"/>
    </row>
    <row r="2920" ht="22.5" customHeight="1">
      <c r="A2920" s="36" t="s">
        <v>6525</v>
      </c>
      <c r="B2920" s="36" t="s">
        <v>6526</v>
      </c>
      <c r="C2920" s="36" t="s">
        <v>286</v>
      </c>
      <c r="D2920" s="36" t="s">
        <v>1363</v>
      </c>
      <c r="E2920" s="36" t="s">
        <v>1285</v>
      </c>
      <c r="F2920" s="36" t="s">
        <v>286</v>
      </c>
      <c r="G2920" s="36" t="s">
        <v>411</v>
      </c>
      <c r="H2920" s="37">
        <v>896.38</v>
      </c>
      <c r="I2920" s="36" t="s">
        <v>1301</v>
      </c>
      <c r="J2920" s="39" t="s">
        <v>286</v>
      </c>
      <c r="K2920" s="38"/>
      <c r="L2920" s="38"/>
    </row>
    <row r="2921" ht="22.5" customHeight="1">
      <c r="A2921" s="36" t="s">
        <v>6527</v>
      </c>
      <c r="B2921" s="36" t="s">
        <v>6528</v>
      </c>
      <c r="C2921" s="36" t="s">
        <v>1495</v>
      </c>
      <c r="D2921" s="36" t="s">
        <v>1496</v>
      </c>
      <c r="E2921" s="36" t="s">
        <v>1285</v>
      </c>
      <c r="F2921" s="36" t="s">
        <v>286</v>
      </c>
      <c r="G2921" s="36" t="s">
        <v>411</v>
      </c>
      <c r="H2921" s="37">
        <v>35.17</v>
      </c>
      <c r="I2921" s="36" t="s">
        <v>1301</v>
      </c>
      <c r="J2921" s="39" t="s">
        <v>286</v>
      </c>
      <c r="K2921" s="38"/>
      <c r="L2921" s="38"/>
    </row>
    <row r="2922" ht="22.5" customHeight="1">
      <c r="A2922" s="36" t="s">
        <v>6529</v>
      </c>
      <c r="B2922" s="36" t="s">
        <v>6530</v>
      </c>
      <c r="C2922" s="36" t="s">
        <v>1495</v>
      </c>
      <c r="D2922" s="36" t="s">
        <v>1496</v>
      </c>
      <c r="E2922" s="36" t="s">
        <v>1285</v>
      </c>
      <c r="F2922" s="36" t="s">
        <v>286</v>
      </c>
      <c r="G2922" s="36" t="s">
        <v>411</v>
      </c>
      <c r="H2922" s="37">
        <v>16.96</v>
      </c>
      <c r="I2922" s="36" t="s">
        <v>1301</v>
      </c>
      <c r="J2922" s="39" t="s">
        <v>286</v>
      </c>
      <c r="K2922" s="38"/>
      <c r="L2922" s="38"/>
    </row>
    <row r="2923" ht="22.5" customHeight="1">
      <c r="A2923" s="36" t="s">
        <v>6531</v>
      </c>
      <c r="B2923" s="36" t="s">
        <v>6532</v>
      </c>
      <c r="C2923" s="36" t="s">
        <v>1495</v>
      </c>
      <c r="D2923" s="36" t="s">
        <v>1496</v>
      </c>
      <c r="E2923" s="36" t="s">
        <v>1285</v>
      </c>
      <c r="F2923" s="36" t="s">
        <v>286</v>
      </c>
      <c r="G2923" s="36" t="s">
        <v>411</v>
      </c>
      <c r="H2923" s="37">
        <v>2.14</v>
      </c>
      <c r="I2923" s="36" t="s">
        <v>1301</v>
      </c>
      <c r="J2923" s="39" t="s">
        <v>286</v>
      </c>
      <c r="K2923" s="38"/>
      <c r="L2923" s="38"/>
    </row>
    <row r="2924" ht="22.5" customHeight="1">
      <c r="A2924" s="36" t="s">
        <v>6533</v>
      </c>
      <c r="B2924" s="36" t="s">
        <v>6534</v>
      </c>
      <c r="C2924" s="36" t="s">
        <v>1495</v>
      </c>
      <c r="D2924" s="36" t="s">
        <v>1496</v>
      </c>
      <c r="E2924" s="36" t="s">
        <v>1285</v>
      </c>
      <c r="F2924" s="36" t="s">
        <v>286</v>
      </c>
      <c r="G2924" s="36" t="s">
        <v>411</v>
      </c>
      <c r="H2924" s="37">
        <v>1.52</v>
      </c>
      <c r="I2924" s="36" t="s">
        <v>1301</v>
      </c>
      <c r="J2924" s="39" t="s">
        <v>286</v>
      </c>
      <c r="K2924" s="38"/>
      <c r="L2924" s="38"/>
    </row>
    <row r="2925" ht="22.5" customHeight="1">
      <c r="A2925" s="36" t="s">
        <v>6535</v>
      </c>
      <c r="B2925" s="36" t="s">
        <v>6536</v>
      </c>
      <c r="C2925" s="36" t="s">
        <v>1495</v>
      </c>
      <c r="D2925" s="36" t="s">
        <v>1496</v>
      </c>
      <c r="E2925" s="36" t="s">
        <v>1285</v>
      </c>
      <c r="F2925" s="36" t="s">
        <v>286</v>
      </c>
      <c r="G2925" s="36" t="s">
        <v>411</v>
      </c>
      <c r="H2925" s="37">
        <v>9.35</v>
      </c>
      <c r="I2925" s="36" t="s">
        <v>1301</v>
      </c>
      <c r="J2925" s="39" t="s">
        <v>286</v>
      </c>
      <c r="K2925" s="38"/>
      <c r="L2925" s="38"/>
    </row>
    <row r="2926" ht="22.5" customHeight="1">
      <c r="A2926" s="36" t="s">
        <v>6537</v>
      </c>
      <c r="B2926" s="36" t="s">
        <v>6538</v>
      </c>
      <c r="C2926" s="36" t="s">
        <v>1495</v>
      </c>
      <c r="D2926" s="36" t="s">
        <v>1496</v>
      </c>
      <c r="E2926" s="36" t="s">
        <v>1285</v>
      </c>
      <c r="F2926" s="36" t="s">
        <v>286</v>
      </c>
      <c r="G2926" s="36" t="s">
        <v>411</v>
      </c>
      <c r="H2926" s="37">
        <v>9.3</v>
      </c>
      <c r="I2926" s="36" t="s">
        <v>1301</v>
      </c>
      <c r="J2926" s="39" t="s">
        <v>286</v>
      </c>
      <c r="K2926" s="38"/>
      <c r="L2926" s="38"/>
    </row>
    <row r="2927" ht="22.5" customHeight="1">
      <c r="A2927" s="36" t="s">
        <v>6539</v>
      </c>
      <c r="B2927" s="36" t="s">
        <v>6540</v>
      </c>
      <c r="C2927" s="36" t="s">
        <v>1495</v>
      </c>
      <c r="D2927" s="36" t="s">
        <v>1496</v>
      </c>
      <c r="E2927" s="36" t="s">
        <v>1285</v>
      </c>
      <c r="F2927" s="36" t="s">
        <v>286</v>
      </c>
      <c r="G2927" s="36" t="s">
        <v>411</v>
      </c>
      <c r="H2927" s="37">
        <v>6.8</v>
      </c>
      <c r="I2927" s="36" t="s">
        <v>1301</v>
      </c>
      <c r="J2927" s="39" t="s">
        <v>286</v>
      </c>
      <c r="K2927" s="38"/>
      <c r="L2927" s="38"/>
    </row>
    <row r="2928" ht="22.5" customHeight="1">
      <c r="A2928" s="36" t="s">
        <v>6541</v>
      </c>
      <c r="B2928" s="36" t="s">
        <v>6542</v>
      </c>
      <c r="C2928" s="36" t="s">
        <v>1495</v>
      </c>
      <c r="D2928" s="36" t="s">
        <v>1496</v>
      </c>
      <c r="E2928" s="36" t="s">
        <v>1285</v>
      </c>
      <c r="F2928" s="36" t="s">
        <v>286</v>
      </c>
      <c r="G2928" s="36" t="s">
        <v>411</v>
      </c>
      <c r="H2928" s="37">
        <v>6.8</v>
      </c>
      <c r="I2928" s="36" t="s">
        <v>1301</v>
      </c>
      <c r="J2928" s="39" t="s">
        <v>286</v>
      </c>
      <c r="K2928" s="38"/>
      <c r="L2928" s="38"/>
    </row>
    <row r="2929" ht="22.5" customHeight="1">
      <c r="A2929" s="36" t="s">
        <v>6543</v>
      </c>
      <c r="B2929" s="36" t="s">
        <v>6544</v>
      </c>
      <c r="C2929" s="36" t="s">
        <v>1495</v>
      </c>
      <c r="D2929" s="36" t="s">
        <v>1496</v>
      </c>
      <c r="E2929" s="36" t="s">
        <v>1285</v>
      </c>
      <c r="F2929" s="36" t="s">
        <v>286</v>
      </c>
      <c r="G2929" s="36" t="s">
        <v>411</v>
      </c>
      <c r="H2929" s="37">
        <v>7.27</v>
      </c>
      <c r="I2929" s="36" t="s">
        <v>1301</v>
      </c>
      <c r="J2929" s="39" t="s">
        <v>286</v>
      </c>
      <c r="K2929" s="38"/>
      <c r="L2929" s="38"/>
    </row>
    <row r="2930" ht="22.5" customHeight="1">
      <c r="A2930" s="36" t="s">
        <v>6545</v>
      </c>
      <c r="B2930" s="36" t="s">
        <v>6546</v>
      </c>
      <c r="C2930" s="36" t="s">
        <v>1495</v>
      </c>
      <c r="D2930" s="36" t="s">
        <v>1496</v>
      </c>
      <c r="E2930" s="36" t="s">
        <v>1285</v>
      </c>
      <c r="F2930" s="36" t="s">
        <v>286</v>
      </c>
      <c r="G2930" s="36" t="s">
        <v>411</v>
      </c>
      <c r="H2930" s="37">
        <v>2.29</v>
      </c>
      <c r="I2930" s="36" t="s">
        <v>1301</v>
      </c>
      <c r="J2930" s="39" t="s">
        <v>286</v>
      </c>
      <c r="K2930" s="38"/>
      <c r="L2930" s="38"/>
    </row>
    <row r="2931" ht="22.5" customHeight="1">
      <c r="A2931" s="36" t="s">
        <v>6547</v>
      </c>
      <c r="B2931" s="36" t="s">
        <v>6548</v>
      </c>
      <c r="C2931" s="36" t="s">
        <v>1495</v>
      </c>
      <c r="D2931" s="36" t="s">
        <v>1496</v>
      </c>
      <c r="E2931" s="36" t="s">
        <v>1285</v>
      </c>
      <c r="F2931" s="36" t="s">
        <v>286</v>
      </c>
      <c r="G2931" s="36" t="s">
        <v>411</v>
      </c>
      <c r="H2931" s="37">
        <v>10.62</v>
      </c>
      <c r="I2931" s="36" t="s">
        <v>1301</v>
      </c>
      <c r="J2931" s="39" t="s">
        <v>286</v>
      </c>
      <c r="K2931" s="38"/>
      <c r="L2931" s="38"/>
    </row>
    <row r="2932" ht="22.5" customHeight="1">
      <c r="A2932" s="36" t="s">
        <v>6549</v>
      </c>
      <c r="B2932" s="36" t="s">
        <v>6550</v>
      </c>
      <c r="C2932" s="36" t="s">
        <v>1495</v>
      </c>
      <c r="D2932" s="36" t="s">
        <v>1496</v>
      </c>
      <c r="E2932" s="36" t="s">
        <v>1285</v>
      </c>
      <c r="F2932" s="36" t="s">
        <v>286</v>
      </c>
      <c r="G2932" s="36" t="s">
        <v>411</v>
      </c>
      <c r="H2932" s="37">
        <v>1.07</v>
      </c>
      <c r="I2932" s="36" t="s">
        <v>1301</v>
      </c>
      <c r="J2932" s="39" t="s">
        <v>286</v>
      </c>
      <c r="K2932" s="38"/>
      <c r="L2932" s="38"/>
    </row>
    <row r="2933" ht="22.5" customHeight="1">
      <c r="A2933" s="36" t="s">
        <v>6551</v>
      </c>
      <c r="B2933" s="36" t="s">
        <v>6552</v>
      </c>
      <c r="C2933" s="36" t="s">
        <v>1495</v>
      </c>
      <c r="D2933" s="36" t="s">
        <v>1496</v>
      </c>
      <c r="E2933" s="36" t="s">
        <v>1285</v>
      </c>
      <c r="F2933" s="36" t="s">
        <v>286</v>
      </c>
      <c r="G2933" s="36" t="s">
        <v>411</v>
      </c>
      <c r="H2933" s="37">
        <v>9.85</v>
      </c>
      <c r="I2933" s="36" t="s">
        <v>1301</v>
      </c>
      <c r="J2933" s="39" t="s">
        <v>286</v>
      </c>
      <c r="K2933" s="38"/>
      <c r="L2933" s="38"/>
    </row>
    <row r="2934" ht="22.5" customHeight="1">
      <c r="A2934" s="36" t="s">
        <v>6553</v>
      </c>
      <c r="B2934" s="36" t="s">
        <v>6554</v>
      </c>
      <c r="C2934" s="36" t="s">
        <v>1495</v>
      </c>
      <c r="D2934" s="36" t="s">
        <v>1496</v>
      </c>
      <c r="E2934" s="36" t="s">
        <v>1285</v>
      </c>
      <c r="F2934" s="36" t="s">
        <v>286</v>
      </c>
      <c r="G2934" s="36" t="s">
        <v>411</v>
      </c>
      <c r="H2934" s="37">
        <v>8.86</v>
      </c>
      <c r="I2934" s="36" t="s">
        <v>1301</v>
      </c>
      <c r="J2934" s="39" t="s">
        <v>286</v>
      </c>
      <c r="K2934" s="38"/>
      <c r="L2934" s="38"/>
    </row>
    <row r="2935" ht="22.5" customHeight="1">
      <c r="A2935" s="36" t="s">
        <v>6555</v>
      </c>
      <c r="B2935" s="36" t="s">
        <v>6556</v>
      </c>
      <c r="C2935" s="36" t="s">
        <v>1495</v>
      </c>
      <c r="D2935" s="36" t="s">
        <v>1496</v>
      </c>
      <c r="E2935" s="36" t="s">
        <v>1285</v>
      </c>
      <c r="F2935" s="36" t="s">
        <v>286</v>
      </c>
      <c r="G2935" s="36" t="s">
        <v>411</v>
      </c>
      <c r="H2935" s="37">
        <v>1.87</v>
      </c>
      <c r="I2935" s="36" t="s">
        <v>1301</v>
      </c>
      <c r="J2935" s="39" t="s">
        <v>286</v>
      </c>
      <c r="K2935" s="38"/>
      <c r="L2935" s="38"/>
    </row>
    <row r="2936" ht="22.5" customHeight="1">
      <c r="A2936" s="36" t="s">
        <v>6557</v>
      </c>
      <c r="B2936" s="36" t="s">
        <v>6558</v>
      </c>
      <c r="C2936" s="36" t="s">
        <v>1495</v>
      </c>
      <c r="D2936" s="36" t="s">
        <v>1496</v>
      </c>
      <c r="E2936" s="36" t="s">
        <v>1285</v>
      </c>
      <c r="F2936" s="36" t="s">
        <v>286</v>
      </c>
      <c r="G2936" s="36" t="s">
        <v>411</v>
      </c>
      <c r="H2936" s="37">
        <v>8.63</v>
      </c>
      <c r="I2936" s="36" t="s">
        <v>1301</v>
      </c>
      <c r="J2936" s="39" t="s">
        <v>286</v>
      </c>
      <c r="K2936" s="38"/>
      <c r="L2936" s="38"/>
    </row>
    <row r="2937" ht="22.5" customHeight="1">
      <c r="A2937" s="36" t="s">
        <v>6559</v>
      </c>
      <c r="B2937" s="36" t="s">
        <v>6560</v>
      </c>
      <c r="C2937" s="36" t="s">
        <v>1495</v>
      </c>
      <c r="D2937" s="36" t="s">
        <v>1496</v>
      </c>
      <c r="E2937" s="36" t="s">
        <v>1285</v>
      </c>
      <c r="F2937" s="36" t="s">
        <v>286</v>
      </c>
      <c r="G2937" s="36" t="s">
        <v>411</v>
      </c>
      <c r="H2937" s="37">
        <v>7.33</v>
      </c>
      <c r="I2937" s="36" t="s">
        <v>1301</v>
      </c>
      <c r="J2937" s="39" t="s">
        <v>286</v>
      </c>
      <c r="K2937" s="38"/>
      <c r="L2937" s="38"/>
    </row>
    <row r="2938" ht="22.5" customHeight="1">
      <c r="A2938" s="36" t="s">
        <v>6561</v>
      </c>
      <c r="B2938" s="36" t="s">
        <v>6562</v>
      </c>
      <c r="C2938" s="36" t="s">
        <v>1495</v>
      </c>
      <c r="D2938" s="36" t="s">
        <v>1496</v>
      </c>
      <c r="E2938" s="36" t="s">
        <v>1285</v>
      </c>
      <c r="F2938" s="36" t="s">
        <v>286</v>
      </c>
      <c r="G2938" s="36" t="s">
        <v>411</v>
      </c>
      <c r="H2938" s="37">
        <v>0.99</v>
      </c>
      <c r="I2938" s="36" t="s">
        <v>1301</v>
      </c>
      <c r="J2938" s="39" t="s">
        <v>286</v>
      </c>
      <c r="K2938" s="38"/>
      <c r="L2938" s="38"/>
    </row>
    <row r="2939" ht="22.5" customHeight="1">
      <c r="A2939" s="36" t="s">
        <v>6563</v>
      </c>
      <c r="B2939" s="36" t="s">
        <v>6564</v>
      </c>
      <c r="C2939" s="36" t="s">
        <v>1495</v>
      </c>
      <c r="D2939" s="36" t="s">
        <v>1496</v>
      </c>
      <c r="E2939" s="36" t="s">
        <v>1285</v>
      </c>
      <c r="F2939" s="36" t="s">
        <v>286</v>
      </c>
      <c r="G2939" s="36" t="s">
        <v>411</v>
      </c>
      <c r="H2939" s="37">
        <v>3.13</v>
      </c>
      <c r="I2939" s="36" t="s">
        <v>1301</v>
      </c>
      <c r="J2939" s="39" t="s">
        <v>286</v>
      </c>
      <c r="K2939" s="38"/>
      <c r="L2939" s="38"/>
    </row>
    <row r="2940" ht="22.5" customHeight="1">
      <c r="A2940" s="36" t="s">
        <v>6565</v>
      </c>
      <c r="B2940" s="36" t="s">
        <v>6566</v>
      </c>
      <c r="C2940" s="36" t="s">
        <v>1495</v>
      </c>
      <c r="D2940" s="36" t="s">
        <v>1496</v>
      </c>
      <c r="E2940" s="36" t="s">
        <v>1285</v>
      </c>
      <c r="F2940" s="36" t="s">
        <v>286</v>
      </c>
      <c r="G2940" s="36" t="s">
        <v>411</v>
      </c>
      <c r="H2940" s="37">
        <v>1.76</v>
      </c>
      <c r="I2940" s="36" t="s">
        <v>1301</v>
      </c>
      <c r="J2940" s="39" t="s">
        <v>286</v>
      </c>
      <c r="K2940" s="38"/>
      <c r="L2940" s="38"/>
    </row>
    <row r="2941" ht="22.5" customHeight="1">
      <c r="A2941" s="36" t="s">
        <v>6567</v>
      </c>
      <c r="B2941" s="36" t="s">
        <v>6568</v>
      </c>
      <c r="C2941" s="36" t="s">
        <v>1495</v>
      </c>
      <c r="D2941" s="36" t="s">
        <v>1496</v>
      </c>
      <c r="E2941" s="36" t="s">
        <v>1285</v>
      </c>
      <c r="F2941" s="36" t="s">
        <v>286</v>
      </c>
      <c r="G2941" s="36" t="s">
        <v>411</v>
      </c>
      <c r="H2941" s="37">
        <v>0.69</v>
      </c>
      <c r="I2941" s="36" t="s">
        <v>1301</v>
      </c>
      <c r="J2941" s="39" t="s">
        <v>286</v>
      </c>
      <c r="K2941" s="38"/>
      <c r="L2941" s="38"/>
    </row>
    <row r="2942" ht="22.5" customHeight="1">
      <c r="A2942" s="36" t="s">
        <v>6569</v>
      </c>
      <c r="B2942" s="36" t="s">
        <v>6570</v>
      </c>
      <c r="C2942" s="36" t="s">
        <v>1495</v>
      </c>
      <c r="D2942" s="36" t="s">
        <v>1496</v>
      </c>
      <c r="E2942" s="36" t="s">
        <v>1285</v>
      </c>
      <c r="F2942" s="36" t="s">
        <v>286</v>
      </c>
      <c r="G2942" s="36" t="s">
        <v>411</v>
      </c>
      <c r="H2942" s="37">
        <v>1.6</v>
      </c>
      <c r="I2942" s="36" t="s">
        <v>1301</v>
      </c>
      <c r="J2942" s="39" t="s">
        <v>286</v>
      </c>
      <c r="K2942" s="38"/>
      <c r="L2942" s="38"/>
    </row>
    <row r="2943" ht="22.5" customHeight="1">
      <c r="A2943" s="36" t="s">
        <v>6571</v>
      </c>
      <c r="B2943" s="36" t="s">
        <v>6572</v>
      </c>
      <c r="C2943" s="36" t="s">
        <v>1495</v>
      </c>
      <c r="D2943" s="36" t="s">
        <v>1496</v>
      </c>
      <c r="E2943" s="36" t="s">
        <v>1285</v>
      </c>
      <c r="F2943" s="36" t="s">
        <v>286</v>
      </c>
      <c r="G2943" s="36" t="s">
        <v>411</v>
      </c>
      <c r="H2943" s="37">
        <v>0.69</v>
      </c>
      <c r="I2943" s="36" t="s">
        <v>1301</v>
      </c>
      <c r="J2943" s="39" t="s">
        <v>286</v>
      </c>
      <c r="K2943" s="38"/>
      <c r="L2943" s="38"/>
    </row>
    <row r="2944" ht="22.5" customHeight="1">
      <c r="A2944" s="36" t="s">
        <v>6573</v>
      </c>
      <c r="B2944" s="36" t="s">
        <v>6574</v>
      </c>
      <c r="C2944" s="36" t="s">
        <v>1495</v>
      </c>
      <c r="D2944" s="36" t="s">
        <v>1496</v>
      </c>
      <c r="E2944" s="36" t="s">
        <v>1285</v>
      </c>
      <c r="F2944" s="36" t="s">
        <v>286</v>
      </c>
      <c r="G2944" s="36" t="s">
        <v>411</v>
      </c>
      <c r="H2944" s="37">
        <v>1.91</v>
      </c>
      <c r="I2944" s="36" t="s">
        <v>1301</v>
      </c>
      <c r="J2944" s="39" t="s">
        <v>286</v>
      </c>
      <c r="K2944" s="38"/>
      <c r="L2944" s="38"/>
    </row>
    <row r="2945" ht="22.5" customHeight="1">
      <c r="A2945" s="36" t="s">
        <v>6575</v>
      </c>
      <c r="B2945" s="36" t="s">
        <v>6576</v>
      </c>
      <c r="C2945" s="36" t="s">
        <v>1495</v>
      </c>
      <c r="D2945" s="36" t="s">
        <v>1496</v>
      </c>
      <c r="E2945" s="36" t="s">
        <v>1285</v>
      </c>
      <c r="F2945" s="36" t="s">
        <v>286</v>
      </c>
      <c r="G2945" s="36" t="s">
        <v>411</v>
      </c>
      <c r="H2945" s="37">
        <v>0.69</v>
      </c>
      <c r="I2945" s="36" t="s">
        <v>1301</v>
      </c>
      <c r="J2945" s="39" t="s">
        <v>286</v>
      </c>
      <c r="K2945" s="38"/>
      <c r="L2945" s="38"/>
    </row>
    <row r="2946" ht="22.5" customHeight="1">
      <c r="A2946" s="36" t="s">
        <v>6577</v>
      </c>
      <c r="B2946" s="36" t="s">
        <v>6578</v>
      </c>
      <c r="C2946" s="36" t="s">
        <v>1495</v>
      </c>
      <c r="D2946" s="36" t="s">
        <v>1496</v>
      </c>
      <c r="E2946" s="36" t="s">
        <v>1285</v>
      </c>
      <c r="F2946" s="36" t="s">
        <v>286</v>
      </c>
      <c r="G2946" s="36" t="s">
        <v>411</v>
      </c>
      <c r="H2946" s="37">
        <v>1.38</v>
      </c>
      <c r="I2946" s="36" t="s">
        <v>1301</v>
      </c>
      <c r="J2946" s="39" t="s">
        <v>286</v>
      </c>
      <c r="K2946" s="38"/>
      <c r="L2946" s="38"/>
    </row>
    <row r="2947" ht="22.5" customHeight="1">
      <c r="A2947" s="36" t="s">
        <v>6579</v>
      </c>
      <c r="B2947" s="36" t="s">
        <v>6580</v>
      </c>
      <c r="C2947" s="36" t="s">
        <v>1495</v>
      </c>
      <c r="D2947" s="36" t="s">
        <v>1496</v>
      </c>
      <c r="E2947" s="36" t="s">
        <v>1285</v>
      </c>
      <c r="F2947" s="36" t="s">
        <v>286</v>
      </c>
      <c r="G2947" s="36" t="s">
        <v>411</v>
      </c>
      <c r="H2947" s="37">
        <v>2.37</v>
      </c>
      <c r="I2947" s="36" t="s">
        <v>1301</v>
      </c>
      <c r="J2947" s="39" t="s">
        <v>286</v>
      </c>
      <c r="K2947" s="38"/>
      <c r="L2947" s="38"/>
    </row>
    <row r="2948" ht="22.5" customHeight="1">
      <c r="A2948" s="36" t="s">
        <v>6581</v>
      </c>
      <c r="B2948" s="36" t="s">
        <v>6582</v>
      </c>
      <c r="C2948" s="36" t="s">
        <v>1495</v>
      </c>
      <c r="D2948" s="36" t="s">
        <v>1496</v>
      </c>
      <c r="E2948" s="36" t="s">
        <v>1285</v>
      </c>
      <c r="F2948" s="36" t="s">
        <v>286</v>
      </c>
      <c r="G2948" s="36" t="s">
        <v>411</v>
      </c>
      <c r="H2948" s="37">
        <v>1.3</v>
      </c>
      <c r="I2948" s="36" t="s">
        <v>1301</v>
      </c>
      <c r="J2948" s="39" t="s">
        <v>286</v>
      </c>
      <c r="K2948" s="38"/>
      <c r="L2948" s="38"/>
    </row>
    <row r="2949" ht="22.5" customHeight="1">
      <c r="A2949" s="36" t="s">
        <v>6583</v>
      </c>
      <c r="B2949" s="36" t="s">
        <v>6584</v>
      </c>
      <c r="C2949" s="36" t="s">
        <v>1495</v>
      </c>
      <c r="D2949" s="36" t="s">
        <v>1496</v>
      </c>
      <c r="E2949" s="36" t="s">
        <v>1285</v>
      </c>
      <c r="F2949" s="36" t="s">
        <v>286</v>
      </c>
      <c r="G2949" s="36" t="s">
        <v>411</v>
      </c>
      <c r="H2949" s="37">
        <v>4.83</v>
      </c>
      <c r="I2949" s="36" t="s">
        <v>1301</v>
      </c>
      <c r="J2949" s="39" t="s">
        <v>286</v>
      </c>
      <c r="K2949" s="38"/>
      <c r="L2949" s="38"/>
    </row>
    <row r="2950" ht="22.5" customHeight="1">
      <c r="A2950" s="36" t="s">
        <v>6585</v>
      </c>
      <c r="B2950" s="36" t="s">
        <v>6586</v>
      </c>
      <c r="C2950" s="36" t="s">
        <v>1495</v>
      </c>
      <c r="D2950" s="36" t="s">
        <v>1496</v>
      </c>
      <c r="E2950" s="36" t="s">
        <v>1285</v>
      </c>
      <c r="F2950" s="36" t="s">
        <v>286</v>
      </c>
      <c r="G2950" s="36" t="s">
        <v>411</v>
      </c>
      <c r="H2950" s="37">
        <v>2.33</v>
      </c>
      <c r="I2950" s="36" t="s">
        <v>1301</v>
      </c>
      <c r="J2950" s="39" t="s">
        <v>286</v>
      </c>
      <c r="K2950" s="38"/>
      <c r="L2950" s="38"/>
    </row>
    <row r="2951" ht="22.5" customHeight="1">
      <c r="A2951" s="36" t="s">
        <v>6587</v>
      </c>
      <c r="B2951" s="36" t="s">
        <v>6588</v>
      </c>
      <c r="C2951" s="36" t="s">
        <v>1495</v>
      </c>
      <c r="D2951" s="36" t="s">
        <v>1496</v>
      </c>
      <c r="E2951" s="36" t="s">
        <v>1285</v>
      </c>
      <c r="F2951" s="36" t="s">
        <v>286</v>
      </c>
      <c r="G2951" s="36" t="s">
        <v>411</v>
      </c>
      <c r="H2951" s="37">
        <v>2.25</v>
      </c>
      <c r="I2951" s="36" t="s">
        <v>1301</v>
      </c>
      <c r="J2951" s="39" t="s">
        <v>286</v>
      </c>
      <c r="K2951" s="38"/>
      <c r="L2951" s="38"/>
    </row>
    <row r="2952" ht="22.5" customHeight="1">
      <c r="A2952" s="36" t="s">
        <v>6589</v>
      </c>
      <c r="B2952" s="36" t="s">
        <v>6590</v>
      </c>
      <c r="C2952" s="36" t="s">
        <v>1495</v>
      </c>
      <c r="D2952" s="36" t="s">
        <v>1496</v>
      </c>
      <c r="E2952" s="36" t="s">
        <v>1285</v>
      </c>
      <c r="F2952" s="36" t="s">
        <v>286</v>
      </c>
      <c r="G2952" s="36" t="s">
        <v>411</v>
      </c>
      <c r="H2952" s="37">
        <v>3.75</v>
      </c>
      <c r="I2952" s="36" t="s">
        <v>1301</v>
      </c>
      <c r="J2952" s="39" t="s">
        <v>286</v>
      </c>
      <c r="K2952" s="38"/>
      <c r="L2952" s="38"/>
    </row>
    <row r="2953" ht="22.5" customHeight="1">
      <c r="A2953" s="36" t="s">
        <v>6591</v>
      </c>
      <c r="B2953" s="36" t="s">
        <v>6592</v>
      </c>
      <c r="C2953" s="36" t="s">
        <v>1495</v>
      </c>
      <c r="D2953" s="36" t="s">
        <v>1496</v>
      </c>
      <c r="E2953" s="36" t="s">
        <v>1285</v>
      </c>
      <c r="F2953" s="36" t="s">
        <v>286</v>
      </c>
      <c r="G2953" s="36" t="s">
        <v>411</v>
      </c>
      <c r="H2953" s="37">
        <v>1.76</v>
      </c>
      <c r="I2953" s="36" t="s">
        <v>1301</v>
      </c>
      <c r="J2953" s="39" t="s">
        <v>286</v>
      </c>
      <c r="K2953" s="38"/>
      <c r="L2953" s="38"/>
    </row>
    <row r="2954" ht="22.5" customHeight="1">
      <c r="A2954" s="36" t="s">
        <v>6593</v>
      </c>
      <c r="B2954" s="36" t="s">
        <v>6594</v>
      </c>
      <c r="C2954" s="36" t="s">
        <v>1495</v>
      </c>
      <c r="D2954" s="36" t="s">
        <v>1496</v>
      </c>
      <c r="E2954" s="36" t="s">
        <v>1285</v>
      </c>
      <c r="F2954" s="36" t="s">
        <v>286</v>
      </c>
      <c r="G2954" s="36" t="s">
        <v>411</v>
      </c>
      <c r="H2954" s="37">
        <v>1.23</v>
      </c>
      <c r="I2954" s="36" t="s">
        <v>1301</v>
      </c>
      <c r="J2954" s="39" t="s">
        <v>286</v>
      </c>
      <c r="K2954" s="38"/>
      <c r="L2954" s="38"/>
    </row>
    <row r="2955" ht="22.5" customHeight="1">
      <c r="A2955" s="36" t="s">
        <v>6595</v>
      </c>
      <c r="B2955" s="36" t="s">
        <v>6596</v>
      </c>
      <c r="C2955" s="36" t="s">
        <v>1495</v>
      </c>
      <c r="D2955" s="36" t="s">
        <v>1496</v>
      </c>
      <c r="E2955" s="36" t="s">
        <v>1285</v>
      </c>
      <c r="F2955" s="36" t="s">
        <v>286</v>
      </c>
      <c r="G2955" s="36" t="s">
        <v>411</v>
      </c>
      <c r="H2955" s="37">
        <v>0.53</v>
      </c>
      <c r="I2955" s="36" t="s">
        <v>1301</v>
      </c>
      <c r="J2955" s="39" t="s">
        <v>286</v>
      </c>
      <c r="K2955" s="38"/>
      <c r="L2955" s="38"/>
    </row>
    <row r="2956" ht="22.5" customHeight="1">
      <c r="A2956" s="36" t="s">
        <v>6597</v>
      </c>
      <c r="B2956" s="36" t="s">
        <v>6598</v>
      </c>
      <c r="C2956" s="36" t="s">
        <v>1495</v>
      </c>
      <c r="D2956" s="36" t="s">
        <v>1496</v>
      </c>
      <c r="E2956" s="36" t="s">
        <v>1285</v>
      </c>
      <c r="F2956" s="36" t="s">
        <v>286</v>
      </c>
      <c r="G2956" s="36" t="s">
        <v>411</v>
      </c>
      <c r="H2956" s="37">
        <v>4.97</v>
      </c>
      <c r="I2956" s="36" t="s">
        <v>1301</v>
      </c>
      <c r="J2956" s="39" t="s">
        <v>286</v>
      </c>
      <c r="K2956" s="38"/>
      <c r="L2956" s="38"/>
    </row>
    <row r="2957" ht="22.5" customHeight="1">
      <c r="A2957" s="36" t="s">
        <v>6599</v>
      </c>
      <c r="B2957" s="36" t="s">
        <v>6600</v>
      </c>
      <c r="C2957" s="36" t="s">
        <v>1495</v>
      </c>
      <c r="D2957" s="36" t="s">
        <v>1496</v>
      </c>
      <c r="E2957" s="36" t="s">
        <v>1285</v>
      </c>
      <c r="F2957" s="36" t="s">
        <v>286</v>
      </c>
      <c r="G2957" s="36" t="s">
        <v>411</v>
      </c>
      <c r="H2957" s="37">
        <v>4.97</v>
      </c>
      <c r="I2957" s="36" t="s">
        <v>1301</v>
      </c>
      <c r="J2957" s="39" t="s">
        <v>286</v>
      </c>
      <c r="K2957" s="38"/>
      <c r="L2957" s="38"/>
    </row>
    <row r="2958" ht="22.5" customHeight="1">
      <c r="A2958" s="36" t="s">
        <v>6601</v>
      </c>
      <c r="B2958" s="36" t="s">
        <v>6602</v>
      </c>
      <c r="C2958" s="36" t="s">
        <v>1495</v>
      </c>
      <c r="D2958" s="36" t="s">
        <v>1496</v>
      </c>
      <c r="E2958" s="36" t="s">
        <v>1285</v>
      </c>
      <c r="F2958" s="36" t="s">
        <v>286</v>
      </c>
      <c r="G2958" s="36" t="s">
        <v>411</v>
      </c>
      <c r="H2958" s="37">
        <v>5.73</v>
      </c>
      <c r="I2958" s="36" t="s">
        <v>1301</v>
      </c>
      <c r="J2958" s="39" t="s">
        <v>286</v>
      </c>
      <c r="K2958" s="38"/>
      <c r="L2958" s="38"/>
    </row>
    <row r="2959" ht="22.5" customHeight="1">
      <c r="A2959" s="36" t="s">
        <v>6603</v>
      </c>
      <c r="B2959" s="36" t="s">
        <v>6604</v>
      </c>
      <c r="C2959" s="36" t="s">
        <v>1495</v>
      </c>
      <c r="D2959" s="36" t="s">
        <v>1496</v>
      </c>
      <c r="E2959" s="36" t="s">
        <v>1285</v>
      </c>
      <c r="F2959" s="36" t="s">
        <v>286</v>
      </c>
      <c r="G2959" s="36" t="s">
        <v>411</v>
      </c>
      <c r="H2959" s="37">
        <v>5.88</v>
      </c>
      <c r="I2959" s="36" t="s">
        <v>1301</v>
      </c>
      <c r="J2959" s="39" t="s">
        <v>286</v>
      </c>
      <c r="K2959" s="38"/>
      <c r="L2959" s="38"/>
    </row>
    <row r="2960" ht="22.5" customHeight="1">
      <c r="A2960" s="36" t="s">
        <v>6605</v>
      </c>
      <c r="B2960" s="36" t="s">
        <v>6606</v>
      </c>
      <c r="C2960" s="36" t="s">
        <v>1495</v>
      </c>
      <c r="D2960" s="36" t="s">
        <v>1496</v>
      </c>
      <c r="E2960" s="36" t="s">
        <v>1285</v>
      </c>
      <c r="F2960" s="36" t="s">
        <v>286</v>
      </c>
      <c r="G2960" s="36" t="s">
        <v>411</v>
      </c>
      <c r="H2960" s="37">
        <v>18.72</v>
      </c>
      <c r="I2960" s="36" t="s">
        <v>1301</v>
      </c>
      <c r="J2960" s="39" t="s">
        <v>286</v>
      </c>
      <c r="K2960" s="38"/>
      <c r="L2960" s="38"/>
    </row>
    <row r="2961" ht="22.5" customHeight="1">
      <c r="A2961" s="36" t="s">
        <v>6607</v>
      </c>
      <c r="B2961" s="36" t="s">
        <v>6608</v>
      </c>
      <c r="C2961" s="36" t="s">
        <v>1495</v>
      </c>
      <c r="D2961" s="36" t="s">
        <v>1496</v>
      </c>
      <c r="E2961" s="36" t="s">
        <v>1285</v>
      </c>
      <c r="F2961" s="36" t="s">
        <v>286</v>
      </c>
      <c r="G2961" s="36" t="s">
        <v>411</v>
      </c>
      <c r="H2961" s="37">
        <v>9.55</v>
      </c>
      <c r="I2961" s="36" t="s">
        <v>1301</v>
      </c>
      <c r="J2961" s="39" t="s">
        <v>286</v>
      </c>
      <c r="K2961" s="38"/>
      <c r="L2961" s="38"/>
    </row>
    <row r="2962" ht="22.5" customHeight="1">
      <c r="A2962" s="36" t="s">
        <v>6609</v>
      </c>
      <c r="B2962" s="36" t="s">
        <v>6610</v>
      </c>
      <c r="C2962" s="36" t="s">
        <v>1495</v>
      </c>
      <c r="D2962" s="36" t="s">
        <v>1496</v>
      </c>
      <c r="E2962" s="36" t="s">
        <v>1285</v>
      </c>
      <c r="F2962" s="36" t="s">
        <v>286</v>
      </c>
      <c r="G2962" s="36" t="s">
        <v>411</v>
      </c>
      <c r="H2962" s="37">
        <v>4.39</v>
      </c>
      <c r="I2962" s="36" t="s">
        <v>1301</v>
      </c>
      <c r="J2962" s="39" t="s">
        <v>286</v>
      </c>
      <c r="K2962" s="38"/>
      <c r="L2962" s="38"/>
    </row>
    <row r="2963" ht="22.5" customHeight="1">
      <c r="A2963" s="36" t="s">
        <v>6611</v>
      </c>
      <c r="B2963" s="36" t="s">
        <v>6612</v>
      </c>
      <c r="C2963" s="36" t="s">
        <v>1495</v>
      </c>
      <c r="D2963" s="36" t="s">
        <v>1496</v>
      </c>
      <c r="E2963" s="36" t="s">
        <v>1285</v>
      </c>
      <c r="F2963" s="36" t="s">
        <v>286</v>
      </c>
      <c r="G2963" s="36" t="s">
        <v>411</v>
      </c>
      <c r="H2963" s="37">
        <v>2.33</v>
      </c>
      <c r="I2963" s="36" t="s">
        <v>1301</v>
      </c>
      <c r="J2963" s="39" t="s">
        <v>286</v>
      </c>
      <c r="K2963" s="38"/>
      <c r="L2963" s="38"/>
    </row>
    <row r="2964" ht="22.5" customHeight="1">
      <c r="A2964" s="36" t="s">
        <v>6613</v>
      </c>
      <c r="B2964" s="36" t="s">
        <v>6614</v>
      </c>
      <c r="C2964" s="36" t="s">
        <v>1495</v>
      </c>
      <c r="D2964" s="36" t="s">
        <v>1496</v>
      </c>
      <c r="E2964" s="36" t="s">
        <v>1285</v>
      </c>
      <c r="F2964" s="36" t="s">
        <v>286</v>
      </c>
      <c r="G2964" s="36" t="s">
        <v>411</v>
      </c>
      <c r="H2964" s="37">
        <v>1.6</v>
      </c>
      <c r="I2964" s="36" t="s">
        <v>1301</v>
      </c>
      <c r="J2964" s="39" t="s">
        <v>286</v>
      </c>
      <c r="K2964" s="38"/>
      <c r="L2964" s="38"/>
    </row>
    <row r="2965" ht="22.5" customHeight="1">
      <c r="A2965" s="36" t="s">
        <v>6615</v>
      </c>
      <c r="B2965" s="36" t="s">
        <v>6616</v>
      </c>
      <c r="C2965" s="36" t="s">
        <v>1495</v>
      </c>
      <c r="D2965" s="36" t="s">
        <v>1496</v>
      </c>
      <c r="E2965" s="36" t="s">
        <v>1285</v>
      </c>
      <c r="F2965" s="36" t="s">
        <v>286</v>
      </c>
      <c r="G2965" s="36" t="s">
        <v>411</v>
      </c>
      <c r="H2965" s="37">
        <v>5.35</v>
      </c>
      <c r="I2965" s="36" t="s">
        <v>1301</v>
      </c>
      <c r="J2965" s="39" t="s">
        <v>286</v>
      </c>
      <c r="K2965" s="38"/>
      <c r="L2965" s="38"/>
    </row>
    <row r="2966" ht="22.5" customHeight="1">
      <c r="A2966" s="36" t="s">
        <v>6617</v>
      </c>
      <c r="B2966" s="36" t="s">
        <v>6618</v>
      </c>
      <c r="C2966" s="36" t="s">
        <v>1495</v>
      </c>
      <c r="D2966" s="36" t="s">
        <v>1496</v>
      </c>
      <c r="E2966" s="36" t="s">
        <v>1285</v>
      </c>
      <c r="F2966" s="36" t="s">
        <v>286</v>
      </c>
      <c r="G2966" s="36" t="s">
        <v>411</v>
      </c>
      <c r="H2966" s="37">
        <v>5.19</v>
      </c>
      <c r="I2966" s="36" t="s">
        <v>1301</v>
      </c>
      <c r="J2966" s="39" t="s">
        <v>286</v>
      </c>
      <c r="K2966" s="38"/>
      <c r="L2966" s="38"/>
    </row>
    <row r="2967" ht="22.5" customHeight="1">
      <c r="A2967" s="36" t="s">
        <v>6619</v>
      </c>
      <c r="B2967" s="36" t="s">
        <v>6620</v>
      </c>
      <c r="C2967" s="36" t="s">
        <v>1495</v>
      </c>
      <c r="D2967" s="36" t="s">
        <v>1496</v>
      </c>
      <c r="E2967" s="36" t="s">
        <v>1285</v>
      </c>
      <c r="F2967" s="36" t="s">
        <v>286</v>
      </c>
      <c r="G2967" s="36" t="s">
        <v>411</v>
      </c>
      <c r="H2967" s="37">
        <v>6.11</v>
      </c>
      <c r="I2967" s="36" t="s">
        <v>1301</v>
      </c>
      <c r="J2967" s="39" t="s">
        <v>286</v>
      </c>
      <c r="K2967" s="38"/>
      <c r="L2967" s="38"/>
    </row>
    <row r="2968" ht="22.5" customHeight="1">
      <c r="A2968" s="36" t="s">
        <v>6621</v>
      </c>
      <c r="B2968" s="36" t="s">
        <v>6622</v>
      </c>
      <c r="C2968" s="36" t="s">
        <v>1495</v>
      </c>
      <c r="D2968" s="36" t="s">
        <v>1496</v>
      </c>
      <c r="E2968" s="36" t="s">
        <v>1285</v>
      </c>
      <c r="F2968" s="36" t="s">
        <v>286</v>
      </c>
      <c r="G2968" s="36" t="s">
        <v>411</v>
      </c>
      <c r="H2968" s="37">
        <v>5.5</v>
      </c>
      <c r="I2968" s="36" t="s">
        <v>1301</v>
      </c>
      <c r="J2968" s="39" t="s">
        <v>286</v>
      </c>
      <c r="K2968" s="38"/>
      <c r="L2968" s="38"/>
    </row>
    <row r="2969" ht="22.5" customHeight="1">
      <c r="A2969" s="36" t="s">
        <v>6623</v>
      </c>
      <c r="B2969" s="36" t="s">
        <v>6624</v>
      </c>
      <c r="C2969" s="36" t="s">
        <v>1495</v>
      </c>
      <c r="D2969" s="36" t="s">
        <v>1496</v>
      </c>
      <c r="E2969" s="36" t="s">
        <v>1285</v>
      </c>
      <c r="F2969" s="36" t="s">
        <v>286</v>
      </c>
      <c r="G2969" s="36" t="s">
        <v>411</v>
      </c>
      <c r="H2969" s="37">
        <v>2.98</v>
      </c>
      <c r="I2969" s="36" t="s">
        <v>1301</v>
      </c>
      <c r="J2969" s="39" t="s">
        <v>286</v>
      </c>
      <c r="K2969" s="38"/>
      <c r="L2969" s="38"/>
    </row>
    <row r="2970" ht="22.5" customHeight="1">
      <c r="A2970" s="36" t="s">
        <v>6625</v>
      </c>
      <c r="B2970" s="36" t="s">
        <v>6626</v>
      </c>
      <c r="C2970" s="36" t="s">
        <v>1495</v>
      </c>
      <c r="D2970" s="36" t="s">
        <v>1496</v>
      </c>
      <c r="E2970" s="36" t="s">
        <v>1285</v>
      </c>
      <c r="F2970" s="36" t="s">
        <v>286</v>
      </c>
      <c r="G2970" s="36" t="s">
        <v>411</v>
      </c>
      <c r="H2970" s="37">
        <v>7.06</v>
      </c>
      <c r="I2970" s="36" t="s">
        <v>1301</v>
      </c>
      <c r="J2970" s="39" t="s">
        <v>286</v>
      </c>
      <c r="K2970" s="38"/>
      <c r="L2970" s="38"/>
    </row>
    <row r="2971" ht="22.5" customHeight="1">
      <c r="A2971" s="36" t="s">
        <v>6627</v>
      </c>
      <c r="B2971" s="36" t="s">
        <v>6628</v>
      </c>
      <c r="C2971" s="36" t="s">
        <v>1495</v>
      </c>
      <c r="D2971" s="36" t="s">
        <v>1496</v>
      </c>
      <c r="E2971" s="36" t="s">
        <v>1285</v>
      </c>
      <c r="F2971" s="36" t="s">
        <v>286</v>
      </c>
      <c r="G2971" s="36" t="s">
        <v>411</v>
      </c>
      <c r="H2971" s="37">
        <v>3.44</v>
      </c>
      <c r="I2971" s="36" t="s">
        <v>1301</v>
      </c>
      <c r="J2971" s="39" t="s">
        <v>286</v>
      </c>
      <c r="K2971" s="38"/>
      <c r="L2971" s="38"/>
    </row>
    <row r="2972" ht="22.5" customHeight="1">
      <c r="A2972" s="36" t="s">
        <v>6629</v>
      </c>
      <c r="B2972" s="36" t="s">
        <v>6630</v>
      </c>
      <c r="C2972" s="36" t="s">
        <v>1495</v>
      </c>
      <c r="D2972" s="36" t="s">
        <v>1496</v>
      </c>
      <c r="E2972" s="36" t="s">
        <v>1285</v>
      </c>
      <c r="F2972" s="36" t="s">
        <v>286</v>
      </c>
      <c r="G2972" s="36" t="s">
        <v>411</v>
      </c>
      <c r="H2972" s="37">
        <v>1.03</v>
      </c>
      <c r="I2972" s="36" t="s">
        <v>1301</v>
      </c>
      <c r="J2972" s="39" t="s">
        <v>286</v>
      </c>
      <c r="K2972" s="38"/>
      <c r="L2972" s="38"/>
    </row>
    <row r="2973" ht="22.5" customHeight="1">
      <c r="A2973" s="36" t="s">
        <v>6631</v>
      </c>
      <c r="B2973" s="36" t="s">
        <v>6632</v>
      </c>
      <c r="C2973" s="36" t="s">
        <v>1495</v>
      </c>
      <c r="D2973" s="36" t="s">
        <v>1496</v>
      </c>
      <c r="E2973" s="36" t="s">
        <v>1285</v>
      </c>
      <c r="F2973" s="36" t="s">
        <v>286</v>
      </c>
      <c r="G2973" s="36" t="s">
        <v>411</v>
      </c>
      <c r="H2973" s="37">
        <v>0.98</v>
      </c>
      <c r="I2973" s="36" t="s">
        <v>1301</v>
      </c>
      <c r="J2973" s="39" t="s">
        <v>286</v>
      </c>
      <c r="K2973" s="38"/>
      <c r="L2973" s="38"/>
    </row>
    <row r="2974" ht="22.5" customHeight="1">
      <c r="A2974" s="36" t="s">
        <v>6633</v>
      </c>
      <c r="B2974" s="36" t="s">
        <v>6634</v>
      </c>
      <c r="C2974" s="36" t="s">
        <v>1495</v>
      </c>
      <c r="D2974" s="36" t="s">
        <v>1496</v>
      </c>
      <c r="E2974" s="36" t="s">
        <v>1285</v>
      </c>
      <c r="F2974" s="36" t="s">
        <v>286</v>
      </c>
      <c r="G2974" s="36" t="s">
        <v>411</v>
      </c>
      <c r="H2974" s="37">
        <v>5.65</v>
      </c>
      <c r="I2974" s="36" t="s">
        <v>1301</v>
      </c>
      <c r="J2974" s="39" t="s">
        <v>286</v>
      </c>
      <c r="K2974" s="38"/>
      <c r="L2974" s="38"/>
    </row>
    <row r="2975" ht="22.5" customHeight="1">
      <c r="A2975" s="36" t="s">
        <v>6635</v>
      </c>
      <c r="B2975" s="36" t="s">
        <v>6636</v>
      </c>
      <c r="C2975" s="36" t="s">
        <v>1495</v>
      </c>
      <c r="D2975" s="36" t="s">
        <v>1496</v>
      </c>
      <c r="E2975" s="36" t="s">
        <v>1285</v>
      </c>
      <c r="F2975" s="36" t="s">
        <v>286</v>
      </c>
      <c r="G2975" s="36" t="s">
        <v>411</v>
      </c>
      <c r="H2975" s="37">
        <v>5.58</v>
      </c>
      <c r="I2975" s="36" t="s">
        <v>1301</v>
      </c>
      <c r="J2975" s="39" t="s">
        <v>286</v>
      </c>
      <c r="K2975" s="38"/>
      <c r="L2975" s="38"/>
    </row>
    <row r="2976" ht="22.5" customHeight="1">
      <c r="A2976" s="36" t="s">
        <v>6637</v>
      </c>
      <c r="B2976" s="36" t="s">
        <v>6638</v>
      </c>
      <c r="C2976" s="36" t="s">
        <v>1495</v>
      </c>
      <c r="D2976" s="36" t="s">
        <v>1496</v>
      </c>
      <c r="E2976" s="36" t="s">
        <v>1285</v>
      </c>
      <c r="F2976" s="36" t="s">
        <v>286</v>
      </c>
      <c r="G2976" s="36" t="s">
        <v>411</v>
      </c>
      <c r="H2976" s="37">
        <v>5.5</v>
      </c>
      <c r="I2976" s="36" t="s">
        <v>1301</v>
      </c>
      <c r="J2976" s="39" t="s">
        <v>286</v>
      </c>
      <c r="K2976" s="38"/>
      <c r="L2976" s="38"/>
    </row>
    <row r="2977" ht="22.5" customHeight="1">
      <c r="A2977" s="36" t="s">
        <v>6639</v>
      </c>
      <c r="B2977" s="36" t="s">
        <v>6640</v>
      </c>
      <c r="C2977" s="36" t="s">
        <v>1495</v>
      </c>
      <c r="D2977" s="36" t="s">
        <v>1496</v>
      </c>
      <c r="E2977" s="36" t="s">
        <v>1285</v>
      </c>
      <c r="F2977" s="36" t="s">
        <v>286</v>
      </c>
      <c r="G2977" s="36" t="s">
        <v>411</v>
      </c>
      <c r="H2977" s="37">
        <v>6.11</v>
      </c>
      <c r="I2977" s="36" t="s">
        <v>1301</v>
      </c>
      <c r="J2977" s="39" t="s">
        <v>286</v>
      </c>
      <c r="K2977" s="38"/>
      <c r="L2977" s="38"/>
    </row>
    <row r="2978" ht="22.5" customHeight="1">
      <c r="A2978" s="36" t="s">
        <v>6641</v>
      </c>
      <c r="B2978" s="36" t="s">
        <v>6642</v>
      </c>
      <c r="C2978" s="36" t="s">
        <v>1495</v>
      </c>
      <c r="D2978" s="36" t="s">
        <v>1496</v>
      </c>
      <c r="E2978" s="36" t="s">
        <v>1285</v>
      </c>
      <c r="F2978" s="36" t="s">
        <v>286</v>
      </c>
      <c r="G2978" s="36" t="s">
        <v>411</v>
      </c>
      <c r="H2978" s="37">
        <v>3.63</v>
      </c>
      <c r="I2978" s="36" t="s">
        <v>1301</v>
      </c>
      <c r="J2978" s="39" t="s">
        <v>286</v>
      </c>
      <c r="K2978" s="38"/>
      <c r="L2978" s="38"/>
    </row>
    <row r="2979" ht="22.5" customHeight="1">
      <c r="A2979" s="36" t="s">
        <v>6643</v>
      </c>
      <c r="B2979" s="36" t="s">
        <v>6644</v>
      </c>
      <c r="C2979" s="36" t="s">
        <v>1495</v>
      </c>
      <c r="D2979" s="36" t="s">
        <v>1496</v>
      </c>
      <c r="E2979" s="36" t="s">
        <v>1285</v>
      </c>
      <c r="F2979" s="36" t="s">
        <v>286</v>
      </c>
      <c r="G2979" s="36" t="s">
        <v>411</v>
      </c>
      <c r="H2979" s="37">
        <v>8.1</v>
      </c>
      <c r="I2979" s="36" t="s">
        <v>1301</v>
      </c>
      <c r="J2979" s="39" t="s">
        <v>286</v>
      </c>
      <c r="K2979" s="38"/>
      <c r="L2979" s="38"/>
    </row>
    <row r="2980" ht="22.5" customHeight="1">
      <c r="A2980" s="36" t="s">
        <v>6645</v>
      </c>
      <c r="B2980" s="36" t="s">
        <v>6646</v>
      </c>
      <c r="C2980" s="36" t="s">
        <v>1495</v>
      </c>
      <c r="D2980" s="36" t="s">
        <v>1496</v>
      </c>
      <c r="E2980" s="36" t="s">
        <v>1285</v>
      </c>
      <c r="F2980" s="36" t="s">
        <v>286</v>
      </c>
      <c r="G2980" s="36" t="s">
        <v>411</v>
      </c>
      <c r="H2980" s="37">
        <v>3.96</v>
      </c>
      <c r="I2980" s="36" t="s">
        <v>1301</v>
      </c>
      <c r="J2980" s="39" t="s">
        <v>286</v>
      </c>
      <c r="K2980" s="38"/>
      <c r="L2980" s="38"/>
    </row>
    <row r="2981" ht="22.5" customHeight="1">
      <c r="A2981" s="36" t="s">
        <v>6647</v>
      </c>
      <c r="B2981" s="36" t="s">
        <v>6648</v>
      </c>
      <c r="C2981" s="36" t="s">
        <v>1495</v>
      </c>
      <c r="D2981" s="36" t="s">
        <v>1496</v>
      </c>
      <c r="E2981" s="36" t="s">
        <v>1285</v>
      </c>
      <c r="F2981" s="36" t="s">
        <v>286</v>
      </c>
      <c r="G2981" s="36" t="s">
        <v>411</v>
      </c>
      <c r="H2981" s="37">
        <v>0.87</v>
      </c>
      <c r="I2981" s="36" t="s">
        <v>1301</v>
      </c>
      <c r="J2981" s="39" t="s">
        <v>286</v>
      </c>
      <c r="K2981" s="38"/>
      <c r="L2981" s="38"/>
    </row>
    <row r="2982" ht="22.5" customHeight="1">
      <c r="A2982" s="36" t="s">
        <v>6649</v>
      </c>
      <c r="B2982" s="36" t="s">
        <v>6650</v>
      </c>
      <c r="C2982" s="36" t="s">
        <v>1495</v>
      </c>
      <c r="D2982" s="36" t="s">
        <v>1496</v>
      </c>
      <c r="E2982" s="36" t="s">
        <v>1285</v>
      </c>
      <c r="F2982" s="36" t="s">
        <v>286</v>
      </c>
      <c r="G2982" s="36" t="s">
        <v>411</v>
      </c>
      <c r="H2982" s="37">
        <v>0.95</v>
      </c>
      <c r="I2982" s="36" t="s">
        <v>1301</v>
      </c>
      <c r="J2982" s="39" t="s">
        <v>286</v>
      </c>
      <c r="K2982" s="38"/>
      <c r="L2982" s="38"/>
    </row>
    <row r="2983" ht="22.5" customHeight="1">
      <c r="A2983" s="36" t="s">
        <v>6651</v>
      </c>
      <c r="B2983" s="36" t="s">
        <v>6652</v>
      </c>
      <c r="C2983" s="36" t="s">
        <v>1495</v>
      </c>
      <c r="D2983" s="36" t="s">
        <v>1496</v>
      </c>
      <c r="E2983" s="36" t="s">
        <v>1285</v>
      </c>
      <c r="F2983" s="36" t="s">
        <v>286</v>
      </c>
      <c r="G2983" s="36" t="s">
        <v>411</v>
      </c>
      <c r="H2983" s="37">
        <v>0.95</v>
      </c>
      <c r="I2983" s="36" t="s">
        <v>1301</v>
      </c>
      <c r="J2983" s="39" t="s">
        <v>286</v>
      </c>
      <c r="K2983" s="38"/>
      <c r="L2983" s="38"/>
    </row>
    <row r="2984" ht="22.5" customHeight="1">
      <c r="A2984" s="36" t="s">
        <v>6653</v>
      </c>
      <c r="B2984" s="36" t="s">
        <v>6654</v>
      </c>
      <c r="C2984" s="36" t="s">
        <v>1495</v>
      </c>
      <c r="D2984" s="36" t="s">
        <v>1496</v>
      </c>
      <c r="E2984" s="36" t="s">
        <v>1285</v>
      </c>
      <c r="F2984" s="36" t="s">
        <v>286</v>
      </c>
      <c r="G2984" s="36" t="s">
        <v>411</v>
      </c>
      <c r="H2984" s="37">
        <v>0.87</v>
      </c>
      <c r="I2984" s="36" t="s">
        <v>1301</v>
      </c>
      <c r="J2984" s="39" t="s">
        <v>286</v>
      </c>
      <c r="K2984" s="38"/>
      <c r="L2984" s="38"/>
    </row>
    <row r="2985" ht="22.5" customHeight="1">
      <c r="A2985" s="36" t="s">
        <v>6655</v>
      </c>
      <c r="B2985" s="36" t="s">
        <v>6656</v>
      </c>
      <c r="C2985" s="36" t="s">
        <v>1495</v>
      </c>
      <c r="D2985" s="36" t="s">
        <v>1496</v>
      </c>
      <c r="E2985" s="36" t="s">
        <v>1285</v>
      </c>
      <c r="F2985" s="36" t="s">
        <v>286</v>
      </c>
      <c r="G2985" s="36" t="s">
        <v>411</v>
      </c>
      <c r="H2985" s="37">
        <v>5.96</v>
      </c>
      <c r="I2985" s="36" t="s">
        <v>1301</v>
      </c>
      <c r="J2985" s="39" t="s">
        <v>286</v>
      </c>
      <c r="K2985" s="38"/>
      <c r="L2985" s="38"/>
    </row>
    <row r="2986" ht="22.5" customHeight="1">
      <c r="A2986" s="36" t="s">
        <v>6657</v>
      </c>
      <c r="B2986" s="36" t="s">
        <v>6658</v>
      </c>
      <c r="C2986" s="36" t="s">
        <v>1495</v>
      </c>
      <c r="D2986" s="36" t="s">
        <v>1496</v>
      </c>
      <c r="E2986" s="36" t="s">
        <v>1285</v>
      </c>
      <c r="F2986" s="36" t="s">
        <v>286</v>
      </c>
      <c r="G2986" s="36" t="s">
        <v>411</v>
      </c>
      <c r="H2986" s="37">
        <v>2.01</v>
      </c>
      <c r="I2986" s="36" t="s">
        <v>1301</v>
      </c>
      <c r="J2986" s="39" t="s">
        <v>286</v>
      </c>
      <c r="K2986" s="38"/>
      <c r="L2986" s="38"/>
    </row>
    <row r="2987" ht="22.5" customHeight="1">
      <c r="A2987" s="36" t="s">
        <v>6659</v>
      </c>
      <c r="B2987" s="36" t="s">
        <v>6660</v>
      </c>
      <c r="C2987" s="36" t="s">
        <v>1495</v>
      </c>
      <c r="D2987" s="36" t="s">
        <v>1496</v>
      </c>
      <c r="E2987" s="36" t="s">
        <v>1285</v>
      </c>
      <c r="F2987" s="36" t="s">
        <v>286</v>
      </c>
      <c r="G2987" s="36" t="s">
        <v>411</v>
      </c>
      <c r="H2987" s="37">
        <v>4.75</v>
      </c>
      <c r="I2987" s="36" t="s">
        <v>1301</v>
      </c>
      <c r="J2987" s="39" t="s">
        <v>286</v>
      </c>
      <c r="K2987" s="38"/>
      <c r="L2987" s="38"/>
    </row>
    <row r="2988" ht="22.5" customHeight="1">
      <c r="A2988" s="36" t="s">
        <v>6661</v>
      </c>
      <c r="B2988" s="36" t="s">
        <v>6662</v>
      </c>
      <c r="C2988" s="36" t="s">
        <v>1495</v>
      </c>
      <c r="D2988" s="36" t="s">
        <v>1496</v>
      </c>
      <c r="E2988" s="36" t="s">
        <v>1285</v>
      </c>
      <c r="F2988" s="36" t="s">
        <v>286</v>
      </c>
      <c r="G2988" s="36" t="s">
        <v>411</v>
      </c>
      <c r="H2988" s="37">
        <v>1.99</v>
      </c>
      <c r="I2988" s="36" t="s">
        <v>1301</v>
      </c>
      <c r="J2988" s="39" t="s">
        <v>286</v>
      </c>
      <c r="K2988" s="38"/>
      <c r="L2988" s="38"/>
    </row>
    <row r="2989" ht="22.5" customHeight="1">
      <c r="A2989" s="36" t="s">
        <v>6663</v>
      </c>
      <c r="B2989" s="36" t="s">
        <v>6664</v>
      </c>
      <c r="C2989" s="36" t="s">
        <v>1495</v>
      </c>
      <c r="D2989" s="36" t="s">
        <v>1496</v>
      </c>
      <c r="E2989" s="36" t="s">
        <v>1285</v>
      </c>
      <c r="F2989" s="36" t="s">
        <v>286</v>
      </c>
      <c r="G2989" s="36" t="s">
        <v>411</v>
      </c>
      <c r="H2989" s="37">
        <v>2.71</v>
      </c>
      <c r="I2989" s="36" t="s">
        <v>1301</v>
      </c>
      <c r="J2989" s="39" t="s">
        <v>286</v>
      </c>
      <c r="K2989" s="38"/>
      <c r="L2989" s="38"/>
    </row>
    <row r="2990" ht="22.5" customHeight="1">
      <c r="A2990" s="36" t="s">
        <v>6665</v>
      </c>
      <c r="B2990" s="36" t="s">
        <v>6666</v>
      </c>
      <c r="C2990" s="36" t="s">
        <v>1495</v>
      </c>
      <c r="D2990" s="36" t="s">
        <v>1496</v>
      </c>
      <c r="E2990" s="36" t="s">
        <v>1285</v>
      </c>
      <c r="F2990" s="36" t="s">
        <v>286</v>
      </c>
      <c r="G2990" s="36" t="s">
        <v>411</v>
      </c>
      <c r="H2990" s="37">
        <v>0.8</v>
      </c>
      <c r="I2990" s="36" t="s">
        <v>1301</v>
      </c>
      <c r="J2990" s="39" t="s">
        <v>286</v>
      </c>
      <c r="K2990" s="38"/>
      <c r="L2990" s="38"/>
    </row>
    <row r="2991" ht="22.5" customHeight="1">
      <c r="A2991" s="36" t="s">
        <v>6667</v>
      </c>
      <c r="B2991" s="36" t="s">
        <v>6668</v>
      </c>
      <c r="C2991" s="36" t="s">
        <v>1495</v>
      </c>
      <c r="D2991" s="36" t="s">
        <v>1496</v>
      </c>
      <c r="E2991" s="36" t="s">
        <v>1285</v>
      </c>
      <c r="F2991" s="36" t="s">
        <v>286</v>
      </c>
      <c r="G2991" s="36" t="s">
        <v>411</v>
      </c>
      <c r="H2991" s="37">
        <v>5.81</v>
      </c>
      <c r="I2991" s="36" t="s">
        <v>1301</v>
      </c>
      <c r="J2991" s="39" t="s">
        <v>286</v>
      </c>
      <c r="K2991" s="38"/>
      <c r="L2991" s="38"/>
    </row>
    <row r="2992" ht="22.5" customHeight="1">
      <c r="A2992" s="36" t="s">
        <v>6669</v>
      </c>
      <c r="B2992" s="36" t="s">
        <v>6670</v>
      </c>
      <c r="C2992" s="36" t="s">
        <v>1495</v>
      </c>
      <c r="D2992" s="36" t="s">
        <v>1496</v>
      </c>
      <c r="E2992" s="36" t="s">
        <v>1285</v>
      </c>
      <c r="F2992" s="36" t="s">
        <v>286</v>
      </c>
      <c r="G2992" s="36" t="s">
        <v>411</v>
      </c>
      <c r="H2992" s="37">
        <v>0.8</v>
      </c>
      <c r="I2992" s="36" t="s">
        <v>1301</v>
      </c>
      <c r="J2992" s="39" t="s">
        <v>286</v>
      </c>
      <c r="K2992" s="38"/>
      <c r="L2992" s="38"/>
    </row>
    <row r="2993" ht="22.5" customHeight="1">
      <c r="A2993" s="36" t="s">
        <v>6671</v>
      </c>
      <c r="B2993" s="36" t="s">
        <v>6672</v>
      </c>
      <c r="C2993" s="36" t="s">
        <v>1495</v>
      </c>
      <c r="D2993" s="36" t="s">
        <v>1496</v>
      </c>
      <c r="E2993" s="36" t="s">
        <v>1285</v>
      </c>
      <c r="F2993" s="36" t="s">
        <v>286</v>
      </c>
      <c r="G2993" s="36" t="s">
        <v>411</v>
      </c>
      <c r="H2993" s="37">
        <v>12.99</v>
      </c>
      <c r="I2993" s="36" t="s">
        <v>1301</v>
      </c>
      <c r="J2993" s="39" t="s">
        <v>286</v>
      </c>
      <c r="K2993" s="38"/>
      <c r="L2993" s="38"/>
    </row>
    <row r="2994" ht="22.5" customHeight="1">
      <c r="A2994" s="36" t="s">
        <v>6673</v>
      </c>
      <c r="B2994" s="36" t="s">
        <v>6674</v>
      </c>
      <c r="C2994" s="36" t="s">
        <v>1495</v>
      </c>
      <c r="D2994" s="36" t="s">
        <v>1496</v>
      </c>
      <c r="E2994" s="36" t="s">
        <v>1285</v>
      </c>
      <c r="F2994" s="36" t="s">
        <v>286</v>
      </c>
      <c r="G2994" s="36" t="s">
        <v>411</v>
      </c>
      <c r="H2994" s="37">
        <v>9.17</v>
      </c>
      <c r="I2994" s="36" t="s">
        <v>1301</v>
      </c>
      <c r="J2994" s="39" t="s">
        <v>286</v>
      </c>
      <c r="K2994" s="38"/>
      <c r="L2994" s="38"/>
    </row>
    <row r="2995" ht="22.5" customHeight="1">
      <c r="A2995" s="36" t="s">
        <v>6675</v>
      </c>
      <c r="B2995" s="36" t="s">
        <v>6676</v>
      </c>
      <c r="C2995" s="36" t="s">
        <v>1495</v>
      </c>
      <c r="D2995" s="36" t="s">
        <v>1496</v>
      </c>
      <c r="E2995" s="36" t="s">
        <v>1285</v>
      </c>
      <c r="F2995" s="36" t="s">
        <v>286</v>
      </c>
      <c r="G2995" s="36" t="s">
        <v>411</v>
      </c>
      <c r="H2995" s="37">
        <v>9.55</v>
      </c>
      <c r="I2995" s="36" t="s">
        <v>1301</v>
      </c>
      <c r="J2995" s="39" t="s">
        <v>286</v>
      </c>
      <c r="K2995" s="38"/>
      <c r="L2995" s="38"/>
    </row>
    <row r="2996" ht="22.5" customHeight="1">
      <c r="A2996" s="36" t="s">
        <v>6677</v>
      </c>
      <c r="B2996" s="36" t="s">
        <v>6678</v>
      </c>
      <c r="C2996" s="36" t="s">
        <v>1495</v>
      </c>
      <c r="D2996" s="36" t="s">
        <v>1496</v>
      </c>
      <c r="E2996" s="36" t="s">
        <v>1285</v>
      </c>
      <c r="F2996" s="36" t="s">
        <v>286</v>
      </c>
      <c r="G2996" s="36" t="s">
        <v>411</v>
      </c>
      <c r="H2996" s="37">
        <v>6.58</v>
      </c>
      <c r="I2996" s="36" t="s">
        <v>1301</v>
      </c>
      <c r="J2996" s="39" t="s">
        <v>286</v>
      </c>
      <c r="K2996" s="38"/>
      <c r="L2996" s="38"/>
    </row>
    <row r="2997" ht="22.5" customHeight="1">
      <c r="A2997" s="36" t="s">
        <v>6679</v>
      </c>
      <c r="B2997" s="36" t="s">
        <v>6680</v>
      </c>
      <c r="C2997" s="36" t="s">
        <v>1495</v>
      </c>
      <c r="D2997" s="36" t="s">
        <v>1496</v>
      </c>
      <c r="E2997" s="36" t="s">
        <v>1285</v>
      </c>
      <c r="F2997" s="36" t="s">
        <v>286</v>
      </c>
      <c r="G2997" s="36" t="s">
        <v>411</v>
      </c>
      <c r="H2997" s="37">
        <v>7.12</v>
      </c>
      <c r="I2997" s="36" t="s">
        <v>1301</v>
      </c>
      <c r="J2997" s="39" t="s">
        <v>286</v>
      </c>
      <c r="K2997" s="38"/>
      <c r="L2997" s="38"/>
    </row>
    <row r="2998" ht="22.5" customHeight="1">
      <c r="A2998" s="36" t="s">
        <v>6681</v>
      </c>
      <c r="B2998" s="36" t="s">
        <v>6682</v>
      </c>
      <c r="C2998" s="36" t="s">
        <v>1495</v>
      </c>
      <c r="D2998" s="36" t="s">
        <v>1496</v>
      </c>
      <c r="E2998" s="36" t="s">
        <v>1285</v>
      </c>
      <c r="F2998" s="36" t="s">
        <v>286</v>
      </c>
      <c r="G2998" s="36" t="s">
        <v>411</v>
      </c>
      <c r="H2998" s="37">
        <v>8.86</v>
      </c>
      <c r="I2998" s="36" t="s">
        <v>1301</v>
      </c>
      <c r="J2998" s="39" t="s">
        <v>286</v>
      </c>
      <c r="K2998" s="38"/>
      <c r="L2998" s="38"/>
    </row>
    <row r="2999" ht="22.5" customHeight="1">
      <c r="A2999" s="36" t="s">
        <v>6683</v>
      </c>
      <c r="B2999" s="36" t="s">
        <v>6684</v>
      </c>
      <c r="C2999" s="36" t="s">
        <v>1495</v>
      </c>
      <c r="D2999" s="36" t="s">
        <v>1496</v>
      </c>
      <c r="E2999" s="36" t="s">
        <v>1285</v>
      </c>
      <c r="F2999" s="36" t="s">
        <v>286</v>
      </c>
      <c r="G2999" s="36" t="s">
        <v>411</v>
      </c>
      <c r="H2999" s="37">
        <v>46.94</v>
      </c>
      <c r="I2999" s="36" t="s">
        <v>1301</v>
      </c>
      <c r="J2999" s="39" t="s">
        <v>286</v>
      </c>
      <c r="K2999" s="38"/>
      <c r="L2999" s="38"/>
    </row>
    <row r="3000" ht="22.5" customHeight="1">
      <c r="A3000" s="36" t="s">
        <v>6685</v>
      </c>
      <c r="B3000" s="36" t="s">
        <v>6686</v>
      </c>
      <c r="C3000" s="36" t="s">
        <v>1495</v>
      </c>
      <c r="D3000" s="36" t="s">
        <v>1496</v>
      </c>
      <c r="E3000" s="36" t="s">
        <v>1285</v>
      </c>
      <c r="F3000" s="36" t="s">
        <v>286</v>
      </c>
      <c r="G3000" s="36" t="s">
        <v>411</v>
      </c>
      <c r="H3000" s="37">
        <v>15.29</v>
      </c>
      <c r="I3000" s="36" t="s">
        <v>1301</v>
      </c>
      <c r="J3000" s="39" t="s">
        <v>286</v>
      </c>
      <c r="K3000" s="38"/>
      <c r="L3000" s="38"/>
    </row>
    <row r="3001" ht="22.5" customHeight="1">
      <c r="A3001" s="36" t="s">
        <v>6687</v>
      </c>
      <c r="B3001" s="36" t="s">
        <v>6688</v>
      </c>
      <c r="C3001" s="36" t="s">
        <v>1495</v>
      </c>
      <c r="D3001" s="36" t="s">
        <v>1496</v>
      </c>
      <c r="E3001" s="36" t="s">
        <v>1285</v>
      </c>
      <c r="F3001" s="36" t="s">
        <v>286</v>
      </c>
      <c r="G3001" s="36" t="s">
        <v>411</v>
      </c>
      <c r="H3001" s="37">
        <v>14.21</v>
      </c>
      <c r="I3001" s="36" t="s">
        <v>1301</v>
      </c>
      <c r="J3001" s="39" t="s">
        <v>286</v>
      </c>
      <c r="K3001" s="38"/>
      <c r="L3001" s="38"/>
    </row>
    <row r="3002" ht="22.5" customHeight="1">
      <c r="A3002" s="36" t="s">
        <v>6689</v>
      </c>
      <c r="B3002" s="36" t="s">
        <v>6690</v>
      </c>
      <c r="C3002" s="36" t="s">
        <v>1495</v>
      </c>
      <c r="D3002" s="36" t="s">
        <v>1496</v>
      </c>
      <c r="E3002" s="36" t="s">
        <v>287</v>
      </c>
      <c r="F3002" s="36" t="s">
        <v>286</v>
      </c>
      <c r="G3002" s="36" t="s">
        <v>411</v>
      </c>
      <c r="H3002" s="37">
        <v>13.7</v>
      </c>
      <c r="I3002" s="36" t="s">
        <v>1301</v>
      </c>
      <c r="J3002" s="39" t="s">
        <v>286</v>
      </c>
      <c r="K3002" s="38"/>
      <c r="L3002" s="38"/>
    </row>
    <row r="3003" ht="22.5" customHeight="1">
      <c r="A3003" s="36" t="s">
        <v>6691</v>
      </c>
      <c r="B3003" s="36" t="s">
        <v>6692</v>
      </c>
      <c r="C3003" s="36" t="s">
        <v>1495</v>
      </c>
      <c r="D3003" s="36" t="s">
        <v>1496</v>
      </c>
      <c r="E3003" s="36" t="s">
        <v>287</v>
      </c>
      <c r="F3003" s="36" t="s">
        <v>286</v>
      </c>
      <c r="G3003" s="36" t="s">
        <v>411</v>
      </c>
      <c r="H3003" s="37">
        <v>236.07</v>
      </c>
      <c r="I3003" s="36" t="s">
        <v>1301</v>
      </c>
      <c r="J3003" s="39" t="s">
        <v>286</v>
      </c>
      <c r="K3003" s="38"/>
      <c r="L3003" s="38"/>
    </row>
    <row r="3004" ht="22.5" customHeight="1">
      <c r="A3004" s="36" t="s">
        <v>6693</v>
      </c>
      <c r="B3004" s="36" t="s">
        <v>6694</v>
      </c>
      <c r="C3004" s="36" t="s">
        <v>1495</v>
      </c>
      <c r="D3004" s="36" t="s">
        <v>1496</v>
      </c>
      <c r="E3004" s="36" t="s">
        <v>287</v>
      </c>
      <c r="F3004" s="36" t="s">
        <v>286</v>
      </c>
      <c r="G3004" s="36" t="s">
        <v>411</v>
      </c>
      <c r="H3004" s="37">
        <v>54.36</v>
      </c>
      <c r="I3004" s="36" t="s">
        <v>1301</v>
      </c>
      <c r="J3004" s="39" t="s">
        <v>286</v>
      </c>
      <c r="K3004" s="38"/>
      <c r="L3004" s="38"/>
    </row>
    <row r="3005" ht="22.5" customHeight="1">
      <c r="A3005" s="36" t="s">
        <v>6695</v>
      </c>
      <c r="B3005" s="36" t="s">
        <v>6696</v>
      </c>
      <c r="C3005" s="36" t="s">
        <v>1495</v>
      </c>
      <c r="D3005" s="36" t="s">
        <v>1496</v>
      </c>
      <c r="E3005" s="36" t="s">
        <v>287</v>
      </c>
      <c r="F3005" s="36" t="s">
        <v>286</v>
      </c>
      <c r="G3005" s="36" t="s">
        <v>411</v>
      </c>
      <c r="H3005" s="37">
        <v>111.82</v>
      </c>
      <c r="I3005" s="36" t="s">
        <v>1301</v>
      </c>
      <c r="J3005" s="39" t="s">
        <v>286</v>
      </c>
      <c r="K3005" s="38"/>
      <c r="L3005" s="38"/>
    </row>
    <row r="3006" ht="22.5" customHeight="1">
      <c r="A3006" s="36" t="s">
        <v>6697</v>
      </c>
      <c r="B3006" s="36" t="s">
        <v>6698</v>
      </c>
      <c r="C3006" s="36" t="s">
        <v>1495</v>
      </c>
      <c r="D3006" s="36" t="s">
        <v>1496</v>
      </c>
      <c r="E3006" s="36" t="s">
        <v>287</v>
      </c>
      <c r="F3006" s="36" t="s">
        <v>286</v>
      </c>
      <c r="G3006" s="36" t="s">
        <v>411</v>
      </c>
      <c r="H3006" s="37">
        <v>0.0</v>
      </c>
      <c r="I3006" s="36" t="s">
        <v>1301</v>
      </c>
      <c r="J3006" s="39" t="s">
        <v>286</v>
      </c>
      <c r="K3006" s="38"/>
      <c r="L3006" s="38"/>
    </row>
    <row r="3007" ht="22.5" customHeight="1">
      <c r="A3007" s="36" t="s">
        <v>6699</v>
      </c>
      <c r="B3007" s="36" t="s">
        <v>6700</v>
      </c>
      <c r="C3007" s="36" t="s">
        <v>1495</v>
      </c>
      <c r="D3007" s="36" t="s">
        <v>1496</v>
      </c>
      <c r="E3007" s="36" t="s">
        <v>1285</v>
      </c>
      <c r="F3007" s="36" t="s">
        <v>286</v>
      </c>
      <c r="G3007" s="36" t="s">
        <v>411</v>
      </c>
      <c r="H3007" s="37">
        <v>25.3</v>
      </c>
      <c r="I3007" s="36" t="s">
        <v>1301</v>
      </c>
      <c r="J3007" s="39" t="s">
        <v>286</v>
      </c>
      <c r="K3007" s="38"/>
      <c r="L3007" s="38"/>
    </row>
    <row r="3008" ht="22.5" customHeight="1">
      <c r="A3008" s="36" t="s">
        <v>6701</v>
      </c>
      <c r="B3008" s="36" t="s">
        <v>6702</v>
      </c>
      <c r="C3008" s="36" t="s">
        <v>1495</v>
      </c>
      <c r="D3008" s="36" t="s">
        <v>1496</v>
      </c>
      <c r="E3008" s="36" t="s">
        <v>1285</v>
      </c>
      <c r="F3008" s="36" t="s">
        <v>286</v>
      </c>
      <c r="G3008" s="36" t="s">
        <v>411</v>
      </c>
      <c r="H3008" s="37">
        <v>423.68</v>
      </c>
      <c r="I3008" s="36" t="s">
        <v>1301</v>
      </c>
      <c r="J3008" s="39" t="s">
        <v>286</v>
      </c>
      <c r="K3008" s="38"/>
      <c r="L3008" s="38"/>
    </row>
    <row r="3009" ht="22.5" customHeight="1">
      <c r="A3009" s="36" t="s">
        <v>6703</v>
      </c>
      <c r="B3009" s="36" t="s">
        <v>6704</v>
      </c>
      <c r="C3009" s="36" t="s">
        <v>1495</v>
      </c>
      <c r="D3009" s="36" t="s">
        <v>1496</v>
      </c>
      <c r="E3009" s="36" t="s">
        <v>1285</v>
      </c>
      <c r="F3009" s="36" t="s">
        <v>286</v>
      </c>
      <c r="G3009" s="36" t="s">
        <v>411</v>
      </c>
      <c r="H3009" s="37">
        <v>49.28</v>
      </c>
      <c r="I3009" s="36" t="s">
        <v>1301</v>
      </c>
      <c r="J3009" s="39" t="s">
        <v>286</v>
      </c>
      <c r="K3009" s="38"/>
      <c r="L3009" s="38"/>
    </row>
    <row r="3010" ht="22.5" customHeight="1">
      <c r="A3010" s="36" t="s">
        <v>6705</v>
      </c>
      <c r="B3010" s="36" t="s">
        <v>6706</v>
      </c>
      <c r="C3010" s="36" t="s">
        <v>1495</v>
      </c>
      <c r="D3010" s="36" t="s">
        <v>1496</v>
      </c>
      <c r="E3010" s="36" t="s">
        <v>1285</v>
      </c>
      <c r="F3010" s="36" t="s">
        <v>286</v>
      </c>
      <c r="G3010" s="36" t="s">
        <v>411</v>
      </c>
      <c r="H3010" s="37">
        <v>1344.17</v>
      </c>
      <c r="I3010" s="36" t="s">
        <v>1301</v>
      </c>
      <c r="J3010" s="39" t="s">
        <v>286</v>
      </c>
      <c r="K3010" s="38"/>
      <c r="L3010" s="38"/>
    </row>
    <row r="3011" ht="22.5" customHeight="1">
      <c r="A3011" s="36" t="s">
        <v>6707</v>
      </c>
      <c r="B3011" s="36" t="s">
        <v>6708</v>
      </c>
      <c r="C3011" s="36" t="s">
        <v>1495</v>
      </c>
      <c r="D3011" s="36" t="s">
        <v>1496</v>
      </c>
      <c r="E3011" s="36" t="s">
        <v>1285</v>
      </c>
      <c r="F3011" s="36" t="s">
        <v>286</v>
      </c>
      <c r="G3011" s="36" t="s">
        <v>411</v>
      </c>
      <c r="H3011" s="37">
        <v>143.83</v>
      </c>
      <c r="I3011" s="36" t="s">
        <v>1301</v>
      </c>
      <c r="J3011" s="39" t="s">
        <v>286</v>
      </c>
      <c r="K3011" s="38"/>
      <c r="L3011" s="38"/>
    </row>
    <row r="3012" ht="22.5" customHeight="1">
      <c r="A3012" s="36" t="s">
        <v>6709</v>
      </c>
      <c r="B3012" s="36" t="s">
        <v>6710</v>
      </c>
      <c r="C3012" s="36" t="s">
        <v>1495</v>
      </c>
      <c r="D3012" s="36" t="s">
        <v>1496</v>
      </c>
      <c r="E3012" s="36" t="s">
        <v>1285</v>
      </c>
      <c r="F3012" s="36" t="s">
        <v>286</v>
      </c>
      <c r="G3012" s="36" t="s">
        <v>411</v>
      </c>
      <c r="H3012" s="37">
        <v>2430.25</v>
      </c>
      <c r="I3012" s="36" t="s">
        <v>1301</v>
      </c>
      <c r="J3012" s="39" t="s">
        <v>286</v>
      </c>
      <c r="K3012" s="38"/>
      <c r="L3012" s="38"/>
    </row>
    <row r="3013" ht="22.5" customHeight="1">
      <c r="A3013" s="36" t="s">
        <v>6711</v>
      </c>
      <c r="B3013" s="36" t="s">
        <v>6712</v>
      </c>
      <c r="C3013" s="36" t="s">
        <v>1495</v>
      </c>
      <c r="D3013" s="36" t="s">
        <v>1496</v>
      </c>
      <c r="E3013" s="36" t="s">
        <v>1285</v>
      </c>
      <c r="F3013" s="36" t="s">
        <v>286</v>
      </c>
      <c r="G3013" s="36" t="s">
        <v>411</v>
      </c>
      <c r="H3013" s="37">
        <v>7325.89</v>
      </c>
      <c r="I3013" s="36" t="s">
        <v>1301</v>
      </c>
      <c r="J3013" s="39" t="s">
        <v>286</v>
      </c>
      <c r="K3013" s="38"/>
      <c r="L3013" s="38"/>
    </row>
    <row r="3014" ht="22.5" customHeight="1">
      <c r="A3014" s="36" t="s">
        <v>6713</v>
      </c>
      <c r="B3014" s="36" t="s">
        <v>6714</v>
      </c>
      <c r="C3014" s="36" t="s">
        <v>1495</v>
      </c>
      <c r="D3014" s="36" t="s">
        <v>1496</v>
      </c>
      <c r="E3014" s="36" t="s">
        <v>1285</v>
      </c>
      <c r="F3014" s="36" t="s">
        <v>286</v>
      </c>
      <c r="G3014" s="36" t="s">
        <v>411</v>
      </c>
      <c r="H3014" s="37">
        <v>2364.33</v>
      </c>
      <c r="I3014" s="36" t="s">
        <v>1301</v>
      </c>
      <c r="J3014" s="39" t="s">
        <v>286</v>
      </c>
      <c r="K3014" s="38"/>
      <c r="L3014" s="38"/>
    </row>
    <row r="3015" ht="22.5" customHeight="1">
      <c r="A3015" s="36" t="s">
        <v>6715</v>
      </c>
      <c r="B3015" s="36" t="s">
        <v>6716</v>
      </c>
      <c r="C3015" s="36" t="s">
        <v>1495</v>
      </c>
      <c r="D3015" s="36" t="s">
        <v>1496</v>
      </c>
      <c r="E3015" s="36" t="s">
        <v>1285</v>
      </c>
      <c r="F3015" s="36" t="s">
        <v>286</v>
      </c>
      <c r="G3015" s="36" t="s">
        <v>411</v>
      </c>
      <c r="H3015" s="37">
        <v>3394.65</v>
      </c>
      <c r="I3015" s="36" t="s">
        <v>1301</v>
      </c>
      <c r="J3015" s="39" t="s">
        <v>286</v>
      </c>
      <c r="K3015" s="38"/>
      <c r="L3015" s="38"/>
    </row>
    <row r="3016" ht="22.5" customHeight="1">
      <c r="A3016" s="36" t="s">
        <v>6717</v>
      </c>
      <c r="B3016" s="36" t="s">
        <v>6718</v>
      </c>
      <c r="C3016" s="36" t="s">
        <v>1495</v>
      </c>
      <c r="D3016" s="36" t="s">
        <v>1496</v>
      </c>
      <c r="E3016" s="36" t="s">
        <v>1285</v>
      </c>
      <c r="F3016" s="36" t="s">
        <v>286</v>
      </c>
      <c r="G3016" s="36" t="s">
        <v>411</v>
      </c>
      <c r="H3016" s="37">
        <v>175.72</v>
      </c>
      <c r="I3016" s="36" t="s">
        <v>1301</v>
      </c>
      <c r="J3016" s="39" t="s">
        <v>286</v>
      </c>
      <c r="K3016" s="38"/>
      <c r="L3016" s="38"/>
    </row>
    <row r="3017" ht="22.5" customHeight="1">
      <c r="A3017" s="36" t="s">
        <v>6719</v>
      </c>
      <c r="B3017" s="36" t="s">
        <v>6720</v>
      </c>
      <c r="C3017" s="36" t="s">
        <v>1495</v>
      </c>
      <c r="D3017" s="36" t="s">
        <v>1496</v>
      </c>
      <c r="E3017" s="36" t="s">
        <v>1285</v>
      </c>
      <c r="F3017" s="36" t="s">
        <v>286</v>
      </c>
      <c r="G3017" s="36" t="s">
        <v>411</v>
      </c>
      <c r="H3017" s="37">
        <v>660.57</v>
      </c>
      <c r="I3017" s="36" t="s">
        <v>1301</v>
      </c>
      <c r="J3017" s="39" t="s">
        <v>286</v>
      </c>
      <c r="K3017" s="38"/>
      <c r="L3017" s="38"/>
    </row>
    <row r="3018" ht="22.5" customHeight="1">
      <c r="A3018" s="36" t="s">
        <v>6721</v>
      </c>
      <c r="B3018" s="36" t="s">
        <v>6722</v>
      </c>
      <c r="C3018" s="36" t="s">
        <v>1495</v>
      </c>
      <c r="D3018" s="36" t="s">
        <v>1496</v>
      </c>
      <c r="E3018" s="36" t="s">
        <v>1285</v>
      </c>
      <c r="F3018" s="36" t="s">
        <v>286</v>
      </c>
      <c r="G3018" s="36" t="s">
        <v>411</v>
      </c>
      <c r="H3018" s="37">
        <v>495.43</v>
      </c>
      <c r="I3018" s="36" t="s">
        <v>1301</v>
      </c>
      <c r="J3018" s="39" t="s">
        <v>286</v>
      </c>
      <c r="K3018" s="38"/>
      <c r="L3018" s="38"/>
    </row>
    <row r="3019" ht="22.5" customHeight="1">
      <c r="A3019" s="36" t="s">
        <v>6723</v>
      </c>
      <c r="B3019" s="36" t="s">
        <v>6724</v>
      </c>
      <c r="C3019" s="36" t="s">
        <v>1495</v>
      </c>
      <c r="D3019" s="36" t="s">
        <v>1496</v>
      </c>
      <c r="E3019" s="36" t="s">
        <v>1285</v>
      </c>
      <c r="F3019" s="36" t="s">
        <v>286</v>
      </c>
      <c r="G3019" s="36" t="s">
        <v>411</v>
      </c>
      <c r="H3019" s="37">
        <v>60.79</v>
      </c>
      <c r="I3019" s="36" t="s">
        <v>1301</v>
      </c>
      <c r="J3019" s="39" t="s">
        <v>286</v>
      </c>
      <c r="K3019" s="38"/>
      <c r="L3019" s="38"/>
    </row>
    <row r="3020" ht="22.5" customHeight="1">
      <c r="A3020" s="36" t="s">
        <v>6725</v>
      </c>
      <c r="B3020" s="36" t="s">
        <v>6726</v>
      </c>
      <c r="C3020" s="36" t="s">
        <v>1495</v>
      </c>
      <c r="D3020" s="36" t="s">
        <v>1496</v>
      </c>
      <c r="E3020" s="36" t="s">
        <v>1285</v>
      </c>
      <c r="F3020" s="36" t="s">
        <v>286</v>
      </c>
      <c r="G3020" s="36" t="s">
        <v>411</v>
      </c>
      <c r="H3020" s="37">
        <v>79.52</v>
      </c>
      <c r="I3020" s="36" t="s">
        <v>1301</v>
      </c>
      <c r="J3020" s="39" t="s">
        <v>286</v>
      </c>
      <c r="K3020" s="38"/>
      <c r="L3020" s="38"/>
    </row>
    <row r="3021" ht="22.5" customHeight="1">
      <c r="A3021" s="36" t="s">
        <v>6727</v>
      </c>
      <c r="B3021" s="36" t="s">
        <v>6728</v>
      </c>
      <c r="C3021" s="36" t="s">
        <v>1495</v>
      </c>
      <c r="D3021" s="36" t="s">
        <v>1496</v>
      </c>
      <c r="E3021" s="36" t="s">
        <v>1285</v>
      </c>
      <c r="F3021" s="36" t="s">
        <v>286</v>
      </c>
      <c r="G3021" s="36" t="s">
        <v>411</v>
      </c>
      <c r="H3021" s="37">
        <v>5.39</v>
      </c>
      <c r="I3021" s="36" t="s">
        <v>1301</v>
      </c>
      <c r="J3021" s="39" t="s">
        <v>286</v>
      </c>
      <c r="K3021" s="38"/>
      <c r="L3021" s="38"/>
    </row>
    <row r="3022" ht="22.5" customHeight="1">
      <c r="A3022" s="36" t="s">
        <v>6729</v>
      </c>
      <c r="B3022" s="36" t="s">
        <v>6730</v>
      </c>
      <c r="C3022" s="36" t="s">
        <v>1495</v>
      </c>
      <c r="D3022" s="36" t="s">
        <v>1496</v>
      </c>
      <c r="E3022" s="36" t="s">
        <v>1285</v>
      </c>
      <c r="F3022" s="36" t="s">
        <v>286</v>
      </c>
      <c r="G3022" s="36" t="s">
        <v>411</v>
      </c>
      <c r="H3022" s="37">
        <v>118325.6</v>
      </c>
      <c r="I3022" s="36" t="s">
        <v>1301</v>
      </c>
      <c r="J3022" s="39" t="s">
        <v>286</v>
      </c>
      <c r="K3022" s="38"/>
      <c r="L3022" s="38"/>
    </row>
    <row r="3023" ht="22.5" customHeight="1">
      <c r="A3023" s="36" t="s">
        <v>6731</v>
      </c>
      <c r="B3023" s="36" t="s">
        <v>6732</v>
      </c>
      <c r="C3023" s="36" t="s">
        <v>1495</v>
      </c>
      <c r="D3023" s="36" t="s">
        <v>1496</v>
      </c>
      <c r="E3023" s="36" t="s">
        <v>1285</v>
      </c>
      <c r="F3023" s="36" t="s">
        <v>286</v>
      </c>
      <c r="G3023" s="36" t="s">
        <v>411</v>
      </c>
      <c r="H3023" s="37">
        <v>243.55</v>
      </c>
      <c r="I3023" s="36" t="s">
        <v>1301</v>
      </c>
      <c r="J3023" s="39" t="s">
        <v>286</v>
      </c>
      <c r="K3023" s="38"/>
      <c r="L3023" s="38"/>
    </row>
    <row r="3024" ht="22.5" customHeight="1">
      <c r="A3024" s="36" t="s">
        <v>6733</v>
      </c>
      <c r="B3024" s="36" t="s">
        <v>6734</v>
      </c>
      <c r="C3024" s="36" t="s">
        <v>1495</v>
      </c>
      <c r="D3024" s="36" t="s">
        <v>1496</v>
      </c>
      <c r="E3024" s="36" t="s">
        <v>1285</v>
      </c>
      <c r="F3024" s="36" t="s">
        <v>286</v>
      </c>
      <c r="G3024" s="36" t="s">
        <v>411</v>
      </c>
      <c r="H3024" s="37">
        <v>468.14</v>
      </c>
      <c r="I3024" s="36" t="s">
        <v>1301</v>
      </c>
      <c r="J3024" s="39" t="s">
        <v>286</v>
      </c>
      <c r="K3024" s="38"/>
      <c r="L3024" s="38"/>
    </row>
    <row r="3025" ht="22.5" customHeight="1">
      <c r="A3025" s="36" t="s">
        <v>6735</v>
      </c>
      <c r="B3025" s="36" t="s">
        <v>6736</v>
      </c>
      <c r="C3025" s="36" t="s">
        <v>1495</v>
      </c>
      <c r="D3025" s="36" t="s">
        <v>1496</v>
      </c>
      <c r="E3025" s="36" t="s">
        <v>1285</v>
      </c>
      <c r="F3025" s="36" t="s">
        <v>286</v>
      </c>
      <c r="G3025" s="36" t="s">
        <v>411</v>
      </c>
      <c r="H3025" s="37">
        <v>95.88</v>
      </c>
      <c r="I3025" s="36" t="s">
        <v>1301</v>
      </c>
      <c r="J3025" s="39" t="s">
        <v>286</v>
      </c>
      <c r="K3025" s="38"/>
      <c r="L3025" s="38"/>
    </row>
    <row r="3026" ht="22.5" customHeight="1">
      <c r="A3026" s="36" t="s">
        <v>6737</v>
      </c>
      <c r="B3026" s="36" t="s">
        <v>6738</v>
      </c>
      <c r="C3026" s="36" t="s">
        <v>1495</v>
      </c>
      <c r="D3026" s="36" t="s">
        <v>1496</v>
      </c>
      <c r="E3026" s="36" t="s">
        <v>1285</v>
      </c>
      <c r="F3026" s="36" t="s">
        <v>286</v>
      </c>
      <c r="G3026" s="36" t="s">
        <v>411</v>
      </c>
      <c r="H3026" s="37">
        <v>45.4</v>
      </c>
      <c r="I3026" s="36" t="s">
        <v>1301</v>
      </c>
      <c r="J3026" s="39" t="s">
        <v>286</v>
      </c>
      <c r="K3026" s="38"/>
      <c r="L3026" s="38"/>
    </row>
    <row r="3027" ht="22.5" customHeight="1">
      <c r="A3027" s="36" t="s">
        <v>6739</v>
      </c>
      <c r="B3027" s="36" t="s">
        <v>6740</v>
      </c>
      <c r="C3027" s="36" t="s">
        <v>1495</v>
      </c>
      <c r="D3027" s="36" t="s">
        <v>1496</v>
      </c>
      <c r="E3027" s="36" t="s">
        <v>1285</v>
      </c>
      <c r="F3027" s="36" t="s">
        <v>286</v>
      </c>
      <c r="G3027" s="36" t="s">
        <v>411</v>
      </c>
      <c r="H3027" s="37">
        <v>49.46</v>
      </c>
      <c r="I3027" s="36" t="s">
        <v>1301</v>
      </c>
      <c r="J3027" s="39" t="s">
        <v>286</v>
      </c>
      <c r="K3027" s="38"/>
      <c r="L3027" s="38"/>
    </row>
    <row r="3028" ht="22.5" customHeight="1">
      <c r="A3028" s="36" t="s">
        <v>6741</v>
      </c>
      <c r="B3028" s="36" t="s">
        <v>6742</v>
      </c>
      <c r="C3028" s="36" t="s">
        <v>1495</v>
      </c>
      <c r="D3028" s="36" t="s">
        <v>1496</v>
      </c>
      <c r="E3028" s="36" t="s">
        <v>1285</v>
      </c>
      <c r="F3028" s="36" t="s">
        <v>286</v>
      </c>
      <c r="G3028" s="36" t="s">
        <v>411</v>
      </c>
      <c r="H3028" s="37">
        <v>41.79</v>
      </c>
      <c r="I3028" s="36" t="s">
        <v>1301</v>
      </c>
      <c r="J3028" s="39" t="s">
        <v>286</v>
      </c>
      <c r="K3028" s="38"/>
      <c r="L3028" s="38"/>
    </row>
    <row r="3029" ht="22.5" customHeight="1">
      <c r="A3029" s="36" t="s">
        <v>6743</v>
      </c>
      <c r="B3029" s="36" t="s">
        <v>6744</v>
      </c>
      <c r="C3029" s="36" t="s">
        <v>1495</v>
      </c>
      <c r="D3029" s="36" t="s">
        <v>1496</v>
      </c>
      <c r="E3029" s="36" t="s">
        <v>1285</v>
      </c>
      <c r="F3029" s="36" t="s">
        <v>286</v>
      </c>
      <c r="G3029" s="36" t="s">
        <v>411</v>
      </c>
      <c r="H3029" s="37">
        <v>33.39</v>
      </c>
      <c r="I3029" s="36" t="s">
        <v>1301</v>
      </c>
      <c r="J3029" s="39" t="s">
        <v>286</v>
      </c>
      <c r="K3029" s="38"/>
      <c r="L3029" s="38"/>
    </row>
    <row r="3030" ht="22.5" customHeight="1">
      <c r="A3030" s="36" t="s">
        <v>6745</v>
      </c>
      <c r="B3030" s="36" t="s">
        <v>6746</v>
      </c>
      <c r="C3030" s="36" t="s">
        <v>1495</v>
      </c>
      <c r="D3030" s="36" t="s">
        <v>1496</v>
      </c>
      <c r="E3030" s="36" t="s">
        <v>1285</v>
      </c>
      <c r="F3030" s="36" t="s">
        <v>286</v>
      </c>
      <c r="G3030" s="36" t="s">
        <v>411</v>
      </c>
      <c r="H3030" s="37">
        <v>387.67</v>
      </c>
      <c r="I3030" s="36" t="s">
        <v>1301</v>
      </c>
      <c r="J3030" s="39" t="s">
        <v>286</v>
      </c>
      <c r="K3030" s="38"/>
      <c r="L3030" s="38"/>
    </row>
    <row r="3031" ht="22.5" customHeight="1">
      <c r="A3031" s="36" t="s">
        <v>6747</v>
      </c>
      <c r="B3031" s="36" t="s">
        <v>6748</v>
      </c>
      <c r="C3031" s="36" t="s">
        <v>1495</v>
      </c>
      <c r="D3031" s="36" t="s">
        <v>1496</v>
      </c>
      <c r="E3031" s="36" t="s">
        <v>1285</v>
      </c>
      <c r="F3031" s="36" t="s">
        <v>286</v>
      </c>
      <c r="G3031" s="36" t="s">
        <v>411</v>
      </c>
      <c r="H3031" s="37">
        <v>85.63</v>
      </c>
      <c r="I3031" s="36" t="s">
        <v>1301</v>
      </c>
      <c r="J3031" s="39" t="s">
        <v>286</v>
      </c>
      <c r="K3031" s="38"/>
      <c r="L3031" s="38"/>
    </row>
    <row r="3032" ht="22.5" customHeight="1">
      <c r="A3032" s="36" t="s">
        <v>6749</v>
      </c>
      <c r="B3032" s="36" t="s">
        <v>6750</v>
      </c>
      <c r="C3032" s="36" t="s">
        <v>1495</v>
      </c>
      <c r="D3032" s="36" t="s">
        <v>1496</v>
      </c>
      <c r="E3032" s="36" t="s">
        <v>1285</v>
      </c>
      <c r="F3032" s="36" t="s">
        <v>286</v>
      </c>
      <c r="G3032" s="36" t="s">
        <v>411</v>
      </c>
      <c r="H3032" s="37">
        <v>65.73</v>
      </c>
      <c r="I3032" s="36" t="s">
        <v>1301</v>
      </c>
      <c r="J3032" s="39" t="s">
        <v>286</v>
      </c>
      <c r="K3032" s="38"/>
      <c r="L3032" s="38"/>
    </row>
    <row r="3033" ht="22.5" customHeight="1">
      <c r="A3033" s="36" t="s">
        <v>6751</v>
      </c>
      <c r="B3033" s="36" t="s">
        <v>6752</v>
      </c>
      <c r="C3033" s="36" t="s">
        <v>1495</v>
      </c>
      <c r="D3033" s="36" t="s">
        <v>1496</v>
      </c>
      <c r="E3033" s="36" t="s">
        <v>1285</v>
      </c>
      <c r="F3033" s="36" t="s">
        <v>286</v>
      </c>
      <c r="G3033" s="36" t="s">
        <v>411</v>
      </c>
      <c r="H3033" s="37">
        <v>741.44</v>
      </c>
      <c r="I3033" s="36" t="s">
        <v>1301</v>
      </c>
      <c r="J3033" s="39" t="s">
        <v>286</v>
      </c>
      <c r="K3033" s="38"/>
      <c r="L3033" s="38"/>
    </row>
    <row r="3034" ht="22.5" customHeight="1">
      <c r="A3034" s="36" t="s">
        <v>6753</v>
      </c>
      <c r="B3034" s="36" t="s">
        <v>6754</v>
      </c>
      <c r="C3034" s="36" t="s">
        <v>1495</v>
      </c>
      <c r="D3034" s="36" t="s">
        <v>1496</v>
      </c>
      <c r="E3034" s="36" t="s">
        <v>1285</v>
      </c>
      <c r="F3034" s="36" t="s">
        <v>286</v>
      </c>
      <c r="G3034" s="36" t="s">
        <v>411</v>
      </c>
      <c r="H3034" s="37">
        <v>172.44</v>
      </c>
      <c r="I3034" s="36" t="s">
        <v>1301</v>
      </c>
      <c r="J3034" s="39" t="s">
        <v>286</v>
      </c>
      <c r="K3034" s="38"/>
      <c r="L3034" s="38"/>
    </row>
    <row r="3035" ht="22.5" customHeight="1">
      <c r="A3035" s="36" t="s">
        <v>6755</v>
      </c>
      <c r="B3035" s="36" t="s">
        <v>6756</v>
      </c>
      <c r="C3035" s="36" t="s">
        <v>1495</v>
      </c>
      <c r="D3035" s="36" t="s">
        <v>1496</v>
      </c>
      <c r="E3035" s="36" t="s">
        <v>1285</v>
      </c>
      <c r="F3035" s="36" t="s">
        <v>286</v>
      </c>
      <c r="G3035" s="36" t="s">
        <v>411</v>
      </c>
      <c r="H3035" s="37">
        <v>172.48</v>
      </c>
      <c r="I3035" s="36" t="s">
        <v>1301</v>
      </c>
      <c r="J3035" s="39" t="s">
        <v>286</v>
      </c>
      <c r="K3035" s="38"/>
      <c r="L3035" s="38"/>
    </row>
    <row r="3036" ht="22.5" customHeight="1">
      <c r="A3036" s="36" t="s">
        <v>6757</v>
      </c>
      <c r="B3036" s="36" t="s">
        <v>6758</v>
      </c>
      <c r="C3036" s="36" t="s">
        <v>1495</v>
      </c>
      <c r="D3036" s="36" t="s">
        <v>1496</v>
      </c>
      <c r="E3036" s="36" t="s">
        <v>1285</v>
      </c>
      <c r="F3036" s="36" t="s">
        <v>286</v>
      </c>
      <c r="G3036" s="36" t="s">
        <v>411</v>
      </c>
      <c r="H3036" s="37">
        <v>440.18</v>
      </c>
      <c r="I3036" s="36" t="s">
        <v>1301</v>
      </c>
      <c r="J3036" s="39" t="s">
        <v>286</v>
      </c>
      <c r="K3036" s="38"/>
      <c r="L3036" s="38"/>
    </row>
    <row r="3037" ht="22.5" customHeight="1">
      <c r="A3037" s="36" t="s">
        <v>6759</v>
      </c>
      <c r="B3037" s="36" t="s">
        <v>6760</v>
      </c>
      <c r="C3037" s="36" t="s">
        <v>1495</v>
      </c>
      <c r="D3037" s="36" t="s">
        <v>1496</v>
      </c>
      <c r="E3037" s="36" t="s">
        <v>1285</v>
      </c>
      <c r="F3037" s="36" t="s">
        <v>286</v>
      </c>
      <c r="G3037" s="36" t="s">
        <v>411</v>
      </c>
      <c r="H3037" s="37">
        <v>57.16</v>
      </c>
      <c r="I3037" s="36" t="s">
        <v>1301</v>
      </c>
      <c r="J3037" s="39" t="s">
        <v>286</v>
      </c>
      <c r="K3037" s="38"/>
      <c r="L3037" s="38"/>
    </row>
    <row r="3038" ht="22.5" customHeight="1">
      <c r="A3038" s="36" t="s">
        <v>6761</v>
      </c>
      <c r="B3038" s="36" t="s">
        <v>6762</v>
      </c>
      <c r="C3038" s="36" t="s">
        <v>1495</v>
      </c>
      <c r="D3038" s="36" t="s">
        <v>1496</v>
      </c>
      <c r="E3038" s="36" t="s">
        <v>1285</v>
      </c>
      <c r="F3038" s="36" t="s">
        <v>286</v>
      </c>
      <c r="G3038" s="36" t="s">
        <v>411</v>
      </c>
      <c r="H3038" s="37">
        <v>212.13</v>
      </c>
      <c r="I3038" s="36" t="s">
        <v>1301</v>
      </c>
      <c r="J3038" s="39" t="s">
        <v>286</v>
      </c>
      <c r="K3038" s="38"/>
      <c r="L3038" s="38"/>
    </row>
    <row r="3039" ht="22.5" customHeight="1">
      <c r="A3039" s="36" t="s">
        <v>6763</v>
      </c>
      <c r="B3039" s="36" t="s">
        <v>6764</v>
      </c>
      <c r="C3039" s="36" t="s">
        <v>1495</v>
      </c>
      <c r="D3039" s="36" t="s">
        <v>1496</v>
      </c>
      <c r="E3039" s="36" t="s">
        <v>1285</v>
      </c>
      <c r="F3039" s="36" t="s">
        <v>286</v>
      </c>
      <c r="G3039" s="36" t="s">
        <v>411</v>
      </c>
      <c r="H3039" s="37">
        <v>391.74</v>
      </c>
      <c r="I3039" s="36" t="s">
        <v>1301</v>
      </c>
      <c r="J3039" s="39" t="s">
        <v>286</v>
      </c>
      <c r="K3039" s="38"/>
      <c r="L3039" s="38"/>
    </row>
    <row r="3040" ht="22.5" customHeight="1">
      <c r="A3040" s="36" t="s">
        <v>6765</v>
      </c>
      <c r="B3040" s="36" t="s">
        <v>6766</v>
      </c>
      <c r="C3040" s="36" t="s">
        <v>1495</v>
      </c>
      <c r="D3040" s="36" t="s">
        <v>1496</v>
      </c>
      <c r="E3040" s="36" t="s">
        <v>1285</v>
      </c>
      <c r="F3040" s="36" t="s">
        <v>286</v>
      </c>
      <c r="G3040" s="36" t="s">
        <v>411</v>
      </c>
      <c r="H3040" s="37">
        <v>391.74</v>
      </c>
      <c r="I3040" s="36" t="s">
        <v>1301</v>
      </c>
      <c r="J3040" s="39" t="s">
        <v>286</v>
      </c>
      <c r="K3040" s="38"/>
      <c r="L3040" s="38"/>
    </row>
    <row r="3041" ht="22.5" customHeight="1">
      <c r="A3041" s="36" t="s">
        <v>6767</v>
      </c>
      <c r="B3041" s="36" t="s">
        <v>6768</v>
      </c>
      <c r="C3041" s="36" t="s">
        <v>1495</v>
      </c>
      <c r="D3041" s="36" t="s">
        <v>1496</v>
      </c>
      <c r="E3041" s="36" t="s">
        <v>1285</v>
      </c>
      <c r="F3041" s="36" t="s">
        <v>286</v>
      </c>
      <c r="G3041" s="36" t="s">
        <v>411</v>
      </c>
      <c r="H3041" s="37">
        <v>232.53</v>
      </c>
      <c r="I3041" s="36" t="s">
        <v>1301</v>
      </c>
      <c r="J3041" s="39" t="s">
        <v>286</v>
      </c>
      <c r="K3041" s="38"/>
      <c r="L3041" s="38"/>
    </row>
    <row r="3042" ht="22.5" customHeight="1">
      <c r="A3042" s="36" t="s">
        <v>6769</v>
      </c>
      <c r="B3042" s="36" t="s">
        <v>6770</v>
      </c>
      <c r="C3042" s="36" t="s">
        <v>1495</v>
      </c>
      <c r="D3042" s="36" t="s">
        <v>1496</v>
      </c>
      <c r="E3042" s="36" t="s">
        <v>1285</v>
      </c>
      <c r="F3042" s="36" t="s">
        <v>286</v>
      </c>
      <c r="G3042" s="36" t="s">
        <v>411</v>
      </c>
      <c r="H3042" s="37">
        <v>232.53</v>
      </c>
      <c r="I3042" s="36" t="s">
        <v>1301</v>
      </c>
      <c r="J3042" s="39" t="s">
        <v>286</v>
      </c>
      <c r="K3042" s="38"/>
      <c r="L3042" s="38"/>
    </row>
    <row r="3043" ht="22.5" customHeight="1">
      <c r="A3043" s="36" t="s">
        <v>6771</v>
      </c>
      <c r="B3043" s="36" t="s">
        <v>6772</v>
      </c>
      <c r="C3043" s="36" t="s">
        <v>1495</v>
      </c>
      <c r="D3043" s="36" t="s">
        <v>1496</v>
      </c>
      <c r="E3043" s="36" t="s">
        <v>1285</v>
      </c>
      <c r="F3043" s="36" t="s">
        <v>286</v>
      </c>
      <c r="G3043" s="36" t="s">
        <v>411</v>
      </c>
      <c r="H3043" s="37">
        <v>255.46</v>
      </c>
      <c r="I3043" s="36" t="s">
        <v>1301</v>
      </c>
      <c r="J3043" s="39" t="s">
        <v>286</v>
      </c>
      <c r="K3043" s="38"/>
      <c r="L3043" s="38"/>
    </row>
    <row r="3044" ht="22.5" customHeight="1">
      <c r="A3044" s="36" t="s">
        <v>6773</v>
      </c>
      <c r="B3044" s="36" t="s">
        <v>6774</v>
      </c>
      <c r="C3044" s="36" t="s">
        <v>1495</v>
      </c>
      <c r="D3044" s="36" t="s">
        <v>1496</v>
      </c>
      <c r="E3044" s="36" t="s">
        <v>1285</v>
      </c>
      <c r="F3044" s="36" t="s">
        <v>286</v>
      </c>
      <c r="G3044" s="36" t="s">
        <v>411</v>
      </c>
      <c r="H3044" s="37">
        <v>291.45</v>
      </c>
      <c r="I3044" s="36" t="s">
        <v>1301</v>
      </c>
      <c r="J3044" s="39" t="s">
        <v>286</v>
      </c>
      <c r="K3044" s="38"/>
      <c r="L3044" s="38"/>
    </row>
    <row r="3045" ht="22.5" customHeight="1">
      <c r="A3045" s="36" t="s">
        <v>6775</v>
      </c>
      <c r="B3045" s="36" t="s">
        <v>6776</v>
      </c>
      <c r="C3045" s="36" t="s">
        <v>1495</v>
      </c>
      <c r="D3045" s="36" t="s">
        <v>1496</v>
      </c>
      <c r="E3045" s="36" t="s">
        <v>1285</v>
      </c>
      <c r="F3045" s="36" t="s">
        <v>286</v>
      </c>
      <c r="G3045" s="36" t="s">
        <v>411</v>
      </c>
      <c r="H3045" s="37">
        <v>221.15</v>
      </c>
      <c r="I3045" s="36" t="s">
        <v>1301</v>
      </c>
      <c r="J3045" s="39" t="s">
        <v>286</v>
      </c>
      <c r="K3045" s="38"/>
      <c r="L3045" s="38"/>
    </row>
    <row r="3046" ht="22.5" customHeight="1">
      <c r="A3046" s="36" t="s">
        <v>6777</v>
      </c>
      <c r="B3046" s="36" t="s">
        <v>6778</v>
      </c>
      <c r="C3046" s="36" t="s">
        <v>1495</v>
      </c>
      <c r="D3046" s="36" t="s">
        <v>1496</v>
      </c>
      <c r="E3046" s="36" t="s">
        <v>1285</v>
      </c>
      <c r="F3046" s="36" t="s">
        <v>286</v>
      </c>
      <c r="G3046" s="36" t="s">
        <v>411</v>
      </c>
      <c r="H3046" s="37">
        <v>50.14</v>
      </c>
      <c r="I3046" s="36" t="s">
        <v>1301</v>
      </c>
      <c r="J3046" s="39" t="s">
        <v>286</v>
      </c>
      <c r="K3046" s="38"/>
      <c r="L3046" s="38"/>
    </row>
    <row r="3047" ht="22.5" customHeight="1">
      <c r="A3047" s="36" t="s">
        <v>6779</v>
      </c>
      <c r="B3047" s="36" t="s">
        <v>6780</v>
      </c>
      <c r="C3047" s="36" t="s">
        <v>1495</v>
      </c>
      <c r="D3047" s="36" t="s">
        <v>1496</v>
      </c>
      <c r="E3047" s="36" t="s">
        <v>1285</v>
      </c>
      <c r="F3047" s="36" t="s">
        <v>286</v>
      </c>
      <c r="G3047" s="36" t="s">
        <v>411</v>
      </c>
      <c r="H3047" s="37">
        <v>54.48</v>
      </c>
      <c r="I3047" s="36" t="s">
        <v>1301</v>
      </c>
      <c r="J3047" s="39" t="s">
        <v>286</v>
      </c>
      <c r="K3047" s="38"/>
      <c r="L3047" s="38"/>
    </row>
    <row r="3048" ht="22.5" customHeight="1">
      <c r="A3048" s="36" t="s">
        <v>6781</v>
      </c>
      <c r="B3048" s="36" t="s">
        <v>6782</v>
      </c>
      <c r="C3048" s="36" t="s">
        <v>1495</v>
      </c>
      <c r="D3048" s="36" t="s">
        <v>1496</v>
      </c>
      <c r="E3048" s="36" t="s">
        <v>1285</v>
      </c>
      <c r="F3048" s="36" t="s">
        <v>286</v>
      </c>
      <c r="G3048" s="36" t="s">
        <v>411</v>
      </c>
      <c r="H3048" s="37">
        <v>65.94</v>
      </c>
      <c r="I3048" s="36" t="s">
        <v>1301</v>
      </c>
      <c r="J3048" s="39" t="s">
        <v>286</v>
      </c>
      <c r="K3048" s="38"/>
      <c r="L3048" s="38"/>
    </row>
    <row r="3049" ht="22.5" customHeight="1">
      <c r="A3049" s="36" t="s">
        <v>6783</v>
      </c>
      <c r="B3049" s="36" t="s">
        <v>6784</v>
      </c>
      <c r="C3049" s="36" t="s">
        <v>1495</v>
      </c>
      <c r="D3049" s="36" t="s">
        <v>1496</v>
      </c>
      <c r="E3049" s="36" t="s">
        <v>1285</v>
      </c>
      <c r="F3049" s="36" t="s">
        <v>286</v>
      </c>
      <c r="G3049" s="36" t="s">
        <v>411</v>
      </c>
      <c r="H3049" s="37">
        <v>159.42</v>
      </c>
      <c r="I3049" s="36" t="s">
        <v>1301</v>
      </c>
      <c r="J3049" s="39" t="s">
        <v>286</v>
      </c>
      <c r="K3049" s="38"/>
      <c r="L3049" s="38"/>
    </row>
    <row r="3050" ht="22.5" customHeight="1">
      <c r="A3050" s="36" t="s">
        <v>6785</v>
      </c>
      <c r="B3050" s="36" t="s">
        <v>6786</v>
      </c>
      <c r="C3050" s="36" t="s">
        <v>1495</v>
      </c>
      <c r="D3050" s="36" t="s">
        <v>1496</v>
      </c>
      <c r="E3050" s="36" t="s">
        <v>1285</v>
      </c>
      <c r="F3050" s="36" t="s">
        <v>286</v>
      </c>
      <c r="G3050" s="36" t="s">
        <v>411</v>
      </c>
      <c r="H3050" s="37">
        <v>66.77</v>
      </c>
      <c r="I3050" s="36" t="s">
        <v>1301</v>
      </c>
      <c r="J3050" s="39" t="s">
        <v>286</v>
      </c>
      <c r="K3050" s="38"/>
      <c r="L3050" s="38"/>
    </row>
    <row r="3051" ht="22.5" customHeight="1">
      <c r="A3051" s="36" t="s">
        <v>6787</v>
      </c>
      <c r="B3051" s="36" t="s">
        <v>6788</v>
      </c>
      <c r="C3051" s="36" t="s">
        <v>1495</v>
      </c>
      <c r="D3051" s="36" t="s">
        <v>1496</v>
      </c>
      <c r="E3051" s="36" t="s">
        <v>1285</v>
      </c>
      <c r="F3051" s="36" t="s">
        <v>286</v>
      </c>
      <c r="G3051" s="36" t="s">
        <v>411</v>
      </c>
      <c r="H3051" s="37">
        <v>54.24</v>
      </c>
      <c r="I3051" s="36" t="s">
        <v>1301</v>
      </c>
      <c r="J3051" s="39" t="s">
        <v>286</v>
      </c>
      <c r="K3051" s="38"/>
      <c r="L3051" s="38"/>
    </row>
    <row r="3052" ht="22.5" customHeight="1">
      <c r="A3052" s="36" t="s">
        <v>6789</v>
      </c>
      <c r="B3052" s="36" t="s">
        <v>6790</v>
      </c>
      <c r="C3052" s="36" t="s">
        <v>1495</v>
      </c>
      <c r="D3052" s="36" t="s">
        <v>1496</v>
      </c>
      <c r="E3052" s="36" t="s">
        <v>1285</v>
      </c>
      <c r="F3052" s="36" t="s">
        <v>286</v>
      </c>
      <c r="G3052" s="36" t="s">
        <v>411</v>
      </c>
      <c r="H3052" s="37">
        <v>63.79</v>
      </c>
      <c r="I3052" s="36" t="s">
        <v>1301</v>
      </c>
      <c r="J3052" s="39" t="s">
        <v>286</v>
      </c>
      <c r="K3052" s="38"/>
      <c r="L3052" s="38"/>
    </row>
    <row r="3053" ht="22.5" customHeight="1">
      <c r="A3053" s="36" t="s">
        <v>6791</v>
      </c>
      <c r="B3053" s="36" t="s">
        <v>6792</v>
      </c>
      <c r="C3053" s="36" t="s">
        <v>1495</v>
      </c>
      <c r="D3053" s="36" t="s">
        <v>1496</v>
      </c>
      <c r="E3053" s="36" t="s">
        <v>1285</v>
      </c>
      <c r="F3053" s="36" t="s">
        <v>286</v>
      </c>
      <c r="G3053" s="36" t="s">
        <v>411</v>
      </c>
      <c r="H3053" s="37">
        <v>83.29</v>
      </c>
      <c r="I3053" s="36" t="s">
        <v>1301</v>
      </c>
      <c r="J3053" s="39" t="s">
        <v>286</v>
      </c>
      <c r="K3053" s="38"/>
      <c r="L3053" s="38"/>
    </row>
    <row r="3054" ht="22.5" customHeight="1">
      <c r="A3054" s="36" t="s">
        <v>6793</v>
      </c>
      <c r="B3054" s="36" t="s">
        <v>6794</v>
      </c>
      <c r="C3054" s="36" t="s">
        <v>1495</v>
      </c>
      <c r="D3054" s="36" t="s">
        <v>1496</v>
      </c>
      <c r="E3054" s="36" t="s">
        <v>1285</v>
      </c>
      <c r="F3054" s="36" t="s">
        <v>286</v>
      </c>
      <c r="G3054" s="36" t="s">
        <v>411</v>
      </c>
      <c r="H3054" s="37">
        <v>253.84</v>
      </c>
      <c r="I3054" s="36" t="s">
        <v>1301</v>
      </c>
      <c r="J3054" s="39" t="s">
        <v>286</v>
      </c>
      <c r="K3054" s="38"/>
      <c r="L3054" s="38"/>
    </row>
    <row r="3055" ht="22.5" customHeight="1">
      <c r="A3055" s="36" t="s">
        <v>6795</v>
      </c>
      <c r="B3055" s="36" t="s">
        <v>6796</v>
      </c>
      <c r="C3055" s="36" t="s">
        <v>1495</v>
      </c>
      <c r="D3055" s="36" t="s">
        <v>1496</v>
      </c>
      <c r="E3055" s="36" t="s">
        <v>1285</v>
      </c>
      <c r="F3055" s="36" t="s">
        <v>286</v>
      </c>
      <c r="G3055" s="36" t="s">
        <v>411</v>
      </c>
      <c r="H3055" s="37">
        <v>113.76</v>
      </c>
      <c r="I3055" s="36" t="s">
        <v>1301</v>
      </c>
      <c r="J3055" s="39" t="s">
        <v>286</v>
      </c>
      <c r="K3055" s="38"/>
      <c r="L3055" s="38"/>
    </row>
    <row r="3056" ht="22.5" customHeight="1">
      <c r="A3056" s="36" t="s">
        <v>6797</v>
      </c>
      <c r="B3056" s="36" t="s">
        <v>6798</v>
      </c>
      <c r="C3056" s="36" t="s">
        <v>286</v>
      </c>
      <c r="D3056" s="36" t="s">
        <v>286</v>
      </c>
      <c r="E3056" s="36" t="s">
        <v>287</v>
      </c>
      <c r="F3056" s="36" t="s">
        <v>286</v>
      </c>
      <c r="G3056" s="36" t="s">
        <v>411</v>
      </c>
      <c r="H3056" s="37">
        <v>6.46</v>
      </c>
      <c r="I3056" s="36" t="s">
        <v>1301</v>
      </c>
      <c r="J3056" s="39" t="s">
        <v>286</v>
      </c>
      <c r="K3056" s="38"/>
      <c r="L3056" s="38"/>
    </row>
    <row r="3057" ht="22.5" customHeight="1">
      <c r="A3057" s="36" t="s">
        <v>6799</v>
      </c>
      <c r="B3057" s="36" t="s">
        <v>6800</v>
      </c>
      <c r="C3057" s="36" t="s">
        <v>1495</v>
      </c>
      <c r="D3057" s="36" t="s">
        <v>1496</v>
      </c>
      <c r="E3057" s="36" t="s">
        <v>1285</v>
      </c>
      <c r="F3057" s="36" t="s">
        <v>286</v>
      </c>
      <c r="G3057" s="36" t="s">
        <v>411</v>
      </c>
      <c r="H3057" s="37">
        <v>75.11</v>
      </c>
      <c r="I3057" s="36" t="s">
        <v>1301</v>
      </c>
      <c r="J3057" s="39" t="s">
        <v>286</v>
      </c>
      <c r="K3057" s="38"/>
      <c r="L3057" s="38"/>
    </row>
    <row r="3058" ht="22.5" customHeight="1">
      <c r="A3058" s="36" t="s">
        <v>6801</v>
      </c>
      <c r="B3058" s="36" t="s">
        <v>6802</v>
      </c>
      <c r="C3058" s="36" t="s">
        <v>1495</v>
      </c>
      <c r="D3058" s="36" t="s">
        <v>1496</v>
      </c>
      <c r="E3058" s="36" t="s">
        <v>1285</v>
      </c>
      <c r="F3058" s="36" t="s">
        <v>286</v>
      </c>
      <c r="G3058" s="36" t="s">
        <v>411</v>
      </c>
      <c r="H3058" s="37">
        <v>2497.78</v>
      </c>
      <c r="I3058" s="36" t="s">
        <v>1301</v>
      </c>
      <c r="J3058" s="39" t="s">
        <v>286</v>
      </c>
      <c r="K3058" s="38"/>
      <c r="L3058" s="38"/>
    </row>
    <row r="3059" ht="22.5" customHeight="1">
      <c r="A3059" s="36" t="s">
        <v>6803</v>
      </c>
      <c r="B3059" s="36" t="s">
        <v>6804</v>
      </c>
      <c r="C3059" s="36" t="s">
        <v>1495</v>
      </c>
      <c r="D3059" s="36" t="s">
        <v>1496</v>
      </c>
      <c r="E3059" s="36" t="s">
        <v>1285</v>
      </c>
      <c r="F3059" s="36" t="s">
        <v>286</v>
      </c>
      <c r="G3059" s="36" t="s">
        <v>411</v>
      </c>
      <c r="H3059" s="37">
        <v>2.85</v>
      </c>
      <c r="I3059" s="36" t="s">
        <v>1301</v>
      </c>
      <c r="J3059" s="39" t="s">
        <v>286</v>
      </c>
      <c r="K3059" s="38"/>
      <c r="L3059" s="38"/>
    </row>
    <row r="3060" ht="22.5" customHeight="1">
      <c r="A3060" s="36" t="s">
        <v>6805</v>
      </c>
      <c r="B3060" s="36" t="s">
        <v>6806</v>
      </c>
      <c r="C3060" s="36" t="s">
        <v>1495</v>
      </c>
      <c r="D3060" s="36" t="s">
        <v>1496</v>
      </c>
      <c r="E3060" s="36" t="s">
        <v>1285</v>
      </c>
      <c r="F3060" s="36" t="s">
        <v>286</v>
      </c>
      <c r="G3060" s="36" t="s">
        <v>411</v>
      </c>
      <c r="H3060" s="37">
        <v>1.83</v>
      </c>
      <c r="I3060" s="36" t="s">
        <v>1301</v>
      </c>
      <c r="J3060" s="39" t="s">
        <v>286</v>
      </c>
      <c r="K3060" s="38"/>
      <c r="L3060" s="38"/>
    </row>
    <row r="3061" ht="22.5" customHeight="1">
      <c r="A3061" s="36" t="s">
        <v>6807</v>
      </c>
      <c r="B3061" s="36" t="s">
        <v>6808</v>
      </c>
      <c r="C3061" s="36" t="s">
        <v>1495</v>
      </c>
      <c r="D3061" s="36" t="s">
        <v>1496</v>
      </c>
      <c r="E3061" s="36" t="s">
        <v>1285</v>
      </c>
      <c r="F3061" s="36" t="s">
        <v>286</v>
      </c>
      <c r="G3061" s="36" t="s">
        <v>411</v>
      </c>
      <c r="H3061" s="37">
        <v>1.2</v>
      </c>
      <c r="I3061" s="36" t="s">
        <v>1301</v>
      </c>
      <c r="J3061" s="39" t="s">
        <v>286</v>
      </c>
      <c r="K3061" s="38"/>
      <c r="L3061" s="38"/>
    </row>
    <row r="3062" ht="22.5" customHeight="1">
      <c r="A3062" s="36" t="s">
        <v>6809</v>
      </c>
      <c r="B3062" s="36" t="s">
        <v>6810</v>
      </c>
      <c r="C3062" s="36" t="s">
        <v>1495</v>
      </c>
      <c r="D3062" s="36" t="s">
        <v>1496</v>
      </c>
      <c r="E3062" s="36" t="s">
        <v>1285</v>
      </c>
      <c r="F3062" s="36" t="s">
        <v>286</v>
      </c>
      <c r="G3062" s="36" t="s">
        <v>411</v>
      </c>
      <c r="H3062" s="37">
        <v>1.03</v>
      </c>
      <c r="I3062" s="36" t="s">
        <v>1301</v>
      </c>
      <c r="J3062" s="39" t="s">
        <v>286</v>
      </c>
      <c r="K3062" s="38"/>
      <c r="L3062" s="38"/>
    </row>
    <row r="3063" ht="22.5" customHeight="1">
      <c r="A3063" s="36" t="s">
        <v>6811</v>
      </c>
      <c r="B3063" s="36" t="s">
        <v>6812</v>
      </c>
      <c r="C3063" s="36" t="s">
        <v>1495</v>
      </c>
      <c r="D3063" s="36" t="s">
        <v>1496</v>
      </c>
      <c r="E3063" s="36" t="s">
        <v>1285</v>
      </c>
      <c r="F3063" s="36" t="s">
        <v>286</v>
      </c>
      <c r="G3063" s="36" t="s">
        <v>411</v>
      </c>
      <c r="H3063" s="37">
        <v>2.06</v>
      </c>
      <c r="I3063" s="36" t="s">
        <v>1301</v>
      </c>
      <c r="J3063" s="39" t="s">
        <v>286</v>
      </c>
      <c r="K3063" s="38"/>
      <c r="L3063" s="38"/>
    </row>
    <row r="3064" ht="22.5" customHeight="1">
      <c r="A3064" s="36" t="s">
        <v>6813</v>
      </c>
      <c r="B3064" s="36" t="s">
        <v>6814</v>
      </c>
      <c r="C3064" s="36" t="s">
        <v>1495</v>
      </c>
      <c r="D3064" s="36" t="s">
        <v>1496</v>
      </c>
      <c r="E3064" s="36" t="s">
        <v>1285</v>
      </c>
      <c r="F3064" s="36" t="s">
        <v>286</v>
      </c>
      <c r="G3064" s="36" t="s">
        <v>411</v>
      </c>
      <c r="H3064" s="37">
        <v>1.31</v>
      </c>
      <c r="I3064" s="36" t="s">
        <v>1301</v>
      </c>
      <c r="J3064" s="39" t="s">
        <v>286</v>
      </c>
      <c r="K3064" s="38"/>
      <c r="L3064" s="38"/>
    </row>
    <row r="3065" ht="22.5" customHeight="1">
      <c r="A3065" s="36" t="s">
        <v>6815</v>
      </c>
      <c r="B3065" s="36" t="s">
        <v>6816</v>
      </c>
      <c r="C3065" s="36" t="s">
        <v>1495</v>
      </c>
      <c r="D3065" s="36" t="s">
        <v>1496</v>
      </c>
      <c r="E3065" s="36" t="s">
        <v>1285</v>
      </c>
      <c r="F3065" s="36" t="s">
        <v>286</v>
      </c>
      <c r="G3065" s="36" t="s">
        <v>411</v>
      </c>
      <c r="H3065" s="37">
        <v>1.25</v>
      </c>
      <c r="I3065" s="36" t="s">
        <v>1301</v>
      </c>
      <c r="J3065" s="39" t="s">
        <v>286</v>
      </c>
      <c r="K3065" s="38"/>
      <c r="L3065" s="38"/>
    </row>
    <row r="3066" ht="22.5" customHeight="1">
      <c r="A3066" s="36" t="s">
        <v>6817</v>
      </c>
      <c r="B3066" s="36" t="s">
        <v>6818</v>
      </c>
      <c r="C3066" s="36" t="s">
        <v>1495</v>
      </c>
      <c r="D3066" s="36" t="s">
        <v>1496</v>
      </c>
      <c r="E3066" s="36" t="s">
        <v>1285</v>
      </c>
      <c r="F3066" s="36" t="s">
        <v>286</v>
      </c>
      <c r="G3066" s="36" t="s">
        <v>411</v>
      </c>
      <c r="H3066" s="37">
        <v>1.97</v>
      </c>
      <c r="I3066" s="36" t="s">
        <v>1301</v>
      </c>
      <c r="J3066" s="39" t="s">
        <v>286</v>
      </c>
      <c r="K3066" s="38"/>
      <c r="L3066" s="38"/>
    </row>
    <row r="3067" ht="22.5" customHeight="1">
      <c r="A3067" s="36" t="s">
        <v>6819</v>
      </c>
      <c r="B3067" s="36" t="s">
        <v>6820</v>
      </c>
      <c r="C3067" s="36" t="s">
        <v>1495</v>
      </c>
      <c r="D3067" s="36" t="s">
        <v>1496</v>
      </c>
      <c r="E3067" s="36" t="s">
        <v>1285</v>
      </c>
      <c r="F3067" s="36" t="s">
        <v>286</v>
      </c>
      <c r="G3067" s="36" t="s">
        <v>411</v>
      </c>
      <c r="H3067" s="37">
        <v>1.14</v>
      </c>
      <c r="I3067" s="36" t="s">
        <v>1301</v>
      </c>
      <c r="J3067" s="39" t="s">
        <v>286</v>
      </c>
      <c r="K3067" s="38"/>
      <c r="L3067" s="38"/>
    </row>
    <row r="3068" ht="22.5" customHeight="1">
      <c r="A3068" s="36" t="s">
        <v>6821</v>
      </c>
      <c r="B3068" s="36" t="s">
        <v>6822</v>
      </c>
      <c r="C3068" s="36" t="s">
        <v>1495</v>
      </c>
      <c r="D3068" s="36" t="s">
        <v>1496</v>
      </c>
      <c r="E3068" s="36" t="s">
        <v>1285</v>
      </c>
      <c r="F3068" s="36" t="s">
        <v>286</v>
      </c>
      <c r="G3068" s="36" t="s">
        <v>411</v>
      </c>
      <c r="H3068" s="37">
        <v>1.07</v>
      </c>
      <c r="I3068" s="36" t="s">
        <v>1301</v>
      </c>
      <c r="J3068" s="39" t="s">
        <v>286</v>
      </c>
      <c r="K3068" s="38"/>
      <c r="L3068" s="38"/>
    </row>
    <row r="3069" ht="22.5" customHeight="1">
      <c r="A3069" s="36" t="s">
        <v>6823</v>
      </c>
      <c r="B3069" s="36" t="s">
        <v>6824</v>
      </c>
      <c r="C3069" s="36" t="s">
        <v>1495</v>
      </c>
      <c r="D3069" s="36" t="s">
        <v>1496</v>
      </c>
      <c r="E3069" s="36" t="s">
        <v>1285</v>
      </c>
      <c r="F3069" s="36" t="s">
        <v>286</v>
      </c>
      <c r="G3069" s="36" t="s">
        <v>411</v>
      </c>
      <c r="H3069" s="37">
        <v>3.39</v>
      </c>
      <c r="I3069" s="36" t="s">
        <v>1301</v>
      </c>
      <c r="J3069" s="39" t="s">
        <v>286</v>
      </c>
      <c r="K3069" s="38"/>
      <c r="L3069" s="38"/>
    </row>
    <row r="3070" ht="22.5" customHeight="1">
      <c r="A3070" s="36" t="s">
        <v>6825</v>
      </c>
      <c r="B3070" s="36" t="s">
        <v>6826</v>
      </c>
      <c r="C3070" s="36" t="s">
        <v>1495</v>
      </c>
      <c r="D3070" s="36" t="s">
        <v>1496</v>
      </c>
      <c r="E3070" s="36" t="s">
        <v>1285</v>
      </c>
      <c r="F3070" s="36" t="s">
        <v>286</v>
      </c>
      <c r="G3070" s="36" t="s">
        <v>411</v>
      </c>
      <c r="H3070" s="37">
        <v>1254.72</v>
      </c>
      <c r="I3070" s="36" t="s">
        <v>1301</v>
      </c>
      <c r="J3070" s="39" t="s">
        <v>286</v>
      </c>
      <c r="K3070" s="38"/>
      <c r="L3070" s="38"/>
    </row>
    <row r="3071" ht="22.5" customHeight="1">
      <c r="A3071" s="36" t="s">
        <v>6827</v>
      </c>
      <c r="B3071" s="36" t="s">
        <v>6828</v>
      </c>
      <c r="C3071" s="36" t="s">
        <v>1495</v>
      </c>
      <c r="D3071" s="36" t="s">
        <v>1496</v>
      </c>
      <c r="E3071" s="36" t="s">
        <v>1285</v>
      </c>
      <c r="F3071" s="36" t="s">
        <v>286</v>
      </c>
      <c r="G3071" s="36" t="s">
        <v>411</v>
      </c>
      <c r="H3071" s="37">
        <v>584.52</v>
      </c>
      <c r="I3071" s="36" t="s">
        <v>1301</v>
      </c>
      <c r="J3071" s="39" t="s">
        <v>286</v>
      </c>
      <c r="K3071" s="38"/>
      <c r="L3071" s="38"/>
    </row>
    <row r="3072" ht="22.5" customHeight="1">
      <c r="A3072" s="36" t="s">
        <v>6829</v>
      </c>
      <c r="B3072" s="36" t="s">
        <v>6830</v>
      </c>
      <c r="C3072" s="36" t="s">
        <v>1495</v>
      </c>
      <c r="D3072" s="36" t="s">
        <v>1496</v>
      </c>
      <c r="E3072" s="36" t="s">
        <v>1285</v>
      </c>
      <c r="F3072" s="36" t="s">
        <v>286</v>
      </c>
      <c r="G3072" s="36" t="s">
        <v>411</v>
      </c>
      <c r="H3072" s="37">
        <v>642.36</v>
      </c>
      <c r="I3072" s="36" t="s">
        <v>1301</v>
      </c>
      <c r="J3072" s="39" t="s">
        <v>286</v>
      </c>
      <c r="K3072" s="38"/>
      <c r="L3072" s="38"/>
    </row>
    <row r="3073" ht="22.5" customHeight="1">
      <c r="A3073" s="36" t="s">
        <v>6831</v>
      </c>
      <c r="B3073" s="36" t="s">
        <v>6832</v>
      </c>
      <c r="C3073" s="36" t="s">
        <v>1495</v>
      </c>
      <c r="D3073" s="36" t="s">
        <v>1496</v>
      </c>
      <c r="E3073" s="36" t="s">
        <v>1285</v>
      </c>
      <c r="F3073" s="36" t="s">
        <v>286</v>
      </c>
      <c r="G3073" s="36" t="s">
        <v>411</v>
      </c>
      <c r="H3073" s="37">
        <v>220.51</v>
      </c>
      <c r="I3073" s="36" t="s">
        <v>1301</v>
      </c>
      <c r="J3073" s="39" t="s">
        <v>286</v>
      </c>
      <c r="K3073" s="38"/>
      <c r="L3073" s="38"/>
    </row>
    <row r="3074" ht="22.5" customHeight="1">
      <c r="A3074" s="36" t="s">
        <v>6833</v>
      </c>
      <c r="B3074" s="36" t="s">
        <v>6834</v>
      </c>
      <c r="C3074" s="36" t="s">
        <v>1495</v>
      </c>
      <c r="D3074" s="36" t="s">
        <v>1496</v>
      </c>
      <c r="E3074" s="36" t="s">
        <v>1285</v>
      </c>
      <c r="F3074" s="36" t="s">
        <v>286</v>
      </c>
      <c r="G3074" s="36" t="s">
        <v>411</v>
      </c>
      <c r="H3074" s="37">
        <v>219.84</v>
      </c>
      <c r="I3074" s="36" t="s">
        <v>1301</v>
      </c>
      <c r="J3074" s="39" t="s">
        <v>286</v>
      </c>
      <c r="K3074" s="38"/>
      <c r="L3074" s="38"/>
    </row>
    <row r="3075" ht="22.5" customHeight="1">
      <c r="A3075" s="36" t="s">
        <v>6835</v>
      </c>
      <c r="B3075" s="36" t="s">
        <v>6836</v>
      </c>
      <c r="C3075" s="36" t="s">
        <v>1495</v>
      </c>
      <c r="D3075" s="36" t="s">
        <v>1496</v>
      </c>
      <c r="E3075" s="36" t="s">
        <v>1285</v>
      </c>
      <c r="F3075" s="36" t="s">
        <v>286</v>
      </c>
      <c r="G3075" s="36" t="s">
        <v>411</v>
      </c>
      <c r="H3075" s="37">
        <v>55.72</v>
      </c>
      <c r="I3075" s="36" t="s">
        <v>1301</v>
      </c>
      <c r="J3075" s="39" t="s">
        <v>286</v>
      </c>
      <c r="K3075" s="38"/>
      <c r="L3075" s="38"/>
    </row>
    <row r="3076" ht="22.5" customHeight="1">
      <c r="A3076" s="36" t="s">
        <v>6837</v>
      </c>
      <c r="B3076" s="36" t="s">
        <v>6838</v>
      </c>
      <c r="C3076" s="36" t="s">
        <v>1495</v>
      </c>
      <c r="D3076" s="36" t="s">
        <v>1496</v>
      </c>
      <c r="E3076" s="36" t="s">
        <v>1285</v>
      </c>
      <c r="F3076" s="36" t="s">
        <v>286</v>
      </c>
      <c r="G3076" s="36" t="s">
        <v>411</v>
      </c>
      <c r="H3076" s="37">
        <v>75.43</v>
      </c>
      <c r="I3076" s="36" t="s">
        <v>1301</v>
      </c>
      <c r="J3076" s="39" t="s">
        <v>286</v>
      </c>
      <c r="K3076" s="38"/>
      <c r="L3076" s="38"/>
    </row>
    <row r="3077" ht="22.5" customHeight="1">
      <c r="A3077" s="36" t="s">
        <v>6839</v>
      </c>
      <c r="B3077" s="36" t="s">
        <v>6840</v>
      </c>
      <c r="C3077" s="36" t="s">
        <v>1495</v>
      </c>
      <c r="D3077" s="36" t="s">
        <v>1496</v>
      </c>
      <c r="E3077" s="36" t="s">
        <v>1285</v>
      </c>
      <c r="F3077" s="36" t="s">
        <v>286</v>
      </c>
      <c r="G3077" s="36" t="s">
        <v>411</v>
      </c>
      <c r="H3077" s="37">
        <v>155.36</v>
      </c>
      <c r="I3077" s="36" t="s">
        <v>1301</v>
      </c>
      <c r="J3077" s="39" t="s">
        <v>286</v>
      </c>
      <c r="K3077" s="38"/>
      <c r="L3077" s="38"/>
    </row>
    <row r="3078" ht="22.5" customHeight="1">
      <c r="A3078" s="36" t="s">
        <v>6841</v>
      </c>
      <c r="B3078" s="36" t="s">
        <v>6842</v>
      </c>
      <c r="C3078" s="36" t="s">
        <v>1495</v>
      </c>
      <c r="D3078" s="36" t="s">
        <v>1496</v>
      </c>
      <c r="E3078" s="36" t="s">
        <v>1285</v>
      </c>
      <c r="F3078" s="36" t="s">
        <v>286</v>
      </c>
      <c r="G3078" s="36" t="s">
        <v>411</v>
      </c>
      <c r="H3078" s="37">
        <v>4.22</v>
      </c>
      <c r="I3078" s="36" t="s">
        <v>1301</v>
      </c>
      <c r="J3078" s="39" t="s">
        <v>286</v>
      </c>
      <c r="K3078" s="38"/>
      <c r="L3078" s="38"/>
    </row>
    <row r="3079" ht="22.5" customHeight="1">
      <c r="A3079" s="36" t="s">
        <v>6843</v>
      </c>
      <c r="B3079" s="36" t="s">
        <v>6844</v>
      </c>
      <c r="C3079" s="36" t="s">
        <v>1495</v>
      </c>
      <c r="D3079" s="36" t="s">
        <v>1496</v>
      </c>
      <c r="E3079" s="36" t="s">
        <v>1285</v>
      </c>
      <c r="F3079" s="36" t="s">
        <v>286</v>
      </c>
      <c r="G3079" s="36" t="s">
        <v>411</v>
      </c>
      <c r="H3079" s="37">
        <v>55.42</v>
      </c>
      <c r="I3079" s="36" t="s">
        <v>1301</v>
      </c>
      <c r="J3079" s="39" t="s">
        <v>286</v>
      </c>
      <c r="K3079" s="38"/>
      <c r="L3079" s="38"/>
    </row>
    <row r="3080" ht="22.5" customHeight="1">
      <c r="A3080" s="36" t="s">
        <v>6845</v>
      </c>
      <c r="B3080" s="36" t="s">
        <v>6846</v>
      </c>
      <c r="C3080" s="36" t="s">
        <v>1495</v>
      </c>
      <c r="D3080" s="36" t="s">
        <v>1496</v>
      </c>
      <c r="E3080" s="36" t="s">
        <v>1285</v>
      </c>
      <c r="F3080" s="36" t="s">
        <v>286</v>
      </c>
      <c r="G3080" s="36" t="s">
        <v>411</v>
      </c>
      <c r="H3080" s="37">
        <v>50.75</v>
      </c>
      <c r="I3080" s="36" t="s">
        <v>1301</v>
      </c>
      <c r="J3080" s="39" t="s">
        <v>286</v>
      </c>
      <c r="K3080" s="38"/>
      <c r="L3080" s="38"/>
    </row>
    <row r="3081" ht="22.5" customHeight="1">
      <c r="A3081" s="36" t="s">
        <v>6847</v>
      </c>
      <c r="B3081" s="36" t="s">
        <v>6848</v>
      </c>
      <c r="C3081" s="36" t="s">
        <v>1495</v>
      </c>
      <c r="D3081" s="36" t="s">
        <v>1496</v>
      </c>
      <c r="E3081" s="36" t="s">
        <v>1285</v>
      </c>
      <c r="F3081" s="36" t="s">
        <v>286</v>
      </c>
      <c r="G3081" s="36" t="s">
        <v>411</v>
      </c>
      <c r="H3081" s="37">
        <v>48.61</v>
      </c>
      <c r="I3081" s="36" t="s">
        <v>1301</v>
      </c>
      <c r="J3081" s="39" t="s">
        <v>286</v>
      </c>
      <c r="K3081" s="38"/>
      <c r="L3081" s="38"/>
    </row>
    <row r="3082" ht="22.5" customHeight="1">
      <c r="A3082" s="36" t="s">
        <v>6849</v>
      </c>
      <c r="B3082" s="36" t="s">
        <v>6850</v>
      </c>
      <c r="C3082" s="36" t="s">
        <v>1495</v>
      </c>
      <c r="D3082" s="36" t="s">
        <v>1496</v>
      </c>
      <c r="E3082" s="36" t="s">
        <v>1285</v>
      </c>
      <c r="F3082" s="36" t="s">
        <v>286</v>
      </c>
      <c r="G3082" s="36" t="s">
        <v>411</v>
      </c>
      <c r="H3082" s="37">
        <v>52.5</v>
      </c>
      <c r="I3082" s="36" t="s">
        <v>1301</v>
      </c>
      <c r="J3082" s="39" t="s">
        <v>286</v>
      </c>
      <c r="K3082" s="38"/>
      <c r="L3082" s="38"/>
    </row>
    <row r="3083" ht="22.5" customHeight="1">
      <c r="A3083" s="36" t="s">
        <v>6851</v>
      </c>
      <c r="B3083" s="36" t="s">
        <v>6852</v>
      </c>
      <c r="C3083" s="36" t="s">
        <v>1495</v>
      </c>
      <c r="D3083" s="36" t="s">
        <v>1496</v>
      </c>
      <c r="E3083" s="36" t="s">
        <v>1285</v>
      </c>
      <c r="F3083" s="36" t="s">
        <v>286</v>
      </c>
      <c r="G3083" s="36" t="s">
        <v>411</v>
      </c>
      <c r="H3083" s="37">
        <v>48.61</v>
      </c>
      <c r="I3083" s="36" t="s">
        <v>1301</v>
      </c>
      <c r="J3083" s="39" t="s">
        <v>286</v>
      </c>
      <c r="K3083" s="38"/>
      <c r="L3083" s="38"/>
    </row>
    <row r="3084" ht="22.5" customHeight="1">
      <c r="A3084" s="36" t="s">
        <v>6853</v>
      </c>
      <c r="B3084" s="36" t="s">
        <v>6854</v>
      </c>
      <c r="C3084" s="36" t="s">
        <v>1495</v>
      </c>
      <c r="D3084" s="36" t="s">
        <v>1496</v>
      </c>
      <c r="E3084" s="36" t="s">
        <v>1285</v>
      </c>
      <c r="F3084" s="36" t="s">
        <v>286</v>
      </c>
      <c r="G3084" s="36" t="s">
        <v>411</v>
      </c>
      <c r="H3084" s="37">
        <v>52.5</v>
      </c>
      <c r="I3084" s="36" t="s">
        <v>1301</v>
      </c>
      <c r="J3084" s="39" t="s">
        <v>286</v>
      </c>
      <c r="K3084" s="38"/>
      <c r="L3084" s="38"/>
    </row>
    <row r="3085" ht="22.5" customHeight="1">
      <c r="A3085" s="36" t="s">
        <v>6855</v>
      </c>
      <c r="B3085" s="36" t="s">
        <v>6856</v>
      </c>
      <c r="C3085" s="36" t="s">
        <v>1495</v>
      </c>
      <c r="D3085" s="36" t="s">
        <v>1496</v>
      </c>
      <c r="E3085" s="36" t="s">
        <v>1285</v>
      </c>
      <c r="F3085" s="36" t="s">
        <v>286</v>
      </c>
      <c r="G3085" s="36" t="s">
        <v>411</v>
      </c>
      <c r="H3085" s="37">
        <v>47.64</v>
      </c>
      <c r="I3085" s="36" t="s">
        <v>1301</v>
      </c>
      <c r="J3085" s="39" t="s">
        <v>286</v>
      </c>
      <c r="K3085" s="38"/>
      <c r="L3085" s="38"/>
    </row>
    <row r="3086" ht="22.5" customHeight="1">
      <c r="A3086" s="36" t="s">
        <v>6857</v>
      </c>
      <c r="B3086" s="36" t="s">
        <v>6858</v>
      </c>
      <c r="C3086" s="36" t="s">
        <v>286</v>
      </c>
      <c r="D3086" s="36" t="s">
        <v>286</v>
      </c>
      <c r="E3086" s="36" t="s">
        <v>287</v>
      </c>
      <c r="F3086" s="36" t="s">
        <v>286</v>
      </c>
      <c r="G3086" s="36" t="s">
        <v>411</v>
      </c>
      <c r="H3086" s="37">
        <v>53.47</v>
      </c>
      <c r="I3086" s="36" t="s">
        <v>1301</v>
      </c>
      <c r="J3086" s="39" t="s">
        <v>286</v>
      </c>
      <c r="K3086" s="38"/>
      <c r="L3086" s="38"/>
    </row>
    <row r="3087" ht="22.5" customHeight="1">
      <c r="A3087" s="36" t="s">
        <v>6859</v>
      </c>
      <c r="B3087" s="36" t="s">
        <v>6860</v>
      </c>
      <c r="C3087" s="36" t="s">
        <v>1495</v>
      </c>
      <c r="D3087" s="36" t="s">
        <v>1496</v>
      </c>
      <c r="E3087" s="36" t="s">
        <v>1285</v>
      </c>
      <c r="F3087" s="36" t="s">
        <v>286</v>
      </c>
      <c r="G3087" s="36" t="s">
        <v>411</v>
      </c>
      <c r="H3087" s="37">
        <v>49.58</v>
      </c>
      <c r="I3087" s="36" t="s">
        <v>1301</v>
      </c>
      <c r="J3087" s="39" t="s">
        <v>286</v>
      </c>
      <c r="K3087" s="38"/>
      <c r="L3087" s="38"/>
    </row>
    <row r="3088" ht="22.5" customHeight="1">
      <c r="A3088" s="36" t="s">
        <v>6861</v>
      </c>
      <c r="B3088" s="36" t="s">
        <v>6862</v>
      </c>
      <c r="C3088" s="36" t="s">
        <v>1495</v>
      </c>
      <c r="D3088" s="36" t="s">
        <v>1496</v>
      </c>
      <c r="E3088" s="36" t="s">
        <v>1285</v>
      </c>
      <c r="F3088" s="36" t="s">
        <v>286</v>
      </c>
      <c r="G3088" s="36" t="s">
        <v>411</v>
      </c>
      <c r="H3088" s="37">
        <v>52.5</v>
      </c>
      <c r="I3088" s="36" t="s">
        <v>1301</v>
      </c>
      <c r="J3088" s="39" t="s">
        <v>286</v>
      </c>
      <c r="K3088" s="38"/>
      <c r="L3088" s="38"/>
    </row>
    <row r="3089" ht="22.5" customHeight="1">
      <c r="A3089" s="36" t="s">
        <v>6863</v>
      </c>
      <c r="B3089" s="36" t="s">
        <v>6864</v>
      </c>
      <c r="C3089" s="36" t="s">
        <v>1495</v>
      </c>
      <c r="D3089" s="36" t="s">
        <v>1496</v>
      </c>
      <c r="E3089" s="36" t="s">
        <v>1285</v>
      </c>
      <c r="F3089" s="36" t="s">
        <v>286</v>
      </c>
      <c r="G3089" s="36" t="s">
        <v>411</v>
      </c>
      <c r="H3089" s="37">
        <v>48.91</v>
      </c>
      <c r="I3089" s="36" t="s">
        <v>1301</v>
      </c>
      <c r="J3089" s="39" t="s">
        <v>286</v>
      </c>
      <c r="K3089" s="38"/>
      <c r="L3089" s="38"/>
    </row>
    <row r="3090" ht="22.5" customHeight="1">
      <c r="A3090" s="36" t="s">
        <v>6865</v>
      </c>
      <c r="B3090" s="36" t="s">
        <v>6866</v>
      </c>
      <c r="C3090" s="36" t="s">
        <v>1495</v>
      </c>
      <c r="D3090" s="36" t="s">
        <v>1496</v>
      </c>
      <c r="E3090" s="36" t="s">
        <v>1285</v>
      </c>
      <c r="F3090" s="36" t="s">
        <v>286</v>
      </c>
      <c r="G3090" s="36" t="s">
        <v>411</v>
      </c>
      <c r="H3090" s="37">
        <v>45.15</v>
      </c>
      <c r="I3090" s="36" t="s">
        <v>1301</v>
      </c>
      <c r="J3090" s="39" t="s">
        <v>286</v>
      </c>
      <c r="K3090" s="38"/>
      <c r="L3090" s="38"/>
    </row>
    <row r="3091" ht="22.5" customHeight="1">
      <c r="A3091" s="36" t="s">
        <v>6867</v>
      </c>
      <c r="B3091" s="36" t="s">
        <v>6868</v>
      </c>
      <c r="C3091" s="36" t="s">
        <v>1495</v>
      </c>
      <c r="D3091" s="36" t="s">
        <v>1496</v>
      </c>
      <c r="E3091" s="36" t="s">
        <v>1285</v>
      </c>
      <c r="F3091" s="36" t="s">
        <v>286</v>
      </c>
      <c r="G3091" s="36" t="s">
        <v>411</v>
      </c>
      <c r="H3091" s="37">
        <v>73.37</v>
      </c>
      <c r="I3091" s="36" t="s">
        <v>1301</v>
      </c>
      <c r="J3091" s="39" t="s">
        <v>286</v>
      </c>
      <c r="K3091" s="38"/>
      <c r="L3091" s="38"/>
    </row>
    <row r="3092" ht="22.5" customHeight="1">
      <c r="A3092" s="36" t="s">
        <v>6869</v>
      </c>
      <c r="B3092" s="36" t="s">
        <v>6870</v>
      </c>
      <c r="C3092" s="36" t="s">
        <v>1495</v>
      </c>
      <c r="D3092" s="36" t="s">
        <v>1496</v>
      </c>
      <c r="E3092" s="36" t="s">
        <v>1285</v>
      </c>
      <c r="F3092" s="36" t="s">
        <v>286</v>
      </c>
      <c r="G3092" s="36" t="s">
        <v>411</v>
      </c>
      <c r="H3092" s="37">
        <v>103.58</v>
      </c>
      <c r="I3092" s="36" t="s">
        <v>1301</v>
      </c>
      <c r="J3092" s="39" t="s">
        <v>286</v>
      </c>
      <c r="K3092" s="38"/>
      <c r="L3092" s="38"/>
    </row>
    <row r="3093" ht="22.5" customHeight="1">
      <c r="A3093" s="36" t="s">
        <v>6871</v>
      </c>
      <c r="B3093" s="36" t="s">
        <v>6872</v>
      </c>
      <c r="C3093" s="36" t="s">
        <v>1495</v>
      </c>
      <c r="D3093" s="36" t="s">
        <v>1496</v>
      </c>
      <c r="E3093" s="36" t="s">
        <v>1285</v>
      </c>
      <c r="F3093" s="36" t="s">
        <v>286</v>
      </c>
      <c r="G3093" s="36" t="s">
        <v>411</v>
      </c>
      <c r="H3093" s="37">
        <v>42.65</v>
      </c>
      <c r="I3093" s="36" t="s">
        <v>1301</v>
      </c>
      <c r="J3093" s="39" t="s">
        <v>286</v>
      </c>
      <c r="K3093" s="38"/>
      <c r="L3093" s="38"/>
    </row>
    <row r="3094" ht="22.5" customHeight="1">
      <c r="A3094" s="36" t="s">
        <v>6873</v>
      </c>
      <c r="B3094" s="36" t="s">
        <v>6874</v>
      </c>
      <c r="C3094" s="36" t="s">
        <v>1495</v>
      </c>
      <c r="D3094" s="36" t="s">
        <v>1496</v>
      </c>
      <c r="E3094" s="36" t="s">
        <v>1285</v>
      </c>
      <c r="F3094" s="36" t="s">
        <v>286</v>
      </c>
      <c r="G3094" s="36" t="s">
        <v>411</v>
      </c>
      <c r="H3094" s="37">
        <v>182.23</v>
      </c>
      <c r="I3094" s="36" t="s">
        <v>1301</v>
      </c>
      <c r="J3094" s="39" t="s">
        <v>286</v>
      </c>
      <c r="K3094" s="38"/>
      <c r="L3094" s="38"/>
    </row>
    <row r="3095" ht="22.5" customHeight="1">
      <c r="A3095" s="36" t="s">
        <v>6875</v>
      </c>
      <c r="B3095" s="36" t="s">
        <v>6876</v>
      </c>
      <c r="C3095" s="36" t="s">
        <v>1495</v>
      </c>
      <c r="D3095" s="36" t="s">
        <v>1496</v>
      </c>
      <c r="E3095" s="36" t="s">
        <v>1285</v>
      </c>
      <c r="F3095" s="36" t="s">
        <v>286</v>
      </c>
      <c r="G3095" s="36" t="s">
        <v>411</v>
      </c>
      <c r="H3095" s="37">
        <v>1488.66</v>
      </c>
      <c r="I3095" s="36" t="s">
        <v>1301</v>
      </c>
      <c r="J3095" s="39" t="s">
        <v>286</v>
      </c>
      <c r="K3095" s="38"/>
      <c r="L3095" s="38"/>
    </row>
    <row r="3096" ht="22.5" customHeight="1">
      <c r="A3096" s="36" t="s">
        <v>6877</v>
      </c>
      <c r="B3096" s="36" t="s">
        <v>6878</v>
      </c>
      <c r="C3096" s="36" t="s">
        <v>1495</v>
      </c>
      <c r="D3096" s="36" t="s">
        <v>1496</v>
      </c>
      <c r="E3096" s="36" t="s">
        <v>1285</v>
      </c>
      <c r="F3096" s="36" t="s">
        <v>286</v>
      </c>
      <c r="G3096" s="36" t="s">
        <v>411</v>
      </c>
      <c r="H3096" s="37">
        <v>161.85</v>
      </c>
      <c r="I3096" s="36" t="s">
        <v>1301</v>
      </c>
      <c r="J3096" s="39" t="s">
        <v>286</v>
      </c>
      <c r="K3096" s="38"/>
      <c r="L3096" s="38"/>
    </row>
    <row r="3097" ht="22.5" customHeight="1">
      <c r="A3097" s="36" t="s">
        <v>6879</v>
      </c>
      <c r="B3097" s="36" t="s">
        <v>6880</v>
      </c>
      <c r="C3097" s="36" t="s">
        <v>1495</v>
      </c>
      <c r="D3097" s="36" t="s">
        <v>1496</v>
      </c>
      <c r="E3097" s="36" t="s">
        <v>1285</v>
      </c>
      <c r="F3097" s="36" t="s">
        <v>286</v>
      </c>
      <c r="G3097" s="36" t="s">
        <v>411</v>
      </c>
      <c r="H3097" s="37">
        <v>41.04</v>
      </c>
      <c r="I3097" s="36" t="s">
        <v>1301</v>
      </c>
      <c r="J3097" s="39" t="s">
        <v>286</v>
      </c>
      <c r="K3097" s="38"/>
      <c r="L3097" s="38"/>
    </row>
    <row r="3098" ht="22.5" customHeight="1">
      <c r="A3098" s="36" t="s">
        <v>6881</v>
      </c>
      <c r="B3098" s="36" t="s">
        <v>6882</v>
      </c>
      <c r="C3098" s="36" t="s">
        <v>1495</v>
      </c>
      <c r="D3098" s="36" t="s">
        <v>1496</v>
      </c>
      <c r="E3098" s="36" t="s">
        <v>1285</v>
      </c>
      <c r="F3098" s="36" t="s">
        <v>286</v>
      </c>
      <c r="G3098" s="36" t="s">
        <v>411</v>
      </c>
      <c r="H3098" s="37">
        <v>16.81</v>
      </c>
      <c r="I3098" s="36" t="s">
        <v>1301</v>
      </c>
      <c r="J3098" s="39" t="s">
        <v>286</v>
      </c>
      <c r="K3098" s="38"/>
      <c r="L3098" s="38"/>
    </row>
    <row r="3099" ht="22.5" customHeight="1">
      <c r="A3099" s="36" t="s">
        <v>6883</v>
      </c>
      <c r="B3099" s="36" t="s">
        <v>6884</v>
      </c>
      <c r="C3099" s="36" t="s">
        <v>1495</v>
      </c>
      <c r="D3099" s="36" t="s">
        <v>1496</v>
      </c>
      <c r="E3099" s="36" t="s">
        <v>1285</v>
      </c>
      <c r="F3099" s="36" t="s">
        <v>286</v>
      </c>
      <c r="G3099" s="36" t="s">
        <v>411</v>
      </c>
      <c r="H3099" s="37">
        <v>42.01</v>
      </c>
      <c r="I3099" s="36" t="s">
        <v>1301</v>
      </c>
      <c r="J3099" s="39" t="s">
        <v>286</v>
      </c>
      <c r="K3099" s="38"/>
      <c r="L3099" s="38"/>
    </row>
    <row r="3100" ht="22.5" customHeight="1">
      <c r="A3100" s="36" t="s">
        <v>6885</v>
      </c>
      <c r="B3100" s="36" t="s">
        <v>6886</v>
      </c>
      <c r="C3100" s="36" t="s">
        <v>1495</v>
      </c>
      <c r="D3100" s="36" t="s">
        <v>1496</v>
      </c>
      <c r="E3100" s="36" t="s">
        <v>1285</v>
      </c>
      <c r="F3100" s="36" t="s">
        <v>286</v>
      </c>
      <c r="G3100" s="36" t="s">
        <v>411</v>
      </c>
      <c r="H3100" s="37">
        <v>17.31</v>
      </c>
      <c r="I3100" s="36" t="s">
        <v>1301</v>
      </c>
      <c r="J3100" s="39" t="s">
        <v>286</v>
      </c>
      <c r="K3100" s="38"/>
      <c r="L3100" s="38"/>
    </row>
    <row r="3101" ht="22.5" customHeight="1">
      <c r="A3101" s="36" t="s">
        <v>6887</v>
      </c>
      <c r="B3101" s="36" t="s">
        <v>6888</v>
      </c>
      <c r="C3101" s="36" t="s">
        <v>1495</v>
      </c>
      <c r="D3101" s="36" t="s">
        <v>1496</v>
      </c>
      <c r="E3101" s="36" t="s">
        <v>1285</v>
      </c>
      <c r="F3101" s="36" t="s">
        <v>286</v>
      </c>
      <c r="G3101" s="36" t="s">
        <v>411</v>
      </c>
      <c r="H3101" s="37">
        <v>41.52</v>
      </c>
      <c r="I3101" s="36" t="s">
        <v>1301</v>
      </c>
      <c r="J3101" s="39" t="s">
        <v>286</v>
      </c>
      <c r="K3101" s="38"/>
      <c r="L3101" s="38"/>
    </row>
    <row r="3102" ht="22.5" customHeight="1">
      <c r="A3102" s="36" t="s">
        <v>6889</v>
      </c>
      <c r="B3102" s="36" t="s">
        <v>6890</v>
      </c>
      <c r="C3102" s="36" t="s">
        <v>1495</v>
      </c>
      <c r="D3102" s="36" t="s">
        <v>1496</v>
      </c>
      <c r="E3102" s="36" t="s">
        <v>1285</v>
      </c>
      <c r="F3102" s="36" t="s">
        <v>286</v>
      </c>
      <c r="G3102" s="36" t="s">
        <v>411</v>
      </c>
      <c r="H3102" s="37">
        <v>23.27</v>
      </c>
      <c r="I3102" s="36" t="s">
        <v>1301</v>
      </c>
      <c r="J3102" s="39" t="s">
        <v>286</v>
      </c>
      <c r="K3102" s="38"/>
      <c r="L3102" s="38"/>
    </row>
    <row r="3103" ht="22.5" customHeight="1">
      <c r="A3103" s="36" t="s">
        <v>6891</v>
      </c>
      <c r="B3103" s="36" t="s">
        <v>6892</v>
      </c>
      <c r="C3103" s="36" t="s">
        <v>1495</v>
      </c>
      <c r="D3103" s="36" t="s">
        <v>1496</v>
      </c>
      <c r="E3103" s="36" t="s">
        <v>1285</v>
      </c>
      <c r="F3103" s="36" t="s">
        <v>286</v>
      </c>
      <c r="G3103" s="36" t="s">
        <v>411</v>
      </c>
      <c r="H3103" s="37">
        <v>5.2</v>
      </c>
      <c r="I3103" s="36" t="s">
        <v>1301</v>
      </c>
      <c r="J3103" s="39" t="s">
        <v>286</v>
      </c>
      <c r="K3103" s="38"/>
      <c r="L3103" s="38"/>
    </row>
    <row r="3104" ht="22.5" customHeight="1">
      <c r="A3104" s="36" t="s">
        <v>6893</v>
      </c>
      <c r="B3104" s="36" t="s">
        <v>6894</v>
      </c>
      <c r="C3104" s="36" t="s">
        <v>1495</v>
      </c>
      <c r="D3104" s="36" t="s">
        <v>1496</v>
      </c>
      <c r="E3104" s="36" t="s">
        <v>1285</v>
      </c>
      <c r="F3104" s="36" t="s">
        <v>286</v>
      </c>
      <c r="G3104" s="36" t="s">
        <v>411</v>
      </c>
      <c r="H3104" s="37">
        <v>450.0</v>
      </c>
      <c r="I3104" s="36" t="s">
        <v>1301</v>
      </c>
      <c r="J3104" s="39" t="s">
        <v>286</v>
      </c>
      <c r="K3104" s="38"/>
      <c r="L3104" s="38"/>
    </row>
    <row r="3105" ht="22.5" customHeight="1">
      <c r="A3105" s="36" t="s">
        <v>6895</v>
      </c>
      <c r="B3105" s="36" t="s">
        <v>6896</v>
      </c>
      <c r="C3105" s="36" t="s">
        <v>1495</v>
      </c>
      <c r="D3105" s="36" t="s">
        <v>1496</v>
      </c>
      <c r="E3105" s="36" t="s">
        <v>1285</v>
      </c>
      <c r="F3105" s="36" t="s">
        <v>286</v>
      </c>
      <c r="G3105" s="36" t="s">
        <v>411</v>
      </c>
      <c r="H3105" s="37">
        <v>1215.98</v>
      </c>
      <c r="I3105" s="36" t="s">
        <v>1301</v>
      </c>
      <c r="J3105" s="39" t="s">
        <v>286</v>
      </c>
      <c r="K3105" s="38"/>
      <c r="L3105" s="38"/>
    </row>
    <row r="3106" ht="22.5" customHeight="1">
      <c r="A3106" s="36" t="s">
        <v>6897</v>
      </c>
      <c r="B3106" s="36" t="s">
        <v>6898</v>
      </c>
      <c r="C3106" s="36" t="s">
        <v>1495</v>
      </c>
      <c r="D3106" s="36" t="s">
        <v>1496</v>
      </c>
      <c r="E3106" s="36" t="s">
        <v>1285</v>
      </c>
      <c r="F3106" s="36" t="s">
        <v>286</v>
      </c>
      <c r="G3106" s="36" t="s">
        <v>411</v>
      </c>
      <c r="H3106" s="37">
        <v>83.39</v>
      </c>
      <c r="I3106" s="36" t="s">
        <v>1301</v>
      </c>
      <c r="J3106" s="39" t="s">
        <v>286</v>
      </c>
      <c r="K3106" s="38"/>
      <c r="L3106" s="38"/>
    </row>
    <row r="3107" ht="22.5" customHeight="1">
      <c r="A3107" s="36" t="s">
        <v>6899</v>
      </c>
      <c r="B3107" s="36" t="s">
        <v>6900</v>
      </c>
      <c r="C3107" s="36" t="s">
        <v>1495</v>
      </c>
      <c r="D3107" s="36" t="s">
        <v>1496</v>
      </c>
      <c r="E3107" s="36" t="s">
        <v>1285</v>
      </c>
      <c r="F3107" s="36" t="s">
        <v>286</v>
      </c>
      <c r="G3107" s="36" t="s">
        <v>411</v>
      </c>
      <c r="H3107" s="37">
        <v>22.93</v>
      </c>
      <c r="I3107" s="36" t="s">
        <v>1301</v>
      </c>
      <c r="J3107" s="39" t="s">
        <v>286</v>
      </c>
      <c r="K3107" s="38"/>
      <c r="L3107" s="38"/>
    </row>
    <row r="3108" ht="22.5" customHeight="1">
      <c r="A3108" s="36" t="s">
        <v>6901</v>
      </c>
      <c r="B3108" s="36" t="s">
        <v>6902</v>
      </c>
      <c r="C3108" s="36" t="s">
        <v>1495</v>
      </c>
      <c r="D3108" s="36" t="s">
        <v>1496</v>
      </c>
      <c r="E3108" s="36" t="s">
        <v>1285</v>
      </c>
      <c r="F3108" s="36" t="s">
        <v>286</v>
      </c>
      <c r="G3108" s="36" t="s">
        <v>411</v>
      </c>
      <c r="H3108" s="37">
        <v>18.04</v>
      </c>
      <c r="I3108" s="36" t="s">
        <v>1301</v>
      </c>
      <c r="J3108" s="39" t="s">
        <v>286</v>
      </c>
      <c r="K3108" s="38"/>
      <c r="L3108" s="38"/>
    </row>
    <row r="3109" ht="22.5" customHeight="1">
      <c r="A3109" s="36" t="s">
        <v>6903</v>
      </c>
      <c r="B3109" s="36" t="s">
        <v>6904</v>
      </c>
      <c r="C3109" s="36" t="s">
        <v>1495</v>
      </c>
      <c r="D3109" s="36" t="s">
        <v>1496</v>
      </c>
      <c r="E3109" s="36" t="s">
        <v>1285</v>
      </c>
      <c r="F3109" s="36" t="s">
        <v>286</v>
      </c>
      <c r="G3109" s="36" t="s">
        <v>411</v>
      </c>
      <c r="H3109" s="37">
        <v>24.63</v>
      </c>
      <c r="I3109" s="36" t="s">
        <v>1301</v>
      </c>
      <c r="J3109" s="39" t="s">
        <v>286</v>
      </c>
      <c r="K3109" s="38"/>
      <c r="L3109" s="38"/>
    </row>
    <row r="3110" ht="22.5" customHeight="1">
      <c r="A3110" s="36" t="s">
        <v>6905</v>
      </c>
      <c r="B3110" s="36" t="s">
        <v>6906</v>
      </c>
      <c r="C3110" s="36" t="s">
        <v>1495</v>
      </c>
      <c r="D3110" s="36" t="s">
        <v>1496</v>
      </c>
      <c r="E3110" s="36" t="s">
        <v>1285</v>
      </c>
      <c r="F3110" s="36" t="s">
        <v>286</v>
      </c>
      <c r="G3110" s="36" t="s">
        <v>411</v>
      </c>
      <c r="H3110" s="37">
        <v>21.04</v>
      </c>
      <c r="I3110" s="36" t="s">
        <v>1301</v>
      </c>
      <c r="J3110" s="39" t="s">
        <v>286</v>
      </c>
      <c r="K3110" s="38"/>
      <c r="L3110" s="38"/>
    </row>
    <row r="3111" ht="22.5" customHeight="1">
      <c r="A3111" s="36" t="s">
        <v>6907</v>
      </c>
      <c r="B3111" s="36" t="s">
        <v>6908</v>
      </c>
      <c r="C3111" s="36" t="s">
        <v>1495</v>
      </c>
      <c r="D3111" s="36" t="s">
        <v>1496</v>
      </c>
      <c r="E3111" s="36" t="s">
        <v>1285</v>
      </c>
      <c r="F3111" s="36" t="s">
        <v>286</v>
      </c>
      <c r="G3111" s="36" t="s">
        <v>411</v>
      </c>
      <c r="H3111" s="37">
        <v>25.59</v>
      </c>
      <c r="I3111" s="36" t="s">
        <v>1301</v>
      </c>
      <c r="J3111" s="39" t="s">
        <v>286</v>
      </c>
      <c r="K3111" s="38"/>
      <c r="L3111" s="38"/>
    </row>
    <row r="3112" ht="22.5" customHeight="1">
      <c r="A3112" s="36" t="s">
        <v>6909</v>
      </c>
      <c r="B3112" s="36" t="s">
        <v>6910</v>
      </c>
      <c r="C3112" s="36" t="s">
        <v>1495</v>
      </c>
      <c r="D3112" s="36" t="s">
        <v>1496</v>
      </c>
      <c r="E3112" s="36" t="s">
        <v>1285</v>
      </c>
      <c r="F3112" s="36" t="s">
        <v>286</v>
      </c>
      <c r="G3112" s="36" t="s">
        <v>411</v>
      </c>
      <c r="H3112" s="37">
        <v>13.26</v>
      </c>
      <c r="I3112" s="36" t="s">
        <v>1301</v>
      </c>
      <c r="J3112" s="39" t="s">
        <v>286</v>
      </c>
      <c r="K3112" s="38"/>
      <c r="L3112" s="38"/>
    </row>
    <row r="3113" ht="22.5" customHeight="1">
      <c r="A3113" s="36" t="s">
        <v>6911</v>
      </c>
      <c r="B3113" s="36" t="s">
        <v>6912</v>
      </c>
      <c r="C3113" s="36" t="s">
        <v>1495</v>
      </c>
      <c r="D3113" s="36" t="s">
        <v>1496</v>
      </c>
      <c r="E3113" s="36" t="s">
        <v>1285</v>
      </c>
      <c r="F3113" s="36" t="s">
        <v>286</v>
      </c>
      <c r="G3113" s="36" t="s">
        <v>411</v>
      </c>
      <c r="H3113" s="37">
        <v>570.0</v>
      </c>
      <c r="I3113" s="36" t="s">
        <v>1301</v>
      </c>
      <c r="J3113" s="39" t="s">
        <v>286</v>
      </c>
      <c r="K3113" s="38"/>
      <c r="L3113" s="38"/>
    </row>
    <row r="3114" ht="22.5" customHeight="1">
      <c r="A3114" s="36" t="s">
        <v>6913</v>
      </c>
      <c r="B3114" s="36" t="s">
        <v>6914</v>
      </c>
      <c r="C3114" s="36" t="s">
        <v>1495</v>
      </c>
      <c r="D3114" s="36" t="s">
        <v>1496</v>
      </c>
      <c r="E3114" s="36" t="s">
        <v>1285</v>
      </c>
      <c r="F3114" s="36" t="s">
        <v>286</v>
      </c>
      <c r="G3114" s="36" t="s">
        <v>411</v>
      </c>
      <c r="H3114" s="37">
        <v>470.0</v>
      </c>
      <c r="I3114" s="36" t="s">
        <v>1301</v>
      </c>
      <c r="J3114" s="39" t="s">
        <v>286</v>
      </c>
      <c r="K3114" s="38"/>
      <c r="L3114" s="38"/>
    </row>
    <row r="3115" ht="22.5" customHeight="1">
      <c r="A3115" s="36" t="s">
        <v>6915</v>
      </c>
      <c r="B3115" s="36" t="s">
        <v>6916</v>
      </c>
      <c r="C3115" s="36" t="s">
        <v>1495</v>
      </c>
      <c r="D3115" s="36" t="s">
        <v>1496</v>
      </c>
      <c r="E3115" s="36" t="s">
        <v>1285</v>
      </c>
      <c r="F3115" s="36" t="s">
        <v>286</v>
      </c>
      <c r="G3115" s="36" t="s">
        <v>411</v>
      </c>
      <c r="H3115" s="37">
        <v>8.29</v>
      </c>
      <c r="I3115" s="36" t="s">
        <v>1301</v>
      </c>
      <c r="J3115" s="39" t="s">
        <v>286</v>
      </c>
      <c r="K3115" s="38"/>
      <c r="L3115" s="38"/>
    </row>
    <row r="3116" ht="22.5" customHeight="1">
      <c r="A3116" s="36" t="s">
        <v>6917</v>
      </c>
      <c r="B3116" s="36" t="s">
        <v>6918</v>
      </c>
      <c r="C3116" s="36" t="s">
        <v>1495</v>
      </c>
      <c r="D3116" s="36" t="s">
        <v>1496</v>
      </c>
      <c r="E3116" s="36" t="s">
        <v>1285</v>
      </c>
      <c r="F3116" s="36" t="s">
        <v>286</v>
      </c>
      <c r="G3116" s="36" t="s">
        <v>411</v>
      </c>
      <c r="H3116" s="37">
        <v>2.02</v>
      </c>
      <c r="I3116" s="36" t="s">
        <v>1301</v>
      </c>
      <c r="J3116" s="39" t="s">
        <v>286</v>
      </c>
      <c r="K3116" s="38"/>
      <c r="L3116" s="38"/>
    </row>
    <row r="3117" ht="22.5" customHeight="1">
      <c r="A3117" s="36" t="s">
        <v>6919</v>
      </c>
      <c r="B3117" s="36" t="s">
        <v>6920</v>
      </c>
      <c r="C3117" s="36" t="s">
        <v>1495</v>
      </c>
      <c r="D3117" s="36" t="s">
        <v>1496</v>
      </c>
      <c r="E3117" s="36" t="s">
        <v>1285</v>
      </c>
      <c r="F3117" s="36" t="s">
        <v>286</v>
      </c>
      <c r="G3117" s="36" t="s">
        <v>411</v>
      </c>
      <c r="H3117" s="37">
        <v>1020.36</v>
      </c>
      <c r="I3117" s="36" t="s">
        <v>1301</v>
      </c>
      <c r="J3117" s="39" t="s">
        <v>286</v>
      </c>
      <c r="K3117" s="38"/>
      <c r="L3117" s="38"/>
    </row>
    <row r="3118" ht="22.5" customHeight="1">
      <c r="A3118" s="36" t="s">
        <v>6921</v>
      </c>
      <c r="B3118" s="36" t="s">
        <v>6922</v>
      </c>
      <c r="C3118" s="36" t="s">
        <v>1495</v>
      </c>
      <c r="D3118" s="36" t="s">
        <v>1496</v>
      </c>
      <c r="E3118" s="36" t="s">
        <v>1285</v>
      </c>
      <c r="F3118" s="36" t="s">
        <v>286</v>
      </c>
      <c r="G3118" s="36" t="s">
        <v>411</v>
      </c>
      <c r="H3118" s="37">
        <v>38.14</v>
      </c>
      <c r="I3118" s="36" t="s">
        <v>1301</v>
      </c>
      <c r="J3118" s="39" t="s">
        <v>286</v>
      </c>
      <c r="K3118" s="38"/>
      <c r="L3118" s="38"/>
    </row>
    <row r="3119" ht="22.5" customHeight="1">
      <c r="A3119" s="36" t="s">
        <v>6923</v>
      </c>
      <c r="B3119" s="36" t="s">
        <v>6924</v>
      </c>
      <c r="C3119" s="36" t="s">
        <v>1495</v>
      </c>
      <c r="D3119" s="36" t="s">
        <v>1496</v>
      </c>
      <c r="E3119" s="36" t="s">
        <v>1285</v>
      </c>
      <c r="F3119" s="36" t="s">
        <v>286</v>
      </c>
      <c r="G3119" s="36" t="s">
        <v>411</v>
      </c>
      <c r="H3119" s="37">
        <v>36.03</v>
      </c>
      <c r="I3119" s="36" t="s">
        <v>1301</v>
      </c>
      <c r="J3119" s="39" t="s">
        <v>286</v>
      </c>
      <c r="K3119" s="38"/>
      <c r="L3119" s="38"/>
    </row>
    <row r="3120" ht="22.5" customHeight="1">
      <c r="A3120" s="36" t="s">
        <v>6925</v>
      </c>
      <c r="B3120" s="36" t="s">
        <v>6926</v>
      </c>
      <c r="C3120" s="36" t="s">
        <v>1495</v>
      </c>
      <c r="D3120" s="36" t="s">
        <v>1496</v>
      </c>
      <c r="E3120" s="36" t="s">
        <v>1285</v>
      </c>
      <c r="F3120" s="36" t="s">
        <v>286</v>
      </c>
      <c r="G3120" s="36" t="s">
        <v>411</v>
      </c>
      <c r="H3120" s="37">
        <v>23.56</v>
      </c>
      <c r="I3120" s="36" t="s">
        <v>1301</v>
      </c>
      <c r="J3120" s="39" t="s">
        <v>286</v>
      </c>
      <c r="K3120" s="38"/>
      <c r="L3120" s="38"/>
    </row>
    <row r="3121" ht="22.5" customHeight="1">
      <c r="A3121" s="36" t="s">
        <v>6927</v>
      </c>
      <c r="B3121" s="36" t="s">
        <v>6928</v>
      </c>
      <c r="C3121" s="36" t="s">
        <v>1495</v>
      </c>
      <c r="D3121" s="36" t="s">
        <v>1496</v>
      </c>
      <c r="E3121" s="36" t="s">
        <v>1285</v>
      </c>
      <c r="F3121" s="36" t="s">
        <v>286</v>
      </c>
      <c r="G3121" s="36" t="s">
        <v>411</v>
      </c>
      <c r="H3121" s="37">
        <v>16.48</v>
      </c>
      <c r="I3121" s="36" t="s">
        <v>1301</v>
      </c>
      <c r="J3121" s="39" t="s">
        <v>286</v>
      </c>
      <c r="K3121" s="38"/>
      <c r="L3121" s="38"/>
    </row>
    <row r="3122" ht="22.5" customHeight="1">
      <c r="A3122" s="36" t="s">
        <v>6929</v>
      </c>
      <c r="B3122" s="36" t="s">
        <v>6930</v>
      </c>
      <c r="C3122" s="36" t="s">
        <v>1495</v>
      </c>
      <c r="D3122" s="36" t="s">
        <v>1496</v>
      </c>
      <c r="E3122" s="36" t="s">
        <v>1285</v>
      </c>
      <c r="F3122" s="36" t="s">
        <v>286</v>
      </c>
      <c r="G3122" s="36" t="s">
        <v>411</v>
      </c>
      <c r="H3122" s="37">
        <v>13.51</v>
      </c>
      <c r="I3122" s="36" t="s">
        <v>1301</v>
      </c>
      <c r="J3122" s="39" t="s">
        <v>286</v>
      </c>
      <c r="K3122" s="38"/>
      <c r="L3122" s="38"/>
    </row>
    <row r="3123" ht="22.5" customHeight="1">
      <c r="A3123" s="36" t="s">
        <v>6931</v>
      </c>
      <c r="B3123" s="36" t="s">
        <v>6932</v>
      </c>
      <c r="C3123" s="36" t="s">
        <v>1495</v>
      </c>
      <c r="D3123" s="36" t="s">
        <v>1496</v>
      </c>
      <c r="E3123" s="36" t="s">
        <v>1285</v>
      </c>
      <c r="F3123" s="36" t="s">
        <v>286</v>
      </c>
      <c r="G3123" s="36" t="s">
        <v>411</v>
      </c>
      <c r="H3123" s="37">
        <v>2.43</v>
      </c>
      <c r="I3123" s="36" t="s">
        <v>1301</v>
      </c>
      <c r="J3123" s="39" t="s">
        <v>286</v>
      </c>
      <c r="K3123" s="38"/>
      <c r="L3123" s="38"/>
    </row>
    <row r="3124" ht="22.5" customHeight="1">
      <c r="A3124" s="36" t="s">
        <v>6933</v>
      </c>
      <c r="B3124" s="36" t="s">
        <v>6934</v>
      </c>
      <c r="C3124" s="36" t="s">
        <v>1495</v>
      </c>
      <c r="D3124" s="36" t="s">
        <v>1496</v>
      </c>
      <c r="E3124" s="36" t="s">
        <v>1285</v>
      </c>
      <c r="F3124" s="36" t="s">
        <v>286</v>
      </c>
      <c r="G3124" s="36" t="s">
        <v>411</v>
      </c>
      <c r="H3124" s="37">
        <v>36.1</v>
      </c>
      <c r="I3124" s="36" t="s">
        <v>1301</v>
      </c>
      <c r="J3124" s="39" t="s">
        <v>286</v>
      </c>
      <c r="K3124" s="38"/>
      <c r="L3124" s="38"/>
    </row>
    <row r="3125" ht="22.5" customHeight="1">
      <c r="A3125" s="36" t="s">
        <v>6935</v>
      </c>
      <c r="B3125" s="36" t="s">
        <v>6936</v>
      </c>
      <c r="C3125" s="36" t="s">
        <v>1495</v>
      </c>
      <c r="D3125" s="36" t="s">
        <v>1496</v>
      </c>
      <c r="E3125" s="36" t="s">
        <v>1285</v>
      </c>
      <c r="F3125" s="36" t="s">
        <v>286</v>
      </c>
      <c r="G3125" s="36" t="s">
        <v>411</v>
      </c>
      <c r="H3125" s="37">
        <v>39.21</v>
      </c>
      <c r="I3125" s="36" t="s">
        <v>1301</v>
      </c>
      <c r="J3125" s="39" t="s">
        <v>286</v>
      </c>
      <c r="K3125" s="38"/>
      <c r="L3125" s="38"/>
    </row>
    <row r="3126" ht="22.5" customHeight="1">
      <c r="A3126" s="36" t="s">
        <v>6937</v>
      </c>
      <c r="B3126" s="36" t="s">
        <v>6938</v>
      </c>
      <c r="C3126" s="36" t="s">
        <v>1495</v>
      </c>
      <c r="D3126" s="36" t="s">
        <v>1496</v>
      </c>
      <c r="E3126" s="36" t="s">
        <v>1285</v>
      </c>
      <c r="F3126" s="36" t="s">
        <v>286</v>
      </c>
      <c r="G3126" s="36" t="s">
        <v>411</v>
      </c>
      <c r="H3126" s="37">
        <v>25.52</v>
      </c>
      <c r="I3126" s="36" t="s">
        <v>1301</v>
      </c>
      <c r="J3126" s="39" t="s">
        <v>286</v>
      </c>
      <c r="K3126" s="38"/>
      <c r="L3126" s="38"/>
    </row>
    <row r="3127" ht="22.5" customHeight="1">
      <c r="A3127" s="36" t="s">
        <v>6939</v>
      </c>
      <c r="B3127" s="36" t="s">
        <v>6940</v>
      </c>
      <c r="C3127" s="36" t="s">
        <v>1495</v>
      </c>
      <c r="D3127" s="36" t="s">
        <v>1496</v>
      </c>
      <c r="E3127" s="36" t="s">
        <v>1285</v>
      </c>
      <c r="F3127" s="36" t="s">
        <v>286</v>
      </c>
      <c r="G3127" s="36" t="s">
        <v>411</v>
      </c>
      <c r="H3127" s="37">
        <v>97.83</v>
      </c>
      <c r="I3127" s="36" t="s">
        <v>1301</v>
      </c>
      <c r="J3127" s="39" t="s">
        <v>286</v>
      </c>
      <c r="K3127" s="38"/>
      <c r="L3127" s="38"/>
    </row>
    <row r="3128" ht="22.5" customHeight="1">
      <c r="A3128" s="36" t="s">
        <v>6941</v>
      </c>
      <c r="B3128" s="36" t="s">
        <v>6942</v>
      </c>
      <c r="C3128" s="36" t="s">
        <v>1495</v>
      </c>
      <c r="D3128" s="36" t="s">
        <v>1496</v>
      </c>
      <c r="E3128" s="36" t="s">
        <v>1285</v>
      </c>
      <c r="F3128" s="36" t="s">
        <v>286</v>
      </c>
      <c r="G3128" s="36" t="s">
        <v>411</v>
      </c>
      <c r="H3128" s="37">
        <v>39.13</v>
      </c>
      <c r="I3128" s="36" t="s">
        <v>1301</v>
      </c>
      <c r="J3128" s="39" t="s">
        <v>286</v>
      </c>
      <c r="K3128" s="38"/>
      <c r="L3128" s="38"/>
    </row>
    <row r="3129" ht="22.5" customHeight="1">
      <c r="A3129" s="36" t="s">
        <v>6943</v>
      </c>
      <c r="B3129" s="36" t="s">
        <v>6944</v>
      </c>
      <c r="C3129" s="36" t="s">
        <v>1495</v>
      </c>
      <c r="D3129" s="36" t="s">
        <v>1496</v>
      </c>
      <c r="E3129" s="36" t="s">
        <v>1285</v>
      </c>
      <c r="F3129" s="36" t="s">
        <v>286</v>
      </c>
      <c r="G3129" s="36" t="s">
        <v>411</v>
      </c>
      <c r="H3129" s="37">
        <v>97.83</v>
      </c>
      <c r="I3129" s="36" t="s">
        <v>1301</v>
      </c>
      <c r="J3129" s="39" t="s">
        <v>286</v>
      </c>
      <c r="K3129" s="38"/>
      <c r="L3129" s="38"/>
    </row>
    <row r="3130" ht="22.5" customHeight="1">
      <c r="A3130" s="36" t="s">
        <v>6945</v>
      </c>
      <c r="B3130" s="36" t="s">
        <v>6946</v>
      </c>
      <c r="C3130" s="36" t="s">
        <v>1495</v>
      </c>
      <c r="D3130" s="36" t="s">
        <v>1496</v>
      </c>
      <c r="E3130" s="36" t="s">
        <v>1285</v>
      </c>
      <c r="F3130" s="36" t="s">
        <v>286</v>
      </c>
      <c r="G3130" s="36" t="s">
        <v>411</v>
      </c>
      <c r="H3130" s="37">
        <v>117.39</v>
      </c>
      <c r="I3130" s="36" t="s">
        <v>1301</v>
      </c>
      <c r="J3130" s="39" t="s">
        <v>286</v>
      </c>
      <c r="K3130" s="38"/>
      <c r="L3130" s="38"/>
    </row>
    <row r="3131" ht="22.5" customHeight="1">
      <c r="A3131" s="36" t="s">
        <v>6947</v>
      </c>
      <c r="B3131" s="36" t="s">
        <v>6948</v>
      </c>
      <c r="C3131" s="36" t="s">
        <v>1495</v>
      </c>
      <c r="D3131" s="36" t="s">
        <v>1496</v>
      </c>
      <c r="E3131" s="36" t="s">
        <v>1285</v>
      </c>
      <c r="F3131" s="36" t="s">
        <v>286</v>
      </c>
      <c r="G3131" s="36" t="s">
        <v>411</v>
      </c>
      <c r="H3131" s="37">
        <v>119.79</v>
      </c>
      <c r="I3131" s="36" t="s">
        <v>1301</v>
      </c>
      <c r="J3131" s="39" t="s">
        <v>286</v>
      </c>
      <c r="K3131" s="38"/>
      <c r="L3131" s="38"/>
    </row>
    <row r="3132" ht="22.5" customHeight="1">
      <c r="A3132" s="36" t="s">
        <v>6949</v>
      </c>
      <c r="B3132" s="36" t="s">
        <v>6950</v>
      </c>
      <c r="C3132" s="36" t="s">
        <v>1495</v>
      </c>
      <c r="D3132" s="36" t="s">
        <v>1496</v>
      </c>
      <c r="E3132" s="36" t="s">
        <v>1285</v>
      </c>
      <c r="F3132" s="36" t="s">
        <v>286</v>
      </c>
      <c r="G3132" s="36" t="s">
        <v>411</v>
      </c>
      <c r="H3132" s="37">
        <v>75.0</v>
      </c>
      <c r="I3132" s="36" t="s">
        <v>1301</v>
      </c>
      <c r="J3132" s="39" t="s">
        <v>286</v>
      </c>
      <c r="K3132" s="38"/>
      <c r="L3132" s="38"/>
    </row>
    <row r="3133" ht="22.5" customHeight="1">
      <c r="A3133" s="36" t="s">
        <v>6951</v>
      </c>
      <c r="B3133" s="36" t="s">
        <v>6952</v>
      </c>
      <c r="C3133" s="36" t="s">
        <v>1495</v>
      </c>
      <c r="D3133" s="36" t="s">
        <v>1496</v>
      </c>
      <c r="E3133" s="36" t="s">
        <v>1285</v>
      </c>
      <c r="F3133" s="36" t="s">
        <v>286</v>
      </c>
      <c r="G3133" s="36" t="s">
        <v>411</v>
      </c>
      <c r="H3133" s="37">
        <v>35.91</v>
      </c>
      <c r="I3133" s="36" t="s">
        <v>1301</v>
      </c>
      <c r="J3133" s="39" t="s">
        <v>286</v>
      </c>
      <c r="K3133" s="38"/>
      <c r="L3133" s="38"/>
    </row>
    <row r="3134" ht="22.5" customHeight="1">
      <c r="A3134" s="36" t="s">
        <v>6953</v>
      </c>
      <c r="B3134" s="36" t="s">
        <v>6954</v>
      </c>
      <c r="C3134" s="36" t="s">
        <v>1495</v>
      </c>
      <c r="D3134" s="36" t="s">
        <v>1496</v>
      </c>
      <c r="E3134" s="36" t="s">
        <v>1285</v>
      </c>
      <c r="F3134" s="36" t="s">
        <v>286</v>
      </c>
      <c r="G3134" s="36" t="s">
        <v>411</v>
      </c>
      <c r="H3134" s="37">
        <v>28.83</v>
      </c>
      <c r="I3134" s="36" t="s">
        <v>1301</v>
      </c>
      <c r="J3134" s="39" t="s">
        <v>286</v>
      </c>
      <c r="K3134" s="38"/>
      <c r="L3134" s="38"/>
    </row>
    <row r="3135" ht="22.5" customHeight="1">
      <c r="A3135" s="36" t="s">
        <v>6955</v>
      </c>
      <c r="B3135" s="36" t="s">
        <v>6956</v>
      </c>
      <c r="C3135" s="36" t="s">
        <v>1495</v>
      </c>
      <c r="D3135" s="36" t="s">
        <v>1496</v>
      </c>
      <c r="E3135" s="36" t="s">
        <v>1285</v>
      </c>
      <c r="F3135" s="36" t="s">
        <v>286</v>
      </c>
      <c r="G3135" s="36" t="s">
        <v>411</v>
      </c>
      <c r="H3135" s="37">
        <v>24.53</v>
      </c>
      <c r="I3135" s="36" t="s">
        <v>1301</v>
      </c>
      <c r="J3135" s="39" t="s">
        <v>286</v>
      </c>
      <c r="K3135" s="38"/>
      <c r="L3135" s="38"/>
    </row>
    <row r="3136" ht="22.5" customHeight="1">
      <c r="A3136" s="36" t="s">
        <v>6957</v>
      </c>
      <c r="B3136" s="36" t="s">
        <v>6958</v>
      </c>
      <c r="C3136" s="36" t="s">
        <v>1495</v>
      </c>
      <c r="D3136" s="36" t="s">
        <v>1496</v>
      </c>
      <c r="E3136" s="36" t="s">
        <v>1285</v>
      </c>
      <c r="F3136" s="36" t="s">
        <v>286</v>
      </c>
      <c r="G3136" s="36" t="s">
        <v>411</v>
      </c>
      <c r="H3136" s="37">
        <v>42.19</v>
      </c>
      <c r="I3136" s="36" t="s">
        <v>1301</v>
      </c>
      <c r="J3136" s="39" t="s">
        <v>286</v>
      </c>
      <c r="K3136" s="38"/>
      <c r="L3136" s="38"/>
    </row>
    <row r="3137" ht="22.5" customHeight="1">
      <c r="A3137" s="36" t="s">
        <v>6959</v>
      </c>
      <c r="B3137" s="36" t="s">
        <v>6960</v>
      </c>
      <c r="C3137" s="36" t="s">
        <v>1495</v>
      </c>
      <c r="D3137" s="36" t="s">
        <v>1496</v>
      </c>
      <c r="E3137" s="36" t="s">
        <v>1285</v>
      </c>
      <c r="F3137" s="36" t="s">
        <v>286</v>
      </c>
      <c r="G3137" s="36" t="s">
        <v>411</v>
      </c>
      <c r="H3137" s="37">
        <v>66.64</v>
      </c>
      <c r="I3137" s="36" t="s">
        <v>1301</v>
      </c>
      <c r="J3137" s="39" t="s">
        <v>286</v>
      </c>
      <c r="K3137" s="38"/>
      <c r="L3137" s="38"/>
    </row>
    <row r="3138" ht="22.5" customHeight="1">
      <c r="A3138" s="36" t="s">
        <v>6961</v>
      </c>
      <c r="B3138" s="36" t="s">
        <v>6962</v>
      </c>
      <c r="C3138" s="36" t="s">
        <v>1495</v>
      </c>
      <c r="D3138" s="36" t="s">
        <v>1496</v>
      </c>
      <c r="E3138" s="36" t="s">
        <v>1285</v>
      </c>
      <c r="F3138" s="36" t="s">
        <v>286</v>
      </c>
      <c r="G3138" s="36" t="s">
        <v>411</v>
      </c>
      <c r="H3138" s="37">
        <v>53.14</v>
      </c>
      <c r="I3138" s="36" t="s">
        <v>1301</v>
      </c>
      <c r="J3138" s="39" t="s">
        <v>286</v>
      </c>
      <c r="K3138" s="38"/>
      <c r="L3138" s="38"/>
    </row>
    <row r="3139" ht="22.5" customHeight="1">
      <c r="A3139" s="36" t="s">
        <v>6963</v>
      </c>
      <c r="B3139" s="36" t="s">
        <v>6964</v>
      </c>
      <c r="C3139" s="36" t="s">
        <v>1495</v>
      </c>
      <c r="D3139" s="36" t="s">
        <v>1496</v>
      </c>
      <c r="E3139" s="36" t="s">
        <v>1285</v>
      </c>
      <c r="F3139" s="36" t="s">
        <v>286</v>
      </c>
      <c r="G3139" s="36" t="s">
        <v>411</v>
      </c>
      <c r="H3139" s="37">
        <v>39.37</v>
      </c>
      <c r="I3139" s="36" t="s">
        <v>1301</v>
      </c>
      <c r="J3139" s="39" t="s">
        <v>286</v>
      </c>
      <c r="K3139" s="38"/>
      <c r="L3139" s="38"/>
    </row>
    <row r="3140" ht="22.5" customHeight="1">
      <c r="A3140" s="36" t="s">
        <v>6965</v>
      </c>
      <c r="B3140" s="36" t="s">
        <v>6966</v>
      </c>
      <c r="C3140" s="36" t="s">
        <v>1495</v>
      </c>
      <c r="D3140" s="36" t="s">
        <v>1496</v>
      </c>
      <c r="E3140" s="36" t="s">
        <v>1285</v>
      </c>
      <c r="F3140" s="36" t="s">
        <v>286</v>
      </c>
      <c r="G3140" s="36" t="s">
        <v>411</v>
      </c>
      <c r="H3140" s="37">
        <v>48.05</v>
      </c>
      <c r="I3140" s="36" t="s">
        <v>1301</v>
      </c>
      <c r="J3140" s="39" t="s">
        <v>286</v>
      </c>
      <c r="K3140" s="38"/>
      <c r="L3140" s="38"/>
    </row>
    <row r="3141" ht="22.5" customHeight="1">
      <c r="A3141" s="36" t="s">
        <v>6967</v>
      </c>
      <c r="B3141" s="36" t="s">
        <v>6968</v>
      </c>
      <c r="C3141" s="36" t="s">
        <v>1495</v>
      </c>
      <c r="D3141" s="36" t="s">
        <v>1496</v>
      </c>
      <c r="E3141" s="36" t="s">
        <v>1285</v>
      </c>
      <c r="F3141" s="36" t="s">
        <v>286</v>
      </c>
      <c r="G3141" s="36" t="s">
        <v>411</v>
      </c>
      <c r="H3141" s="37">
        <v>57.12</v>
      </c>
      <c r="I3141" s="36" t="s">
        <v>1301</v>
      </c>
      <c r="J3141" s="39" t="s">
        <v>286</v>
      </c>
      <c r="K3141" s="38"/>
      <c r="L3141" s="38"/>
    </row>
    <row r="3142" ht="22.5" customHeight="1">
      <c r="A3142" s="36" t="s">
        <v>6969</v>
      </c>
      <c r="B3142" s="36" t="s">
        <v>6970</v>
      </c>
      <c r="C3142" s="36" t="s">
        <v>1495</v>
      </c>
      <c r="D3142" s="36" t="s">
        <v>1496</v>
      </c>
      <c r="E3142" s="36" t="s">
        <v>1285</v>
      </c>
      <c r="F3142" s="36" t="s">
        <v>286</v>
      </c>
      <c r="G3142" s="36" t="s">
        <v>411</v>
      </c>
      <c r="H3142" s="37">
        <v>37.49</v>
      </c>
      <c r="I3142" s="36" t="s">
        <v>1301</v>
      </c>
      <c r="J3142" s="39" t="s">
        <v>286</v>
      </c>
      <c r="K3142" s="38"/>
      <c r="L3142" s="38"/>
    </row>
    <row r="3143" ht="22.5" customHeight="1">
      <c r="A3143" s="36" t="s">
        <v>6971</v>
      </c>
      <c r="B3143" s="36" t="s">
        <v>6972</v>
      </c>
      <c r="C3143" s="36" t="s">
        <v>1495</v>
      </c>
      <c r="D3143" s="36" t="s">
        <v>1496</v>
      </c>
      <c r="E3143" s="36" t="s">
        <v>1285</v>
      </c>
      <c r="F3143" s="36" t="s">
        <v>286</v>
      </c>
      <c r="G3143" s="36" t="s">
        <v>411</v>
      </c>
      <c r="H3143" s="37">
        <v>350.0</v>
      </c>
      <c r="I3143" s="36" t="s">
        <v>1301</v>
      </c>
      <c r="J3143" s="39" t="s">
        <v>286</v>
      </c>
      <c r="K3143" s="38"/>
      <c r="L3143" s="38"/>
    </row>
    <row r="3144" ht="22.5" customHeight="1">
      <c r="A3144" s="36" t="s">
        <v>6973</v>
      </c>
      <c r="B3144" s="36" t="s">
        <v>6974</v>
      </c>
      <c r="C3144" s="36" t="s">
        <v>1495</v>
      </c>
      <c r="D3144" s="36" t="s">
        <v>1496</v>
      </c>
      <c r="E3144" s="36" t="s">
        <v>1285</v>
      </c>
      <c r="F3144" s="36" t="s">
        <v>286</v>
      </c>
      <c r="G3144" s="36" t="s">
        <v>411</v>
      </c>
      <c r="H3144" s="37">
        <v>3.02</v>
      </c>
      <c r="I3144" s="36" t="s">
        <v>1301</v>
      </c>
      <c r="J3144" s="39" t="s">
        <v>286</v>
      </c>
      <c r="K3144" s="38"/>
      <c r="L3144" s="38"/>
    </row>
    <row r="3145" ht="22.5" customHeight="1">
      <c r="A3145" s="36" t="s">
        <v>6975</v>
      </c>
      <c r="B3145" s="36" t="s">
        <v>6976</v>
      </c>
      <c r="C3145" s="36" t="s">
        <v>1495</v>
      </c>
      <c r="D3145" s="36" t="s">
        <v>1496</v>
      </c>
      <c r="E3145" s="36" t="s">
        <v>1285</v>
      </c>
      <c r="F3145" s="36" t="s">
        <v>286</v>
      </c>
      <c r="G3145" s="36" t="s">
        <v>411</v>
      </c>
      <c r="H3145" s="37">
        <v>135.83</v>
      </c>
      <c r="I3145" s="36" t="s">
        <v>1301</v>
      </c>
      <c r="J3145" s="39" t="s">
        <v>286</v>
      </c>
      <c r="K3145" s="38"/>
      <c r="L3145" s="38"/>
    </row>
    <row r="3146" ht="22.5" customHeight="1">
      <c r="A3146" s="36" t="s">
        <v>6977</v>
      </c>
      <c r="B3146" s="36" t="s">
        <v>6978</v>
      </c>
      <c r="C3146" s="36" t="s">
        <v>1495</v>
      </c>
      <c r="D3146" s="36" t="s">
        <v>1496</v>
      </c>
      <c r="E3146" s="36" t="s">
        <v>1285</v>
      </c>
      <c r="F3146" s="36" t="s">
        <v>286</v>
      </c>
      <c r="G3146" s="36" t="s">
        <v>411</v>
      </c>
      <c r="H3146" s="37">
        <v>46.82</v>
      </c>
      <c r="I3146" s="36" t="s">
        <v>1301</v>
      </c>
      <c r="J3146" s="39" t="s">
        <v>286</v>
      </c>
      <c r="K3146" s="38"/>
      <c r="L3146" s="38"/>
    </row>
    <row r="3147" ht="22.5" customHeight="1">
      <c r="A3147" s="36" t="s">
        <v>6979</v>
      </c>
      <c r="B3147" s="36" t="s">
        <v>6980</v>
      </c>
      <c r="C3147" s="36" t="s">
        <v>1495</v>
      </c>
      <c r="D3147" s="36" t="s">
        <v>1496</v>
      </c>
      <c r="E3147" s="36" t="s">
        <v>1285</v>
      </c>
      <c r="F3147" s="36" t="s">
        <v>286</v>
      </c>
      <c r="G3147" s="36" t="s">
        <v>411</v>
      </c>
      <c r="H3147" s="37">
        <v>7.14</v>
      </c>
      <c r="I3147" s="36" t="s">
        <v>1301</v>
      </c>
      <c r="J3147" s="39" t="s">
        <v>286</v>
      </c>
      <c r="K3147" s="38"/>
      <c r="L3147" s="38"/>
    </row>
    <row r="3148" ht="22.5" customHeight="1">
      <c r="A3148" s="36" t="s">
        <v>6981</v>
      </c>
      <c r="B3148" s="36" t="s">
        <v>6982</v>
      </c>
      <c r="C3148" s="36" t="s">
        <v>1495</v>
      </c>
      <c r="D3148" s="36" t="s">
        <v>1496</v>
      </c>
      <c r="E3148" s="36" t="s">
        <v>1285</v>
      </c>
      <c r="F3148" s="36" t="s">
        <v>286</v>
      </c>
      <c r="G3148" s="36" t="s">
        <v>411</v>
      </c>
      <c r="H3148" s="37">
        <v>199.17</v>
      </c>
      <c r="I3148" s="36" t="s">
        <v>1301</v>
      </c>
      <c r="J3148" s="39" t="s">
        <v>286</v>
      </c>
      <c r="K3148" s="38"/>
      <c r="L3148" s="38"/>
    </row>
    <row r="3149" ht="22.5" customHeight="1">
      <c r="A3149" s="36" t="s">
        <v>6983</v>
      </c>
      <c r="B3149" s="36" t="s">
        <v>6984</v>
      </c>
      <c r="C3149" s="36" t="s">
        <v>1495</v>
      </c>
      <c r="D3149" s="36" t="s">
        <v>1496</v>
      </c>
      <c r="E3149" s="36" t="s">
        <v>1285</v>
      </c>
      <c r="F3149" s="36" t="s">
        <v>286</v>
      </c>
      <c r="G3149" s="36" t="s">
        <v>411</v>
      </c>
      <c r="H3149" s="37">
        <v>96.25</v>
      </c>
      <c r="I3149" s="36" t="s">
        <v>1301</v>
      </c>
      <c r="J3149" s="39" t="s">
        <v>286</v>
      </c>
      <c r="K3149" s="38"/>
      <c r="L3149" s="38"/>
    </row>
    <row r="3150" ht="22.5" customHeight="1">
      <c r="A3150" s="36" t="s">
        <v>6985</v>
      </c>
      <c r="B3150" s="36" t="s">
        <v>6986</v>
      </c>
      <c r="C3150" s="36" t="s">
        <v>1495</v>
      </c>
      <c r="D3150" s="36" t="s">
        <v>1496</v>
      </c>
      <c r="E3150" s="36" t="s">
        <v>1285</v>
      </c>
      <c r="F3150" s="36" t="s">
        <v>286</v>
      </c>
      <c r="G3150" s="36" t="s">
        <v>411</v>
      </c>
      <c r="H3150" s="37">
        <v>58.61</v>
      </c>
      <c r="I3150" s="36" t="s">
        <v>1301</v>
      </c>
      <c r="J3150" s="39" t="s">
        <v>286</v>
      </c>
      <c r="K3150" s="38"/>
      <c r="L3150" s="38"/>
    </row>
    <row r="3151" ht="22.5" customHeight="1">
      <c r="A3151" s="36" t="s">
        <v>6987</v>
      </c>
      <c r="B3151" s="36" t="s">
        <v>6988</v>
      </c>
      <c r="C3151" s="36" t="s">
        <v>1495</v>
      </c>
      <c r="D3151" s="36" t="s">
        <v>1496</v>
      </c>
      <c r="E3151" s="36" t="s">
        <v>1285</v>
      </c>
      <c r="F3151" s="36" t="s">
        <v>286</v>
      </c>
      <c r="G3151" s="36" t="s">
        <v>411</v>
      </c>
      <c r="H3151" s="37">
        <v>360.0</v>
      </c>
      <c r="I3151" s="36" t="s">
        <v>1301</v>
      </c>
      <c r="J3151" s="39" t="s">
        <v>286</v>
      </c>
      <c r="K3151" s="38"/>
      <c r="L3151" s="38"/>
    </row>
    <row r="3152" ht="22.5" customHeight="1">
      <c r="A3152" s="36" t="s">
        <v>6989</v>
      </c>
      <c r="B3152" s="36" t="s">
        <v>6990</v>
      </c>
      <c r="C3152" s="36" t="s">
        <v>1495</v>
      </c>
      <c r="D3152" s="36" t="s">
        <v>1496</v>
      </c>
      <c r="E3152" s="36" t="s">
        <v>1285</v>
      </c>
      <c r="F3152" s="36" t="s">
        <v>286</v>
      </c>
      <c r="G3152" s="36" t="s">
        <v>411</v>
      </c>
      <c r="H3152" s="37">
        <v>17.73</v>
      </c>
      <c r="I3152" s="36" t="s">
        <v>1301</v>
      </c>
      <c r="J3152" s="39" t="s">
        <v>286</v>
      </c>
      <c r="K3152" s="38"/>
      <c r="L3152" s="38"/>
    </row>
    <row r="3153" ht="22.5" customHeight="1">
      <c r="A3153" s="36" t="s">
        <v>6991</v>
      </c>
      <c r="B3153" s="36" t="s">
        <v>6992</v>
      </c>
      <c r="C3153" s="36" t="s">
        <v>1495</v>
      </c>
      <c r="D3153" s="36" t="s">
        <v>1496</v>
      </c>
      <c r="E3153" s="36" t="s">
        <v>1285</v>
      </c>
      <c r="F3153" s="36" t="s">
        <v>286</v>
      </c>
      <c r="G3153" s="36" t="s">
        <v>411</v>
      </c>
      <c r="H3153" s="37">
        <v>89.79</v>
      </c>
      <c r="I3153" s="36" t="s">
        <v>1301</v>
      </c>
      <c r="J3153" s="39" t="s">
        <v>286</v>
      </c>
      <c r="K3153" s="38"/>
      <c r="L3153" s="38"/>
    </row>
    <row r="3154" ht="22.5" customHeight="1">
      <c r="A3154" s="36" t="s">
        <v>6993</v>
      </c>
      <c r="B3154" s="36" t="s">
        <v>6994</v>
      </c>
      <c r="C3154" s="36" t="s">
        <v>1495</v>
      </c>
      <c r="D3154" s="36" t="s">
        <v>1496</v>
      </c>
      <c r="E3154" s="36" t="s">
        <v>1285</v>
      </c>
      <c r="F3154" s="36" t="s">
        <v>286</v>
      </c>
      <c r="G3154" s="36" t="s">
        <v>411</v>
      </c>
      <c r="H3154" s="37">
        <v>293.63</v>
      </c>
      <c r="I3154" s="36" t="s">
        <v>1301</v>
      </c>
      <c r="J3154" s="39" t="s">
        <v>286</v>
      </c>
      <c r="K3154" s="38"/>
      <c r="L3154" s="38"/>
    </row>
    <row r="3155" ht="22.5" customHeight="1">
      <c r="A3155" s="36" t="s">
        <v>6995</v>
      </c>
      <c r="B3155" s="36" t="s">
        <v>6996</v>
      </c>
      <c r="C3155" s="36" t="s">
        <v>1495</v>
      </c>
      <c r="D3155" s="36" t="s">
        <v>1496</v>
      </c>
      <c r="E3155" s="36" t="s">
        <v>1285</v>
      </c>
      <c r="F3155" s="36" t="s">
        <v>286</v>
      </c>
      <c r="G3155" s="36" t="s">
        <v>411</v>
      </c>
      <c r="H3155" s="37">
        <v>118.25</v>
      </c>
      <c r="I3155" s="36" t="s">
        <v>1301</v>
      </c>
      <c r="J3155" s="39" t="s">
        <v>286</v>
      </c>
      <c r="K3155" s="38"/>
      <c r="L3155" s="38"/>
    </row>
    <row r="3156" ht="22.5" customHeight="1">
      <c r="A3156" s="36" t="s">
        <v>6997</v>
      </c>
      <c r="B3156" s="36" t="s">
        <v>6998</v>
      </c>
      <c r="C3156" s="36" t="s">
        <v>1495</v>
      </c>
      <c r="D3156" s="36" t="s">
        <v>1496</v>
      </c>
      <c r="E3156" s="36" t="s">
        <v>1285</v>
      </c>
      <c r="F3156" s="36" t="s">
        <v>286</v>
      </c>
      <c r="G3156" s="36" t="s">
        <v>411</v>
      </c>
      <c r="H3156" s="37">
        <v>126.29</v>
      </c>
      <c r="I3156" s="36" t="s">
        <v>1301</v>
      </c>
      <c r="J3156" s="39" t="s">
        <v>286</v>
      </c>
      <c r="K3156" s="38"/>
      <c r="L3156" s="38"/>
    </row>
    <row r="3157" ht="22.5" customHeight="1">
      <c r="A3157" s="36" t="s">
        <v>6999</v>
      </c>
      <c r="B3157" s="36" t="s">
        <v>7000</v>
      </c>
      <c r="C3157" s="36" t="s">
        <v>1495</v>
      </c>
      <c r="D3157" s="36" t="s">
        <v>1496</v>
      </c>
      <c r="E3157" s="36" t="s">
        <v>1285</v>
      </c>
      <c r="F3157" s="36" t="s">
        <v>286</v>
      </c>
      <c r="G3157" s="36" t="s">
        <v>411</v>
      </c>
      <c r="H3157" s="37">
        <v>109.36</v>
      </c>
      <c r="I3157" s="36" t="s">
        <v>1301</v>
      </c>
      <c r="J3157" s="39" t="s">
        <v>286</v>
      </c>
      <c r="K3157" s="38"/>
      <c r="L3157" s="38"/>
    </row>
    <row r="3158" ht="22.5" customHeight="1">
      <c r="A3158" s="36" t="s">
        <v>7001</v>
      </c>
      <c r="B3158" s="36" t="s">
        <v>7002</v>
      </c>
      <c r="C3158" s="36" t="s">
        <v>1495</v>
      </c>
      <c r="D3158" s="36" t="s">
        <v>1496</v>
      </c>
      <c r="E3158" s="36" t="s">
        <v>1285</v>
      </c>
      <c r="F3158" s="36" t="s">
        <v>286</v>
      </c>
      <c r="G3158" s="36" t="s">
        <v>411</v>
      </c>
      <c r="H3158" s="37">
        <v>129.49</v>
      </c>
      <c r="I3158" s="36" t="s">
        <v>1301</v>
      </c>
      <c r="J3158" s="39" t="s">
        <v>286</v>
      </c>
      <c r="K3158" s="38"/>
      <c r="L3158" s="38"/>
    </row>
    <row r="3159" ht="22.5" customHeight="1">
      <c r="A3159" s="36" t="s">
        <v>7003</v>
      </c>
      <c r="B3159" s="36" t="s">
        <v>7004</v>
      </c>
      <c r="C3159" s="36" t="s">
        <v>1495</v>
      </c>
      <c r="D3159" s="36" t="s">
        <v>1496</v>
      </c>
      <c r="E3159" s="36" t="s">
        <v>1285</v>
      </c>
      <c r="F3159" s="36" t="s">
        <v>286</v>
      </c>
      <c r="G3159" s="36" t="s">
        <v>411</v>
      </c>
      <c r="H3159" s="37">
        <v>310.0</v>
      </c>
      <c r="I3159" s="36" t="s">
        <v>1301</v>
      </c>
      <c r="J3159" s="39" t="s">
        <v>286</v>
      </c>
      <c r="K3159" s="38"/>
      <c r="L3159" s="38"/>
    </row>
    <row r="3160" ht="22.5" customHeight="1">
      <c r="A3160" s="36" t="s">
        <v>7005</v>
      </c>
      <c r="B3160" s="36" t="s">
        <v>7006</v>
      </c>
      <c r="C3160" s="36" t="s">
        <v>1495</v>
      </c>
      <c r="D3160" s="36" t="s">
        <v>1496</v>
      </c>
      <c r="E3160" s="36" t="s">
        <v>1285</v>
      </c>
      <c r="F3160" s="36" t="s">
        <v>286</v>
      </c>
      <c r="G3160" s="36" t="s">
        <v>411</v>
      </c>
      <c r="H3160" s="37">
        <v>11.56</v>
      </c>
      <c r="I3160" s="36" t="s">
        <v>1301</v>
      </c>
      <c r="J3160" s="39" t="s">
        <v>286</v>
      </c>
      <c r="K3160" s="38"/>
      <c r="L3160" s="38"/>
    </row>
    <row r="3161" ht="22.5" customHeight="1">
      <c r="A3161" s="36" t="s">
        <v>7007</v>
      </c>
      <c r="B3161" s="36" t="s">
        <v>7008</v>
      </c>
      <c r="C3161" s="36" t="s">
        <v>1495</v>
      </c>
      <c r="D3161" s="36" t="s">
        <v>1496</v>
      </c>
      <c r="E3161" s="36" t="s">
        <v>1285</v>
      </c>
      <c r="F3161" s="36" t="s">
        <v>286</v>
      </c>
      <c r="G3161" s="36" t="s">
        <v>411</v>
      </c>
      <c r="H3161" s="37">
        <v>33.22</v>
      </c>
      <c r="I3161" s="36" t="s">
        <v>1301</v>
      </c>
      <c r="J3161" s="39" t="s">
        <v>286</v>
      </c>
      <c r="K3161" s="38"/>
      <c r="L3161" s="38"/>
    </row>
    <row r="3162" ht="22.5" customHeight="1">
      <c r="A3162" s="36" t="s">
        <v>7009</v>
      </c>
      <c r="B3162" s="36" t="s">
        <v>7010</v>
      </c>
      <c r="C3162" s="36" t="s">
        <v>1495</v>
      </c>
      <c r="D3162" s="36" t="s">
        <v>1496</v>
      </c>
      <c r="E3162" s="36" t="s">
        <v>1285</v>
      </c>
      <c r="F3162" s="36" t="s">
        <v>286</v>
      </c>
      <c r="G3162" s="36" t="s">
        <v>411</v>
      </c>
      <c r="H3162" s="37">
        <v>33.22</v>
      </c>
      <c r="I3162" s="36" t="s">
        <v>1301</v>
      </c>
      <c r="J3162" s="39" t="s">
        <v>286</v>
      </c>
      <c r="K3162" s="38"/>
      <c r="L3162" s="38"/>
    </row>
    <row r="3163" ht="22.5" customHeight="1">
      <c r="A3163" s="36" t="s">
        <v>7011</v>
      </c>
      <c r="B3163" s="36" t="s">
        <v>7012</v>
      </c>
      <c r="C3163" s="36" t="s">
        <v>1495</v>
      </c>
      <c r="D3163" s="36" t="s">
        <v>1496</v>
      </c>
      <c r="E3163" s="36" t="s">
        <v>1285</v>
      </c>
      <c r="F3163" s="36" t="s">
        <v>286</v>
      </c>
      <c r="G3163" s="36" t="s">
        <v>411</v>
      </c>
      <c r="H3163" s="37">
        <v>59.22</v>
      </c>
      <c r="I3163" s="36" t="s">
        <v>1301</v>
      </c>
      <c r="J3163" s="39" t="s">
        <v>286</v>
      </c>
      <c r="K3163" s="38"/>
      <c r="L3163" s="38"/>
    </row>
    <row r="3164" ht="22.5" customHeight="1">
      <c r="A3164" s="36" t="s">
        <v>7013</v>
      </c>
      <c r="B3164" s="36" t="s">
        <v>7014</v>
      </c>
      <c r="C3164" s="36" t="s">
        <v>1495</v>
      </c>
      <c r="D3164" s="36" t="s">
        <v>1496</v>
      </c>
      <c r="E3164" s="36" t="s">
        <v>1285</v>
      </c>
      <c r="F3164" s="36" t="s">
        <v>286</v>
      </c>
      <c r="G3164" s="36" t="s">
        <v>411</v>
      </c>
      <c r="H3164" s="37">
        <v>24.56</v>
      </c>
      <c r="I3164" s="36" t="s">
        <v>1301</v>
      </c>
      <c r="J3164" s="39" t="s">
        <v>286</v>
      </c>
      <c r="K3164" s="38"/>
      <c r="L3164" s="38"/>
    </row>
    <row r="3165" ht="22.5" customHeight="1">
      <c r="A3165" s="36" t="s">
        <v>7015</v>
      </c>
      <c r="B3165" s="36" t="s">
        <v>7016</v>
      </c>
      <c r="C3165" s="36" t="s">
        <v>1495</v>
      </c>
      <c r="D3165" s="36" t="s">
        <v>1496</v>
      </c>
      <c r="E3165" s="36" t="s">
        <v>1285</v>
      </c>
      <c r="F3165" s="36" t="s">
        <v>286</v>
      </c>
      <c r="G3165" s="36" t="s">
        <v>411</v>
      </c>
      <c r="H3165" s="37">
        <v>17.62</v>
      </c>
      <c r="I3165" s="36" t="s">
        <v>1301</v>
      </c>
      <c r="J3165" s="39" t="s">
        <v>286</v>
      </c>
      <c r="K3165" s="38"/>
      <c r="L3165" s="38"/>
    </row>
    <row r="3166" ht="22.5" customHeight="1">
      <c r="A3166" s="36" t="s">
        <v>7017</v>
      </c>
      <c r="B3166" s="36" t="s">
        <v>7018</v>
      </c>
      <c r="C3166" s="36" t="s">
        <v>1495</v>
      </c>
      <c r="D3166" s="36" t="s">
        <v>1496</v>
      </c>
      <c r="E3166" s="36" t="s">
        <v>1285</v>
      </c>
      <c r="F3166" s="36" t="s">
        <v>286</v>
      </c>
      <c r="G3166" s="36" t="s">
        <v>411</v>
      </c>
      <c r="H3166" s="37">
        <v>59.22</v>
      </c>
      <c r="I3166" s="36" t="s">
        <v>1301</v>
      </c>
      <c r="J3166" s="39" t="s">
        <v>286</v>
      </c>
      <c r="K3166" s="38"/>
      <c r="L3166" s="38"/>
    </row>
    <row r="3167" ht="22.5" customHeight="1">
      <c r="A3167" s="36" t="s">
        <v>7019</v>
      </c>
      <c r="B3167" s="36" t="s">
        <v>7020</v>
      </c>
      <c r="C3167" s="36" t="s">
        <v>1495</v>
      </c>
      <c r="D3167" s="36" t="s">
        <v>1496</v>
      </c>
      <c r="E3167" s="36" t="s">
        <v>1285</v>
      </c>
      <c r="F3167" s="36" t="s">
        <v>286</v>
      </c>
      <c r="G3167" s="36" t="s">
        <v>411</v>
      </c>
      <c r="H3167" s="37">
        <v>55.01</v>
      </c>
      <c r="I3167" s="36" t="s">
        <v>1301</v>
      </c>
      <c r="J3167" s="39" t="s">
        <v>286</v>
      </c>
      <c r="K3167" s="38"/>
      <c r="L3167" s="38"/>
    </row>
    <row r="3168" ht="22.5" customHeight="1">
      <c r="A3168" s="36" t="s">
        <v>7021</v>
      </c>
      <c r="B3168" s="36" t="s">
        <v>7022</v>
      </c>
      <c r="C3168" s="36" t="s">
        <v>1495</v>
      </c>
      <c r="D3168" s="36" t="s">
        <v>1496</v>
      </c>
      <c r="E3168" s="36" t="s">
        <v>1285</v>
      </c>
      <c r="F3168" s="36" t="s">
        <v>286</v>
      </c>
      <c r="G3168" s="36" t="s">
        <v>411</v>
      </c>
      <c r="H3168" s="37">
        <v>22.85</v>
      </c>
      <c r="I3168" s="36" t="s">
        <v>1301</v>
      </c>
      <c r="J3168" s="39" t="s">
        <v>286</v>
      </c>
      <c r="K3168" s="38"/>
      <c r="L3168" s="38"/>
    </row>
    <row r="3169" ht="22.5" customHeight="1">
      <c r="A3169" s="36" t="s">
        <v>7023</v>
      </c>
      <c r="B3169" s="36" t="s">
        <v>7024</v>
      </c>
      <c r="C3169" s="36" t="s">
        <v>1495</v>
      </c>
      <c r="D3169" s="36" t="s">
        <v>1496</v>
      </c>
      <c r="E3169" s="36" t="s">
        <v>1285</v>
      </c>
      <c r="F3169" s="36" t="s">
        <v>286</v>
      </c>
      <c r="G3169" s="36" t="s">
        <v>411</v>
      </c>
      <c r="H3169" s="37">
        <v>36.2</v>
      </c>
      <c r="I3169" s="36" t="s">
        <v>1301</v>
      </c>
      <c r="J3169" s="39" t="s">
        <v>286</v>
      </c>
      <c r="K3169" s="38"/>
      <c r="L3169" s="38"/>
    </row>
    <row r="3170" ht="22.5" customHeight="1">
      <c r="A3170" s="36" t="s">
        <v>7025</v>
      </c>
      <c r="B3170" s="36" t="s">
        <v>7026</v>
      </c>
      <c r="C3170" s="36" t="s">
        <v>1495</v>
      </c>
      <c r="D3170" s="36" t="s">
        <v>1496</v>
      </c>
      <c r="E3170" s="36" t="s">
        <v>1285</v>
      </c>
      <c r="F3170" s="36" t="s">
        <v>286</v>
      </c>
      <c r="G3170" s="36" t="s">
        <v>411</v>
      </c>
      <c r="H3170" s="37">
        <v>70.21</v>
      </c>
      <c r="I3170" s="36" t="s">
        <v>1301</v>
      </c>
      <c r="J3170" s="39" t="s">
        <v>286</v>
      </c>
      <c r="K3170" s="38"/>
      <c r="L3170" s="38"/>
    </row>
    <row r="3171" ht="22.5" customHeight="1">
      <c r="A3171" s="36" t="s">
        <v>7027</v>
      </c>
      <c r="B3171" s="36" t="s">
        <v>7028</v>
      </c>
      <c r="C3171" s="36" t="s">
        <v>1495</v>
      </c>
      <c r="D3171" s="36" t="s">
        <v>1496</v>
      </c>
      <c r="E3171" s="36" t="s">
        <v>1285</v>
      </c>
      <c r="F3171" s="36" t="s">
        <v>286</v>
      </c>
      <c r="G3171" s="36" t="s">
        <v>411</v>
      </c>
      <c r="H3171" s="37">
        <v>16.16</v>
      </c>
      <c r="I3171" s="36" t="s">
        <v>1301</v>
      </c>
      <c r="J3171" s="39" t="s">
        <v>286</v>
      </c>
      <c r="K3171" s="38"/>
      <c r="L3171" s="38"/>
    </row>
    <row r="3172" ht="22.5" customHeight="1">
      <c r="A3172" s="36" t="s">
        <v>7029</v>
      </c>
      <c r="B3172" s="36" t="s">
        <v>7030</v>
      </c>
      <c r="C3172" s="36" t="s">
        <v>1495</v>
      </c>
      <c r="D3172" s="36" t="s">
        <v>1496</v>
      </c>
      <c r="E3172" s="36" t="s">
        <v>1285</v>
      </c>
      <c r="F3172" s="36" t="s">
        <v>286</v>
      </c>
      <c r="G3172" s="36" t="s">
        <v>411</v>
      </c>
      <c r="H3172" s="37">
        <v>47.37</v>
      </c>
      <c r="I3172" s="36" t="s">
        <v>1301</v>
      </c>
      <c r="J3172" s="39" t="s">
        <v>286</v>
      </c>
      <c r="K3172" s="38"/>
      <c r="L3172" s="38"/>
    </row>
    <row r="3173" ht="22.5" customHeight="1">
      <c r="A3173" s="36" t="s">
        <v>7031</v>
      </c>
      <c r="B3173" s="36" t="s">
        <v>7032</v>
      </c>
      <c r="C3173" s="36" t="s">
        <v>1495</v>
      </c>
      <c r="D3173" s="36" t="s">
        <v>1496</v>
      </c>
      <c r="E3173" s="36" t="s">
        <v>1285</v>
      </c>
      <c r="F3173" s="36" t="s">
        <v>286</v>
      </c>
      <c r="G3173" s="36" t="s">
        <v>411</v>
      </c>
      <c r="H3173" s="37">
        <v>33.37</v>
      </c>
      <c r="I3173" s="36" t="s">
        <v>1301</v>
      </c>
      <c r="J3173" s="39" t="s">
        <v>286</v>
      </c>
      <c r="K3173" s="38"/>
      <c r="L3173" s="38"/>
    </row>
    <row r="3174" ht="22.5" customHeight="1">
      <c r="A3174" s="36" t="s">
        <v>7033</v>
      </c>
      <c r="B3174" s="36" t="s">
        <v>7034</v>
      </c>
      <c r="C3174" s="36" t="s">
        <v>1495</v>
      </c>
      <c r="D3174" s="36" t="s">
        <v>1496</v>
      </c>
      <c r="E3174" s="36" t="s">
        <v>1285</v>
      </c>
      <c r="F3174" s="36" t="s">
        <v>286</v>
      </c>
      <c r="G3174" s="36" t="s">
        <v>411</v>
      </c>
      <c r="H3174" s="37">
        <v>14.03</v>
      </c>
      <c r="I3174" s="36" t="s">
        <v>1301</v>
      </c>
      <c r="J3174" s="39" t="s">
        <v>286</v>
      </c>
      <c r="K3174" s="38"/>
      <c r="L3174" s="38"/>
    </row>
    <row r="3175" ht="22.5" customHeight="1">
      <c r="A3175" s="36" t="s">
        <v>7035</v>
      </c>
      <c r="B3175" s="36" t="s">
        <v>7036</v>
      </c>
      <c r="C3175" s="36" t="s">
        <v>1495</v>
      </c>
      <c r="D3175" s="36" t="s">
        <v>1496</v>
      </c>
      <c r="E3175" s="36" t="s">
        <v>1285</v>
      </c>
      <c r="F3175" s="36" t="s">
        <v>286</v>
      </c>
      <c r="G3175" s="36" t="s">
        <v>411</v>
      </c>
      <c r="H3175" s="37">
        <v>261.42</v>
      </c>
      <c r="I3175" s="36" t="s">
        <v>1301</v>
      </c>
      <c r="J3175" s="39" t="s">
        <v>286</v>
      </c>
      <c r="K3175" s="38"/>
      <c r="L3175" s="38"/>
    </row>
    <row r="3176" ht="22.5" customHeight="1">
      <c r="A3176" s="36" t="s">
        <v>7037</v>
      </c>
      <c r="B3176" s="36" t="s">
        <v>7038</v>
      </c>
      <c r="C3176" s="36" t="s">
        <v>286</v>
      </c>
      <c r="D3176" s="36" t="s">
        <v>286</v>
      </c>
      <c r="E3176" s="36" t="s">
        <v>287</v>
      </c>
      <c r="F3176" s="36" t="s">
        <v>286</v>
      </c>
      <c r="G3176" s="36" t="s">
        <v>411</v>
      </c>
      <c r="H3176" s="37">
        <v>0.0</v>
      </c>
      <c r="I3176" s="36" t="s">
        <v>1301</v>
      </c>
      <c r="J3176" s="39" t="s">
        <v>286</v>
      </c>
      <c r="K3176" s="38"/>
      <c r="L3176" s="38"/>
    </row>
    <row r="3177" ht="22.5" customHeight="1">
      <c r="A3177" s="36" t="s">
        <v>7039</v>
      </c>
      <c r="B3177" s="36" t="s">
        <v>7040</v>
      </c>
      <c r="C3177" s="36" t="s">
        <v>1495</v>
      </c>
      <c r="D3177" s="36" t="s">
        <v>1496</v>
      </c>
      <c r="E3177" s="36" t="s">
        <v>1285</v>
      </c>
      <c r="F3177" s="36" t="s">
        <v>286</v>
      </c>
      <c r="G3177" s="36" t="s">
        <v>411</v>
      </c>
      <c r="H3177" s="37">
        <v>16660.69</v>
      </c>
      <c r="I3177" s="36" t="s">
        <v>1301</v>
      </c>
      <c r="J3177" s="39" t="s">
        <v>286</v>
      </c>
      <c r="K3177" s="38"/>
      <c r="L3177" s="38"/>
    </row>
    <row r="3178" ht="22.5" customHeight="1">
      <c r="A3178" s="36" t="s">
        <v>7041</v>
      </c>
      <c r="B3178" s="36" t="s">
        <v>7042</v>
      </c>
      <c r="C3178" s="36" t="s">
        <v>1495</v>
      </c>
      <c r="D3178" s="36" t="s">
        <v>1496</v>
      </c>
      <c r="E3178" s="36" t="s">
        <v>1285</v>
      </c>
      <c r="F3178" s="36" t="s">
        <v>286</v>
      </c>
      <c r="G3178" s="36" t="s">
        <v>411</v>
      </c>
      <c r="H3178" s="37">
        <v>5963.35</v>
      </c>
      <c r="I3178" s="36" t="s">
        <v>1301</v>
      </c>
      <c r="J3178" s="39" t="s">
        <v>286</v>
      </c>
      <c r="K3178" s="38"/>
      <c r="L3178" s="38"/>
    </row>
    <row r="3179" ht="22.5" customHeight="1">
      <c r="A3179" s="36" t="s">
        <v>7043</v>
      </c>
      <c r="B3179" s="36" t="s">
        <v>7044</v>
      </c>
      <c r="C3179" s="36" t="s">
        <v>1495</v>
      </c>
      <c r="D3179" s="36" t="s">
        <v>1496</v>
      </c>
      <c r="E3179" s="36" t="s">
        <v>1285</v>
      </c>
      <c r="F3179" s="36" t="s">
        <v>286</v>
      </c>
      <c r="G3179" s="36" t="s">
        <v>411</v>
      </c>
      <c r="H3179" s="37">
        <v>2501.69</v>
      </c>
      <c r="I3179" s="36" t="s">
        <v>1301</v>
      </c>
      <c r="J3179" s="39" t="s">
        <v>286</v>
      </c>
      <c r="K3179" s="38"/>
      <c r="L3179" s="38"/>
    </row>
    <row r="3180" ht="22.5" customHeight="1">
      <c r="A3180" s="36" t="s">
        <v>7045</v>
      </c>
      <c r="B3180" s="36" t="s">
        <v>7046</v>
      </c>
      <c r="C3180" s="36" t="s">
        <v>1495</v>
      </c>
      <c r="D3180" s="36" t="s">
        <v>1496</v>
      </c>
      <c r="E3180" s="36" t="s">
        <v>1285</v>
      </c>
      <c r="F3180" s="36" t="s">
        <v>286</v>
      </c>
      <c r="G3180" s="36" t="s">
        <v>411</v>
      </c>
      <c r="H3180" s="37">
        <v>3570.42</v>
      </c>
      <c r="I3180" s="36" t="s">
        <v>1301</v>
      </c>
      <c r="J3180" s="39" t="s">
        <v>286</v>
      </c>
      <c r="K3180" s="38"/>
      <c r="L3180" s="38"/>
    </row>
    <row r="3181" ht="22.5" customHeight="1">
      <c r="A3181" s="36" t="s">
        <v>7047</v>
      </c>
      <c r="B3181" s="36" t="s">
        <v>7048</v>
      </c>
      <c r="C3181" s="36" t="s">
        <v>1495</v>
      </c>
      <c r="D3181" s="36" t="s">
        <v>1496</v>
      </c>
      <c r="E3181" s="36" t="s">
        <v>1285</v>
      </c>
      <c r="F3181" s="36" t="s">
        <v>286</v>
      </c>
      <c r="G3181" s="36" t="s">
        <v>411</v>
      </c>
      <c r="H3181" s="37">
        <v>12230.42</v>
      </c>
      <c r="I3181" s="36" t="s">
        <v>1301</v>
      </c>
      <c r="J3181" s="39" t="s">
        <v>286</v>
      </c>
      <c r="K3181" s="38"/>
      <c r="L3181" s="38"/>
    </row>
    <row r="3182" ht="22.5" customHeight="1">
      <c r="A3182" s="36" t="s">
        <v>7049</v>
      </c>
      <c r="B3182" s="36" t="s">
        <v>7050</v>
      </c>
      <c r="C3182" s="36" t="s">
        <v>1495</v>
      </c>
      <c r="D3182" s="36" t="s">
        <v>1496</v>
      </c>
      <c r="E3182" s="36" t="s">
        <v>1285</v>
      </c>
      <c r="F3182" s="36" t="s">
        <v>286</v>
      </c>
      <c r="G3182" s="36" t="s">
        <v>411</v>
      </c>
      <c r="H3182" s="37">
        <v>120.84</v>
      </c>
      <c r="I3182" s="36" t="s">
        <v>1301</v>
      </c>
      <c r="J3182" s="39" t="s">
        <v>286</v>
      </c>
      <c r="K3182" s="38"/>
      <c r="L3182" s="38"/>
    </row>
    <row r="3183" ht="22.5" customHeight="1">
      <c r="A3183" s="36" t="s">
        <v>7051</v>
      </c>
      <c r="B3183" s="36" t="s">
        <v>7052</v>
      </c>
      <c r="C3183" s="36" t="s">
        <v>1495</v>
      </c>
      <c r="D3183" s="36" t="s">
        <v>1496</v>
      </c>
      <c r="E3183" s="36" t="s">
        <v>1285</v>
      </c>
      <c r="F3183" s="36" t="s">
        <v>286</v>
      </c>
      <c r="G3183" s="36" t="s">
        <v>411</v>
      </c>
      <c r="H3183" s="37">
        <v>604.22</v>
      </c>
      <c r="I3183" s="36" t="s">
        <v>1301</v>
      </c>
      <c r="J3183" s="39" t="s">
        <v>286</v>
      </c>
      <c r="K3183" s="38"/>
      <c r="L3183" s="38"/>
    </row>
    <row r="3184" ht="22.5" customHeight="1">
      <c r="A3184" s="36" t="s">
        <v>7053</v>
      </c>
      <c r="B3184" s="36" t="s">
        <v>7054</v>
      </c>
      <c r="C3184" s="36" t="s">
        <v>1495</v>
      </c>
      <c r="D3184" s="36" t="s">
        <v>1496</v>
      </c>
      <c r="E3184" s="36" t="s">
        <v>1285</v>
      </c>
      <c r="F3184" s="36" t="s">
        <v>286</v>
      </c>
      <c r="G3184" s="36" t="s">
        <v>411</v>
      </c>
      <c r="H3184" s="37">
        <v>120.84</v>
      </c>
      <c r="I3184" s="36" t="s">
        <v>1301</v>
      </c>
      <c r="J3184" s="39" t="s">
        <v>286</v>
      </c>
      <c r="K3184" s="38"/>
      <c r="L3184" s="38"/>
    </row>
    <row r="3185" ht="22.5" customHeight="1">
      <c r="A3185" s="36" t="s">
        <v>7055</v>
      </c>
      <c r="B3185" s="36" t="s">
        <v>7056</v>
      </c>
      <c r="C3185" s="36" t="s">
        <v>1495</v>
      </c>
      <c r="D3185" s="36" t="s">
        <v>1496</v>
      </c>
      <c r="E3185" s="36" t="s">
        <v>1285</v>
      </c>
      <c r="F3185" s="36" t="s">
        <v>286</v>
      </c>
      <c r="G3185" s="36" t="s">
        <v>411</v>
      </c>
      <c r="H3185" s="37">
        <v>6.92</v>
      </c>
      <c r="I3185" s="36" t="s">
        <v>1301</v>
      </c>
      <c r="J3185" s="39" t="s">
        <v>286</v>
      </c>
      <c r="K3185" s="38"/>
      <c r="L3185" s="38"/>
    </row>
    <row r="3186" ht="22.5" customHeight="1">
      <c r="A3186" s="36" t="s">
        <v>7057</v>
      </c>
      <c r="B3186" s="36" t="s">
        <v>7058</v>
      </c>
      <c r="C3186" s="36" t="s">
        <v>1495</v>
      </c>
      <c r="D3186" s="36" t="s">
        <v>1496</v>
      </c>
      <c r="E3186" s="36" t="s">
        <v>1285</v>
      </c>
      <c r="F3186" s="36" t="s">
        <v>286</v>
      </c>
      <c r="G3186" s="36" t="s">
        <v>411</v>
      </c>
      <c r="H3186" s="37">
        <v>78.87</v>
      </c>
      <c r="I3186" s="36" t="s">
        <v>1301</v>
      </c>
      <c r="J3186" s="39" t="s">
        <v>286</v>
      </c>
      <c r="K3186" s="38"/>
      <c r="L3186" s="38"/>
    </row>
    <row r="3187" ht="22.5" customHeight="1">
      <c r="A3187" s="36" t="s">
        <v>7059</v>
      </c>
      <c r="B3187" s="36" t="s">
        <v>7060</v>
      </c>
      <c r="C3187" s="36" t="s">
        <v>1495</v>
      </c>
      <c r="D3187" s="36" t="s">
        <v>1496</v>
      </c>
      <c r="E3187" s="36" t="s">
        <v>1285</v>
      </c>
      <c r="F3187" s="36" t="s">
        <v>286</v>
      </c>
      <c r="G3187" s="36" t="s">
        <v>411</v>
      </c>
      <c r="H3187" s="37">
        <v>74.4</v>
      </c>
      <c r="I3187" s="36" t="s">
        <v>1301</v>
      </c>
      <c r="J3187" s="39" t="s">
        <v>286</v>
      </c>
      <c r="K3187" s="38"/>
      <c r="L3187" s="38"/>
    </row>
    <row r="3188" ht="22.5" customHeight="1">
      <c r="A3188" s="36" t="s">
        <v>7061</v>
      </c>
      <c r="B3188" s="36" t="s">
        <v>7062</v>
      </c>
      <c r="C3188" s="36" t="s">
        <v>1495</v>
      </c>
      <c r="D3188" s="36" t="s">
        <v>1496</v>
      </c>
      <c r="E3188" s="36" t="s">
        <v>1285</v>
      </c>
      <c r="F3188" s="36" t="s">
        <v>286</v>
      </c>
      <c r="G3188" s="36" t="s">
        <v>411</v>
      </c>
      <c r="H3188" s="37">
        <v>604.22</v>
      </c>
      <c r="I3188" s="36" t="s">
        <v>1301</v>
      </c>
      <c r="J3188" s="39" t="s">
        <v>286</v>
      </c>
      <c r="K3188" s="38"/>
      <c r="L3188" s="38"/>
    </row>
    <row r="3189" ht="22.5" customHeight="1">
      <c r="A3189" s="36" t="s">
        <v>7063</v>
      </c>
      <c r="B3189" s="36" t="s">
        <v>7064</v>
      </c>
      <c r="C3189" s="36" t="s">
        <v>1495</v>
      </c>
      <c r="D3189" s="36" t="s">
        <v>1496</v>
      </c>
      <c r="E3189" s="36" t="s">
        <v>1285</v>
      </c>
      <c r="F3189" s="36" t="s">
        <v>286</v>
      </c>
      <c r="G3189" s="36" t="s">
        <v>411</v>
      </c>
      <c r="H3189" s="37">
        <v>94.7</v>
      </c>
      <c r="I3189" s="36" t="s">
        <v>1301</v>
      </c>
      <c r="J3189" s="39" t="s">
        <v>286</v>
      </c>
      <c r="K3189" s="38"/>
      <c r="L3189" s="38"/>
    </row>
    <row r="3190" ht="22.5" customHeight="1">
      <c r="A3190" s="36" t="s">
        <v>7065</v>
      </c>
      <c r="B3190" s="36" t="s">
        <v>7066</v>
      </c>
      <c r="C3190" s="36" t="s">
        <v>1495</v>
      </c>
      <c r="D3190" s="36" t="s">
        <v>1496</v>
      </c>
      <c r="E3190" s="36" t="s">
        <v>1285</v>
      </c>
      <c r="F3190" s="36" t="s">
        <v>286</v>
      </c>
      <c r="G3190" s="36" t="s">
        <v>411</v>
      </c>
      <c r="H3190" s="37">
        <v>38.9</v>
      </c>
      <c r="I3190" s="36" t="s">
        <v>1301</v>
      </c>
      <c r="J3190" s="39" t="s">
        <v>286</v>
      </c>
      <c r="K3190" s="38"/>
      <c r="L3190" s="38"/>
    </row>
    <row r="3191" ht="22.5" customHeight="1">
      <c r="A3191" s="36" t="s">
        <v>7067</v>
      </c>
      <c r="B3191" s="36" t="s">
        <v>7068</v>
      </c>
      <c r="C3191" s="36" t="s">
        <v>1495</v>
      </c>
      <c r="D3191" s="36" t="s">
        <v>1496</v>
      </c>
      <c r="E3191" s="36" t="s">
        <v>1285</v>
      </c>
      <c r="F3191" s="36" t="s">
        <v>286</v>
      </c>
      <c r="G3191" s="36" t="s">
        <v>411</v>
      </c>
      <c r="H3191" s="37">
        <v>10.01</v>
      </c>
      <c r="I3191" s="36" t="s">
        <v>1301</v>
      </c>
      <c r="J3191" s="39" t="s">
        <v>286</v>
      </c>
      <c r="K3191" s="38"/>
      <c r="L3191" s="38"/>
    </row>
    <row r="3192" ht="22.5" customHeight="1">
      <c r="A3192" s="36" t="s">
        <v>7069</v>
      </c>
      <c r="B3192" s="36" t="s">
        <v>7070</v>
      </c>
      <c r="C3192" s="36" t="s">
        <v>1495</v>
      </c>
      <c r="D3192" s="36" t="s">
        <v>1496</v>
      </c>
      <c r="E3192" s="36" t="s">
        <v>1285</v>
      </c>
      <c r="F3192" s="36" t="s">
        <v>286</v>
      </c>
      <c r="G3192" s="36" t="s">
        <v>411</v>
      </c>
      <c r="H3192" s="37">
        <v>10.01</v>
      </c>
      <c r="I3192" s="36" t="s">
        <v>1301</v>
      </c>
      <c r="J3192" s="39" t="s">
        <v>286</v>
      </c>
      <c r="K3192" s="38"/>
      <c r="L3192" s="38"/>
    </row>
    <row r="3193" ht="22.5" customHeight="1">
      <c r="A3193" s="36" t="s">
        <v>7071</v>
      </c>
      <c r="B3193" s="36" t="s">
        <v>7072</v>
      </c>
      <c r="C3193" s="36" t="s">
        <v>1495</v>
      </c>
      <c r="D3193" s="36" t="s">
        <v>1496</v>
      </c>
      <c r="E3193" s="36" t="s">
        <v>1285</v>
      </c>
      <c r="F3193" s="36" t="s">
        <v>286</v>
      </c>
      <c r="G3193" s="36" t="s">
        <v>411</v>
      </c>
      <c r="H3193" s="37">
        <v>520.85</v>
      </c>
      <c r="I3193" s="36" t="s">
        <v>1301</v>
      </c>
      <c r="J3193" s="39" t="s">
        <v>286</v>
      </c>
      <c r="K3193" s="38"/>
      <c r="L3193" s="38"/>
    </row>
    <row r="3194" ht="22.5" customHeight="1">
      <c r="A3194" s="36" t="s">
        <v>7073</v>
      </c>
      <c r="B3194" s="36" t="s">
        <v>7074</v>
      </c>
      <c r="C3194" s="36" t="s">
        <v>1495</v>
      </c>
      <c r="D3194" s="36" t="s">
        <v>1496</v>
      </c>
      <c r="E3194" s="36" t="s">
        <v>1285</v>
      </c>
      <c r="F3194" s="36" t="s">
        <v>286</v>
      </c>
      <c r="G3194" s="36" t="s">
        <v>411</v>
      </c>
      <c r="H3194" s="37">
        <v>604.22</v>
      </c>
      <c r="I3194" s="36" t="s">
        <v>1301</v>
      </c>
      <c r="J3194" s="39" t="s">
        <v>286</v>
      </c>
      <c r="K3194" s="38"/>
      <c r="L3194" s="38"/>
    </row>
    <row r="3195" ht="22.5" customHeight="1">
      <c r="A3195" s="36" t="s">
        <v>7075</v>
      </c>
      <c r="B3195" s="36" t="s">
        <v>7076</v>
      </c>
      <c r="C3195" s="36" t="s">
        <v>1495</v>
      </c>
      <c r="D3195" s="36" t="s">
        <v>1496</v>
      </c>
      <c r="E3195" s="36" t="s">
        <v>1285</v>
      </c>
      <c r="F3195" s="36" t="s">
        <v>286</v>
      </c>
      <c r="G3195" s="36" t="s">
        <v>411</v>
      </c>
      <c r="H3195" s="37">
        <v>109.86</v>
      </c>
      <c r="I3195" s="36" t="s">
        <v>1301</v>
      </c>
      <c r="J3195" s="39" t="s">
        <v>286</v>
      </c>
      <c r="K3195" s="38"/>
      <c r="L3195" s="38"/>
    </row>
    <row r="3196" ht="22.5" customHeight="1">
      <c r="A3196" s="36" t="s">
        <v>7077</v>
      </c>
      <c r="B3196" s="36" t="s">
        <v>7078</v>
      </c>
      <c r="C3196" s="36" t="s">
        <v>1495</v>
      </c>
      <c r="D3196" s="36" t="s">
        <v>1496</v>
      </c>
      <c r="E3196" s="36" t="s">
        <v>1285</v>
      </c>
      <c r="F3196" s="36" t="s">
        <v>286</v>
      </c>
      <c r="G3196" s="36" t="s">
        <v>411</v>
      </c>
      <c r="H3196" s="37">
        <v>109.86</v>
      </c>
      <c r="I3196" s="36" t="s">
        <v>1301</v>
      </c>
      <c r="J3196" s="39" t="s">
        <v>286</v>
      </c>
      <c r="K3196" s="38"/>
      <c r="L3196" s="38"/>
    </row>
    <row r="3197" ht="22.5" customHeight="1">
      <c r="A3197" s="36" t="s">
        <v>7079</v>
      </c>
      <c r="B3197" s="36" t="s">
        <v>7080</v>
      </c>
      <c r="C3197" s="36" t="s">
        <v>1495</v>
      </c>
      <c r="D3197" s="36" t="s">
        <v>1496</v>
      </c>
      <c r="E3197" s="36" t="s">
        <v>1285</v>
      </c>
      <c r="F3197" s="36" t="s">
        <v>286</v>
      </c>
      <c r="G3197" s="36" t="s">
        <v>411</v>
      </c>
      <c r="H3197" s="37">
        <v>604.22</v>
      </c>
      <c r="I3197" s="36" t="s">
        <v>1301</v>
      </c>
      <c r="J3197" s="39" t="s">
        <v>286</v>
      </c>
      <c r="K3197" s="38"/>
      <c r="L3197" s="38"/>
    </row>
    <row r="3198" ht="22.5" customHeight="1">
      <c r="A3198" s="36" t="s">
        <v>7081</v>
      </c>
      <c r="B3198" s="36" t="s">
        <v>7082</v>
      </c>
      <c r="C3198" s="36" t="s">
        <v>1495</v>
      </c>
      <c r="D3198" s="36" t="s">
        <v>1496</v>
      </c>
      <c r="E3198" s="36" t="s">
        <v>1285</v>
      </c>
      <c r="F3198" s="36" t="s">
        <v>286</v>
      </c>
      <c r="G3198" s="36" t="s">
        <v>411</v>
      </c>
      <c r="H3198" s="37">
        <v>18.78</v>
      </c>
      <c r="I3198" s="36" t="s">
        <v>1301</v>
      </c>
      <c r="J3198" s="39" t="s">
        <v>286</v>
      </c>
      <c r="K3198" s="38"/>
      <c r="L3198" s="38"/>
    </row>
    <row r="3199" ht="22.5" customHeight="1">
      <c r="A3199" s="36" t="s">
        <v>7083</v>
      </c>
      <c r="B3199" s="36" t="s">
        <v>7084</v>
      </c>
      <c r="C3199" s="36" t="s">
        <v>1495</v>
      </c>
      <c r="D3199" s="36" t="s">
        <v>1496</v>
      </c>
      <c r="E3199" s="36" t="s">
        <v>1285</v>
      </c>
      <c r="F3199" s="36" t="s">
        <v>286</v>
      </c>
      <c r="G3199" s="36" t="s">
        <v>411</v>
      </c>
      <c r="H3199" s="37">
        <v>11.85</v>
      </c>
      <c r="I3199" s="36" t="s">
        <v>1301</v>
      </c>
      <c r="J3199" s="39" t="s">
        <v>286</v>
      </c>
      <c r="K3199" s="38"/>
      <c r="L3199" s="38"/>
    </row>
    <row r="3200" ht="22.5" customHeight="1">
      <c r="A3200" s="36" t="s">
        <v>7085</v>
      </c>
      <c r="B3200" s="36" t="s">
        <v>7086</v>
      </c>
      <c r="C3200" s="36" t="s">
        <v>1495</v>
      </c>
      <c r="D3200" s="36" t="s">
        <v>1496</v>
      </c>
      <c r="E3200" s="36" t="s">
        <v>1285</v>
      </c>
      <c r="F3200" s="36" t="s">
        <v>286</v>
      </c>
      <c r="G3200" s="36" t="s">
        <v>411</v>
      </c>
      <c r="H3200" s="37">
        <v>16.39</v>
      </c>
      <c r="I3200" s="36" t="s">
        <v>1301</v>
      </c>
      <c r="J3200" s="39" t="s">
        <v>286</v>
      </c>
      <c r="K3200" s="38"/>
      <c r="L3200" s="38"/>
    </row>
    <row r="3201" ht="22.5" customHeight="1">
      <c r="A3201" s="36" t="s">
        <v>7087</v>
      </c>
      <c r="B3201" s="36" t="s">
        <v>7088</v>
      </c>
      <c r="C3201" s="36" t="s">
        <v>1495</v>
      </c>
      <c r="D3201" s="36" t="s">
        <v>1496</v>
      </c>
      <c r="E3201" s="36" t="s">
        <v>1285</v>
      </c>
      <c r="F3201" s="36" t="s">
        <v>286</v>
      </c>
      <c r="G3201" s="36" t="s">
        <v>411</v>
      </c>
      <c r="H3201" s="37">
        <v>47.63</v>
      </c>
      <c r="I3201" s="36" t="s">
        <v>1301</v>
      </c>
      <c r="J3201" s="39" t="s">
        <v>286</v>
      </c>
      <c r="K3201" s="38"/>
      <c r="L3201" s="38"/>
    </row>
    <row r="3202" ht="22.5" customHeight="1">
      <c r="A3202" s="36" t="s">
        <v>7089</v>
      </c>
      <c r="B3202" s="36" t="s">
        <v>7090</v>
      </c>
      <c r="C3202" s="36" t="s">
        <v>1495</v>
      </c>
      <c r="D3202" s="36" t="s">
        <v>1496</v>
      </c>
      <c r="E3202" s="36" t="s">
        <v>1285</v>
      </c>
      <c r="F3202" s="36" t="s">
        <v>286</v>
      </c>
      <c r="G3202" s="36" t="s">
        <v>411</v>
      </c>
      <c r="H3202" s="37">
        <v>109.36</v>
      </c>
      <c r="I3202" s="36" t="s">
        <v>1301</v>
      </c>
      <c r="J3202" s="39" t="s">
        <v>286</v>
      </c>
      <c r="K3202" s="38"/>
      <c r="L3202" s="38"/>
    </row>
    <row r="3203" ht="22.5" customHeight="1">
      <c r="A3203" s="36" t="s">
        <v>7091</v>
      </c>
      <c r="B3203" s="36" t="s">
        <v>7092</v>
      </c>
      <c r="C3203" s="36" t="s">
        <v>1495</v>
      </c>
      <c r="D3203" s="36" t="s">
        <v>1496</v>
      </c>
      <c r="E3203" s="36" t="s">
        <v>1285</v>
      </c>
      <c r="F3203" s="36" t="s">
        <v>286</v>
      </c>
      <c r="G3203" s="36" t="s">
        <v>411</v>
      </c>
      <c r="H3203" s="37">
        <v>0.0</v>
      </c>
      <c r="I3203" s="36" t="s">
        <v>1301</v>
      </c>
      <c r="J3203" s="39" t="s">
        <v>286</v>
      </c>
      <c r="K3203" s="38"/>
      <c r="L3203" s="38"/>
    </row>
    <row r="3204" ht="22.5" customHeight="1">
      <c r="A3204" s="36" t="s">
        <v>7093</v>
      </c>
      <c r="B3204" s="36" t="s">
        <v>7094</v>
      </c>
      <c r="C3204" s="36" t="s">
        <v>1495</v>
      </c>
      <c r="D3204" s="36" t="s">
        <v>1496</v>
      </c>
      <c r="E3204" s="36" t="s">
        <v>1285</v>
      </c>
      <c r="F3204" s="36" t="s">
        <v>286</v>
      </c>
      <c r="G3204" s="36" t="s">
        <v>411</v>
      </c>
      <c r="H3204" s="37">
        <v>80.56</v>
      </c>
      <c r="I3204" s="36" t="s">
        <v>1301</v>
      </c>
      <c r="J3204" s="39" t="s">
        <v>286</v>
      </c>
      <c r="K3204" s="38"/>
      <c r="L3204" s="38"/>
    </row>
    <row r="3205" ht="22.5" customHeight="1">
      <c r="A3205" s="36" t="s">
        <v>7095</v>
      </c>
      <c r="B3205" s="36" t="s">
        <v>7096</v>
      </c>
      <c r="C3205" s="36" t="s">
        <v>1495</v>
      </c>
      <c r="D3205" s="36" t="s">
        <v>1496</v>
      </c>
      <c r="E3205" s="36" t="s">
        <v>1285</v>
      </c>
      <c r="F3205" s="36" t="s">
        <v>286</v>
      </c>
      <c r="G3205" s="36" t="s">
        <v>411</v>
      </c>
      <c r="H3205" s="37">
        <v>74.37</v>
      </c>
      <c r="I3205" s="36" t="s">
        <v>1301</v>
      </c>
      <c r="J3205" s="39" t="s">
        <v>286</v>
      </c>
      <c r="K3205" s="38"/>
      <c r="L3205" s="38"/>
    </row>
    <row r="3206" ht="22.5" customHeight="1">
      <c r="A3206" s="36" t="s">
        <v>7097</v>
      </c>
      <c r="B3206" s="36" t="s">
        <v>7098</v>
      </c>
      <c r="C3206" s="36" t="s">
        <v>1495</v>
      </c>
      <c r="D3206" s="36" t="s">
        <v>1496</v>
      </c>
      <c r="E3206" s="36" t="s">
        <v>1285</v>
      </c>
      <c r="F3206" s="36" t="s">
        <v>286</v>
      </c>
      <c r="G3206" s="36" t="s">
        <v>411</v>
      </c>
      <c r="H3206" s="37">
        <v>43.94</v>
      </c>
      <c r="I3206" s="36" t="s">
        <v>1301</v>
      </c>
      <c r="J3206" s="39" t="s">
        <v>286</v>
      </c>
      <c r="K3206" s="38"/>
      <c r="L3206" s="38"/>
    </row>
    <row r="3207" ht="22.5" customHeight="1">
      <c r="A3207" s="36" t="s">
        <v>7099</v>
      </c>
      <c r="B3207" s="36" t="s">
        <v>7100</v>
      </c>
      <c r="C3207" s="36" t="s">
        <v>1495</v>
      </c>
      <c r="D3207" s="36" t="s">
        <v>1496</v>
      </c>
      <c r="E3207" s="36" t="s">
        <v>1285</v>
      </c>
      <c r="F3207" s="36" t="s">
        <v>286</v>
      </c>
      <c r="G3207" s="36" t="s">
        <v>411</v>
      </c>
      <c r="H3207" s="37">
        <v>33.57</v>
      </c>
      <c r="I3207" s="36" t="s">
        <v>1301</v>
      </c>
      <c r="J3207" s="39" t="s">
        <v>286</v>
      </c>
      <c r="K3207" s="38"/>
      <c r="L3207" s="38"/>
    </row>
    <row r="3208" ht="22.5" customHeight="1">
      <c r="A3208" s="36" t="s">
        <v>7101</v>
      </c>
      <c r="B3208" s="36" t="s">
        <v>7102</v>
      </c>
      <c r="C3208" s="36" t="s">
        <v>1495</v>
      </c>
      <c r="D3208" s="36" t="s">
        <v>1496</v>
      </c>
      <c r="E3208" s="36" t="s">
        <v>1285</v>
      </c>
      <c r="F3208" s="36" t="s">
        <v>286</v>
      </c>
      <c r="G3208" s="36" t="s">
        <v>411</v>
      </c>
      <c r="H3208" s="37">
        <v>37.76</v>
      </c>
      <c r="I3208" s="36" t="s">
        <v>1301</v>
      </c>
      <c r="J3208" s="39" t="s">
        <v>286</v>
      </c>
      <c r="K3208" s="38"/>
      <c r="L3208" s="38"/>
    </row>
    <row r="3209" ht="22.5" customHeight="1">
      <c r="A3209" s="36" t="s">
        <v>7103</v>
      </c>
      <c r="B3209" s="36" t="s">
        <v>7104</v>
      </c>
      <c r="C3209" s="36" t="s">
        <v>1495</v>
      </c>
      <c r="D3209" s="36" t="s">
        <v>1496</v>
      </c>
      <c r="E3209" s="36" t="s">
        <v>1285</v>
      </c>
      <c r="F3209" s="36" t="s">
        <v>286</v>
      </c>
      <c r="G3209" s="36" t="s">
        <v>411</v>
      </c>
      <c r="H3209" s="37">
        <v>190.53</v>
      </c>
      <c r="I3209" s="36" t="s">
        <v>1301</v>
      </c>
      <c r="J3209" s="39" t="s">
        <v>286</v>
      </c>
      <c r="K3209" s="38"/>
      <c r="L3209" s="38"/>
    </row>
    <row r="3210" ht="22.5" customHeight="1">
      <c r="A3210" s="36" t="s">
        <v>7105</v>
      </c>
      <c r="B3210" s="36" t="s">
        <v>7106</v>
      </c>
      <c r="C3210" s="36" t="s">
        <v>1495</v>
      </c>
      <c r="D3210" s="36" t="s">
        <v>1496</v>
      </c>
      <c r="E3210" s="36" t="s">
        <v>1285</v>
      </c>
      <c r="F3210" s="36" t="s">
        <v>286</v>
      </c>
      <c r="G3210" s="36" t="s">
        <v>411</v>
      </c>
      <c r="H3210" s="37">
        <v>341.09</v>
      </c>
      <c r="I3210" s="36" t="s">
        <v>1301</v>
      </c>
      <c r="J3210" s="39" t="s">
        <v>286</v>
      </c>
      <c r="K3210" s="38"/>
      <c r="L3210" s="38"/>
    </row>
    <row r="3211" ht="22.5" customHeight="1">
      <c r="A3211" s="36" t="s">
        <v>7107</v>
      </c>
      <c r="B3211" s="36" t="s">
        <v>7108</v>
      </c>
      <c r="C3211" s="36" t="s">
        <v>1495</v>
      </c>
      <c r="D3211" s="36" t="s">
        <v>1496</v>
      </c>
      <c r="E3211" s="36" t="s">
        <v>1285</v>
      </c>
      <c r="F3211" s="36" t="s">
        <v>286</v>
      </c>
      <c r="G3211" s="36" t="s">
        <v>411</v>
      </c>
      <c r="H3211" s="37">
        <v>5.86</v>
      </c>
      <c r="I3211" s="36" t="s">
        <v>1301</v>
      </c>
      <c r="J3211" s="39" t="s">
        <v>286</v>
      </c>
      <c r="K3211" s="38"/>
      <c r="L3211" s="38"/>
    </row>
    <row r="3212" ht="22.5" customHeight="1">
      <c r="A3212" s="36" t="s">
        <v>7109</v>
      </c>
      <c r="B3212" s="36" t="s">
        <v>7110</v>
      </c>
      <c r="C3212" s="36" t="s">
        <v>1495</v>
      </c>
      <c r="D3212" s="36" t="s">
        <v>1496</v>
      </c>
      <c r="E3212" s="36" t="s">
        <v>1285</v>
      </c>
      <c r="F3212" s="36" t="s">
        <v>286</v>
      </c>
      <c r="G3212" s="36" t="s">
        <v>411</v>
      </c>
      <c r="H3212" s="37">
        <v>357.44</v>
      </c>
      <c r="I3212" s="36" t="s">
        <v>1301</v>
      </c>
      <c r="J3212" s="39" t="s">
        <v>286</v>
      </c>
      <c r="K3212" s="38"/>
      <c r="L3212" s="38"/>
    </row>
    <row r="3213" ht="22.5" customHeight="1">
      <c r="A3213" s="36" t="s">
        <v>7111</v>
      </c>
      <c r="B3213" s="36" t="s">
        <v>7112</v>
      </c>
      <c r="C3213" s="36" t="s">
        <v>1495</v>
      </c>
      <c r="D3213" s="36" t="s">
        <v>1496</v>
      </c>
      <c r="E3213" s="36" t="s">
        <v>1285</v>
      </c>
      <c r="F3213" s="36" t="s">
        <v>286</v>
      </c>
      <c r="G3213" s="36" t="s">
        <v>411</v>
      </c>
      <c r="H3213" s="37">
        <v>82.21</v>
      </c>
      <c r="I3213" s="36" t="s">
        <v>1301</v>
      </c>
      <c r="J3213" s="39" t="s">
        <v>286</v>
      </c>
      <c r="K3213" s="38"/>
      <c r="L3213" s="38"/>
    </row>
    <row r="3214" ht="22.5" customHeight="1">
      <c r="A3214" s="36" t="s">
        <v>7113</v>
      </c>
      <c r="B3214" s="36" t="s">
        <v>7114</v>
      </c>
      <c r="C3214" s="36" t="s">
        <v>1495</v>
      </c>
      <c r="D3214" s="36" t="s">
        <v>1496</v>
      </c>
      <c r="E3214" s="36" t="s">
        <v>1285</v>
      </c>
      <c r="F3214" s="36" t="s">
        <v>286</v>
      </c>
      <c r="G3214" s="36" t="s">
        <v>411</v>
      </c>
      <c r="H3214" s="37">
        <v>6.35</v>
      </c>
      <c r="I3214" s="36" t="s">
        <v>1301</v>
      </c>
      <c r="J3214" s="39" t="s">
        <v>286</v>
      </c>
      <c r="K3214" s="38"/>
      <c r="L3214" s="38"/>
    </row>
    <row r="3215" ht="22.5" customHeight="1">
      <c r="A3215" s="36" t="s">
        <v>7115</v>
      </c>
      <c r="B3215" s="36" t="s">
        <v>7116</v>
      </c>
      <c r="C3215" s="36" t="s">
        <v>1495</v>
      </c>
      <c r="D3215" s="36" t="s">
        <v>1496</v>
      </c>
      <c r="E3215" s="36" t="s">
        <v>1285</v>
      </c>
      <c r="F3215" s="36" t="s">
        <v>286</v>
      </c>
      <c r="G3215" s="36" t="s">
        <v>411</v>
      </c>
      <c r="H3215" s="37">
        <v>2.92</v>
      </c>
      <c r="I3215" s="36" t="s">
        <v>1301</v>
      </c>
      <c r="J3215" s="39" t="s">
        <v>286</v>
      </c>
      <c r="K3215" s="38"/>
      <c r="L3215" s="38"/>
    </row>
    <row r="3216" ht="22.5" customHeight="1">
      <c r="A3216" s="36" t="s">
        <v>7117</v>
      </c>
      <c r="B3216" s="36" t="s">
        <v>7118</v>
      </c>
      <c r="C3216" s="36" t="s">
        <v>1495</v>
      </c>
      <c r="D3216" s="36" t="s">
        <v>1496</v>
      </c>
      <c r="E3216" s="36" t="s">
        <v>1285</v>
      </c>
      <c r="F3216" s="36" t="s">
        <v>286</v>
      </c>
      <c r="G3216" s="36" t="s">
        <v>411</v>
      </c>
      <c r="H3216" s="37">
        <v>239.65</v>
      </c>
      <c r="I3216" s="36" t="s">
        <v>1301</v>
      </c>
      <c r="J3216" s="39" t="s">
        <v>286</v>
      </c>
      <c r="K3216" s="38"/>
      <c r="L3216" s="38"/>
    </row>
    <row r="3217" ht="22.5" customHeight="1">
      <c r="A3217" s="36" t="s">
        <v>7119</v>
      </c>
      <c r="B3217" s="36" t="s">
        <v>7120</v>
      </c>
      <c r="C3217" s="36" t="s">
        <v>1495</v>
      </c>
      <c r="D3217" s="36" t="s">
        <v>1496</v>
      </c>
      <c r="E3217" s="36" t="s">
        <v>1285</v>
      </c>
      <c r="F3217" s="36" t="s">
        <v>286</v>
      </c>
      <c r="G3217" s="36" t="s">
        <v>411</v>
      </c>
      <c r="H3217" s="37">
        <v>620.32</v>
      </c>
      <c r="I3217" s="36" t="s">
        <v>1301</v>
      </c>
      <c r="J3217" s="39" t="s">
        <v>286</v>
      </c>
      <c r="K3217" s="38"/>
      <c r="L3217" s="38"/>
    </row>
    <row r="3218" ht="22.5" customHeight="1">
      <c r="A3218" s="36" t="s">
        <v>7121</v>
      </c>
      <c r="B3218" s="36" t="s">
        <v>7122</v>
      </c>
      <c r="C3218" s="36" t="s">
        <v>1495</v>
      </c>
      <c r="D3218" s="36" t="s">
        <v>1496</v>
      </c>
      <c r="E3218" s="36" t="s">
        <v>1285</v>
      </c>
      <c r="F3218" s="36" t="s">
        <v>286</v>
      </c>
      <c r="G3218" s="36" t="s">
        <v>411</v>
      </c>
      <c r="H3218" s="37">
        <v>250.0</v>
      </c>
      <c r="I3218" s="36" t="s">
        <v>1301</v>
      </c>
      <c r="J3218" s="39" t="s">
        <v>286</v>
      </c>
      <c r="K3218" s="38"/>
      <c r="L3218" s="38"/>
    </row>
    <row r="3219" ht="22.5" customHeight="1">
      <c r="A3219" s="36" t="s">
        <v>7123</v>
      </c>
      <c r="B3219" s="36" t="s">
        <v>7124</v>
      </c>
      <c r="C3219" s="36" t="s">
        <v>1495</v>
      </c>
      <c r="D3219" s="36" t="s">
        <v>1496</v>
      </c>
      <c r="E3219" s="36" t="s">
        <v>1285</v>
      </c>
      <c r="F3219" s="36" t="s">
        <v>286</v>
      </c>
      <c r="G3219" s="36" t="s">
        <v>411</v>
      </c>
      <c r="H3219" s="37">
        <v>293.69</v>
      </c>
      <c r="I3219" s="36" t="s">
        <v>1301</v>
      </c>
      <c r="J3219" s="39" t="s">
        <v>286</v>
      </c>
      <c r="K3219" s="38"/>
      <c r="L3219" s="38"/>
    </row>
    <row r="3220" ht="22.5" customHeight="1">
      <c r="A3220" s="36" t="s">
        <v>7125</v>
      </c>
      <c r="B3220" s="36" t="s">
        <v>7126</v>
      </c>
      <c r="C3220" s="36" t="s">
        <v>1495</v>
      </c>
      <c r="D3220" s="36" t="s">
        <v>1496</v>
      </c>
      <c r="E3220" s="36" t="s">
        <v>1285</v>
      </c>
      <c r="F3220" s="36" t="s">
        <v>286</v>
      </c>
      <c r="G3220" s="36" t="s">
        <v>411</v>
      </c>
      <c r="H3220" s="37">
        <v>92.19</v>
      </c>
      <c r="I3220" s="36" t="s">
        <v>1301</v>
      </c>
      <c r="J3220" s="39" t="s">
        <v>286</v>
      </c>
      <c r="K3220" s="38"/>
      <c r="L3220" s="38"/>
    </row>
    <row r="3221" ht="22.5" customHeight="1">
      <c r="A3221" s="36" t="s">
        <v>7127</v>
      </c>
      <c r="B3221" s="36" t="s">
        <v>7128</v>
      </c>
      <c r="C3221" s="36" t="s">
        <v>1495</v>
      </c>
      <c r="D3221" s="36" t="s">
        <v>1496</v>
      </c>
      <c r="E3221" s="36" t="s">
        <v>1285</v>
      </c>
      <c r="F3221" s="36" t="s">
        <v>286</v>
      </c>
      <c r="G3221" s="36" t="s">
        <v>411</v>
      </c>
      <c r="H3221" s="37">
        <v>3.16</v>
      </c>
      <c r="I3221" s="36" t="s">
        <v>1301</v>
      </c>
      <c r="J3221" s="39" t="s">
        <v>286</v>
      </c>
      <c r="K3221" s="38"/>
      <c r="L3221" s="38"/>
    </row>
    <row r="3222" ht="22.5" customHeight="1">
      <c r="A3222" s="36" t="s">
        <v>7129</v>
      </c>
      <c r="B3222" s="36" t="s">
        <v>7130</v>
      </c>
      <c r="C3222" s="36" t="s">
        <v>1495</v>
      </c>
      <c r="D3222" s="36" t="s">
        <v>1496</v>
      </c>
      <c r="E3222" s="36" t="s">
        <v>1285</v>
      </c>
      <c r="F3222" s="36" t="s">
        <v>286</v>
      </c>
      <c r="G3222" s="36" t="s">
        <v>411</v>
      </c>
      <c r="H3222" s="37">
        <v>32.16</v>
      </c>
      <c r="I3222" s="36" t="s">
        <v>1301</v>
      </c>
      <c r="J3222" s="39" t="s">
        <v>286</v>
      </c>
      <c r="K3222" s="38"/>
      <c r="L3222" s="38"/>
    </row>
    <row r="3223" ht="22.5" customHeight="1">
      <c r="A3223" s="36" t="s">
        <v>7131</v>
      </c>
      <c r="B3223" s="36" t="s">
        <v>7132</v>
      </c>
      <c r="C3223" s="36" t="s">
        <v>1495</v>
      </c>
      <c r="D3223" s="36" t="s">
        <v>1496</v>
      </c>
      <c r="E3223" s="36" t="s">
        <v>1285</v>
      </c>
      <c r="F3223" s="36" t="s">
        <v>286</v>
      </c>
      <c r="G3223" s="36" t="s">
        <v>411</v>
      </c>
      <c r="H3223" s="37">
        <v>32.16</v>
      </c>
      <c r="I3223" s="36" t="s">
        <v>1301</v>
      </c>
      <c r="J3223" s="39" t="s">
        <v>286</v>
      </c>
      <c r="K3223" s="38"/>
      <c r="L3223" s="38"/>
    </row>
    <row r="3224" ht="22.5" customHeight="1">
      <c r="A3224" s="36" t="s">
        <v>7133</v>
      </c>
      <c r="B3224" s="36" t="s">
        <v>7134</v>
      </c>
      <c r="C3224" s="36" t="s">
        <v>1495</v>
      </c>
      <c r="D3224" s="36" t="s">
        <v>1496</v>
      </c>
      <c r="E3224" s="36" t="s">
        <v>1285</v>
      </c>
      <c r="F3224" s="36" t="s">
        <v>286</v>
      </c>
      <c r="G3224" s="36" t="s">
        <v>411</v>
      </c>
      <c r="H3224" s="37">
        <v>8.75</v>
      </c>
      <c r="I3224" s="36" t="s">
        <v>1301</v>
      </c>
      <c r="J3224" s="39" t="s">
        <v>286</v>
      </c>
      <c r="K3224" s="38"/>
      <c r="L3224" s="38"/>
    </row>
    <row r="3225" ht="22.5" customHeight="1">
      <c r="A3225" s="36" t="s">
        <v>7135</v>
      </c>
      <c r="B3225" s="36" t="s">
        <v>7136</v>
      </c>
      <c r="C3225" s="36" t="s">
        <v>1495</v>
      </c>
      <c r="D3225" s="36" t="s">
        <v>1496</v>
      </c>
      <c r="E3225" s="36" t="s">
        <v>1285</v>
      </c>
      <c r="F3225" s="36" t="s">
        <v>286</v>
      </c>
      <c r="G3225" s="36" t="s">
        <v>411</v>
      </c>
      <c r="H3225" s="37">
        <v>29.26</v>
      </c>
      <c r="I3225" s="36" t="s">
        <v>1301</v>
      </c>
      <c r="J3225" s="39" t="s">
        <v>286</v>
      </c>
      <c r="K3225" s="38"/>
      <c r="L3225" s="38"/>
    </row>
    <row r="3226" ht="22.5" customHeight="1">
      <c r="A3226" s="36" t="s">
        <v>7137</v>
      </c>
      <c r="B3226" s="36" t="s">
        <v>7138</v>
      </c>
      <c r="C3226" s="36" t="s">
        <v>1495</v>
      </c>
      <c r="D3226" s="36" t="s">
        <v>1496</v>
      </c>
      <c r="E3226" s="36" t="s">
        <v>1285</v>
      </c>
      <c r="F3226" s="36" t="s">
        <v>286</v>
      </c>
      <c r="G3226" s="36" t="s">
        <v>411</v>
      </c>
      <c r="H3226" s="37">
        <v>12.88</v>
      </c>
      <c r="I3226" s="36" t="s">
        <v>1301</v>
      </c>
      <c r="J3226" s="39" t="s">
        <v>286</v>
      </c>
      <c r="K3226" s="38"/>
      <c r="L3226" s="38"/>
    </row>
    <row r="3227" ht="22.5" customHeight="1">
      <c r="A3227" s="36" t="s">
        <v>7139</v>
      </c>
      <c r="B3227" s="36" t="s">
        <v>7140</v>
      </c>
      <c r="C3227" s="36" t="s">
        <v>1495</v>
      </c>
      <c r="D3227" s="36" t="s">
        <v>1496</v>
      </c>
      <c r="E3227" s="36" t="s">
        <v>1285</v>
      </c>
      <c r="F3227" s="36" t="s">
        <v>286</v>
      </c>
      <c r="G3227" s="36" t="s">
        <v>411</v>
      </c>
      <c r="H3227" s="37">
        <v>114.36</v>
      </c>
      <c r="I3227" s="36" t="s">
        <v>1301</v>
      </c>
      <c r="J3227" s="39" t="s">
        <v>286</v>
      </c>
      <c r="K3227" s="38"/>
      <c r="L3227" s="38"/>
    </row>
    <row r="3228" ht="22.5" customHeight="1">
      <c r="A3228" s="36" t="s">
        <v>7141</v>
      </c>
      <c r="B3228" s="36" t="s">
        <v>7142</v>
      </c>
      <c r="C3228" s="36" t="s">
        <v>1495</v>
      </c>
      <c r="D3228" s="36" t="s">
        <v>1496</v>
      </c>
      <c r="E3228" s="36" t="s">
        <v>1285</v>
      </c>
      <c r="F3228" s="36" t="s">
        <v>286</v>
      </c>
      <c r="G3228" s="36" t="s">
        <v>411</v>
      </c>
      <c r="H3228" s="37">
        <v>25.22</v>
      </c>
      <c r="I3228" s="36" t="s">
        <v>1301</v>
      </c>
      <c r="J3228" s="39" t="s">
        <v>286</v>
      </c>
      <c r="K3228" s="38"/>
      <c r="L3228" s="38"/>
    </row>
    <row r="3229" ht="22.5" customHeight="1">
      <c r="A3229" s="36" t="s">
        <v>7143</v>
      </c>
      <c r="B3229" s="36" t="s">
        <v>7144</v>
      </c>
      <c r="C3229" s="36" t="s">
        <v>1495</v>
      </c>
      <c r="D3229" s="36" t="s">
        <v>1496</v>
      </c>
      <c r="E3229" s="36" t="s">
        <v>1285</v>
      </c>
      <c r="F3229" s="36" t="s">
        <v>286</v>
      </c>
      <c r="G3229" s="36" t="s">
        <v>411</v>
      </c>
      <c r="H3229" s="37">
        <v>9.52</v>
      </c>
      <c r="I3229" s="36" t="s">
        <v>1301</v>
      </c>
      <c r="J3229" s="39" t="s">
        <v>286</v>
      </c>
      <c r="K3229" s="38"/>
      <c r="L3229" s="38"/>
    </row>
    <row r="3230" ht="22.5" customHeight="1">
      <c r="A3230" s="36" t="s">
        <v>7145</v>
      </c>
      <c r="B3230" s="36" t="s">
        <v>7146</v>
      </c>
      <c r="C3230" s="36" t="s">
        <v>1495</v>
      </c>
      <c r="D3230" s="36" t="s">
        <v>1496</v>
      </c>
      <c r="E3230" s="36" t="s">
        <v>1285</v>
      </c>
      <c r="F3230" s="36" t="s">
        <v>286</v>
      </c>
      <c r="G3230" s="36" t="s">
        <v>411</v>
      </c>
      <c r="H3230" s="37">
        <v>10.98</v>
      </c>
      <c r="I3230" s="36" t="s">
        <v>1301</v>
      </c>
      <c r="J3230" s="39" t="s">
        <v>286</v>
      </c>
      <c r="K3230" s="38"/>
      <c r="L3230" s="38"/>
    </row>
    <row r="3231" ht="22.5" customHeight="1">
      <c r="A3231" s="36" t="s">
        <v>7147</v>
      </c>
      <c r="B3231" s="36" t="s">
        <v>7148</v>
      </c>
      <c r="C3231" s="36" t="s">
        <v>1495</v>
      </c>
      <c r="D3231" s="36" t="s">
        <v>1496</v>
      </c>
      <c r="E3231" s="36" t="s">
        <v>1285</v>
      </c>
      <c r="F3231" s="36" t="s">
        <v>286</v>
      </c>
      <c r="G3231" s="36" t="s">
        <v>411</v>
      </c>
      <c r="H3231" s="37">
        <v>14.74</v>
      </c>
      <c r="I3231" s="36" t="s">
        <v>1301</v>
      </c>
      <c r="J3231" s="39" t="s">
        <v>286</v>
      </c>
      <c r="K3231" s="38"/>
      <c r="L3231" s="38"/>
    </row>
    <row r="3232" ht="22.5" customHeight="1">
      <c r="A3232" s="36" t="s">
        <v>7149</v>
      </c>
      <c r="B3232" s="36" t="s">
        <v>7150</v>
      </c>
      <c r="C3232" s="36" t="s">
        <v>1495</v>
      </c>
      <c r="D3232" s="36" t="s">
        <v>1496</v>
      </c>
      <c r="E3232" s="36" t="s">
        <v>1285</v>
      </c>
      <c r="F3232" s="36" t="s">
        <v>286</v>
      </c>
      <c r="G3232" s="36" t="s">
        <v>411</v>
      </c>
      <c r="H3232" s="37">
        <v>24.58</v>
      </c>
      <c r="I3232" s="36" t="s">
        <v>1301</v>
      </c>
      <c r="J3232" s="39" t="s">
        <v>286</v>
      </c>
      <c r="K3232" s="38"/>
      <c r="L3232" s="38"/>
    </row>
    <row r="3233" ht="22.5" customHeight="1">
      <c r="A3233" s="36" t="s">
        <v>7151</v>
      </c>
      <c r="B3233" s="36" t="s">
        <v>7152</v>
      </c>
      <c r="C3233" s="36" t="s">
        <v>1495</v>
      </c>
      <c r="D3233" s="36" t="s">
        <v>1496</v>
      </c>
      <c r="E3233" s="36" t="s">
        <v>1285</v>
      </c>
      <c r="F3233" s="36" t="s">
        <v>286</v>
      </c>
      <c r="G3233" s="36" t="s">
        <v>411</v>
      </c>
      <c r="H3233" s="37">
        <v>13.81</v>
      </c>
      <c r="I3233" s="36" t="s">
        <v>1301</v>
      </c>
      <c r="J3233" s="39" t="s">
        <v>286</v>
      </c>
      <c r="K3233" s="38"/>
      <c r="L3233" s="38"/>
    </row>
    <row r="3234" ht="22.5" customHeight="1">
      <c r="A3234" s="36" t="s">
        <v>7153</v>
      </c>
      <c r="B3234" s="36" t="s">
        <v>7154</v>
      </c>
      <c r="C3234" s="36" t="s">
        <v>1495</v>
      </c>
      <c r="D3234" s="36" t="s">
        <v>1496</v>
      </c>
      <c r="E3234" s="36" t="s">
        <v>1285</v>
      </c>
      <c r="F3234" s="36" t="s">
        <v>286</v>
      </c>
      <c r="G3234" s="36" t="s">
        <v>411</v>
      </c>
      <c r="H3234" s="37">
        <v>7.76</v>
      </c>
      <c r="I3234" s="36" t="s">
        <v>1301</v>
      </c>
      <c r="J3234" s="39" t="s">
        <v>286</v>
      </c>
      <c r="K3234" s="38"/>
      <c r="L3234" s="38"/>
    </row>
    <row r="3235" ht="22.5" customHeight="1">
      <c r="A3235" s="36" t="s">
        <v>7155</v>
      </c>
      <c r="B3235" s="36" t="s">
        <v>7156</v>
      </c>
      <c r="C3235" s="36" t="s">
        <v>1495</v>
      </c>
      <c r="D3235" s="36" t="s">
        <v>1496</v>
      </c>
      <c r="E3235" s="36" t="s">
        <v>1285</v>
      </c>
      <c r="F3235" s="36" t="s">
        <v>286</v>
      </c>
      <c r="G3235" s="36" t="s">
        <v>411</v>
      </c>
      <c r="H3235" s="37">
        <v>1.25</v>
      </c>
      <c r="I3235" s="36" t="s">
        <v>1301</v>
      </c>
      <c r="J3235" s="39" t="s">
        <v>286</v>
      </c>
      <c r="K3235" s="38"/>
      <c r="L3235" s="38"/>
    </row>
    <row r="3236" ht="22.5" customHeight="1">
      <c r="A3236" s="36" t="s">
        <v>7157</v>
      </c>
      <c r="B3236" s="36" t="s">
        <v>7158</v>
      </c>
      <c r="C3236" s="36" t="s">
        <v>1495</v>
      </c>
      <c r="D3236" s="36" t="s">
        <v>1496</v>
      </c>
      <c r="E3236" s="36" t="s">
        <v>1285</v>
      </c>
      <c r="F3236" s="36" t="s">
        <v>286</v>
      </c>
      <c r="G3236" s="36" t="s">
        <v>411</v>
      </c>
      <c r="H3236" s="37">
        <v>24.58</v>
      </c>
      <c r="I3236" s="36" t="s">
        <v>1301</v>
      </c>
      <c r="J3236" s="39" t="s">
        <v>286</v>
      </c>
      <c r="K3236" s="38"/>
      <c r="L3236" s="38"/>
    </row>
    <row r="3237" ht="22.5" customHeight="1">
      <c r="A3237" s="36" t="s">
        <v>7159</v>
      </c>
      <c r="B3237" s="36" t="s">
        <v>7160</v>
      </c>
      <c r="C3237" s="36" t="s">
        <v>1495</v>
      </c>
      <c r="D3237" s="36" t="s">
        <v>1496</v>
      </c>
      <c r="E3237" s="36" t="s">
        <v>1285</v>
      </c>
      <c r="F3237" s="36" t="s">
        <v>286</v>
      </c>
      <c r="G3237" s="36" t="s">
        <v>411</v>
      </c>
      <c r="H3237" s="37">
        <v>3.3</v>
      </c>
      <c r="I3237" s="36" t="s">
        <v>1301</v>
      </c>
      <c r="J3237" s="39" t="s">
        <v>286</v>
      </c>
      <c r="K3237" s="38"/>
      <c r="L3237" s="38"/>
    </row>
    <row r="3238" ht="22.5" customHeight="1">
      <c r="A3238" s="36" t="s">
        <v>7161</v>
      </c>
      <c r="B3238" s="36" t="s">
        <v>7162</v>
      </c>
      <c r="C3238" s="36" t="s">
        <v>1495</v>
      </c>
      <c r="D3238" s="36" t="s">
        <v>1496</v>
      </c>
      <c r="E3238" s="36" t="s">
        <v>1285</v>
      </c>
      <c r="F3238" s="36" t="s">
        <v>286</v>
      </c>
      <c r="G3238" s="36" t="s">
        <v>411</v>
      </c>
      <c r="H3238" s="37">
        <v>5.23</v>
      </c>
      <c r="I3238" s="36" t="s">
        <v>1301</v>
      </c>
      <c r="J3238" s="39" t="s">
        <v>286</v>
      </c>
      <c r="K3238" s="38"/>
      <c r="L3238" s="38"/>
    </row>
    <row r="3239" ht="22.5" customHeight="1">
      <c r="A3239" s="36" t="s">
        <v>7163</v>
      </c>
      <c r="B3239" s="36" t="s">
        <v>7164</v>
      </c>
      <c r="C3239" s="36" t="s">
        <v>1495</v>
      </c>
      <c r="D3239" s="36" t="s">
        <v>1496</v>
      </c>
      <c r="E3239" s="36" t="s">
        <v>1285</v>
      </c>
      <c r="F3239" s="36" t="s">
        <v>286</v>
      </c>
      <c r="G3239" s="36" t="s">
        <v>411</v>
      </c>
      <c r="H3239" s="37">
        <v>13.45</v>
      </c>
      <c r="I3239" s="36" t="s">
        <v>1301</v>
      </c>
      <c r="J3239" s="39" t="s">
        <v>286</v>
      </c>
      <c r="K3239" s="38"/>
      <c r="L3239" s="38"/>
    </row>
    <row r="3240" ht="22.5" customHeight="1">
      <c r="A3240" s="36" t="s">
        <v>7165</v>
      </c>
      <c r="B3240" s="36" t="s">
        <v>7166</v>
      </c>
      <c r="C3240" s="36" t="s">
        <v>1495</v>
      </c>
      <c r="D3240" s="36" t="s">
        <v>1496</v>
      </c>
      <c r="E3240" s="36" t="s">
        <v>1285</v>
      </c>
      <c r="F3240" s="36" t="s">
        <v>286</v>
      </c>
      <c r="G3240" s="36" t="s">
        <v>411</v>
      </c>
      <c r="H3240" s="37">
        <v>23.05</v>
      </c>
      <c r="I3240" s="36" t="s">
        <v>1301</v>
      </c>
      <c r="J3240" s="39" t="s">
        <v>286</v>
      </c>
      <c r="K3240" s="38"/>
      <c r="L3240" s="38"/>
    </row>
    <row r="3241" ht="22.5" customHeight="1">
      <c r="A3241" s="36" t="s">
        <v>7167</v>
      </c>
      <c r="B3241" s="36" t="s">
        <v>7168</v>
      </c>
      <c r="C3241" s="36" t="s">
        <v>1495</v>
      </c>
      <c r="D3241" s="36" t="s">
        <v>1496</v>
      </c>
      <c r="E3241" s="36" t="s">
        <v>1285</v>
      </c>
      <c r="F3241" s="36" t="s">
        <v>286</v>
      </c>
      <c r="G3241" s="36" t="s">
        <v>411</v>
      </c>
      <c r="H3241" s="37">
        <v>12.04</v>
      </c>
      <c r="I3241" s="36" t="s">
        <v>1301</v>
      </c>
      <c r="J3241" s="39" t="s">
        <v>286</v>
      </c>
      <c r="K3241" s="38"/>
      <c r="L3241" s="38"/>
    </row>
    <row r="3242" ht="22.5" customHeight="1">
      <c r="A3242" s="36" t="s">
        <v>7169</v>
      </c>
      <c r="B3242" s="36" t="s">
        <v>7170</v>
      </c>
      <c r="C3242" s="36" t="s">
        <v>1495</v>
      </c>
      <c r="D3242" s="36" t="s">
        <v>1496</v>
      </c>
      <c r="E3242" s="36" t="s">
        <v>1285</v>
      </c>
      <c r="F3242" s="36" t="s">
        <v>286</v>
      </c>
      <c r="G3242" s="36" t="s">
        <v>411</v>
      </c>
      <c r="H3242" s="37">
        <v>14.17</v>
      </c>
      <c r="I3242" s="36" t="s">
        <v>1301</v>
      </c>
      <c r="J3242" s="39" t="s">
        <v>286</v>
      </c>
      <c r="K3242" s="38"/>
      <c r="L3242" s="38"/>
    </row>
    <row r="3243" ht="22.5" customHeight="1">
      <c r="A3243" s="36" t="s">
        <v>7171</v>
      </c>
      <c r="B3243" s="36" t="s">
        <v>7172</v>
      </c>
      <c r="C3243" s="36" t="s">
        <v>1495</v>
      </c>
      <c r="D3243" s="36" t="s">
        <v>1496</v>
      </c>
      <c r="E3243" s="36" t="s">
        <v>1285</v>
      </c>
      <c r="F3243" s="36" t="s">
        <v>286</v>
      </c>
      <c r="G3243" s="36" t="s">
        <v>411</v>
      </c>
      <c r="H3243" s="37">
        <v>4.28</v>
      </c>
      <c r="I3243" s="36" t="s">
        <v>1301</v>
      </c>
      <c r="J3243" s="39" t="s">
        <v>286</v>
      </c>
      <c r="K3243" s="38"/>
      <c r="L3243" s="38"/>
    </row>
    <row r="3244" ht="22.5" customHeight="1">
      <c r="A3244" s="36" t="s">
        <v>7173</v>
      </c>
      <c r="B3244" s="36" t="s">
        <v>7174</v>
      </c>
      <c r="C3244" s="36" t="s">
        <v>1495</v>
      </c>
      <c r="D3244" s="36" t="s">
        <v>1496</v>
      </c>
      <c r="E3244" s="36" t="s">
        <v>1285</v>
      </c>
      <c r="F3244" s="36" t="s">
        <v>286</v>
      </c>
      <c r="G3244" s="36" t="s">
        <v>411</v>
      </c>
      <c r="H3244" s="37">
        <v>371.55</v>
      </c>
      <c r="I3244" s="36" t="s">
        <v>1301</v>
      </c>
      <c r="J3244" s="39" t="s">
        <v>286</v>
      </c>
      <c r="K3244" s="38"/>
      <c r="L3244" s="38"/>
    </row>
    <row r="3245" ht="22.5" customHeight="1">
      <c r="A3245" s="36" t="s">
        <v>7175</v>
      </c>
      <c r="B3245" s="36" t="s">
        <v>7176</v>
      </c>
      <c r="C3245" s="36" t="s">
        <v>1495</v>
      </c>
      <c r="D3245" s="36" t="s">
        <v>1496</v>
      </c>
      <c r="E3245" s="36" t="s">
        <v>1285</v>
      </c>
      <c r="F3245" s="36" t="s">
        <v>286</v>
      </c>
      <c r="G3245" s="36" t="s">
        <v>411</v>
      </c>
      <c r="H3245" s="37">
        <v>330.26</v>
      </c>
      <c r="I3245" s="36" t="s">
        <v>1301</v>
      </c>
      <c r="J3245" s="39" t="s">
        <v>286</v>
      </c>
      <c r="K3245" s="38"/>
      <c r="L3245" s="38"/>
    </row>
    <row r="3246" ht="22.5" customHeight="1">
      <c r="A3246" s="36" t="s">
        <v>7177</v>
      </c>
      <c r="B3246" s="36" t="s">
        <v>7178</v>
      </c>
      <c r="C3246" s="36" t="s">
        <v>1495</v>
      </c>
      <c r="D3246" s="36" t="s">
        <v>1496</v>
      </c>
      <c r="E3246" s="36" t="s">
        <v>1285</v>
      </c>
      <c r="F3246" s="36" t="s">
        <v>286</v>
      </c>
      <c r="G3246" s="36" t="s">
        <v>411</v>
      </c>
      <c r="H3246" s="37">
        <v>247.7</v>
      </c>
      <c r="I3246" s="36" t="s">
        <v>1301</v>
      </c>
      <c r="J3246" s="39" t="s">
        <v>286</v>
      </c>
      <c r="K3246" s="38"/>
      <c r="L3246" s="38"/>
    </row>
    <row r="3247" ht="22.5" customHeight="1">
      <c r="A3247" s="36" t="s">
        <v>7179</v>
      </c>
      <c r="B3247" s="36" t="s">
        <v>7180</v>
      </c>
      <c r="C3247" s="36" t="s">
        <v>1495</v>
      </c>
      <c r="D3247" s="36" t="s">
        <v>1496</v>
      </c>
      <c r="E3247" s="36" t="s">
        <v>1285</v>
      </c>
      <c r="F3247" s="36" t="s">
        <v>286</v>
      </c>
      <c r="G3247" s="36" t="s">
        <v>411</v>
      </c>
      <c r="H3247" s="37">
        <v>106.16</v>
      </c>
      <c r="I3247" s="36" t="s">
        <v>1301</v>
      </c>
      <c r="J3247" s="39" t="s">
        <v>286</v>
      </c>
      <c r="K3247" s="38"/>
      <c r="L3247" s="38"/>
    </row>
    <row r="3248" ht="22.5" customHeight="1">
      <c r="A3248" s="36" t="s">
        <v>7181</v>
      </c>
      <c r="B3248" s="36" t="s">
        <v>7182</v>
      </c>
      <c r="C3248" s="36" t="s">
        <v>1495</v>
      </c>
      <c r="D3248" s="36" t="s">
        <v>1496</v>
      </c>
      <c r="E3248" s="36" t="s">
        <v>1285</v>
      </c>
      <c r="F3248" s="36" t="s">
        <v>286</v>
      </c>
      <c r="G3248" s="36" t="s">
        <v>411</v>
      </c>
      <c r="H3248" s="37">
        <v>12.42</v>
      </c>
      <c r="I3248" s="36" t="s">
        <v>1301</v>
      </c>
      <c r="J3248" s="39" t="s">
        <v>286</v>
      </c>
      <c r="K3248" s="38"/>
      <c r="L3248" s="38"/>
    </row>
    <row r="3249" ht="22.5" customHeight="1">
      <c r="A3249" s="36" t="s">
        <v>7183</v>
      </c>
      <c r="B3249" s="36" t="s">
        <v>7184</v>
      </c>
      <c r="C3249" s="36" t="s">
        <v>1495</v>
      </c>
      <c r="D3249" s="36" t="s">
        <v>1496</v>
      </c>
      <c r="E3249" s="36" t="s">
        <v>1285</v>
      </c>
      <c r="F3249" s="36" t="s">
        <v>286</v>
      </c>
      <c r="G3249" s="36" t="s">
        <v>411</v>
      </c>
      <c r="H3249" s="37">
        <v>92.74</v>
      </c>
      <c r="I3249" s="36" t="s">
        <v>1301</v>
      </c>
      <c r="J3249" s="39" t="s">
        <v>286</v>
      </c>
      <c r="K3249" s="38"/>
      <c r="L3249" s="38"/>
    </row>
    <row r="3250" ht="22.5" customHeight="1">
      <c r="A3250" s="36" t="s">
        <v>7185</v>
      </c>
      <c r="B3250" s="36" t="s">
        <v>7186</v>
      </c>
      <c r="C3250" s="36" t="s">
        <v>1495</v>
      </c>
      <c r="D3250" s="36" t="s">
        <v>1496</v>
      </c>
      <c r="E3250" s="36" t="s">
        <v>1285</v>
      </c>
      <c r="F3250" s="36" t="s">
        <v>286</v>
      </c>
      <c r="G3250" s="36" t="s">
        <v>411</v>
      </c>
      <c r="H3250" s="37">
        <v>80.99</v>
      </c>
      <c r="I3250" s="36" t="s">
        <v>1301</v>
      </c>
      <c r="J3250" s="39" t="s">
        <v>286</v>
      </c>
      <c r="K3250" s="38"/>
      <c r="L3250" s="38"/>
    </row>
    <row r="3251" ht="22.5" customHeight="1">
      <c r="A3251" s="36" t="s">
        <v>7187</v>
      </c>
      <c r="B3251" s="36" t="s">
        <v>7188</v>
      </c>
      <c r="C3251" s="36" t="s">
        <v>1495</v>
      </c>
      <c r="D3251" s="36" t="s">
        <v>1496</v>
      </c>
      <c r="E3251" s="36" t="s">
        <v>1285</v>
      </c>
      <c r="F3251" s="36" t="s">
        <v>286</v>
      </c>
      <c r="G3251" s="36" t="s">
        <v>411</v>
      </c>
      <c r="H3251" s="37">
        <v>5.47</v>
      </c>
      <c r="I3251" s="36" t="s">
        <v>1301</v>
      </c>
      <c r="J3251" s="39" t="s">
        <v>286</v>
      </c>
      <c r="K3251" s="38"/>
      <c r="L3251" s="38"/>
    </row>
    <row r="3252" ht="22.5" customHeight="1">
      <c r="A3252" s="36" t="s">
        <v>7189</v>
      </c>
      <c r="B3252" s="36" t="s">
        <v>7190</v>
      </c>
      <c r="C3252" s="36" t="s">
        <v>1495</v>
      </c>
      <c r="D3252" s="36" t="s">
        <v>1496</v>
      </c>
      <c r="E3252" s="36" t="s">
        <v>1285</v>
      </c>
      <c r="F3252" s="36" t="s">
        <v>286</v>
      </c>
      <c r="G3252" s="36" t="s">
        <v>411</v>
      </c>
      <c r="H3252" s="37">
        <v>13.67</v>
      </c>
      <c r="I3252" s="36" t="s">
        <v>1301</v>
      </c>
      <c r="J3252" s="39" t="s">
        <v>286</v>
      </c>
      <c r="K3252" s="38"/>
      <c r="L3252" s="38"/>
    </row>
    <row r="3253" ht="22.5" customHeight="1">
      <c r="A3253" s="36" t="s">
        <v>7191</v>
      </c>
      <c r="B3253" s="36" t="s">
        <v>7192</v>
      </c>
      <c r="C3253" s="36" t="s">
        <v>1495</v>
      </c>
      <c r="D3253" s="36" t="s">
        <v>1496</v>
      </c>
      <c r="E3253" s="36" t="s">
        <v>1285</v>
      </c>
      <c r="F3253" s="36" t="s">
        <v>286</v>
      </c>
      <c r="G3253" s="36" t="s">
        <v>411</v>
      </c>
      <c r="H3253" s="37">
        <v>41.84</v>
      </c>
      <c r="I3253" s="36" t="s">
        <v>1301</v>
      </c>
      <c r="J3253" s="39" t="s">
        <v>286</v>
      </c>
      <c r="K3253" s="38"/>
      <c r="L3253" s="38"/>
    </row>
    <row r="3254" ht="22.5" customHeight="1">
      <c r="A3254" s="36" t="s">
        <v>7193</v>
      </c>
      <c r="B3254" s="36" t="s">
        <v>7194</v>
      </c>
      <c r="C3254" s="36" t="s">
        <v>1495</v>
      </c>
      <c r="D3254" s="36" t="s">
        <v>1496</v>
      </c>
      <c r="E3254" s="36" t="s">
        <v>1285</v>
      </c>
      <c r="F3254" s="36" t="s">
        <v>286</v>
      </c>
      <c r="G3254" s="36" t="s">
        <v>411</v>
      </c>
      <c r="H3254" s="37">
        <v>7.53</v>
      </c>
      <c r="I3254" s="36" t="s">
        <v>1301</v>
      </c>
      <c r="J3254" s="39" t="s">
        <v>286</v>
      </c>
      <c r="K3254" s="38"/>
      <c r="L3254" s="38"/>
    </row>
    <row r="3255" ht="22.5" customHeight="1">
      <c r="A3255" s="36" t="s">
        <v>7195</v>
      </c>
      <c r="B3255" s="36" t="s">
        <v>7196</v>
      </c>
      <c r="C3255" s="36" t="s">
        <v>1495</v>
      </c>
      <c r="D3255" s="36" t="s">
        <v>1496</v>
      </c>
      <c r="E3255" s="36" t="s">
        <v>1285</v>
      </c>
      <c r="F3255" s="36" t="s">
        <v>286</v>
      </c>
      <c r="G3255" s="36" t="s">
        <v>411</v>
      </c>
      <c r="H3255" s="37">
        <v>361.32</v>
      </c>
      <c r="I3255" s="36" t="s">
        <v>1301</v>
      </c>
      <c r="J3255" s="39" t="s">
        <v>286</v>
      </c>
      <c r="K3255" s="38"/>
      <c r="L3255" s="38"/>
    </row>
    <row r="3256" ht="22.5" customHeight="1">
      <c r="A3256" s="36" t="s">
        <v>7197</v>
      </c>
      <c r="B3256" s="36" t="s">
        <v>7198</v>
      </c>
      <c r="C3256" s="36" t="s">
        <v>1495</v>
      </c>
      <c r="D3256" s="36" t="s">
        <v>1496</v>
      </c>
      <c r="E3256" s="36" t="s">
        <v>1285</v>
      </c>
      <c r="F3256" s="36" t="s">
        <v>286</v>
      </c>
      <c r="G3256" s="36" t="s">
        <v>411</v>
      </c>
      <c r="H3256" s="37">
        <v>324.59</v>
      </c>
      <c r="I3256" s="36" t="s">
        <v>1301</v>
      </c>
      <c r="J3256" s="39" t="s">
        <v>286</v>
      </c>
      <c r="K3256" s="38"/>
      <c r="L3256" s="38"/>
    </row>
    <row r="3257" ht="22.5" customHeight="1">
      <c r="A3257" s="36" t="s">
        <v>7199</v>
      </c>
      <c r="B3257" s="36" t="s">
        <v>7200</v>
      </c>
      <c r="C3257" s="36" t="s">
        <v>1495</v>
      </c>
      <c r="D3257" s="36" t="s">
        <v>1496</v>
      </c>
      <c r="E3257" s="36" t="s">
        <v>1285</v>
      </c>
      <c r="F3257" s="36" t="s">
        <v>286</v>
      </c>
      <c r="G3257" s="36" t="s">
        <v>411</v>
      </c>
      <c r="H3257" s="37">
        <v>236.07</v>
      </c>
      <c r="I3257" s="36" t="s">
        <v>1301</v>
      </c>
      <c r="J3257" s="39" t="s">
        <v>286</v>
      </c>
      <c r="K3257" s="38"/>
      <c r="L3257" s="38"/>
    </row>
    <row r="3258" ht="22.5" customHeight="1">
      <c r="A3258" s="36" t="s">
        <v>7201</v>
      </c>
      <c r="B3258" s="36" t="s">
        <v>7202</v>
      </c>
      <c r="C3258" s="36" t="s">
        <v>1495</v>
      </c>
      <c r="D3258" s="36" t="s">
        <v>1496</v>
      </c>
      <c r="E3258" s="36" t="s">
        <v>1285</v>
      </c>
      <c r="F3258" s="36" t="s">
        <v>286</v>
      </c>
      <c r="G3258" s="36" t="s">
        <v>411</v>
      </c>
      <c r="H3258" s="37">
        <v>102.26</v>
      </c>
      <c r="I3258" s="36" t="s">
        <v>1301</v>
      </c>
      <c r="J3258" s="39" t="s">
        <v>286</v>
      </c>
      <c r="K3258" s="38"/>
      <c r="L3258" s="38"/>
    </row>
    <row r="3259" ht="22.5" customHeight="1">
      <c r="A3259" s="36" t="s">
        <v>7203</v>
      </c>
      <c r="B3259" s="36" t="s">
        <v>7204</v>
      </c>
      <c r="C3259" s="36" t="s">
        <v>1495</v>
      </c>
      <c r="D3259" s="36" t="s">
        <v>1496</v>
      </c>
      <c r="E3259" s="36" t="s">
        <v>1285</v>
      </c>
      <c r="F3259" s="36" t="s">
        <v>286</v>
      </c>
      <c r="G3259" s="36" t="s">
        <v>411</v>
      </c>
      <c r="H3259" s="37">
        <v>21.45</v>
      </c>
      <c r="I3259" s="36" t="s">
        <v>1301</v>
      </c>
      <c r="J3259" s="39" t="s">
        <v>286</v>
      </c>
      <c r="K3259" s="38"/>
      <c r="L3259" s="38"/>
    </row>
    <row r="3260" ht="22.5" customHeight="1">
      <c r="A3260" s="36" t="s">
        <v>7205</v>
      </c>
      <c r="B3260" s="36" t="s">
        <v>7206</v>
      </c>
      <c r="C3260" s="36" t="s">
        <v>1495</v>
      </c>
      <c r="D3260" s="36" t="s">
        <v>1496</v>
      </c>
      <c r="E3260" s="36" t="s">
        <v>1285</v>
      </c>
      <c r="F3260" s="36" t="s">
        <v>286</v>
      </c>
      <c r="G3260" s="36" t="s">
        <v>411</v>
      </c>
      <c r="H3260" s="37">
        <v>9.06</v>
      </c>
      <c r="I3260" s="36" t="s">
        <v>1301</v>
      </c>
      <c r="J3260" s="39" t="s">
        <v>286</v>
      </c>
      <c r="K3260" s="38"/>
      <c r="L3260" s="38"/>
    </row>
    <row r="3261" ht="22.5" customHeight="1">
      <c r="A3261" s="36" t="s">
        <v>7207</v>
      </c>
      <c r="B3261" s="36" t="s">
        <v>7208</v>
      </c>
      <c r="C3261" s="36" t="s">
        <v>1495</v>
      </c>
      <c r="D3261" s="36" t="s">
        <v>1496</v>
      </c>
      <c r="E3261" s="36" t="s">
        <v>1285</v>
      </c>
      <c r="F3261" s="36" t="s">
        <v>286</v>
      </c>
      <c r="G3261" s="36" t="s">
        <v>411</v>
      </c>
      <c r="H3261" s="37">
        <v>4.71</v>
      </c>
      <c r="I3261" s="36" t="s">
        <v>1301</v>
      </c>
      <c r="J3261" s="39" t="s">
        <v>286</v>
      </c>
      <c r="K3261" s="38"/>
      <c r="L3261" s="38"/>
    </row>
    <row r="3262" ht="22.5" customHeight="1">
      <c r="A3262" s="36" t="s">
        <v>7209</v>
      </c>
      <c r="B3262" s="36" t="s">
        <v>7210</v>
      </c>
      <c r="C3262" s="36" t="s">
        <v>1495</v>
      </c>
      <c r="D3262" s="36" t="s">
        <v>1496</v>
      </c>
      <c r="E3262" s="36" t="s">
        <v>1285</v>
      </c>
      <c r="F3262" s="36" t="s">
        <v>286</v>
      </c>
      <c r="G3262" s="36" t="s">
        <v>411</v>
      </c>
      <c r="H3262" s="37">
        <v>28.29</v>
      </c>
      <c r="I3262" s="36" t="s">
        <v>1301</v>
      </c>
      <c r="J3262" s="39" t="s">
        <v>286</v>
      </c>
      <c r="K3262" s="38"/>
      <c r="L3262" s="38"/>
    </row>
    <row r="3263" ht="22.5" customHeight="1">
      <c r="A3263" s="36" t="s">
        <v>7211</v>
      </c>
      <c r="B3263" s="36" t="s">
        <v>7212</v>
      </c>
      <c r="C3263" s="36" t="s">
        <v>1495</v>
      </c>
      <c r="D3263" s="36" t="s">
        <v>1496</v>
      </c>
      <c r="E3263" s="36" t="s">
        <v>1285</v>
      </c>
      <c r="F3263" s="36" t="s">
        <v>286</v>
      </c>
      <c r="G3263" s="36" t="s">
        <v>411</v>
      </c>
      <c r="H3263" s="37">
        <v>150.0</v>
      </c>
      <c r="I3263" s="36" t="s">
        <v>1301</v>
      </c>
      <c r="J3263" s="39" t="s">
        <v>286</v>
      </c>
      <c r="K3263" s="38"/>
      <c r="L3263" s="38"/>
    </row>
    <row r="3264" ht="22.5" customHeight="1">
      <c r="A3264" s="36" t="s">
        <v>7213</v>
      </c>
      <c r="B3264" s="36" t="s">
        <v>7214</v>
      </c>
      <c r="C3264" s="36" t="s">
        <v>1495</v>
      </c>
      <c r="D3264" s="36" t="s">
        <v>1496</v>
      </c>
      <c r="E3264" s="36" t="s">
        <v>1285</v>
      </c>
      <c r="F3264" s="36" t="s">
        <v>286</v>
      </c>
      <c r="G3264" s="36" t="s">
        <v>411</v>
      </c>
      <c r="H3264" s="37">
        <v>34.58</v>
      </c>
      <c r="I3264" s="36" t="s">
        <v>1301</v>
      </c>
      <c r="J3264" s="39" t="s">
        <v>286</v>
      </c>
      <c r="K3264" s="38"/>
      <c r="L3264" s="38"/>
    </row>
    <row r="3265" ht="22.5" customHeight="1">
      <c r="A3265" s="36" t="s">
        <v>7215</v>
      </c>
      <c r="B3265" s="36" t="s">
        <v>7216</v>
      </c>
      <c r="C3265" s="36" t="s">
        <v>1495</v>
      </c>
      <c r="D3265" s="36" t="s">
        <v>1496</v>
      </c>
      <c r="E3265" s="36" t="s">
        <v>1285</v>
      </c>
      <c r="F3265" s="36" t="s">
        <v>286</v>
      </c>
      <c r="G3265" s="36" t="s">
        <v>411</v>
      </c>
      <c r="H3265" s="37">
        <v>34.58</v>
      </c>
      <c r="I3265" s="36" t="s">
        <v>1301</v>
      </c>
      <c r="J3265" s="39" t="s">
        <v>286</v>
      </c>
      <c r="K3265" s="38"/>
      <c r="L3265" s="38"/>
    </row>
    <row r="3266" ht="22.5" customHeight="1">
      <c r="A3266" s="36" t="s">
        <v>7217</v>
      </c>
      <c r="B3266" s="36" t="s">
        <v>7218</v>
      </c>
      <c r="C3266" s="36" t="s">
        <v>1495</v>
      </c>
      <c r="D3266" s="36" t="s">
        <v>1496</v>
      </c>
      <c r="E3266" s="36" t="s">
        <v>1285</v>
      </c>
      <c r="F3266" s="36" t="s">
        <v>286</v>
      </c>
      <c r="G3266" s="36" t="s">
        <v>411</v>
      </c>
      <c r="H3266" s="37">
        <v>10.28</v>
      </c>
      <c r="I3266" s="36" t="s">
        <v>1301</v>
      </c>
      <c r="J3266" s="39" t="s">
        <v>286</v>
      </c>
      <c r="K3266" s="38"/>
      <c r="L3266" s="38"/>
    </row>
    <row r="3267" ht="22.5" customHeight="1">
      <c r="A3267" s="36" t="s">
        <v>7219</v>
      </c>
      <c r="B3267" s="36" t="s">
        <v>7220</v>
      </c>
      <c r="C3267" s="36" t="s">
        <v>1495</v>
      </c>
      <c r="D3267" s="36" t="s">
        <v>1496</v>
      </c>
      <c r="E3267" s="36" t="s">
        <v>1285</v>
      </c>
      <c r="F3267" s="36" t="s">
        <v>286</v>
      </c>
      <c r="G3267" s="36" t="s">
        <v>411</v>
      </c>
      <c r="H3267" s="37">
        <v>9.25</v>
      </c>
      <c r="I3267" s="36" t="s">
        <v>1301</v>
      </c>
      <c r="J3267" s="39" t="s">
        <v>286</v>
      </c>
      <c r="K3267" s="38"/>
      <c r="L3267" s="38"/>
    </row>
    <row r="3268" ht="22.5" customHeight="1">
      <c r="A3268" s="36" t="s">
        <v>7221</v>
      </c>
      <c r="B3268" s="36" t="s">
        <v>7222</v>
      </c>
      <c r="C3268" s="36" t="s">
        <v>1495</v>
      </c>
      <c r="D3268" s="36" t="s">
        <v>1496</v>
      </c>
      <c r="E3268" s="36" t="s">
        <v>1285</v>
      </c>
      <c r="F3268" s="36" t="s">
        <v>286</v>
      </c>
      <c r="G3268" s="36" t="s">
        <v>411</v>
      </c>
      <c r="H3268" s="37">
        <v>7.71</v>
      </c>
      <c r="I3268" s="36" t="s">
        <v>1301</v>
      </c>
      <c r="J3268" s="39" t="s">
        <v>286</v>
      </c>
      <c r="K3268" s="38"/>
      <c r="L3268" s="38"/>
    </row>
    <row r="3269" ht="22.5" customHeight="1">
      <c r="A3269" s="36" t="s">
        <v>7223</v>
      </c>
      <c r="B3269" s="36" t="s">
        <v>7224</v>
      </c>
      <c r="C3269" s="36" t="s">
        <v>1495</v>
      </c>
      <c r="D3269" s="36" t="s">
        <v>1496</v>
      </c>
      <c r="E3269" s="36" t="s">
        <v>1285</v>
      </c>
      <c r="F3269" s="36" t="s">
        <v>286</v>
      </c>
      <c r="G3269" s="36" t="s">
        <v>411</v>
      </c>
      <c r="H3269" s="37">
        <v>14.9</v>
      </c>
      <c r="I3269" s="36" t="s">
        <v>1301</v>
      </c>
      <c r="J3269" s="39" t="s">
        <v>286</v>
      </c>
      <c r="K3269" s="38"/>
      <c r="L3269" s="38"/>
    </row>
    <row r="3270" ht="22.5" customHeight="1">
      <c r="A3270" s="36" t="s">
        <v>7225</v>
      </c>
      <c r="B3270" s="36" t="s">
        <v>7226</v>
      </c>
      <c r="C3270" s="36" t="s">
        <v>1495</v>
      </c>
      <c r="D3270" s="36" t="s">
        <v>1496</v>
      </c>
      <c r="E3270" s="36" t="s">
        <v>1285</v>
      </c>
      <c r="F3270" s="36" t="s">
        <v>286</v>
      </c>
      <c r="G3270" s="36" t="s">
        <v>411</v>
      </c>
      <c r="H3270" s="37">
        <v>16.96</v>
      </c>
      <c r="I3270" s="36" t="s">
        <v>1301</v>
      </c>
      <c r="J3270" s="39" t="s">
        <v>286</v>
      </c>
      <c r="K3270" s="38"/>
      <c r="L3270" s="38"/>
    </row>
    <row r="3271" ht="22.5" customHeight="1">
      <c r="A3271" s="36" t="s">
        <v>7227</v>
      </c>
      <c r="B3271" s="36" t="s">
        <v>7228</v>
      </c>
      <c r="C3271" s="36" t="s">
        <v>1495</v>
      </c>
      <c r="D3271" s="36" t="s">
        <v>1496</v>
      </c>
      <c r="E3271" s="36" t="s">
        <v>1285</v>
      </c>
      <c r="F3271" s="36" t="s">
        <v>286</v>
      </c>
      <c r="G3271" s="36" t="s">
        <v>411</v>
      </c>
      <c r="H3271" s="37">
        <v>13.36</v>
      </c>
      <c r="I3271" s="36" t="s">
        <v>1301</v>
      </c>
      <c r="J3271" s="39" t="s">
        <v>286</v>
      </c>
      <c r="K3271" s="38"/>
      <c r="L3271" s="38"/>
    </row>
    <row r="3272" ht="22.5" customHeight="1">
      <c r="A3272" s="36" t="s">
        <v>7229</v>
      </c>
      <c r="B3272" s="36" t="s">
        <v>7230</v>
      </c>
      <c r="C3272" s="36" t="s">
        <v>1495</v>
      </c>
      <c r="D3272" s="36" t="s">
        <v>1496</v>
      </c>
      <c r="E3272" s="36" t="s">
        <v>1285</v>
      </c>
      <c r="F3272" s="36" t="s">
        <v>286</v>
      </c>
      <c r="G3272" s="36" t="s">
        <v>411</v>
      </c>
      <c r="H3272" s="37">
        <v>2.31</v>
      </c>
      <c r="I3272" s="36" t="s">
        <v>1301</v>
      </c>
      <c r="J3272" s="39" t="s">
        <v>286</v>
      </c>
      <c r="K3272" s="38"/>
      <c r="L3272" s="38"/>
    </row>
    <row r="3273" ht="22.5" customHeight="1">
      <c r="A3273" s="36" t="s">
        <v>7231</v>
      </c>
      <c r="B3273" s="36" t="s">
        <v>7232</v>
      </c>
      <c r="C3273" s="36" t="s">
        <v>1495</v>
      </c>
      <c r="D3273" s="36" t="s">
        <v>1496</v>
      </c>
      <c r="E3273" s="36" t="s">
        <v>1285</v>
      </c>
      <c r="F3273" s="36" t="s">
        <v>286</v>
      </c>
      <c r="G3273" s="36" t="s">
        <v>411</v>
      </c>
      <c r="H3273" s="37">
        <v>7.61</v>
      </c>
      <c r="I3273" s="36" t="s">
        <v>1301</v>
      </c>
      <c r="J3273" s="39" t="s">
        <v>286</v>
      </c>
      <c r="K3273" s="38"/>
      <c r="L3273" s="38"/>
    </row>
    <row r="3274" ht="22.5" customHeight="1">
      <c r="A3274" s="36" t="s">
        <v>7233</v>
      </c>
      <c r="B3274" s="36" t="s">
        <v>7234</v>
      </c>
      <c r="C3274" s="36" t="s">
        <v>1495</v>
      </c>
      <c r="D3274" s="36" t="s">
        <v>1496</v>
      </c>
      <c r="E3274" s="36" t="s">
        <v>1285</v>
      </c>
      <c r="F3274" s="36" t="s">
        <v>286</v>
      </c>
      <c r="G3274" s="36" t="s">
        <v>411</v>
      </c>
      <c r="H3274" s="37">
        <v>119.36</v>
      </c>
      <c r="I3274" s="36" t="s">
        <v>1301</v>
      </c>
      <c r="J3274" s="39" t="s">
        <v>286</v>
      </c>
      <c r="K3274" s="38"/>
      <c r="L3274" s="38"/>
    </row>
    <row r="3275" ht="22.5" customHeight="1">
      <c r="A3275" s="36" t="s">
        <v>7235</v>
      </c>
      <c r="B3275" s="36" t="s">
        <v>7236</v>
      </c>
      <c r="C3275" s="36" t="s">
        <v>1495</v>
      </c>
      <c r="D3275" s="36" t="s">
        <v>1496</v>
      </c>
      <c r="E3275" s="36" t="s">
        <v>1285</v>
      </c>
      <c r="F3275" s="36" t="s">
        <v>286</v>
      </c>
      <c r="G3275" s="36" t="s">
        <v>411</v>
      </c>
      <c r="H3275" s="37">
        <v>37.65</v>
      </c>
      <c r="I3275" s="36" t="s">
        <v>1301</v>
      </c>
      <c r="J3275" s="39" t="s">
        <v>286</v>
      </c>
      <c r="K3275" s="38"/>
      <c r="L3275" s="38"/>
    </row>
    <row r="3276" ht="22.5" customHeight="1">
      <c r="A3276" s="36" t="s">
        <v>7237</v>
      </c>
      <c r="B3276" s="36" t="s">
        <v>7238</v>
      </c>
      <c r="C3276" s="36" t="s">
        <v>1495</v>
      </c>
      <c r="D3276" s="36" t="s">
        <v>1496</v>
      </c>
      <c r="E3276" s="36" t="s">
        <v>1285</v>
      </c>
      <c r="F3276" s="36" t="s">
        <v>286</v>
      </c>
      <c r="G3276" s="36" t="s">
        <v>411</v>
      </c>
      <c r="H3276" s="37">
        <v>31.36</v>
      </c>
      <c r="I3276" s="36" t="s">
        <v>1301</v>
      </c>
      <c r="J3276" s="39" t="s">
        <v>286</v>
      </c>
      <c r="K3276" s="38"/>
      <c r="L3276" s="38"/>
    </row>
    <row r="3277" ht="22.5" customHeight="1">
      <c r="A3277" s="36" t="s">
        <v>7239</v>
      </c>
      <c r="B3277" s="36" t="s">
        <v>7240</v>
      </c>
      <c r="C3277" s="36" t="s">
        <v>1495</v>
      </c>
      <c r="D3277" s="36" t="s">
        <v>1496</v>
      </c>
      <c r="E3277" s="36" t="s">
        <v>1285</v>
      </c>
      <c r="F3277" s="36" t="s">
        <v>286</v>
      </c>
      <c r="G3277" s="36" t="s">
        <v>411</v>
      </c>
      <c r="H3277" s="37">
        <v>13658.36</v>
      </c>
      <c r="I3277" s="36" t="s">
        <v>1301</v>
      </c>
      <c r="J3277" s="39" t="s">
        <v>286</v>
      </c>
      <c r="K3277" s="38"/>
      <c r="L3277" s="38"/>
    </row>
    <row r="3278" ht="22.5" customHeight="1">
      <c r="A3278" s="36" t="s">
        <v>7241</v>
      </c>
      <c r="B3278" s="36" t="s">
        <v>7242</v>
      </c>
      <c r="C3278" s="36" t="s">
        <v>1495</v>
      </c>
      <c r="D3278" s="36" t="s">
        <v>1496</v>
      </c>
      <c r="E3278" s="36" t="s">
        <v>1285</v>
      </c>
      <c r="F3278" s="36" t="s">
        <v>286</v>
      </c>
      <c r="G3278" s="36" t="s">
        <v>411</v>
      </c>
      <c r="H3278" s="37">
        <v>87.0</v>
      </c>
      <c r="I3278" s="36" t="s">
        <v>1301</v>
      </c>
      <c r="J3278" s="39" t="s">
        <v>286</v>
      </c>
      <c r="K3278" s="38"/>
      <c r="L3278" s="38"/>
    </row>
    <row r="3279" ht="22.5" customHeight="1">
      <c r="A3279" s="36" t="s">
        <v>7243</v>
      </c>
      <c r="B3279" s="36" t="s">
        <v>7244</v>
      </c>
      <c r="C3279" s="36" t="s">
        <v>1495</v>
      </c>
      <c r="D3279" s="36" t="s">
        <v>1496</v>
      </c>
      <c r="E3279" s="36" t="s">
        <v>1285</v>
      </c>
      <c r="F3279" s="36" t="s">
        <v>286</v>
      </c>
      <c r="G3279" s="36" t="s">
        <v>411</v>
      </c>
      <c r="H3279" s="37">
        <v>3632.75</v>
      </c>
      <c r="I3279" s="36" t="s">
        <v>1301</v>
      </c>
      <c r="J3279" s="39" t="s">
        <v>286</v>
      </c>
      <c r="K3279" s="38"/>
      <c r="L3279" s="38"/>
    </row>
    <row r="3280" ht="22.5" customHeight="1">
      <c r="A3280" s="36" t="s">
        <v>7245</v>
      </c>
      <c r="B3280" s="36" t="s">
        <v>7246</v>
      </c>
      <c r="C3280" s="36" t="s">
        <v>1495</v>
      </c>
      <c r="D3280" s="36" t="s">
        <v>1496</v>
      </c>
      <c r="E3280" s="36" t="s">
        <v>1285</v>
      </c>
      <c r="F3280" s="36" t="s">
        <v>286</v>
      </c>
      <c r="G3280" s="36" t="s">
        <v>411</v>
      </c>
      <c r="H3280" s="37">
        <v>2478.63</v>
      </c>
      <c r="I3280" s="36" t="s">
        <v>1301</v>
      </c>
      <c r="J3280" s="39" t="s">
        <v>286</v>
      </c>
      <c r="K3280" s="38"/>
      <c r="L3280" s="38"/>
    </row>
    <row r="3281" ht="22.5" customHeight="1">
      <c r="A3281" s="36" t="s">
        <v>7247</v>
      </c>
      <c r="B3281" s="36" t="s">
        <v>7248</v>
      </c>
      <c r="C3281" s="36" t="s">
        <v>1495</v>
      </c>
      <c r="D3281" s="36" t="s">
        <v>1496</v>
      </c>
      <c r="E3281" s="36" t="s">
        <v>1285</v>
      </c>
      <c r="F3281" s="36" t="s">
        <v>286</v>
      </c>
      <c r="G3281" s="36" t="s">
        <v>411</v>
      </c>
      <c r="H3281" s="37">
        <v>5326.98</v>
      </c>
      <c r="I3281" s="36" t="s">
        <v>1301</v>
      </c>
      <c r="J3281" s="39" t="s">
        <v>286</v>
      </c>
      <c r="K3281" s="38"/>
      <c r="L3281" s="38"/>
    </row>
    <row r="3282" ht="22.5" customHeight="1">
      <c r="A3282" s="36" t="s">
        <v>7249</v>
      </c>
      <c r="B3282" s="36" t="s">
        <v>7250</v>
      </c>
      <c r="C3282" s="36" t="s">
        <v>1495</v>
      </c>
      <c r="D3282" s="36" t="s">
        <v>1496</v>
      </c>
      <c r="E3282" s="36" t="s">
        <v>1285</v>
      </c>
      <c r="F3282" s="36" t="s">
        <v>286</v>
      </c>
      <c r="G3282" s="36" t="s">
        <v>411</v>
      </c>
      <c r="H3282" s="37">
        <v>417.61</v>
      </c>
      <c r="I3282" s="36" t="s">
        <v>1301</v>
      </c>
      <c r="J3282" s="39" t="s">
        <v>286</v>
      </c>
      <c r="K3282" s="38"/>
      <c r="L3282" s="38"/>
    </row>
    <row r="3283" ht="22.5" customHeight="1">
      <c r="A3283" s="36" t="s">
        <v>7251</v>
      </c>
      <c r="B3283" s="36" t="s">
        <v>7252</v>
      </c>
      <c r="C3283" s="36" t="s">
        <v>1495</v>
      </c>
      <c r="D3283" s="36" t="s">
        <v>1496</v>
      </c>
      <c r="E3283" s="36" t="s">
        <v>1285</v>
      </c>
      <c r="F3283" s="36" t="s">
        <v>286</v>
      </c>
      <c r="G3283" s="36" t="s">
        <v>411</v>
      </c>
      <c r="H3283" s="37">
        <v>417.61</v>
      </c>
      <c r="I3283" s="36" t="s">
        <v>1301</v>
      </c>
      <c r="J3283" s="39" t="s">
        <v>286</v>
      </c>
      <c r="K3283" s="38"/>
      <c r="L3283" s="38"/>
    </row>
    <row r="3284" ht="22.5" customHeight="1">
      <c r="A3284" s="36" t="s">
        <v>7253</v>
      </c>
      <c r="B3284" s="36" t="s">
        <v>7254</v>
      </c>
      <c r="C3284" s="36" t="s">
        <v>1495</v>
      </c>
      <c r="D3284" s="36" t="s">
        <v>1496</v>
      </c>
      <c r="E3284" s="36" t="s">
        <v>1285</v>
      </c>
      <c r="F3284" s="36" t="s">
        <v>286</v>
      </c>
      <c r="G3284" s="36" t="s">
        <v>411</v>
      </c>
      <c r="H3284" s="37">
        <v>172.41</v>
      </c>
      <c r="I3284" s="36" t="s">
        <v>1301</v>
      </c>
      <c r="J3284" s="39" t="s">
        <v>286</v>
      </c>
      <c r="K3284" s="38"/>
      <c r="L3284" s="38"/>
    </row>
    <row r="3285" ht="22.5" customHeight="1">
      <c r="A3285" s="36" t="s">
        <v>7255</v>
      </c>
      <c r="B3285" s="36" t="s">
        <v>7256</v>
      </c>
      <c r="C3285" s="36" t="s">
        <v>1495</v>
      </c>
      <c r="D3285" s="36" t="s">
        <v>1496</v>
      </c>
      <c r="E3285" s="36" t="s">
        <v>1285</v>
      </c>
      <c r="F3285" s="36" t="s">
        <v>286</v>
      </c>
      <c r="G3285" s="36" t="s">
        <v>411</v>
      </c>
      <c r="H3285" s="37">
        <v>171.96</v>
      </c>
      <c r="I3285" s="36" t="s">
        <v>1301</v>
      </c>
      <c r="J3285" s="39" t="s">
        <v>286</v>
      </c>
      <c r="K3285" s="38"/>
      <c r="L3285" s="38"/>
    </row>
    <row r="3286" ht="22.5" customHeight="1">
      <c r="A3286" s="36" t="s">
        <v>7257</v>
      </c>
      <c r="B3286" s="36" t="s">
        <v>7258</v>
      </c>
      <c r="C3286" s="36" t="s">
        <v>1495</v>
      </c>
      <c r="D3286" s="36" t="s">
        <v>1496</v>
      </c>
      <c r="E3286" s="36" t="s">
        <v>1285</v>
      </c>
      <c r="F3286" s="36" t="s">
        <v>286</v>
      </c>
      <c r="G3286" s="36" t="s">
        <v>411</v>
      </c>
      <c r="H3286" s="37">
        <v>25.94</v>
      </c>
      <c r="I3286" s="36" t="s">
        <v>1301</v>
      </c>
      <c r="J3286" s="39" t="s">
        <v>286</v>
      </c>
      <c r="K3286" s="38"/>
      <c r="L3286" s="38"/>
    </row>
    <row r="3287" ht="22.5" customHeight="1">
      <c r="A3287" s="36" t="s">
        <v>7259</v>
      </c>
      <c r="B3287" s="36" t="s">
        <v>7260</v>
      </c>
      <c r="C3287" s="36" t="s">
        <v>1495</v>
      </c>
      <c r="D3287" s="36" t="s">
        <v>1496</v>
      </c>
      <c r="E3287" s="36" t="s">
        <v>1285</v>
      </c>
      <c r="F3287" s="36" t="s">
        <v>286</v>
      </c>
      <c r="G3287" s="36" t="s">
        <v>411</v>
      </c>
      <c r="H3287" s="37">
        <v>14.95</v>
      </c>
      <c r="I3287" s="36" t="s">
        <v>1301</v>
      </c>
      <c r="J3287" s="39" t="s">
        <v>286</v>
      </c>
      <c r="K3287" s="38"/>
      <c r="L3287" s="38"/>
    </row>
    <row r="3288" ht="22.5" customHeight="1">
      <c r="A3288" s="36" t="s">
        <v>7261</v>
      </c>
      <c r="B3288" s="36" t="s">
        <v>7262</v>
      </c>
      <c r="C3288" s="36" t="s">
        <v>1495</v>
      </c>
      <c r="D3288" s="36" t="s">
        <v>1496</v>
      </c>
      <c r="E3288" s="36" t="s">
        <v>1285</v>
      </c>
      <c r="F3288" s="36" t="s">
        <v>286</v>
      </c>
      <c r="G3288" s="36" t="s">
        <v>411</v>
      </c>
      <c r="H3288" s="37">
        <v>82.11</v>
      </c>
      <c r="I3288" s="36" t="s">
        <v>1301</v>
      </c>
      <c r="J3288" s="39" t="s">
        <v>286</v>
      </c>
      <c r="K3288" s="38"/>
      <c r="L3288" s="38"/>
    </row>
    <row r="3289" ht="22.5" customHeight="1">
      <c r="A3289" s="36" t="s">
        <v>7263</v>
      </c>
      <c r="B3289" s="36" t="s">
        <v>7264</v>
      </c>
      <c r="C3289" s="36" t="s">
        <v>1495</v>
      </c>
      <c r="D3289" s="36" t="s">
        <v>1496</v>
      </c>
      <c r="E3289" s="36" t="s">
        <v>1285</v>
      </c>
      <c r="F3289" s="36" t="s">
        <v>286</v>
      </c>
      <c r="G3289" s="36" t="s">
        <v>411</v>
      </c>
      <c r="H3289" s="37">
        <v>171.94</v>
      </c>
      <c r="I3289" s="36" t="s">
        <v>1301</v>
      </c>
      <c r="J3289" s="39" t="s">
        <v>286</v>
      </c>
      <c r="K3289" s="38"/>
      <c r="L3289" s="38"/>
    </row>
    <row r="3290" ht="22.5" customHeight="1">
      <c r="A3290" s="36" t="s">
        <v>7265</v>
      </c>
      <c r="B3290" s="36" t="s">
        <v>7266</v>
      </c>
      <c r="C3290" s="36" t="s">
        <v>1495</v>
      </c>
      <c r="D3290" s="36" t="s">
        <v>1496</v>
      </c>
      <c r="E3290" s="36" t="s">
        <v>1285</v>
      </c>
      <c r="F3290" s="36" t="s">
        <v>286</v>
      </c>
      <c r="G3290" s="36" t="s">
        <v>411</v>
      </c>
      <c r="H3290" s="37">
        <v>80.15</v>
      </c>
      <c r="I3290" s="36" t="s">
        <v>1301</v>
      </c>
      <c r="J3290" s="39" t="s">
        <v>286</v>
      </c>
      <c r="K3290" s="38"/>
      <c r="L3290" s="38"/>
    </row>
    <row r="3291" ht="22.5" customHeight="1">
      <c r="A3291" s="36" t="s">
        <v>7267</v>
      </c>
      <c r="B3291" s="36" t="s">
        <v>7268</v>
      </c>
      <c r="C3291" s="36" t="s">
        <v>1495</v>
      </c>
      <c r="D3291" s="36" t="s">
        <v>1496</v>
      </c>
      <c r="E3291" s="36" t="s">
        <v>1285</v>
      </c>
      <c r="F3291" s="36" t="s">
        <v>286</v>
      </c>
      <c r="G3291" s="36" t="s">
        <v>411</v>
      </c>
      <c r="H3291" s="37">
        <v>425.0</v>
      </c>
      <c r="I3291" s="36" t="s">
        <v>1301</v>
      </c>
      <c r="J3291" s="39" t="s">
        <v>286</v>
      </c>
      <c r="K3291" s="38"/>
      <c r="L3291" s="38"/>
    </row>
    <row r="3292" ht="22.5" customHeight="1">
      <c r="A3292" s="36" t="s">
        <v>7269</v>
      </c>
      <c r="B3292" s="36" t="s">
        <v>7270</v>
      </c>
      <c r="C3292" s="36" t="s">
        <v>1495</v>
      </c>
      <c r="D3292" s="36" t="s">
        <v>1496</v>
      </c>
      <c r="E3292" s="36" t="s">
        <v>1285</v>
      </c>
      <c r="F3292" s="36" t="s">
        <v>286</v>
      </c>
      <c r="G3292" s="36" t="s">
        <v>411</v>
      </c>
      <c r="H3292" s="37">
        <v>10.98</v>
      </c>
      <c r="I3292" s="36" t="s">
        <v>1301</v>
      </c>
      <c r="J3292" s="39" t="s">
        <v>286</v>
      </c>
      <c r="K3292" s="38"/>
      <c r="L3292" s="38"/>
    </row>
    <row r="3293" ht="22.5" customHeight="1">
      <c r="A3293" s="36" t="s">
        <v>7271</v>
      </c>
      <c r="B3293" s="36" t="s">
        <v>7272</v>
      </c>
      <c r="C3293" s="36" t="s">
        <v>1495</v>
      </c>
      <c r="D3293" s="36" t="s">
        <v>1496</v>
      </c>
      <c r="E3293" s="36" t="s">
        <v>1285</v>
      </c>
      <c r="F3293" s="36" t="s">
        <v>286</v>
      </c>
      <c r="G3293" s="36" t="s">
        <v>411</v>
      </c>
      <c r="H3293" s="37">
        <v>10.98</v>
      </c>
      <c r="I3293" s="36" t="s">
        <v>1301</v>
      </c>
      <c r="J3293" s="39" t="s">
        <v>286</v>
      </c>
      <c r="K3293" s="38"/>
      <c r="L3293" s="38"/>
    </row>
    <row r="3294" ht="22.5" customHeight="1">
      <c r="A3294" s="36" t="s">
        <v>7273</v>
      </c>
      <c r="B3294" s="36" t="s">
        <v>7274</v>
      </c>
      <c r="C3294" s="36" t="s">
        <v>1495</v>
      </c>
      <c r="D3294" s="36" t="s">
        <v>1496</v>
      </c>
      <c r="E3294" s="36" t="s">
        <v>1285</v>
      </c>
      <c r="F3294" s="36" t="s">
        <v>286</v>
      </c>
      <c r="G3294" s="36" t="s">
        <v>411</v>
      </c>
      <c r="H3294" s="37">
        <v>10.98</v>
      </c>
      <c r="I3294" s="36" t="s">
        <v>1301</v>
      </c>
      <c r="J3294" s="39" t="s">
        <v>286</v>
      </c>
      <c r="K3294" s="38"/>
      <c r="L3294" s="38"/>
    </row>
    <row r="3295" ht="22.5" customHeight="1">
      <c r="A3295" s="36" t="s">
        <v>7275</v>
      </c>
      <c r="B3295" s="36" t="s">
        <v>7276</v>
      </c>
      <c r="C3295" s="36" t="s">
        <v>1495</v>
      </c>
      <c r="D3295" s="36" t="s">
        <v>1496</v>
      </c>
      <c r="E3295" s="36" t="s">
        <v>1285</v>
      </c>
      <c r="F3295" s="36" t="s">
        <v>286</v>
      </c>
      <c r="G3295" s="36" t="s">
        <v>411</v>
      </c>
      <c r="H3295" s="37">
        <v>12.66</v>
      </c>
      <c r="I3295" s="36" t="s">
        <v>1301</v>
      </c>
      <c r="J3295" s="39" t="s">
        <v>286</v>
      </c>
      <c r="K3295" s="38"/>
      <c r="L3295" s="38"/>
    </row>
    <row r="3296" ht="22.5" customHeight="1">
      <c r="A3296" s="36" t="s">
        <v>7277</v>
      </c>
      <c r="B3296" s="36" t="s">
        <v>7278</v>
      </c>
      <c r="C3296" s="36" t="s">
        <v>1495</v>
      </c>
      <c r="D3296" s="36" t="s">
        <v>1496</v>
      </c>
      <c r="E3296" s="36" t="s">
        <v>1285</v>
      </c>
      <c r="F3296" s="36" t="s">
        <v>286</v>
      </c>
      <c r="G3296" s="36" t="s">
        <v>411</v>
      </c>
      <c r="H3296" s="37">
        <v>12.66</v>
      </c>
      <c r="I3296" s="36" t="s">
        <v>1301</v>
      </c>
      <c r="J3296" s="39" t="s">
        <v>286</v>
      </c>
      <c r="K3296" s="38"/>
      <c r="L3296" s="38"/>
    </row>
    <row r="3297" ht="22.5" customHeight="1">
      <c r="A3297" s="36" t="s">
        <v>7279</v>
      </c>
      <c r="B3297" s="36" t="s">
        <v>7280</v>
      </c>
      <c r="C3297" s="36" t="s">
        <v>1495</v>
      </c>
      <c r="D3297" s="36" t="s">
        <v>1496</v>
      </c>
      <c r="E3297" s="36" t="s">
        <v>1285</v>
      </c>
      <c r="F3297" s="36" t="s">
        <v>286</v>
      </c>
      <c r="G3297" s="36" t="s">
        <v>411</v>
      </c>
      <c r="H3297" s="37">
        <v>29.23</v>
      </c>
      <c r="I3297" s="36" t="s">
        <v>1301</v>
      </c>
      <c r="J3297" s="39" t="s">
        <v>286</v>
      </c>
      <c r="K3297" s="38"/>
      <c r="L3297" s="38"/>
    </row>
    <row r="3298" ht="22.5" customHeight="1">
      <c r="A3298" s="36" t="s">
        <v>7281</v>
      </c>
      <c r="B3298" s="36" t="s">
        <v>7282</v>
      </c>
      <c r="C3298" s="36" t="s">
        <v>1495</v>
      </c>
      <c r="D3298" s="36" t="s">
        <v>1496</v>
      </c>
      <c r="E3298" s="36" t="s">
        <v>1285</v>
      </c>
      <c r="F3298" s="36" t="s">
        <v>286</v>
      </c>
      <c r="G3298" s="36" t="s">
        <v>411</v>
      </c>
      <c r="H3298" s="37">
        <v>38.98</v>
      </c>
      <c r="I3298" s="36" t="s">
        <v>1301</v>
      </c>
      <c r="J3298" s="39" t="s">
        <v>286</v>
      </c>
      <c r="K3298" s="38"/>
      <c r="L3298" s="38"/>
    </row>
    <row r="3299" ht="22.5" customHeight="1">
      <c r="A3299" s="36" t="s">
        <v>7283</v>
      </c>
      <c r="B3299" s="36" t="s">
        <v>7284</v>
      </c>
      <c r="C3299" s="36" t="s">
        <v>1495</v>
      </c>
      <c r="D3299" s="36" t="s">
        <v>1496</v>
      </c>
      <c r="E3299" s="36" t="s">
        <v>1285</v>
      </c>
      <c r="F3299" s="36" t="s">
        <v>286</v>
      </c>
      <c r="G3299" s="36" t="s">
        <v>411</v>
      </c>
      <c r="H3299" s="37">
        <v>73.08</v>
      </c>
      <c r="I3299" s="36" t="s">
        <v>1301</v>
      </c>
      <c r="J3299" s="39" t="s">
        <v>286</v>
      </c>
      <c r="K3299" s="38"/>
      <c r="L3299" s="38"/>
    </row>
    <row r="3300" ht="22.5" customHeight="1">
      <c r="A3300" s="36" t="s">
        <v>7285</v>
      </c>
      <c r="B3300" s="36" t="s">
        <v>7286</v>
      </c>
      <c r="C3300" s="36" t="s">
        <v>1495</v>
      </c>
      <c r="D3300" s="36" t="s">
        <v>1496</v>
      </c>
      <c r="E3300" s="36" t="s">
        <v>975</v>
      </c>
      <c r="F3300" s="36" t="s">
        <v>286</v>
      </c>
      <c r="G3300" s="36" t="s">
        <v>411</v>
      </c>
      <c r="H3300" s="37">
        <v>1.87</v>
      </c>
      <c r="I3300" s="36" t="s">
        <v>1301</v>
      </c>
      <c r="J3300" s="39" t="s">
        <v>286</v>
      </c>
      <c r="K3300" s="38"/>
      <c r="L3300" s="38"/>
    </row>
    <row r="3301" ht="22.5" customHeight="1">
      <c r="A3301" s="36" t="s">
        <v>7287</v>
      </c>
      <c r="B3301" s="36" t="s">
        <v>7288</v>
      </c>
      <c r="C3301" s="36" t="s">
        <v>1495</v>
      </c>
      <c r="D3301" s="36" t="s">
        <v>1496</v>
      </c>
      <c r="E3301" s="36" t="s">
        <v>975</v>
      </c>
      <c r="F3301" s="36" t="s">
        <v>286</v>
      </c>
      <c r="G3301" s="36" t="s">
        <v>411</v>
      </c>
      <c r="H3301" s="37">
        <v>1.72</v>
      </c>
      <c r="I3301" s="36" t="s">
        <v>1301</v>
      </c>
      <c r="J3301" s="39" t="s">
        <v>286</v>
      </c>
      <c r="K3301" s="38"/>
      <c r="L3301" s="38"/>
    </row>
    <row r="3302" ht="22.5" customHeight="1">
      <c r="A3302" s="36" t="s">
        <v>7289</v>
      </c>
      <c r="B3302" s="36" t="s">
        <v>7290</v>
      </c>
      <c r="C3302" s="36" t="s">
        <v>1495</v>
      </c>
      <c r="D3302" s="36" t="s">
        <v>1496</v>
      </c>
      <c r="E3302" s="36" t="s">
        <v>975</v>
      </c>
      <c r="F3302" s="36" t="s">
        <v>286</v>
      </c>
      <c r="G3302" s="36" t="s">
        <v>411</v>
      </c>
      <c r="H3302" s="37">
        <v>5.92</v>
      </c>
      <c r="I3302" s="36" t="s">
        <v>1301</v>
      </c>
      <c r="J3302" s="39" t="s">
        <v>286</v>
      </c>
      <c r="K3302" s="38"/>
      <c r="L3302" s="38"/>
    </row>
    <row r="3303" ht="22.5" customHeight="1">
      <c r="A3303" s="36" t="s">
        <v>7291</v>
      </c>
      <c r="B3303" s="36" t="s">
        <v>7292</v>
      </c>
      <c r="C3303" s="36" t="s">
        <v>1495</v>
      </c>
      <c r="D3303" s="36" t="s">
        <v>1496</v>
      </c>
      <c r="E3303" s="36" t="s">
        <v>975</v>
      </c>
      <c r="F3303" s="36" t="s">
        <v>286</v>
      </c>
      <c r="G3303" s="36" t="s">
        <v>411</v>
      </c>
      <c r="H3303" s="37">
        <v>3.02</v>
      </c>
      <c r="I3303" s="36" t="s">
        <v>1301</v>
      </c>
      <c r="J3303" s="39" t="s">
        <v>286</v>
      </c>
      <c r="K3303" s="38"/>
      <c r="L3303" s="38"/>
    </row>
    <row r="3304" ht="22.5" customHeight="1">
      <c r="A3304" s="36" t="s">
        <v>7293</v>
      </c>
      <c r="B3304" s="36" t="s">
        <v>7294</v>
      </c>
      <c r="C3304" s="36" t="s">
        <v>1495</v>
      </c>
      <c r="D3304" s="36" t="s">
        <v>1496</v>
      </c>
      <c r="E3304" s="36" t="s">
        <v>975</v>
      </c>
      <c r="F3304" s="36" t="s">
        <v>286</v>
      </c>
      <c r="G3304" s="36" t="s">
        <v>411</v>
      </c>
      <c r="H3304" s="37">
        <v>2.79</v>
      </c>
      <c r="I3304" s="36" t="s">
        <v>1301</v>
      </c>
      <c r="J3304" s="39" t="s">
        <v>286</v>
      </c>
      <c r="K3304" s="38"/>
      <c r="L3304" s="38"/>
    </row>
    <row r="3305" ht="22.5" customHeight="1">
      <c r="A3305" s="36" t="s">
        <v>7295</v>
      </c>
      <c r="B3305" s="36" t="s">
        <v>7296</v>
      </c>
      <c r="C3305" s="36" t="s">
        <v>1495</v>
      </c>
      <c r="D3305" s="36" t="s">
        <v>1496</v>
      </c>
      <c r="E3305" s="36" t="s">
        <v>975</v>
      </c>
      <c r="F3305" s="36" t="s">
        <v>286</v>
      </c>
      <c r="G3305" s="36" t="s">
        <v>411</v>
      </c>
      <c r="H3305" s="37">
        <v>1.68</v>
      </c>
      <c r="I3305" s="36" t="s">
        <v>1301</v>
      </c>
      <c r="J3305" s="39" t="s">
        <v>286</v>
      </c>
      <c r="K3305" s="38"/>
      <c r="L3305" s="38"/>
    </row>
    <row r="3306" ht="22.5" customHeight="1">
      <c r="A3306" s="36" t="s">
        <v>7297</v>
      </c>
      <c r="B3306" s="36" t="s">
        <v>7298</v>
      </c>
      <c r="C3306" s="36" t="s">
        <v>1495</v>
      </c>
      <c r="D3306" s="36" t="s">
        <v>1496</v>
      </c>
      <c r="E3306" s="36" t="s">
        <v>975</v>
      </c>
      <c r="F3306" s="36" t="s">
        <v>286</v>
      </c>
      <c r="G3306" s="36" t="s">
        <v>411</v>
      </c>
      <c r="H3306" s="37">
        <v>4.24</v>
      </c>
      <c r="I3306" s="36" t="s">
        <v>1301</v>
      </c>
      <c r="J3306" s="39" t="s">
        <v>286</v>
      </c>
      <c r="K3306" s="38"/>
      <c r="L3306" s="38"/>
    </row>
    <row r="3307" ht="22.5" customHeight="1">
      <c r="A3307" s="36" t="s">
        <v>7299</v>
      </c>
      <c r="B3307" s="36" t="s">
        <v>7300</v>
      </c>
      <c r="C3307" s="36" t="s">
        <v>1495</v>
      </c>
      <c r="D3307" s="36" t="s">
        <v>1496</v>
      </c>
      <c r="E3307" s="36" t="s">
        <v>975</v>
      </c>
      <c r="F3307" s="36" t="s">
        <v>286</v>
      </c>
      <c r="G3307" s="36" t="s">
        <v>411</v>
      </c>
      <c r="H3307" s="37">
        <v>2.79</v>
      </c>
      <c r="I3307" s="36" t="s">
        <v>1301</v>
      </c>
      <c r="J3307" s="39" t="s">
        <v>286</v>
      </c>
      <c r="K3307" s="38"/>
      <c r="L3307" s="38"/>
    </row>
    <row r="3308" ht="22.5" customHeight="1">
      <c r="A3308" s="36" t="s">
        <v>7301</v>
      </c>
      <c r="B3308" s="36" t="s">
        <v>7302</v>
      </c>
      <c r="C3308" s="36" t="s">
        <v>1495</v>
      </c>
      <c r="D3308" s="36" t="s">
        <v>1496</v>
      </c>
      <c r="E3308" s="36" t="s">
        <v>975</v>
      </c>
      <c r="F3308" s="36" t="s">
        <v>286</v>
      </c>
      <c r="G3308" s="36" t="s">
        <v>411</v>
      </c>
      <c r="H3308" s="37">
        <v>4.61</v>
      </c>
      <c r="I3308" s="36" t="s">
        <v>1301</v>
      </c>
      <c r="J3308" s="39" t="s">
        <v>286</v>
      </c>
      <c r="K3308" s="38"/>
      <c r="L3308" s="38"/>
    </row>
    <row r="3309" ht="22.5" customHeight="1">
      <c r="A3309" s="36" t="s">
        <v>7303</v>
      </c>
      <c r="B3309" s="36" t="s">
        <v>7304</v>
      </c>
      <c r="C3309" s="36" t="s">
        <v>1495</v>
      </c>
      <c r="D3309" s="36" t="s">
        <v>1496</v>
      </c>
      <c r="E3309" s="36" t="s">
        <v>975</v>
      </c>
      <c r="F3309" s="36" t="s">
        <v>286</v>
      </c>
      <c r="G3309" s="36" t="s">
        <v>411</v>
      </c>
      <c r="H3309" s="37">
        <v>3.0</v>
      </c>
      <c r="I3309" s="36" t="s">
        <v>1301</v>
      </c>
      <c r="J3309" s="39" t="s">
        <v>286</v>
      </c>
      <c r="K3309" s="38"/>
      <c r="L3309" s="38"/>
    </row>
    <row r="3310" ht="22.5" customHeight="1">
      <c r="A3310" s="36" t="s">
        <v>7305</v>
      </c>
      <c r="B3310" s="36" t="s">
        <v>7306</v>
      </c>
      <c r="C3310" s="36" t="s">
        <v>1495</v>
      </c>
      <c r="D3310" s="36" t="s">
        <v>1496</v>
      </c>
      <c r="E3310" s="36" t="s">
        <v>975</v>
      </c>
      <c r="F3310" s="36" t="s">
        <v>286</v>
      </c>
      <c r="G3310" s="36" t="s">
        <v>411</v>
      </c>
      <c r="H3310" s="37">
        <v>2.93</v>
      </c>
      <c r="I3310" s="36" t="s">
        <v>1301</v>
      </c>
      <c r="J3310" s="39" t="s">
        <v>286</v>
      </c>
      <c r="K3310" s="38"/>
      <c r="L3310" s="38"/>
    </row>
    <row r="3311" ht="22.5" customHeight="1">
      <c r="A3311" s="36" t="s">
        <v>7307</v>
      </c>
      <c r="B3311" s="36" t="s">
        <v>7308</v>
      </c>
      <c r="C3311" s="36" t="s">
        <v>1495</v>
      </c>
      <c r="D3311" s="36" t="s">
        <v>1496</v>
      </c>
      <c r="E3311" s="36" t="s">
        <v>975</v>
      </c>
      <c r="F3311" s="36" t="s">
        <v>286</v>
      </c>
      <c r="G3311" s="36" t="s">
        <v>411</v>
      </c>
      <c r="H3311" s="37">
        <v>2.85</v>
      </c>
      <c r="I3311" s="36" t="s">
        <v>1301</v>
      </c>
      <c r="J3311" s="39" t="s">
        <v>286</v>
      </c>
      <c r="K3311" s="38"/>
      <c r="L3311" s="38"/>
    </row>
    <row r="3312" ht="22.5" customHeight="1">
      <c r="A3312" s="36" t="s">
        <v>7309</v>
      </c>
      <c r="B3312" s="36" t="s">
        <v>7310</v>
      </c>
      <c r="C3312" s="36" t="s">
        <v>1495</v>
      </c>
      <c r="D3312" s="36" t="s">
        <v>1496</v>
      </c>
      <c r="E3312" s="36" t="s">
        <v>975</v>
      </c>
      <c r="F3312" s="36" t="s">
        <v>286</v>
      </c>
      <c r="G3312" s="36" t="s">
        <v>411</v>
      </c>
      <c r="H3312" s="37">
        <v>9.09</v>
      </c>
      <c r="I3312" s="36" t="s">
        <v>1301</v>
      </c>
      <c r="J3312" s="39" t="s">
        <v>286</v>
      </c>
      <c r="K3312" s="38"/>
      <c r="L3312" s="38"/>
    </row>
    <row r="3313" ht="22.5" customHeight="1">
      <c r="A3313" s="36" t="s">
        <v>7311</v>
      </c>
      <c r="B3313" s="36" t="s">
        <v>7312</v>
      </c>
      <c r="C3313" s="36" t="s">
        <v>1495</v>
      </c>
      <c r="D3313" s="36" t="s">
        <v>1496</v>
      </c>
      <c r="E3313" s="36" t="s">
        <v>975</v>
      </c>
      <c r="F3313" s="36" t="s">
        <v>286</v>
      </c>
      <c r="G3313" s="36" t="s">
        <v>411</v>
      </c>
      <c r="H3313" s="37">
        <v>6.37</v>
      </c>
      <c r="I3313" s="36" t="s">
        <v>1301</v>
      </c>
      <c r="J3313" s="39" t="s">
        <v>286</v>
      </c>
      <c r="K3313" s="38"/>
      <c r="L3313" s="38"/>
    </row>
    <row r="3314" ht="22.5" customHeight="1">
      <c r="A3314" s="36" t="s">
        <v>7313</v>
      </c>
      <c r="B3314" s="36" t="s">
        <v>7314</v>
      </c>
      <c r="C3314" s="36" t="s">
        <v>1495</v>
      </c>
      <c r="D3314" s="36" t="s">
        <v>1496</v>
      </c>
      <c r="E3314" s="36" t="s">
        <v>975</v>
      </c>
      <c r="F3314" s="36" t="s">
        <v>286</v>
      </c>
      <c r="G3314" s="36" t="s">
        <v>411</v>
      </c>
      <c r="H3314" s="37">
        <v>7.13</v>
      </c>
      <c r="I3314" s="36" t="s">
        <v>1301</v>
      </c>
      <c r="J3314" s="39" t="s">
        <v>286</v>
      </c>
      <c r="K3314" s="38"/>
      <c r="L3314" s="38"/>
    </row>
    <row r="3315" ht="22.5" customHeight="1">
      <c r="A3315" s="36" t="s">
        <v>7315</v>
      </c>
      <c r="B3315" s="36" t="s">
        <v>7316</v>
      </c>
      <c r="C3315" s="36" t="s">
        <v>1495</v>
      </c>
      <c r="D3315" s="36" t="s">
        <v>1496</v>
      </c>
      <c r="E3315" s="36" t="s">
        <v>975</v>
      </c>
      <c r="F3315" s="36" t="s">
        <v>286</v>
      </c>
      <c r="G3315" s="36" t="s">
        <v>411</v>
      </c>
      <c r="H3315" s="37">
        <v>8.05</v>
      </c>
      <c r="I3315" s="36" t="s">
        <v>1301</v>
      </c>
      <c r="J3315" s="39" t="s">
        <v>286</v>
      </c>
      <c r="K3315" s="38"/>
      <c r="L3315" s="38"/>
    </row>
    <row r="3316" ht="22.5" customHeight="1">
      <c r="A3316" s="36" t="s">
        <v>7317</v>
      </c>
      <c r="B3316" s="36" t="s">
        <v>7318</v>
      </c>
      <c r="C3316" s="36" t="s">
        <v>1495</v>
      </c>
      <c r="D3316" s="36" t="s">
        <v>1496</v>
      </c>
      <c r="E3316" s="36" t="s">
        <v>975</v>
      </c>
      <c r="F3316" s="36" t="s">
        <v>286</v>
      </c>
      <c r="G3316" s="36" t="s">
        <v>411</v>
      </c>
      <c r="H3316" s="37">
        <v>2.49</v>
      </c>
      <c r="I3316" s="36" t="s">
        <v>1301</v>
      </c>
      <c r="J3316" s="39" t="s">
        <v>286</v>
      </c>
      <c r="K3316" s="38"/>
      <c r="L3316" s="38"/>
    </row>
    <row r="3317" ht="22.5" customHeight="1">
      <c r="A3317" s="36" t="s">
        <v>7319</v>
      </c>
      <c r="B3317" s="36" t="s">
        <v>7320</v>
      </c>
      <c r="C3317" s="36" t="s">
        <v>1495</v>
      </c>
      <c r="D3317" s="36" t="s">
        <v>1496</v>
      </c>
      <c r="E3317" s="36" t="s">
        <v>975</v>
      </c>
      <c r="F3317" s="36" t="s">
        <v>286</v>
      </c>
      <c r="G3317" s="36" t="s">
        <v>411</v>
      </c>
      <c r="H3317" s="37">
        <v>5.01</v>
      </c>
      <c r="I3317" s="36" t="s">
        <v>1301</v>
      </c>
      <c r="J3317" s="39" t="s">
        <v>286</v>
      </c>
      <c r="K3317" s="38"/>
      <c r="L3317" s="38"/>
    </row>
    <row r="3318" ht="22.5" customHeight="1">
      <c r="A3318" s="36" t="s">
        <v>7321</v>
      </c>
      <c r="B3318" s="36" t="s">
        <v>7322</v>
      </c>
      <c r="C3318" s="36" t="s">
        <v>1495</v>
      </c>
      <c r="D3318" s="36" t="s">
        <v>1496</v>
      </c>
      <c r="E3318" s="36" t="s">
        <v>975</v>
      </c>
      <c r="F3318" s="36" t="s">
        <v>286</v>
      </c>
      <c r="G3318" s="36" t="s">
        <v>411</v>
      </c>
      <c r="H3318" s="37">
        <v>3.02</v>
      </c>
      <c r="I3318" s="36" t="s">
        <v>1301</v>
      </c>
      <c r="J3318" s="39" t="s">
        <v>286</v>
      </c>
      <c r="K3318" s="38"/>
      <c r="L3318" s="38"/>
    </row>
    <row r="3319" ht="22.5" customHeight="1">
      <c r="A3319" s="36" t="s">
        <v>7323</v>
      </c>
      <c r="B3319" s="36" t="s">
        <v>7324</v>
      </c>
      <c r="C3319" s="36" t="s">
        <v>1495</v>
      </c>
      <c r="D3319" s="36" t="s">
        <v>1496</v>
      </c>
      <c r="E3319" s="36" t="s">
        <v>975</v>
      </c>
      <c r="F3319" s="36" t="s">
        <v>286</v>
      </c>
      <c r="G3319" s="36" t="s">
        <v>411</v>
      </c>
      <c r="H3319" s="37">
        <v>11.08</v>
      </c>
      <c r="I3319" s="36" t="s">
        <v>1301</v>
      </c>
      <c r="J3319" s="39" t="s">
        <v>286</v>
      </c>
      <c r="K3319" s="38"/>
      <c r="L3319" s="38"/>
    </row>
    <row r="3320" ht="22.5" customHeight="1">
      <c r="A3320" s="36" t="s">
        <v>7325</v>
      </c>
      <c r="B3320" s="36" t="s">
        <v>7326</v>
      </c>
      <c r="C3320" s="36" t="s">
        <v>1495</v>
      </c>
      <c r="D3320" s="36" t="s">
        <v>1496</v>
      </c>
      <c r="E3320" s="36" t="s">
        <v>975</v>
      </c>
      <c r="F3320" s="36" t="s">
        <v>286</v>
      </c>
      <c r="G3320" s="36" t="s">
        <v>411</v>
      </c>
      <c r="H3320" s="37">
        <v>5.8</v>
      </c>
      <c r="I3320" s="36" t="s">
        <v>1301</v>
      </c>
      <c r="J3320" s="39" t="s">
        <v>286</v>
      </c>
      <c r="K3320" s="38"/>
      <c r="L3320" s="38"/>
    </row>
    <row r="3321" ht="22.5" customHeight="1">
      <c r="A3321" s="36" t="s">
        <v>7327</v>
      </c>
      <c r="B3321" s="36" t="s">
        <v>7328</v>
      </c>
      <c r="C3321" s="36" t="s">
        <v>1495</v>
      </c>
      <c r="D3321" s="36" t="s">
        <v>1496</v>
      </c>
      <c r="E3321" s="36" t="s">
        <v>975</v>
      </c>
      <c r="F3321" s="36" t="s">
        <v>286</v>
      </c>
      <c r="G3321" s="36" t="s">
        <v>411</v>
      </c>
      <c r="H3321" s="37">
        <v>2.68</v>
      </c>
      <c r="I3321" s="36" t="s">
        <v>1301</v>
      </c>
      <c r="J3321" s="39" t="s">
        <v>286</v>
      </c>
      <c r="K3321" s="38"/>
      <c r="L3321" s="38"/>
    </row>
    <row r="3322" ht="22.5" customHeight="1">
      <c r="A3322" s="36" t="s">
        <v>7329</v>
      </c>
      <c r="B3322" s="36" t="s">
        <v>7330</v>
      </c>
      <c r="C3322" s="36" t="s">
        <v>1495</v>
      </c>
      <c r="D3322" s="36" t="s">
        <v>1496</v>
      </c>
      <c r="E3322" s="36" t="s">
        <v>975</v>
      </c>
      <c r="F3322" s="36" t="s">
        <v>286</v>
      </c>
      <c r="G3322" s="36" t="s">
        <v>411</v>
      </c>
      <c r="H3322" s="37">
        <v>2.73</v>
      </c>
      <c r="I3322" s="36" t="s">
        <v>1301</v>
      </c>
      <c r="J3322" s="39" t="s">
        <v>286</v>
      </c>
      <c r="K3322" s="38"/>
      <c r="L3322" s="38"/>
    </row>
    <row r="3323" ht="22.5" customHeight="1">
      <c r="A3323" s="36" t="s">
        <v>7331</v>
      </c>
      <c r="B3323" s="36" t="s">
        <v>7332</v>
      </c>
      <c r="C3323" s="36" t="s">
        <v>1495</v>
      </c>
      <c r="D3323" s="36" t="s">
        <v>1496</v>
      </c>
      <c r="E3323" s="36" t="s">
        <v>975</v>
      </c>
      <c r="F3323" s="36" t="s">
        <v>286</v>
      </c>
      <c r="G3323" s="36" t="s">
        <v>411</v>
      </c>
      <c r="H3323" s="37">
        <v>2.89</v>
      </c>
      <c r="I3323" s="36" t="s">
        <v>1301</v>
      </c>
      <c r="J3323" s="39" t="s">
        <v>286</v>
      </c>
      <c r="K3323" s="38"/>
      <c r="L3323" s="38"/>
    </row>
    <row r="3324" ht="22.5" customHeight="1">
      <c r="A3324" s="36" t="s">
        <v>7333</v>
      </c>
      <c r="B3324" s="36" t="s">
        <v>7334</v>
      </c>
      <c r="C3324" s="36" t="s">
        <v>1495</v>
      </c>
      <c r="D3324" s="36" t="s">
        <v>1496</v>
      </c>
      <c r="E3324" s="36" t="s">
        <v>975</v>
      </c>
      <c r="F3324" s="36" t="s">
        <v>286</v>
      </c>
      <c r="G3324" s="36" t="s">
        <v>411</v>
      </c>
      <c r="H3324" s="37">
        <v>2.59</v>
      </c>
      <c r="I3324" s="36" t="s">
        <v>1301</v>
      </c>
      <c r="J3324" s="39" t="s">
        <v>286</v>
      </c>
      <c r="K3324" s="38"/>
      <c r="L3324" s="38"/>
    </row>
    <row r="3325" ht="22.5" customHeight="1">
      <c r="A3325" s="36" t="s">
        <v>7335</v>
      </c>
      <c r="B3325" s="36" t="s">
        <v>7336</v>
      </c>
      <c r="C3325" s="36" t="s">
        <v>1495</v>
      </c>
      <c r="D3325" s="36" t="s">
        <v>1496</v>
      </c>
      <c r="E3325" s="36" t="s">
        <v>975</v>
      </c>
      <c r="F3325" s="36" t="s">
        <v>286</v>
      </c>
      <c r="G3325" s="36" t="s">
        <v>411</v>
      </c>
      <c r="H3325" s="37">
        <v>2.28</v>
      </c>
      <c r="I3325" s="36" t="s">
        <v>1301</v>
      </c>
      <c r="J3325" s="39" t="s">
        <v>286</v>
      </c>
      <c r="K3325" s="38"/>
      <c r="L3325" s="38"/>
    </row>
    <row r="3326" ht="22.5" customHeight="1">
      <c r="A3326" s="36" t="s">
        <v>7337</v>
      </c>
      <c r="B3326" s="36" t="s">
        <v>7338</v>
      </c>
      <c r="C3326" s="36" t="s">
        <v>1495</v>
      </c>
      <c r="D3326" s="36" t="s">
        <v>1496</v>
      </c>
      <c r="E3326" s="36" t="s">
        <v>975</v>
      </c>
      <c r="F3326" s="36" t="s">
        <v>286</v>
      </c>
      <c r="G3326" s="36" t="s">
        <v>411</v>
      </c>
      <c r="H3326" s="37">
        <v>2.97</v>
      </c>
      <c r="I3326" s="36" t="s">
        <v>1301</v>
      </c>
      <c r="J3326" s="39" t="s">
        <v>286</v>
      </c>
      <c r="K3326" s="38"/>
      <c r="L3326" s="38"/>
    </row>
    <row r="3327" ht="22.5" customHeight="1">
      <c r="A3327" s="36" t="s">
        <v>7339</v>
      </c>
      <c r="B3327" s="36" t="s">
        <v>7340</v>
      </c>
      <c r="C3327" s="36" t="s">
        <v>1495</v>
      </c>
      <c r="D3327" s="36" t="s">
        <v>1496</v>
      </c>
      <c r="E3327" s="36" t="s">
        <v>975</v>
      </c>
      <c r="F3327" s="36" t="s">
        <v>286</v>
      </c>
      <c r="G3327" s="36" t="s">
        <v>411</v>
      </c>
      <c r="H3327" s="37">
        <v>2.66</v>
      </c>
      <c r="I3327" s="36" t="s">
        <v>1301</v>
      </c>
      <c r="J3327" s="39" t="s">
        <v>286</v>
      </c>
      <c r="K3327" s="38"/>
      <c r="L3327" s="38"/>
    </row>
    <row r="3328" ht="22.5" customHeight="1">
      <c r="A3328" s="36" t="s">
        <v>7341</v>
      </c>
      <c r="B3328" s="36" t="s">
        <v>7342</v>
      </c>
      <c r="C3328" s="36" t="s">
        <v>1495</v>
      </c>
      <c r="D3328" s="36" t="s">
        <v>1496</v>
      </c>
      <c r="E3328" s="36" t="s">
        <v>975</v>
      </c>
      <c r="F3328" s="36" t="s">
        <v>286</v>
      </c>
      <c r="G3328" s="36" t="s">
        <v>411</v>
      </c>
      <c r="H3328" s="37">
        <v>2.17</v>
      </c>
      <c r="I3328" s="36" t="s">
        <v>1301</v>
      </c>
      <c r="J3328" s="39" t="s">
        <v>286</v>
      </c>
      <c r="K3328" s="38"/>
      <c r="L3328" s="38"/>
    </row>
    <row r="3329" ht="22.5" customHeight="1">
      <c r="A3329" s="36" t="s">
        <v>7343</v>
      </c>
      <c r="B3329" s="36" t="s">
        <v>7344</v>
      </c>
      <c r="C3329" s="36" t="s">
        <v>1495</v>
      </c>
      <c r="D3329" s="36" t="s">
        <v>1496</v>
      </c>
      <c r="E3329" s="36" t="s">
        <v>975</v>
      </c>
      <c r="F3329" s="36" t="s">
        <v>286</v>
      </c>
      <c r="G3329" s="36" t="s">
        <v>411</v>
      </c>
      <c r="H3329" s="37">
        <v>0.95</v>
      </c>
      <c r="I3329" s="36" t="s">
        <v>1301</v>
      </c>
      <c r="J3329" s="39" t="s">
        <v>286</v>
      </c>
      <c r="K3329" s="38"/>
      <c r="L3329" s="38"/>
    </row>
    <row r="3330" ht="22.5" customHeight="1">
      <c r="A3330" s="36" t="s">
        <v>7345</v>
      </c>
      <c r="B3330" s="36" t="s">
        <v>7346</v>
      </c>
      <c r="C3330" s="36" t="s">
        <v>1495</v>
      </c>
      <c r="D3330" s="36" t="s">
        <v>1496</v>
      </c>
      <c r="E3330" s="36" t="s">
        <v>975</v>
      </c>
      <c r="F3330" s="36" t="s">
        <v>286</v>
      </c>
      <c r="G3330" s="36" t="s">
        <v>411</v>
      </c>
      <c r="H3330" s="37">
        <v>11.46</v>
      </c>
      <c r="I3330" s="36" t="s">
        <v>1301</v>
      </c>
      <c r="J3330" s="39" t="s">
        <v>286</v>
      </c>
      <c r="K3330" s="38"/>
      <c r="L3330" s="38"/>
    </row>
    <row r="3331" ht="22.5" customHeight="1">
      <c r="A3331" s="36" t="s">
        <v>7347</v>
      </c>
      <c r="B3331" s="36" t="s">
        <v>7348</v>
      </c>
      <c r="C3331" s="36" t="s">
        <v>1495</v>
      </c>
      <c r="D3331" s="36" t="s">
        <v>1496</v>
      </c>
      <c r="E3331" s="36" t="s">
        <v>975</v>
      </c>
      <c r="F3331" s="36" t="s">
        <v>286</v>
      </c>
      <c r="G3331" s="36" t="s">
        <v>411</v>
      </c>
      <c r="H3331" s="37">
        <v>4.58</v>
      </c>
      <c r="I3331" s="36" t="s">
        <v>1301</v>
      </c>
      <c r="J3331" s="39" t="s">
        <v>286</v>
      </c>
      <c r="K3331" s="38"/>
      <c r="L3331" s="38"/>
    </row>
    <row r="3332" ht="22.5" customHeight="1">
      <c r="A3332" s="36" t="s">
        <v>7349</v>
      </c>
      <c r="B3332" s="36" t="s">
        <v>7350</v>
      </c>
      <c r="C3332" s="36" t="s">
        <v>1495</v>
      </c>
      <c r="D3332" s="36" t="s">
        <v>1496</v>
      </c>
      <c r="E3332" s="36" t="s">
        <v>975</v>
      </c>
      <c r="F3332" s="36" t="s">
        <v>286</v>
      </c>
      <c r="G3332" s="36" t="s">
        <v>411</v>
      </c>
      <c r="H3332" s="37">
        <v>4.51</v>
      </c>
      <c r="I3332" s="36" t="s">
        <v>1301</v>
      </c>
      <c r="J3332" s="39" t="s">
        <v>286</v>
      </c>
      <c r="K3332" s="38"/>
      <c r="L3332" s="38"/>
    </row>
    <row r="3333" ht="22.5" customHeight="1">
      <c r="A3333" s="36" t="s">
        <v>7351</v>
      </c>
      <c r="B3333" s="36" t="s">
        <v>7352</v>
      </c>
      <c r="C3333" s="36" t="s">
        <v>1495</v>
      </c>
      <c r="D3333" s="36" t="s">
        <v>1496</v>
      </c>
      <c r="E3333" s="36" t="s">
        <v>975</v>
      </c>
      <c r="F3333" s="36" t="s">
        <v>286</v>
      </c>
      <c r="G3333" s="36" t="s">
        <v>411</v>
      </c>
      <c r="H3333" s="37">
        <v>1.15</v>
      </c>
      <c r="I3333" s="36" t="s">
        <v>1301</v>
      </c>
      <c r="J3333" s="39" t="s">
        <v>286</v>
      </c>
      <c r="K3333" s="38"/>
      <c r="L3333" s="38"/>
    </row>
    <row r="3334" ht="22.5" customHeight="1">
      <c r="A3334" s="36" t="s">
        <v>7353</v>
      </c>
      <c r="B3334" s="36" t="s">
        <v>7354</v>
      </c>
      <c r="C3334" s="36" t="s">
        <v>1495</v>
      </c>
      <c r="D3334" s="36" t="s">
        <v>1496</v>
      </c>
      <c r="E3334" s="36" t="s">
        <v>975</v>
      </c>
      <c r="F3334" s="36" t="s">
        <v>286</v>
      </c>
      <c r="G3334" s="36" t="s">
        <v>411</v>
      </c>
      <c r="H3334" s="37">
        <v>1.15</v>
      </c>
      <c r="I3334" s="36" t="s">
        <v>1301</v>
      </c>
      <c r="J3334" s="39" t="s">
        <v>286</v>
      </c>
      <c r="K3334" s="38"/>
      <c r="L3334" s="38"/>
    </row>
    <row r="3335" ht="22.5" customHeight="1">
      <c r="A3335" s="36" t="s">
        <v>7355</v>
      </c>
      <c r="B3335" s="36" t="s">
        <v>7356</v>
      </c>
      <c r="C3335" s="36" t="s">
        <v>1495</v>
      </c>
      <c r="D3335" s="36" t="s">
        <v>1496</v>
      </c>
      <c r="E3335" s="36" t="s">
        <v>975</v>
      </c>
      <c r="F3335" s="36" t="s">
        <v>286</v>
      </c>
      <c r="G3335" s="36" t="s">
        <v>411</v>
      </c>
      <c r="H3335" s="37">
        <v>4.28</v>
      </c>
      <c r="I3335" s="36" t="s">
        <v>1301</v>
      </c>
      <c r="J3335" s="39" t="s">
        <v>286</v>
      </c>
      <c r="K3335" s="38"/>
      <c r="L3335" s="38"/>
    </row>
    <row r="3336" ht="22.5" customHeight="1">
      <c r="A3336" s="36" t="s">
        <v>7357</v>
      </c>
      <c r="B3336" s="36" t="s">
        <v>7358</v>
      </c>
      <c r="C3336" s="36" t="s">
        <v>1495</v>
      </c>
      <c r="D3336" s="36" t="s">
        <v>1496</v>
      </c>
      <c r="E3336" s="36" t="s">
        <v>975</v>
      </c>
      <c r="F3336" s="36" t="s">
        <v>286</v>
      </c>
      <c r="G3336" s="36" t="s">
        <v>411</v>
      </c>
      <c r="H3336" s="37">
        <v>95.91</v>
      </c>
      <c r="I3336" s="36" t="s">
        <v>1301</v>
      </c>
      <c r="J3336" s="39" t="s">
        <v>286</v>
      </c>
      <c r="K3336" s="38"/>
      <c r="L3336" s="38"/>
    </row>
    <row r="3337" ht="22.5" customHeight="1">
      <c r="A3337" s="36" t="s">
        <v>7359</v>
      </c>
      <c r="B3337" s="36" t="s">
        <v>7360</v>
      </c>
      <c r="C3337" s="36" t="s">
        <v>1495</v>
      </c>
      <c r="D3337" s="36" t="s">
        <v>1496</v>
      </c>
      <c r="E3337" s="36" t="s">
        <v>975</v>
      </c>
      <c r="F3337" s="36" t="s">
        <v>286</v>
      </c>
      <c r="G3337" s="36" t="s">
        <v>411</v>
      </c>
      <c r="H3337" s="37">
        <v>16.6</v>
      </c>
      <c r="I3337" s="36" t="s">
        <v>1301</v>
      </c>
      <c r="J3337" s="39" t="s">
        <v>286</v>
      </c>
      <c r="K3337" s="38"/>
      <c r="L3337" s="38"/>
    </row>
    <row r="3338" ht="22.5" customHeight="1">
      <c r="A3338" s="36" t="s">
        <v>7361</v>
      </c>
      <c r="B3338" s="36" t="s">
        <v>7362</v>
      </c>
      <c r="C3338" s="36" t="s">
        <v>1495</v>
      </c>
      <c r="D3338" s="36" t="s">
        <v>1496</v>
      </c>
      <c r="E3338" s="36" t="s">
        <v>975</v>
      </c>
      <c r="F3338" s="36" t="s">
        <v>286</v>
      </c>
      <c r="G3338" s="36" t="s">
        <v>411</v>
      </c>
      <c r="H3338" s="37">
        <v>43.16</v>
      </c>
      <c r="I3338" s="36" t="s">
        <v>1301</v>
      </c>
      <c r="J3338" s="39" t="s">
        <v>286</v>
      </c>
      <c r="K3338" s="38"/>
      <c r="L3338" s="38"/>
    </row>
    <row r="3339" ht="22.5" customHeight="1">
      <c r="A3339" s="36" t="s">
        <v>7363</v>
      </c>
      <c r="B3339" s="36" t="s">
        <v>7364</v>
      </c>
      <c r="C3339" s="36" t="s">
        <v>1495</v>
      </c>
      <c r="D3339" s="36" t="s">
        <v>1496</v>
      </c>
      <c r="E3339" s="36" t="s">
        <v>975</v>
      </c>
      <c r="F3339" s="36" t="s">
        <v>286</v>
      </c>
      <c r="G3339" s="36" t="s">
        <v>411</v>
      </c>
      <c r="H3339" s="37">
        <v>16.6</v>
      </c>
      <c r="I3339" s="36" t="s">
        <v>1301</v>
      </c>
      <c r="J3339" s="39" t="s">
        <v>286</v>
      </c>
      <c r="K3339" s="38"/>
      <c r="L3339" s="38"/>
    </row>
    <row r="3340" ht="22.5" customHeight="1">
      <c r="A3340" s="36" t="s">
        <v>7365</v>
      </c>
      <c r="B3340" s="36" t="s">
        <v>7366</v>
      </c>
      <c r="C3340" s="36" t="s">
        <v>1495</v>
      </c>
      <c r="D3340" s="36" t="s">
        <v>1496</v>
      </c>
      <c r="E3340" s="36" t="s">
        <v>1285</v>
      </c>
      <c r="F3340" s="36" t="s">
        <v>286</v>
      </c>
      <c r="G3340" s="36" t="s">
        <v>411</v>
      </c>
      <c r="H3340" s="37">
        <v>207.16</v>
      </c>
      <c r="I3340" s="36" t="s">
        <v>1301</v>
      </c>
      <c r="J3340" s="39" t="s">
        <v>286</v>
      </c>
      <c r="K3340" s="38"/>
      <c r="L3340" s="38"/>
    </row>
    <row r="3341" ht="22.5" customHeight="1">
      <c r="A3341" s="36" t="s">
        <v>7367</v>
      </c>
      <c r="B3341" s="36" t="s">
        <v>7368</v>
      </c>
      <c r="C3341" s="36" t="s">
        <v>1495</v>
      </c>
      <c r="D3341" s="36" t="s">
        <v>1496</v>
      </c>
      <c r="E3341" s="36" t="s">
        <v>1285</v>
      </c>
      <c r="F3341" s="36" t="s">
        <v>286</v>
      </c>
      <c r="G3341" s="36" t="s">
        <v>411</v>
      </c>
      <c r="H3341" s="37">
        <v>517.91</v>
      </c>
      <c r="I3341" s="36" t="s">
        <v>1301</v>
      </c>
      <c r="J3341" s="39" t="s">
        <v>286</v>
      </c>
      <c r="K3341" s="38"/>
      <c r="L3341" s="38"/>
    </row>
    <row r="3342" ht="22.5" customHeight="1">
      <c r="A3342" s="36" t="s">
        <v>7369</v>
      </c>
      <c r="B3342" s="36" t="s">
        <v>7370</v>
      </c>
      <c r="C3342" s="36" t="s">
        <v>1495</v>
      </c>
      <c r="D3342" s="36" t="s">
        <v>1496</v>
      </c>
      <c r="E3342" s="36" t="s">
        <v>1285</v>
      </c>
      <c r="F3342" s="36" t="s">
        <v>286</v>
      </c>
      <c r="G3342" s="36" t="s">
        <v>411</v>
      </c>
      <c r="H3342" s="37">
        <v>460.36</v>
      </c>
      <c r="I3342" s="36" t="s">
        <v>1301</v>
      </c>
      <c r="J3342" s="39" t="s">
        <v>286</v>
      </c>
      <c r="K3342" s="38"/>
      <c r="L3342" s="38"/>
    </row>
    <row r="3343" ht="22.5" customHeight="1">
      <c r="A3343" s="36" t="s">
        <v>7371</v>
      </c>
      <c r="B3343" s="36" t="s">
        <v>7372</v>
      </c>
      <c r="C3343" s="36" t="s">
        <v>1495</v>
      </c>
      <c r="D3343" s="36" t="s">
        <v>1496</v>
      </c>
      <c r="E3343" s="36" t="s">
        <v>1285</v>
      </c>
      <c r="F3343" s="36" t="s">
        <v>286</v>
      </c>
      <c r="G3343" s="36" t="s">
        <v>411</v>
      </c>
      <c r="H3343" s="37">
        <v>94.16</v>
      </c>
      <c r="I3343" s="36" t="s">
        <v>1301</v>
      </c>
      <c r="J3343" s="39" t="s">
        <v>286</v>
      </c>
      <c r="K3343" s="38"/>
      <c r="L3343" s="38"/>
    </row>
    <row r="3344" ht="22.5" customHeight="1">
      <c r="A3344" s="36" t="s">
        <v>7373</v>
      </c>
      <c r="B3344" s="36" t="s">
        <v>7374</v>
      </c>
      <c r="C3344" s="36" t="s">
        <v>1495</v>
      </c>
      <c r="D3344" s="36" t="s">
        <v>1496</v>
      </c>
      <c r="E3344" s="36" t="s">
        <v>1285</v>
      </c>
      <c r="F3344" s="36" t="s">
        <v>286</v>
      </c>
      <c r="G3344" s="36" t="s">
        <v>411</v>
      </c>
      <c r="H3344" s="37">
        <v>172.64</v>
      </c>
      <c r="I3344" s="36" t="s">
        <v>1301</v>
      </c>
      <c r="J3344" s="39" t="s">
        <v>286</v>
      </c>
      <c r="K3344" s="38"/>
      <c r="L3344" s="38"/>
    </row>
    <row r="3345" ht="22.5" customHeight="1">
      <c r="A3345" s="36" t="s">
        <v>7375</v>
      </c>
      <c r="B3345" s="36" t="s">
        <v>7376</v>
      </c>
      <c r="C3345" s="36" t="s">
        <v>1495</v>
      </c>
      <c r="D3345" s="36" t="s">
        <v>1496</v>
      </c>
      <c r="E3345" s="36" t="s">
        <v>1285</v>
      </c>
      <c r="F3345" s="36" t="s">
        <v>286</v>
      </c>
      <c r="G3345" s="36" t="s">
        <v>411</v>
      </c>
      <c r="H3345" s="37">
        <v>517.91</v>
      </c>
      <c r="I3345" s="36" t="s">
        <v>1301</v>
      </c>
      <c r="J3345" s="39" t="s">
        <v>286</v>
      </c>
      <c r="K3345" s="38"/>
      <c r="L3345" s="38"/>
    </row>
    <row r="3346" ht="22.5" customHeight="1">
      <c r="A3346" s="36" t="s">
        <v>7377</v>
      </c>
      <c r="B3346" s="36" t="s">
        <v>7378</v>
      </c>
      <c r="C3346" s="36" t="s">
        <v>1495</v>
      </c>
      <c r="D3346" s="36" t="s">
        <v>1496</v>
      </c>
      <c r="E3346" s="36" t="s">
        <v>1285</v>
      </c>
      <c r="F3346" s="36" t="s">
        <v>286</v>
      </c>
      <c r="G3346" s="36" t="s">
        <v>411</v>
      </c>
      <c r="H3346" s="37">
        <v>94.16</v>
      </c>
      <c r="I3346" s="36" t="s">
        <v>1301</v>
      </c>
      <c r="J3346" s="39" t="s">
        <v>286</v>
      </c>
      <c r="K3346" s="38"/>
      <c r="L3346" s="38"/>
    </row>
    <row r="3347" ht="22.5" customHeight="1">
      <c r="A3347" s="36" t="s">
        <v>7379</v>
      </c>
      <c r="B3347" s="36" t="s">
        <v>7380</v>
      </c>
      <c r="C3347" s="36" t="s">
        <v>1495</v>
      </c>
      <c r="D3347" s="36" t="s">
        <v>1496</v>
      </c>
      <c r="E3347" s="36" t="s">
        <v>1285</v>
      </c>
      <c r="F3347" s="36" t="s">
        <v>286</v>
      </c>
      <c r="G3347" s="36" t="s">
        <v>411</v>
      </c>
      <c r="H3347" s="37">
        <v>172.64</v>
      </c>
      <c r="I3347" s="36" t="s">
        <v>1301</v>
      </c>
      <c r="J3347" s="39" t="s">
        <v>286</v>
      </c>
      <c r="K3347" s="38"/>
      <c r="L3347" s="38"/>
    </row>
    <row r="3348" ht="22.5" customHeight="1">
      <c r="A3348" s="36" t="s">
        <v>7381</v>
      </c>
      <c r="B3348" s="36" t="s">
        <v>7382</v>
      </c>
      <c r="C3348" s="36" t="s">
        <v>1495</v>
      </c>
      <c r="D3348" s="36" t="s">
        <v>1496</v>
      </c>
      <c r="E3348" s="36" t="s">
        <v>1285</v>
      </c>
      <c r="F3348" s="36" t="s">
        <v>286</v>
      </c>
      <c r="G3348" s="36" t="s">
        <v>411</v>
      </c>
      <c r="H3348" s="37">
        <v>94.16</v>
      </c>
      <c r="I3348" s="36" t="s">
        <v>1301</v>
      </c>
      <c r="J3348" s="39" t="s">
        <v>286</v>
      </c>
      <c r="K3348" s="38"/>
      <c r="L3348" s="38"/>
    </row>
    <row r="3349" ht="22.5" customHeight="1">
      <c r="A3349" s="36" t="s">
        <v>7383</v>
      </c>
      <c r="B3349" s="36" t="s">
        <v>7384</v>
      </c>
      <c r="C3349" s="36" t="s">
        <v>1495</v>
      </c>
      <c r="D3349" s="36" t="s">
        <v>1496</v>
      </c>
      <c r="E3349" s="36" t="s">
        <v>1285</v>
      </c>
      <c r="F3349" s="36" t="s">
        <v>286</v>
      </c>
      <c r="G3349" s="36" t="s">
        <v>411</v>
      </c>
      <c r="H3349" s="37">
        <v>460.36</v>
      </c>
      <c r="I3349" s="36" t="s">
        <v>1301</v>
      </c>
      <c r="J3349" s="39" t="s">
        <v>286</v>
      </c>
      <c r="K3349" s="38"/>
      <c r="L3349" s="38"/>
    </row>
    <row r="3350" ht="22.5" customHeight="1">
      <c r="A3350" s="36" t="s">
        <v>7385</v>
      </c>
      <c r="B3350" s="36" t="s">
        <v>7386</v>
      </c>
      <c r="C3350" s="36" t="s">
        <v>1495</v>
      </c>
      <c r="D3350" s="36" t="s">
        <v>1496</v>
      </c>
      <c r="E3350" s="36" t="s">
        <v>1285</v>
      </c>
      <c r="F3350" s="36" t="s">
        <v>286</v>
      </c>
      <c r="G3350" s="36" t="s">
        <v>411</v>
      </c>
      <c r="H3350" s="37">
        <v>460.36</v>
      </c>
      <c r="I3350" s="36" t="s">
        <v>1301</v>
      </c>
      <c r="J3350" s="39" t="s">
        <v>286</v>
      </c>
      <c r="K3350" s="38"/>
      <c r="L3350" s="38"/>
    </row>
    <row r="3351" ht="22.5" customHeight="1">
      <c r="A3351" s="36" t="s">
        <v>7387</v>
      </c>
      <c r="B3351" s="36" t="s">
        <v>7388</v>
      </c>
      <c r="C3351" s="36" t="s">
        <v>1495</v>
      </c>
      <c r="D3351" s="36" t="s">
        <v>1496</v>
      </c>
      <c r="E3351" s="36" t="s">
        <v>1285</v>
      </c>
      <c r="F3351" s="36" t="s">
        <v>286</v>
      </c>
      <c r="G3351" s="36" t="s">
        <v>411</v>
      </c>
      <c r="H3351" s="37">
        <v>460.36</v>
      </c>
      <c r="I3351" s="36" t="s">
        <v>1301</v>
      </c>
      <c r="J3351" s="39" t="s">
        <v>286</v>
      </c>
      <c r="K3351" s="38"/>
      <c r="L3351" s="38"/>
    </row>
    <row r="3352" ht="22.5" customHeight="1">
      <c r="A3352" s="36" t="s">
        <v>7389</v>
      </c>
      <c r="B3352" s="36" t="s">
        <v>7390</v>
      </c>
      <c r="C3352" s="36" t="s">
        <v>1495</v>
      </c>
      <c r="D3352" s="36" t="s">
        <v>1496</v>
      </c>
      <c r="E3352" s="36" t="s">
        <v>1285</v>
      </c>
      <c r="F3352" s="36" t="s">
        <v>286</v>
      </c>
      <c r="G3352" s="36" t="s">
        <v>411</v>
      </c>
      <c r="H3352" s="37">
        <v>460.36</v>
      </c>
      <c r="I3352" s="36" t="s">
        <v>1301</v>
      </c>
      <c r="J3352" s="39" t="s">
        <v>286</v>
      </c>
      <c r="K3352" s="38"/>
      <c r="L3352" s="38"/>
    </row>
    <row r="3353" ht="22.5" customHeight="1">
      <c r="A3353" s="36" t="s">
        <v>7391</v>
      </c>
      <c r="B3353" s="36" t="s">
        <v>7392</v>
      </c>
      <c r="C3353" s="36" t="s">
        <v>1495</v>
      </c>
      <c r="D3353" s="36" t="s">
        <v>1496</v>
      </c>
      <c r="E3353" s="36" t="s">
        <v>1285</v>
      </c>
      <c r="F3353" s="36" t="s">
        <v>286</v>
      </c>
      <c r="G3353" s="36" t="s">
        <v>411</v>
      </c>
      <c r="H3353" s="37">
        <v>172.64</v>
      </c>
      <c r="I3353" s="36" t="s">
        <v>1301</v>
      </c>
      <c r="J3353" s="39" t="s">
        <v>286</v>
      </c>
      <c r="K3353" s="38"/>
      <c r="L3353" s="38"/>
    </row>
    <row r="3354" ht="22.5" customHeight="1">
      <c r="A3354" s="36" t="s">
        <v>7393</v>
      </c>
      <c r="B3354" s="36" t="s">
        <v>7394</v>
      </c>
      <c r="C3354" s="36" t="s">
        <v>1495</v>
      </c>
      <c r="D3354" s="36" t="s">
        <v>1496</v>
      </c>
      <c r="E3354" s="36" t="s">
        <v>1285</v>
      </c>
      <c r="F3354" s="36" t="s">
        <v>286</v>
      </c>
      <c r="G3354" s="36" t="s">
        <v>411</v>
      </c>
      <c r="H3354" s="37">
        <v>517.91</v>
      </c>
      <c r="I3354" s="36" t="s">
        <v>1301</v>
      </c>
      <c r="J3354" s="39" t="s">
        <v>286</v>
      </c>
      <c r="K3354" s="38"/>
      <c r="L3354" s="38"/>
    </row>
    <row r="3355" ht="22.5" customHeight="1">
      <c r="A3355" s="36" t="s">
        <v>7395</v>
      </c>
      <c r="B3355" s="36" t="s">
        <v>7396</v>
      </c>
      <c r="C3355" s="36" t="s">
        <v>1495</v>
      </c>
      <c r="D3355" s="36" t="s">
        <v>1496</v>
      </c>
      <c r="E3355" s="36" t="s">
        <v>1285</v>
      </c>
      <c r="F3355" s="36" t="s">
        <v>286</v>
      </c>
      <c r="G3355" s="36" t="s">
        <v>411</v>
      </c>
      <c r="H3355" s="37">
        <v>517.91</v>
      </c>
      <c r="I3355" s="36" t="s">
        <v>1301</v>
      </c>
      <c r="J3355" s="39" t="s">
        <v>286</v>
      </c>
      <c r="K3355" s="38"/>
      <c r="L3355" s="38"/>
    </row>
    <row r="3356" ht="22.5" customHeight="1">
      <c r="A3356" s="36" t="s">
        <v>7397</v>
      </c>
      <c r="B3356" s="36" t="s">
        <v>7398</v>
      </c>
      <c r="C3356" s="36" t="s">
        <v>1495</v>
      </c>
      <c r="D3356" s="36" t="s">
        <v>1496</v>
      </c>
      <c r="E3356" s="36" t="s">
        <v>1285</v>
      </c>
      <c r="F3356" s="36" t="s">
        <v>286</v>
      </c>
      <c r="G3356" s="36" t="s">
        <v>411</v>
      </c>
      <c r="H3356" s="37">
        <v>94.16</v>
      </c>
      <c r="I3356" s="36" t="s">
        <v>1301</v>
      </c>
      <c r="J3356" s="39" t="s">
        <v>286</v>
      </c>
      <c r="K3356" s="38"/>
      <c r="L3356" s="38"/>
    </row>
    <row r="3357" ht="22.5" customHeight="1">
      <c r="A3357" s="36" t="s">
        <v>7399</v>
      </c>
      <c r="B3357" s="36" t="s">
        <v>7400</v>
      </c>
      <c r="C3357" s="36" t="s">
        <v>1495</v>
      </c>
      <c r="D3357" s="36" t="s">
        <v>1496</v>
      </c>
      <c r="E3357" s="36" t="s">
        <v>1285</v>
      </c>
      <c r="F3357" s="36" t="s">
        <v>286</v>
      </c>
      <c r="G3357" s="36" t="s">
        <v>411</v>
      </c>
      <c r="H3357" s="37">
        <v>52.31</v>
      </c>
      <c r="I3357" s="36" t="s">
        <v>1301</v>
      </c>
      <c r="J3357" s="39" t="s">
        <v>286</v>
      </c>
      <c r="K3357" s="38"/>
      <c r="L3357" s="38"/>
    </row>
    <row r="3358" ht="22.5" customHeight="1">
      <c r="A3358" s="36" t="s">
        <v>7401</v>
      </c>
      <c r="B3358" s="36" t="s">
        <v>7402</v>
      </c>
      <c r="C3358" s="36" t="s">
        <v>1495</v>
      </c>
      <c r="D3358" s="36" t="s">
        <v>1496</v>
      </c>
      <c r="E3358" s="36" t="s">
        <v>1285</v>
      </c>
      <c r="F3358" s="36" t="s">
        <v>286</v>
      </c>
      <c r="G3358" s="36" t="s">
        <v>411</v>
      </c>
      <c r="H3358" s="37">
        <v>191.82</v>
      </c>
      <c r="I3358" s="36" t="s">
        <v>1301</v>
      </c>
      <c r="J3358" s="39" t="s">
        <v>286</v>
      </c>
      <c r="K3358" s="38"/>
      <c r="L3358" s="38"/>
    </row>
    <row r="3359" ht="22.5" customHeight="1">
      <c r="A3359" s="36" t="s">
        <v>7403</v>
      </c>
      <c r="B3359" s="36" t="s">
        <v>7404</v>
      </c>
      <c r="C3359" s="36" t="s">
        <v>1495</v>
      </c>
      <c r="D3359" s="36" t="s">
        <v>1496</v>
      </c>
      <c r="E3359" s="36" t="s">
        <v>1285</v>
      </c>
      <c r="F3359" s="36" t="s">
        <v>286</v>
      </c>
      <c r="G3359" s="36" t="s">
        <v>411</v>
      </c>
      <c r="H3359" s="37">
        <v>517.91</v>
      </c>
      <c r="I3359" s="36" t="s">
        <v>1301</v>
      </c>
      <c r="J3359" s="39" t="s">
        <v>286</v>
      </c>
      <c r="K3359" s="38"/>
      <c r="L3359" s="38"/>
    </row>
    <row r="3360" ht="22.5" customHeight="1">
      <c r="A3360" s="36" t="s">
        <v>7405</v>
      </c>
      <c r="B3360" s="36" t="s">
        <v>7406</v>
      </c>
      <c r="C3360" s="36" t="s">
        <v>1495</v>
      </c>
      <c r="D3360" s="36" t="s">
        <v>1496</v>
      </c>
      <c r="E3360" s="36" t="s">
        <v>1285</v>
      </c>
      <c r="F3360" s="36" t="s">
        <v>286</v>
      </c>
      <c r="G3360" s="36" t="s">
        <v>411</v>
      </c>
      <c r="H3360" s="37">
        <v>350.0</v>
      </c>
      <c r="I3360" s="36" t="s">
        <v>1301</v>
      </c>
      <c r="J3360" s="39" t="s">
        <v>286</v>
      </c>
      <c r="K3360" s="38"/>
      <c r="L3360" s="38"/>
    </row>
    <row r="3361" ht="22.5" customHeight="1">
      <c r="A3361" s="36" t="s">
        <v>7407</v>
      </c>
      <c r="B3361" s="36" t="s">
        <v>7408</v>
      </c>
      <c r="C3361" s="36" t="s">
        <v>1495</v>
      </c>
      <c r="D3361" s="36" t="s">
        <v>1496</v>
      </c>
      <c r="E3361" s="36" t="s">
        <v>1285</v>
      </c>
      <c r="F3361" s="36" t="s">
        <v>286</v>
      </c>
      <c r="G3361" s="36" t="s">
        <v>411</v>
      </c>
      <c r="H3361" s="37">
        <v>12.18</v>
      </c>
      <c r="I3361" s="36" t="s">
        <v>1301</v>
      </c>
      <c r="J3361" s="39" t="s">
        <v>286</v>
      </c>
      <c r="K3361" s="38"/>
      <c r="L3361" s="38"/>
    </row>
    <row r="3362" ht="22.5" customHeight="1">
      <c r="A3362" s="36" t="s">
        <v>7409</v>
      </c>
      <c r="B3362" s="36" t="s">
        <v>7410</v>
      </c>
      <c r="C3362" s="36" t="s">
        <v>1495</v>
      </c>
      <c r="D3362" s="36" t="s">
        <v>1496</v>
      </c>
      <c r="E3362" s="36" t="s">
        <v>1285</v>
      </c>
      <c r="F3362" s="36" t="s">
        <v>286</v>
      </c>
      <c r="G3362" s="36" t="s">
        <v>411</v>
      </c>
      <c r="H3362" s="37">
        <v>0.0</v>
      </c>
      <c r="I3362" s="36" t="s">
        <v>1301</v>
      </c>
      <c r="J3362" s="39" t="s">
        <v>286</v>
      </c>
      <c r="K3362" s="38"/>
      <c r="L3362" s="38"/>
    </row>
    <row r="3363" ht="22.5" customHeight="1">
      <c r="A3363" s="36" t="s">
        <v>7411</v>
      </c>
      <c r="B3363" s="36" t="s">
        <v>7412</v>
      </c>
      <c r="C3363" s="36" t="s">
        <v>1495</v>
      </c>
      <c r="D3363" s="36" t="s">
        <v>1496</v>
      </c>
      <c r="E3363" s="36" t="s">
        <v>1285</v>
      </c>
      <c r="F3363" s="36" t="s">
        <v>286</v>
      </c>
      <c r="G3363" s="36" t="s">
        <v>411</v>
      </c>
      <c r="H3363" s="37">
        <v>66.31</v>
      </c>
      <c r="I3363" s="36" t="s">
        <v>1301</v>
      </c>
      <c r="J3363" s="39" t="s">
        <v>286</v>
      </c>
      <c r="K3363" s="38"/>
      <c r="L3363" s="38"/>
    </row>
    <row r="3364" ht="22.5" customHeight="1">
      <c r="A3364" s="36" t="s">
        <v>7413</v>
      </c>
      <c r="B3364" s="36" t="s">
        <v>7414</v>
      </c>
      <c r="C3364" s="36" t="s">
        <v>1495</v>
      </c>
      <c r="D3364" s="36" t="s">
        <v>1496</v>
      </c>
      <c r="E3364" s="36" t="s">
        <v>1285</v>
      </c>
      <c r="F3364" s="36" t="s">
        <v>286</v>
      </c>
      <c r="G3364" s="36" t="s">
        <v>411</v>
      </c>
      <c r="H3364" s="37">
        <v>5.99</v>
      </c>
      <c r="I3364" s="36" t="s">
        <v>1301</v>
      </c>
      <c r="J3364" s="39" t="s">
        <v>286</v>
      </c>
      <c r="K3364" s="38"/>
      <c r="L3364" s="38"/>
    </row>
    <row r="3365" ht="22.5" customHeight="1">
      <c r="A3365" s="36" t="s">
        <v>7415</v>
      </c>
      <c r="B3365" s="36" t="s">
        <v>7416</v>
      </c>
      <c r="C3365" s="36" t="s">
        <v>1495</v>
      </c>
      <c r="D3365" s="36" t="s">
        <v>1496</v>
      </c>
      <c r="E3365" s="36" t="s">
        <v>1285</v>
      </c>
      <c r="F3365" s="36" t="s">
        <v>286</v>
      </c>
      <c r="G3365" s="36" t="s">
        <v>411</v>
      </c>
      <c r="H3365" s="37">
        <v>89.41</v>
      </c>
      <c r="I3365" s="36" t="s">
        <v>1301</v>
      </c>
      <c r="J3365" s="39" t="s">
        <v>286</v>
      </c>
      <c r="K3365" s="38"/>
      <c r="L3365" s="38"/>
    </row>
    <row r="3366" ht="22.5" customHeight="1">
      <c r="A3366" s="36" t="s">
        <v>7417</v>
      </c>
      <c r="B3366" s="36" t="s">
        <v>7418</v>
      </c>
      <c r="C3366" s="36" t="s">
        <v>1495</v>
      </c>
      <c r="D3366" s="36" t="s">
        <v>1496</v>
      </c>
      <c r="E3366" s="36" t="s">
        <v>1285</v>
      </c>
      <c r="F3366" s="36" t="s">
        <v>286</v>
      </c>
      <c r="G3366" s="36" t="s">
        <v>411</v>
      </c>
      <c r="H3366" s="37">
        <v>9.57</v>
      </c>
      <c r="I3366" s="36" t="s">
        <v>1301</v>
      </c>
      <c r="J3366" s="39" t="s">
        <v>286</v>
      </c>
      <c r="K3366" s="38"/>
      <c r="L3366" s="38"/>
    </row>
    <row r="3367" ht="22.5" customHeight="1">
      <c r="A3367" s="36" t="s">
        <v>7419</v>
      </c>
      <c r="B3367" s="36" t="s">
        <v>7420</v>
      </c>
      <c r="C3367" s="36" t="s">
        <v>1495</v>
      </c>
      <c r="D3367" s="36" t="s">
        <v>1496</v>
      </c>
      <c r="E3367" s="36" t="s">
        <v>1285</v>
      </c>
      <c r="F3367" s="36" t="s">
        <v>286</v>
      </c>
      <c r="G3367" s="36" t="s">
        <v>411</v>
      </c>
      <c r="H3367" s="37">
        <v>9.57</v>
      </c>
      <c r="I3367" s="36" t="s">
        <v>1301</v>
      </c>
      <c r="J3367" s="39" t="s">
        <v>286</v>
      </c>
      <c r="K3367" s="38"/>
      <c r="L3367" s="38"/>
    </row>
    <row r="3368" ht="22.5" customHeight="1">
      <c r="A3368" s="36" t="s">
        <v>7421</v>
      </c>
      <c r="B3368" s="36" t="s">
        <v>7422</v>
      </c>
      <c r="C3368" s="36" t="s">
        <v>1495</v>
      </c>
      <c r="D3368" s="36" t="s">
        <v>1496</v>
      </c>
      <c r="E3368" s="36" t="s">
        <v>1285</v>
      </c>
      <c r="F3368" s="36" t="s">
        <v>286</v>
      </c>
      <c r="G3368" s="36" t="s">
        <v>411</v>
      </c>
      <c r="H3368" s="37">
        <v>63.7</v>
      </c>
      <c r="I3368" s="36" t="s">
        <v>1301</v>
      </c>
      <c r="J3368" s="39" t="s">
        <v>286</v>
      </c>
      <c r="K3368" s="38"/>
      <c r="L3368" s="38"/>
    </row>
    <row r="3369" ht="22.5" customHeight="1">
      <c r="A3369" s="36" t="s">
        <v>7423</v>
      </c>
      <c r="B3369" s="36" t="s">
        <v>7424</v>
      </c>
      <c r="C3369" s="36" t="s">
        <v>1495</v>
      </c>
      <c r="D3369" s="36" t="s">
        <v>1496</v>
      </c>
      <c r="E3369" s="36" t="s">
        <v>1285</v>
      </c>
      <c r="F3369" s="36" t="s">
        <v>286</v>
      </c>
      <c r="G3369" s="36" t="s">
        <v>411</v>
      </c>
      <c r="H3369" s="37">
        <v>61.05</v>
      </c>
      <c r="I3369" s="36" t="s">
        <v>1301</v>
      </c>
      <c r="J3369" s="39" t="s">
        <v>286</v>
      </c>
      <c r="K3369" s="38"/>
      <c r="L3369" s="38"/>
    </row>
    <row r="3370" ht="22.5" customHeight="1">
      <c r="A3370" s="36" t="s">
        <v>7425</v>
      </c>
      <c r="B3370" s="36" t="s">
        <v>7426</v>
      </c>
      <c r="C3370" s="36" t="s">
        <v>1495</v>
      </c>
      <c r="D3370" s="36" t="s">
        <v>1496</v>
      </c>
      <c r="E3370" s="36" t="s">
        <v>1285</v>
      </c>
      <c r="F3370" s="36" t="s">
        <v>286</v>
      </c>
      <c r="G3370" s="36" t="s">
        <v>411</v>
      </c>
      <c r="H3370" s="37">
        <v>91.57</v>
      </c>
      <c r="I3370" s="36" t="s">
        <v>1301</v>
      </c>
      <c r="J3370" s="39" t="s">
        <v>286</v>
      </c>
      <c r="K3370" s="38"/>
      <c r="L3370" s="38"/>
    </row>
    <row r="3371" ht="22.5" customHeight="1">
      <c r="A3371" s="36" t="s">
        <v>7427</v>
      </c>
      <c r="B3371" s="36" t="s">
        <v>7428</v>
      </c>
      <c r="C3371" s="36" t="s">
        <v>1495</v>
      </c>
      <c r="D3371" s="36" t="s">
        <v>1496</v>
      </c>
      <c r="E3371" s="36" t="s">
        <v>1285</v>
      </c>
      <c r="F3371" s="36" t="s">
        <v>286</v>
      </c>
      <c r="G3371" s="36" t="s">
        <v>411</v>
      </c>
      <c r="H3371" s="37">
        <v>146.51</v>
      </c>
      <c r="I3371" s="36" t="s">
        <v>1301</v>
      </c>
      <c r="J3371" s="39" t="s">
        <v>286</v>
      </c>
      <c r="K3371" s="38"/>
      <c r="L3371" s="38"/>
    </row>
    <row r="3372" ht="22.5" customHeight="1">
      <c r="A3372" s="36" t="s">
        <v>7429</v>
      </c>
      <c r="B3372" s="36" t="s">
        <v>7430</v>
      </c>
      <c r="C3372" s="36" t="s">
        <v>1495</v>
      </c>
      <c r="D3372" s="36" t="s">
        <v>1496</v>
      </c>
      <c r="E3372" s="36" t="s">
        <v>1285</v>
      </c>
      <c r="F3372" s="36" t="s">
        <v>286</v>
      </c>
      <c r="G3372" s="36" t="s">
        <v>411</v>
      </c>
      <c r="H3372" s="37">
        <v>293.02</v>
      </c>
      <c r="I3372" s="36" t="s">
        <v>1301</v>
      </c>
      <c r="J3372" s="39" t="s">
        <v>286</v>
      </c>
      <c r="K3372" s="38"/>
      <c r="L3372" s="38"/>
    </row>
    <row r="3373" ht="22.5" customHeight="1">
      <c r="A3373" s="36" t="s">
        <v>7431</v>
      </c>
      <c r="B3373" s="36" t="s">
        <v>7432</v>
      </c>
      <c r="C3373" s="36" t="s">
        <v>1495</v>
      </c>
      <c r="D3373" s="36" t="s">
        <v>1496</v>
      </c>
      <c r="E3373" s="36" t="s">
        <v>1285</v>
      </c>
      <c r="F3373" s="36" t="s">
        <v>286</v>
      </c>
      <c r="G3373" s="36" t="s">
        <v>411</v>
      </c>
      <c r="H3373" s="37">
        <v>97.67</v>
      </c>
      <c r="I3373" s="36" t="s">
        <v>1301</v>
      </c>
      <c r="J3373" s="39" t="s">
        <v>286</v>
      </c>
      <c r="K3373" s="38"/>
      <c r="L3373" s="38"/>
    </row>
    <row r="3374" ht="22.5" customHeight="1">
      <c r="A3374" s="36" t="s">
        <v>7433</v>
      </c>
      <c r="B3374" s="36" t="s">
        <v>7434</v>
      </c>
      <c r="C3374" s="36" t="s">
        <v>1495</v>
      </c>
      <c r="D3374" s="36" t="s">
        <v>1496</v>
      </c>
      <c r="E3374" s="36" t="s">
        <v>1285</v>
      </c>
      <c r="F3374" s="36" t="s">
        <v>286</v>
      </c>
      <c r="G3374" s="36" t="s">
        <v>411</v>
      </c>
      <c r="H3374" s="37">
        <v>36.35</v>
      </c>
      <c r="I3374" s="36" t="s">
        <v>1301</v>
      </c>
      <c r="J3374" s="39" t="s">
        <v>286</v>
      </c>
      <c r="K3374" s="38"/>
      <c r="L3374" s="38"/>
    </row>
    <row r="3375" ht="22.5" customHeight="1">
      <c r="A3375" s="36" t="s">
        <v>7435</v>
      </c>
      <c r="B3375" s="36" t="s">
        <v>7436</v>
      </c>
      <c r="C3375" s="36" t="s">
        <v>1495</v>
      </c>
      <c r="D3375" s="36" t="s">
        <v>1496</v>
      </c>
      <c r="E3375" s="36" t="s">
        <v>1285</v>
      </c>
      <c r="F3375" s="36" t="s">
        <v>286</v>
      </c>
      <c r="G3375" s="36" t="s">
        <v>411</v>
      </c>
      <c r="H3375" s="37">
        <v>198.02</v>
      </c>
      <c r="I3375" s="36" t="s">
        <v>1301</v>
      </c>
      <c r="J3375" s="39" t="s">
        <v>286</v>
      </c>
      <c r="K3375" s="38"/>
      <c r="L3375" s="38"/>
    </row>
    <row r="3376" ht="22.5" customHeight="1">
      <c r="A3376" s="36" t="s">
        <v>7437</v>
      </c>
      <c r="B3376" s="36" t="s">
        <v>7438</v>
      </c>
      <c r="C3376" s="36" t="s">
        <v>1495</v>
      </c>
      <c r="D3376" s="36" t="s">
        <v>1496</v>
      </c>
      <c r="E3376" s="36" t="s">
        <v>1285</v>
      </c>
      <c r="F3376" s="36" t="s">
        <v>286</v>
      </c>
      <c r="G3376" s="36" t="s">
        <v>411</v>
      </c>
      <c r="H3376" s="37">
        <v>36.98</v>
      </c>
      <c r="I3376" s="36" t="s">
        <v>1301</v>
      </c>
      <c r="J3376" s="39" t="s">
        <v>286</v>
      </c>
      <c r="K3376" s="38"/>
      <c r="L3376" s="38"/>
    </row>
    <row r="3377" ht="22.5" customHeight="1">
      <c r="A3377" s="36" t="s">
        <v>7439</v>
      </c>
      <c r="B3377" s="36" t="s">
        <v>7440</v>
      </c>
      <c r="C3377" s="36" t="s">
        <v>1495</v>
      </c>
      <c r="D3377" s="36" t="s">
        <v>1496</v>
      </c>
      <c r="E3377" s="36" t="s">
        <v>1285</v>
      </c>
      <c r="F3377" s="36" t="s">
        <v>286</v>
      </c>
      <c r="G3377" s="36" t="s">
        <v>411</v>
      </c>
      <c r="H3377" s="37">
        <v>34.78</v>
      </c>
      <c r="I3377" s="36" t="s">
        <v>1301</v>
      </c>
      <c r="J3377" s="39" t="s">
        <v>286</v>
      </c>
      <c r="K3377" s="38"/>
      <c r="L3377" s="38"/>
    </row>
    <row r="3378" ht="22.5" customHeight="1">
      <c r="A3378" s="36" t="s">
        <v>7441</v>
      </c>
      <c r="B3378" s="36" t="s">
        <v>7442</v>
      </c>
      <c r="C3378" s="36" t="s">
        <v>1495</v>
      </c>
      <c r="D3378" s="36" t="s">
        <v>1496</v>
      </c>
      <c r="E3378" s="36" t="s">
        <v>1285</v>
      </c>
      <c r="F3378" s="36" t="s">
        <v>286</v>
      </c>
      <c r="G3378" s="36" t="s">
        <v>411</v>
      </c>
      <c r="H3378" s="37">
        <v>0.0</v>
      </c>
      <c r="I3378" s="36" t="s">
        <v>1301</v>
      </c>
      <c r="J3378" s="39" t="s">
        <v>286</v>
      </c>
      <c r="K3378" s="38"/>
      <c r="L3378" s="38"/>
    </row>
    <row r="3379" ht="22.5" customHeight="1">
      <c r="A3379" s="36" t="s">
        <v>7443</v>
      </c>
      <c r="B3379" s="36" t="s">
        <v>7444</v>
      </c>
      <c r="C3379" s="36" t="s">
        <v>1495</v>
      </c>
      <c r="D3379" s="36" t="s">
        <v>1496</v>
      </c>
      <c r="E3379" s="36" t="s">
        <v>1285</v>
      </c>
      <c r="F3379" s="36" t="s">
        <v>286</v>
      </c>
      <c r="G3379" s="36" t="s">
        <v>411</v>
      </c>
      <c r="H3379" s="37">
        <v>35.94</v>
      </c>
      <c r="I3379" s="36" t="s">
        <v>1301</v>
      </c>
      <c r="J3379" s="39" t="s">
        <v>286</v>
      </c>
      <c r="K3379" s="38"/>
      <c r="L3379" s="38"/>
    </row>
    <row r="3380" ht="22.5" customHeight="1">
      <c r="A3380" s="36" t="s">
        <v>7445</v>
      </c>
      <c r="B3380" s="36" t="s">
        <v>7446</v>
      </c>
      <c r="C3380" s="36" t="s">
        <v>1495</v>
      </c>
      <c r="D3380" s="36" t="s">
        <v>1496</v>
      </c>
      <c r="E3380" s="36" t="s">
        <v>1285</v>
      </c>
      <c r="F3380" s="36" t="s">
        <v>286</v>
      </c>
      <c r="G3380" s="36" t="s">
        <v>411</v>
      </c>
      <c r="H3380" s="37">
        <v>37.77</v>
      </c>
      <c r="I3380" s="36" t="s">
        <v>1301</v>
      </c>
      <c r="J3380" s="39" t="s">
        <v>286</v>
      </c>
      <c r="K3380" s="38"/>
      <c r="L3380" s="38"/>
    </row>
    <row r="3381" ht="22.5" customHeight="1">
      <c r="A3381" s="36" t="s">
        <v>7447</v>
      </c>
      <c r="B3381" s="36" t="s">
        <v>7448</v>
      </c>
      <c r="C3381" s="36" t="s">
        <v>1495</v>
      </c>
      <c r="D3381" s="36" t="s">
        <v>1496</v>
      </c>
      <c r="E3381" s="36" t="s">
        <v>1285</v>
      </c>
      <c r="F3381" s="36" t="s">
        <v>286</v>
      </c>
      <c r="G3381" s="36" t="s">
        <v>411</v>
      </c>
      <c r="H3381" s="37">
        <v>25.54</v>
      </c>
      <c r="I3381" s="36" t="s">
        <v>1301</v>
      </c>
      <c r="J3381" s="39" t="s">
        <v>286</v>
      </c>
      <c r="K3381" s="38"/>
      <c r="L3381" s="38"/>
    </row>
    <row r="3382" ht="22.5" customHeight="1">
      <c r="A3382" s="36" t="s">
        <v>7449</v>
      </c>
      <c r="B3382" s="36" t="s">
        <v>7450</v>
      </c>
      <c r="C3382" s="36" t="s">
        <v>1495</v>
      </c>
      <c r="D3382" s="36" t="s">
        <v>1496</v>
      </c>
      <c r="E3382" s="36" t="s">
        <v>1285</v>
      </c>
      <c r="F3382" s="36" t="s">
        <v>286</v>
      </c>
      <c r="G3382" s="36" t="s">
        <v>411</v>
      </c>
      <c r="H3382" s="37">
        <v>8.12</v>
      </c>
      <c r="I3382" s="36" t="s">
        <v>1301</v>
      </c>
      <c r="J3382" s="39" t="s">
        <v>286</v>
      </c>
      <c r="K3382" s="38"/>
      <c r="L3382" s="38"/>
    </row>
    <row r="3383" ht="22.5" customHeight="1">
      <c r="A3383" s="36" t="s">
        <v>7451</v>
      </c>
      <c r="B3383" s="36" t="s">
        <v>7452</v>
      </c>
      <c r="C3383" s="36" t="s">
        <v>1495</v>
      </c>
      <c r="D3383" s="36" t="s">
        <v>1496</v>
      </c>
      <c r="E3383" s="36" t="s">
        <v>1285</v>
      </c>
      <c r="F3383" s="36" t="s">
        <v>286</v>
      </c>
      <c r="G3383" s="36" t="s">
        <v>411</v>
      </c>
      <c r="H3383" s="37">
        <v>15.92</v>
      </c>
      <c r="I3383" s="36" t="s">
        <v>1301</v>
      </c>
      <c r="J3383" s="39" t="s">
        <v>286</v>
      </c>
      <c r="K3383" s="38"/>
      <c r="L3383" s="38"/>
    </row>
    <row r="3384" ht="22.5" customHeight="1">
      <c r="A3384" s="36" t="s">
        <v>7453</v>
      </c>
      <c r="B3384" s="36" t="s">
        <v>7454</v>
      </c>
      <c r="C3384" s="36" t="s">
        <v>1495</v>
      </c>
      <c r="D3384" s="36" t="s">
        <v>1496</v>
      </c>
      <c r="E3384" s="36" t="s">
        <v>1285</v>
      </c>
      <c r="F3384" s="36" t="s">
        <v>286</v>
      </c>
      <c r="G3384" s="36" t="s">
        <v>411</v>
      </c>
      <c r="H3384" s="37">
        <v>9.52</v>
      </c>
      <c r="I3384" s="36" t="s">
        <v>1301</v>
      </c>
      <c r="J3384" s="39" t="s">
        <v>286</v>
      </c>
      <c r="K3384" s="38"/>
      <c r="L3384" s="38"/>
    </row>
    <row r="3385" ht="22.5" customHeight="1">
      <c r="A3385" s="36" t="s">
        <v>7455</v>
      </c>
      <c r="B3385" s="36" t="s">
        <v>7456</v>
      </c>
      <c r="C3385" s="36" t="s">
        <v>1495</v>
      </c>
      <c r="D3385" s="36" t="s">
        <v>1496</v>
      </c>
      <c r="E3385" s="36" t="s">
        <v>1285</v>
      </c>
      <c r="F3385" s="36" t="s">
        <v>286</v>
      </c>
      <c r="G3385" s="36" t="s">
        <v>411</v>
      </c>
      <c r="H3385" s="37">
        <v>13.11</v>
      </c>
      <c r="I3385" s="36" t="s">
        <v>1301</v>
      </c>
      <c r="J3385" s="39" t="s">
        <v>286</v>
      </c>
      <c r="K3385" s="38"/>
      <c r="L3385" s="38"/>
    </row>
    <row r="3386" ht="22.5" customHeight="1">
      <c r="A3386" s="36" t="s">
        <v>7457</v>
      </c>
      <c r="B3386" s="36" t="s">
        <v>7458</v>
      </c>
      <c r="C3386" s="36" t="s">
        <v>1495</v>
      </c>
      <c r="D3386" s="36" t="s">
        <v>1496</v>
      </c>
      <c r="E3386" s="36" t="s">
        <v>1285</v>
      </c>
      <c r="F3386" s="36" t="s">
        <v>286</v>
      </c>
      <c r="G3386" s="36" t="s">
        <v>411</v>
      </c>
      <c r="H3386" s="37">
        <v>11.19</v>
      </c>
      <c r="I3386" s="36" t="s">
        <v>1301</v>
      </c>
      <c r="J3386" s="39" t="s">
        <v>286</v>
      </c>
      <c r="K3386" s="38"/>
      <c r="L3386" s="38"/>
    </row>
    <row r="3387" ht="22.5" customHeight="1">
      <c r="A3387" s="36" t="s">
        <v>7459</v>
      </c>
      <c r="B3387" s="36" t="s">
        <v>7460</v>
      </c>
      <c r="C3387" s="36" t="s">
        <v>1495</v>
      </c>
      <c r="D3387" s="36" t="s">
        <v>1496</v>
      </c>
      <c r="E3387" s="36" t="s">
        <v>1285</v>
      </c>
      <c r="F3387" s="36" t="s">
        <v>286</v>
      </c>
      <c r="G3387" s="36" t="s">
        <v>411</v>
      </c>
      <c r="H3387" s="37">
        <v>6.22</v>
      </c>
      <c r="I3387" s="36" t="s">
        <v>1301</v>
      </c>
      <c r="J3387" s="39" t="s">
        <v>286</v>
      </c>
      <c r="K3387" s="38"/>
      <c r="L3387" s="38"/>
    </row>
    <row r="3388" ht="22.5" customHeight="1">
      <c r="A3388" s="36" t="s">
        <v>7461</v>
      </c>
      <c r="B3388" s="36" t="s">
        <v>7462</v>
      </c>
      <c r="C3388" s="36" t="s">
        <v>1495</v>
      </c>
      <c r="D3388" s="36" t="s">
        <v>1496</v>
      </c>
      <c r="E3388" s="36" t="s">
        <v>1285</v>
      </c>
      <c r="F3388" s="36" t="s">
        <v>286</v>
      </c>
      <c r="G3388" s="36" t="s">
        <v>411</v>
      </c>
      <c r="H3388" s="37">
        <v>12.12</v>
      </c>
      <c r="I3388" s="36" t="s">
        <v>1301</v>
      </c>
      <c r="J3388" s="39" t="s">
        <v>286</v>
      </c>
      <c r="K3388" s="38"/>
      <c r="L3388" s="38"/>
    </row>
    <row r="3389" ht="22.5" customHeight="1">
      <c r="A3389" s="36" t="s">
        <v>7463</v>
      </c>
      <c r="B3389" s="36" t="s">
        <v>7464</v>
      </c>
      <c r="C3389" s="36" t="s">
        <v>1495</v>
      </c>
      <c r="D3389" s="36" t="s">
        <v>1496</v>
      </c>
      <c r="E3389" s="36" t="s">
        <v>1285</v>
      </c>
      <c r="F3389" s="36" t="s">
        <v>286</v>
      </c>
      <c r="G3389" s="36" t="s">
        <v>411</v>
      </c>
      <c r="H3389" s="37">
        <v>11.19</v>
      </c>
      <c r="I3389" s="36" t="s">
        <v>1301</v>
      </c>
      <c r="J3389" s="39" t="s">
        <v>286</v>
      </c>
      <c r="K3389" s="38"/>
      <c r="L3389" s="38"/>
    </row>
    <row r="3390" ht="22.5" customHeight="1">
      <c r="A3390" s="36" t="s">
        <v>7465</v>
      </c>
      <c r="B3390" s="36" t="s">
        <v>7466</v>
      </c>
      <c r="C3390" s="36" t="s">
        <v>1495</v>
      </c>
      <c r="D3390" s="36" t="s">
        <v>1496</v>
      </c>
      <c r="E3390" s="36" t="s">
        <v>1285</v>
      </c>
      <c r="F3390" s="36" t="s">
        <v>286</v>
      </c>
      <c r="G3390" s="36" t="s">
        <v>411</v>
      </c>
      <c r="H3390" s="37">
        <v>3.39</v>
      </c>
      <c r="I3390" s="36" t="s">
        <v>1301</v>
      </c>
      <c r="J3390" s="39" t="s">
        <v>286</v>
      </c>
      <c r="K3390" s="38"/>
      <c r="L3390" s="38"/>
    </row>
    <row r="3391" ht="22.5" customHeight="1">
      <c r="A3391" s="36" t="s">
        <v>7467</v>
      </c>
      <c r="B3391" s="36" t="s">
        <v>7468</v>
      </c>
      <c r="C3391" s="36" t="s">
        <v>1495</v>
      </c>
      <c r="D3391" s="36" t="s">
        <v>1496</v>
      </c>
      <c r="E3391" s="36" t="s">
        <v>1285</v>
      </c>
      <c r="F3391" s="36" t="s">
        <v>286</v>
      </c>
      <c r="G3391" s="36" t="s">
        <v>411</v>
      </c>
      <c r="H3391" s="37">
        <v>15.07</v>
      </c>
      <c r="I3391" s="36" t="s">
        <v>1301</v>
      </c>
      <c r="J3391" s="39" t="s">
        <v>286</v>
      </c>
      <c r="K3391" s="38"/>
      <c r="L3391" s="38"/>
    </row>
    <row r="3392" ht="22.5" customHeight="1">
      <c r="A3392" s="36" t="s">
        <v>7469</v>
      </c>
      <c r="B3392" s="36" t="s">
        <v>7470</v>
      </c>
      <c r="C3392" s="36" t="s">
        <v>1495</v>
      </c>
      <c r="D3392" s="36" t="s">
        <v>1496</v>
      </c>
      <c r="E3392" s="36" t="s">
        <v>1285</v>
      </c>
      <c r="F3392" s="36" t="s">
        <v>286</v>
      </c>
      <c r="G3392" s="36" t="s">
        <v>411</v>
      </c>
      <c r="H3392" s="37">
        <v>9.39</v>
      </c>
      <c r="I3392" s="36" t="s">
        <v>1301</v>
      </c>
      <c r="J3392" s="39" t="s">
        <v>286</v>
      </c>
      <c r="K3392" s="38"/>
      <c r="L3392" s="38"/>
    </row>
    <row r="3393" ht="22.5" customHeight="1">
      <c r="A3393" s="36" t="s">
        <v>7471</v>
      </c>
      <c r="B3393" s="36" t="s">
        <v>7472</v>
      </c>
      <c r="C3393" s="36" t="s">
        <v>1495</v>
      </c>
      <c r="D3393" s="36" t="s">
        <v>1496</v>
      </c>
      <c r="E3393" s="36" t="s">
        <v>1285</v>
      </c>
      <c r="F3393" s="36" t="s">
        <v>286</v>
      </c>
      <c r="G3393" s="36" t="s">
        <v>411</v>
      </c>
      <c r="H3393" s="37">
        <v>135.34</v>
      </c>
      <c r="I3393" s="36" t="s">
        <v>1301</v>
      </c>
      <c r="J3393" s="39" t="s">
        <v>286</v>
      </c>
      <c r="K3393" s="38"/>
      <c r="L3393" s="38"/>
    </row>
    <row r="3394" ht="22.5" customHeight="1">
      <c r="A3394" s="36" t="s">
        <v>7473</v>
      </c>
      <c r="B3394" s="36" t="s">
        <v>7474</v>
      </c>
      <c r="C3394" s="36" t="s">
        <v>1495</v>
      </c>
      <c r="D3394" s="36" t="s">
        <v>1496</v>
      </c>
      <c r="E3394" s="36" t="s">
        <v>1285</v>
      </c>
      <c r="F3394" s="36" t="s">
        <v>286</v>
      </c>
      <c r="G3394" s="36" t="s">
        <v>411</v>
      </c>
      <c r="H3394" s="37">
        <v>49.63</v>
      </c>
      <c r="I3394" s="36" t="s">
        <v>1301</v>
      </c>
      <c r="J3394" s="39" t="s">
        <v>286</v>
      </c>
      <c r="K3394" s="38"/>
      <c r="L3394" s="38"/>
    </row>
    <row r="3395" ht="22.5" customHeight="1">
      <c r="A3395" s="36" t="s">
        <v>7475</v>
      </c>
      <c r="B3395" s="36" t="s">
        <v>7476</v>
      </c>
      <c r="C3395" s="36" t="s">
        <v>1495</v>
      </c>
      <c r="D3395" s="36" t="s">
        <v>1496</v>
      </c>
      <c r="E3395" s="36" t="s">
        <v>1285</v>
      </c>
      <c r="F3395" s="36" t="s">
        <v>286</v>
      </c>
      <c r="G3395" s="36" t="s">
        <v>411</v>
      </c>
      <c r="H3395" s="37">
        <v>178.57</v>
      </c>
      <c r="I3395" s="36" t="s">
        <v>1301</v>
      </c>
      <c r="J3395" s="39" t="s">
        <v>286</v>
      </c>
      <c r="K3395" s="38"/>
      <c r="L3395" s="38"/>
    </row>
    <row r="3396" ht="22.5" customHeight="1">
      <c r="A3396" s="36" t="s">
        <v>7477</v>
      </c>
      <c r="B3396" s="36" t="s">
        <v>7478</v>
      </c>
      <c r="C3396" s="36" t="s">
        <v>1495</v>
      </c>
      <c r="D3396" s="36" t="s">
        <v>1496</v>
      </c>
      <c r="E3396" s="36" t="s">
        <v>1285</v>
      </c>
      <c r="F3396" s="36" t="s">
        <v>286</v>
      </c>
      <c r="G3396" s="36" t="s">
        <v>411</v>
      </c>
      <c r="H3396" s="37">
        <v>446.45</v>
      </c>
      <c r="I3396" s="36" t="s">
        <v>1301</v>
      </c>
      <c r="J3396" s="39" t="s">
        <v>286</v>
      </c>
      <c r="K3396" s="38"/>
      <c r="L3396" s="38"/>
    </row>
    <row r="3397" ht="22.5" customHeight="1">
      <c r="A3397" s="36" t="s">
        <v>7479</v>
      </c>
      <c r="B3397" s="36" t="s">
        <v>7480</v>
      </c>
      <c r="C3397" s="36" t="s">
        <v>1495</v>
      </c>
      <c r="D3397" s="36" t="s">
        <v>1496</v>
      </c>
      <c r="E3397" s="36" t="s">
        <v>1285</v>
      </c>
      <c r="F3397" s="36" t="s">
        <v>286</v>
      </c>
      <c r="G3397" s="36" t="s">
        <v>411</v>
      </c>
      <c r="H3397" s="37">
        <v>396.84</v>
      </c>
      <c r="I3397" s="36" t="s">
        <v>1301</v>
      </c>
      <c r="J3397" s="39" t="s">
        <v>286</v>
      </c>
      <c r="K3397" s="38"/>
      <c r="L3397" s="38"/>
    </row>
    <row r="3398" ht="22.5" customHeight="1">
      <c r="A3398" s="36" t="s">
        <v>7481</v>
      </c>
      <c r="B3398" s="36" t="s">
        <v>7482</v>
      </c>
      <c r="C3398" s="36" t="s">
        <v>1495</v>
      </c>
      <c r="D3398" s="36" t="s">
        <v>1496</v>
      </c>
      <c r="E3398" s="36" t="s">
        <v>1285</v>
      </c>
      <c r="F3398" s="36" t="s">
        <v>286</v>
      </c>
      <c r="G3398" s="36" t="s">
        <v>411</v>
      </c>
      <c r="H3398" s="37">
        <v>81.16</v>
      </c>
      <c r="I3398" s="36" t="s">
        <v>1301</v>
      </c>
      <c r="J3398" s="39" t="s">
        <v>286</v>
      </c>
      <c r="K3398" s="38"/>
      <c r="L3398" s="38"/>
    </row>
    <row r="3399" ht="22.5" customHeight="1">
      <c r="A3399" s="36" t="s">
        <v>7483</v>
      </c>
      <c r="B3399" s="36" t="s">
        <v>7484</v>
      </c>
      <c r="C3399" s="36" t="s">
        <v>1495</v>
      </c>
      <c r="D3399" s="36" t="s">
        <v>1496</v>
      </c>
      <c r="E3399" s="36" t="s">
        <v>1285</v>
      </c>
      <c r="F3399" s="36" t="s">
        <v>286</v>
      </c>
      <c r="G3399" s="36" t="s">
        <v>411</v>
      </c>
      <c r="H3399" s="37">
        <v>82.67</v>
      </c>
      <c r="I3399" s="36" t="s">
        <v>1301</v>
      </c>
      <c r="J3399" s="39" t="s">
        <v>286</v>
      </c>
      <c r="K3399" s="38"/>
      <c r="L3399" s="38"/>
    </row>
    <row r="3400" ht="22.5" customHeight="1">
      <c r="A3400" s="36" t="s">
        <v>7485</v>
      </c>
      <c r="B3400" s="36" t="s">
        <v>7486</v>
      </c>
      <c r="C3400" s="36" t="s">
        <v>1495</v>
      </c>
      <c r="D3400" s="36" t="s">
        <v>1496</v>
      </c>
      <c r="E3400" s="36" t="s">
        <v>1285</v>
      </c>
      <c r="F3400" s="36" t="s">
        <v>286</v>
      </c>
      <c r="G3400" s="36" t="s">
        <v>411</v>
      </c>
      <c r="H3400" s="37">
        <v>0.0</v>
      </c>
      <c r="I3400" s="36" t="s">
        <v>1301</v>
      </c>
      <c r="J3400" s="39" t="s">
        <v>286</v>
      </c>
      <c r="K3400" s="38"/>
      <c r="L3400" s="38"/>
    </row>
    <row r="3401" ht="22.5" customHeight="1">
      <c r="A3401" s="36" t="s">
        <v>7487</v>
      </c>
      <c r="B3401" s="36" t="s">
        <v>7488</v>
      </c>
      <c r="C3401" s="36" t="s">
        <v>1495</v>
      </c>
      <c r="D3401" s="36" t="s">
        <v>1496</v>
      </c>
      <c r="E3401" s="36" t="s">
        <v>1285</v>
      </c>
      <c r="F3401" s="36" t="s">
        <v>286</v>
      </c>
      <c r="G3401" s="36" t="s">
        <v>411</v>
      </c>
      <c r="H3401" s="37">
        <v>37.19</v>
      </c>
      <c r="I3401" s="36" t="s">
        <v>1301</v>
      </c>
      <c r="J3401" s="39" t="s">
        <v>286</v>
      </c>
      <c r="K3401" s="38"/>
      <c r="L3401" s="38"/>
    </row>
    <row r="3402" ht="22.5" customHeight="1">
      <c r="A3402" s="36" t="s">
        <v>7489</v>
      </c>
      <c r="B3402" s="36" t="s">
        <v>7490</v>
      </c>
      <c r="C3402" s="36" t="s">
        <v>1495</v>
      </c>
      <c r="D3402" s="36" t="s">
        <v>1496</v>
      </c>
      <c r="E3402" s="36" t="s">
        <v>1285</v>
      </c>
      <c r="F3402" s="36" t="s">
        <v>286</v>
      </c>
      <c r="G3402" s="36" t="s">
        <v>411</v>
      </c>
      <c r="H3402" s="37">
        <v>14.3</v>
      </c>
      <c r="I3402" s="36" t="s">
        <v>1301</v>
      </c>
      <c r="J3402" s="39" t="s">
        <v>286</v>
      </c>
      <c r="K3402" s="38"/>
      <c r="L3402" s="38"/>
    </row>
    <row r="3403" ht="22.5" customHeight="1">
      <c r="A3403" s="36" t="s">
        <v>7491</v>
      </c>
      <c r="B3403" s="36" t="s">
        <v>7492</v>
      </c>
      <c r="C3403" s="36" t="s">
        <v>1495</v>
      </c>
      <c r="D3403" s="36" t="s">
        <v>1496</v>
      </c>
      <c r="E3403" s="36" t="s">
        <v>1285</v>
      </c>
      <c r="F3403" s="36" t="s">
        <v>286</v>
      </c>
      <c r="G3403" s="36" t="s">
        <v>411</v>
      </c>
      <c r="H3403" s="37">
        <v>6.92</v>
      </c>
      <c r="I3403" s="36" t="s">
        <v>1301</v>
      </c>
      <c r="J3403" s="39" t="s">
        <v>286</v>
      </c>
      <c r="K3403" s="38"/>
      <c r="L3403" s="38"/>
    </row>
    <row r="3404" ht="22.5" customHeight="1">
      <c r="A3404" s="36" t="s">
        <v>7493</v>
      </c>
      <c r="B3404" s="36" t="s">
        <v>7494</v>
      </c>
      <c r="C3404" s="36" t="s">
        <v>1495</v>
      </c>
      <c r="D3404" s="36" t="s">
        <v>1496</v>
      </c>
      <c r="E3404" s="36" t="s">
        <v>1285</v>
      </c>
      <c r="F3404" s="36" t="s">
        <v>286</v>
      </c>
      <c r="G3404" s="36" t="s">
        <v>411</v>
      </c>
      <c r="H3404" s="37">
        <v>78.87</v>
      </c>
      <c r="I3404" s="36" t="s">
        <v>1301</v>
      </c>
      <c r="J3404" s="39" t="s">
        <v>286</v>
      </c>
      <c r="K3404" s="38"/>
      <c r="L3404" s="38"/>
    </row>
    <row r="3405" ht="22.5" customHeight="1">
      <c r="A3405" s="36" t="s">
        <v>7495</v>
      </c>
      <c r="B3405" s="36" t="s">
        <v>7496</v>
      </c>
      <c r="C3405" s="36" t="s">
        <v>1495</v>
      </c>
      <c r="D3405" s="36" t="s">
        <v>1496</v>
      </c>
      <c r="E3405" s="36" t="s">
        <v>1285</v>
      </c>
      <c r="F3405" s="36" t="s">
        <v>286</v>
      </c>
      <c r="G3405" s="36" t="s">
        <v>411</v>
      </c>
      <c r="H3405" s="37">
        <v>38.9</v>
      </c>
      <c r="I3405" s="36" t="s">
        <v>1301</v>
      </c>
      <c r="J3405" s="39" t="s">
        <v>286</v>
      </c>
      <c r="K3405" s="38"/>
      <c r="L3405" s="38"/>
    </row>
    <row r="3406" ht="22.5" customHeight="1">
      <c r="A3406" s="36" t="s">
        <v>7497</v>
      </c>
      <c r="B3406" s="36" t="s">
        <v>7498</v>
      </c>
      <c r="C3406" s="36" t="s">
        <v>1495</v>
      </c>
      <c r="D3406" s="36" t="s">
        <v>1496</v>
      </c>
      <c r="E3406" s="36" t="s">
        <v>1285</v>
      </c>
      <c r="F3406" s="36" t="s">
        <v>286</v>
      </c>
      <c r="G3406" s="36" t="s">
        <v>411</v>
      </c>
      <c r="H3406" s="37">
        <v>10.01</v>
      </c>
      <c r="I3406" s="36" t="s">
        <v>1301</v>
      </c>
      <c r="J3406" s="39" t="s">
        <v>286</v>
      </c>
      <c r="K3406" s="38"/>
      <c r="L3406" s="38"/>
    </row>
    <row r="3407" ht="22.5" customHeight="1">
      <c r="A3407" s="36" t="s">
        <v>7499</v>
      </c>
      <c r="B3407" s="36" t="s">
        <v>7500</v>
      </c>
      <c r="C3407" s="36" t="s">
        <v>1495</v>
      </c>
      <c r="D3407" s="36" t="s">
        <v>1496</v>
      </c>
      <c r="E3407" s="36" t="s">
        <v>1285</v>
      </c>
      <c r="F3407" s="36" t="s">
        <v>286</v>
      </c>
      <c r="G3407" s="36" t="s">
        <v>411</v>
      </c>
      <c r="H3407" s="37">
        <v>10.01</v>
      </c>
      <c r="I3407" s="36" t="s">
        <v>1301</v>
      </c>
      <c r="J3407" s="39" t="s">
        <v>286</v>
      </c>
      <c r="K3407" s="38"/>
      <c r="L3407" s="38"/>
    </row>
    <row r="3408" ht="22.5" customHeight="1">
      <c r="A3408" s="36" t="s">
        <v>7501</v>
      </c>
      <c r="B3408" s="36" t="s">
        <v>7502</v>
      </c>
      <c r="C3408" s="36" t="s">
        <v>1495</v>
      </c>
      <c r="D3408" s="36" t="s">
        <v>1496</v>
      </c>
      <c r="E3408" s="36" t="s">
        <v>1285</v>
      </c>
      <c r="F3408" s="36" t="s">
        <v>286</v>
      </c>
      <c r="G3408" s="36" t="s">
        <v>411</v>
      </c>
      <c r="H3408" s="37">
        <v>6.92</v>
      </c>
      <c r="I3408" s="36" t="s">
        <v>1301</v>
      </c>
      <c r="J3408" s="39" t="s">
        <v>286</v>
      </c>
      <c r="K3408" s="38"/>
      <c r="L3408" s="38"/>
    </row>
    <row r="3409" ht="22.5" customHeight="1">
      <c r="A3409" s="36" t="s">
        <v>7503</v>
      </c>
      <c r="B3409" s="36" t="s">
        <v>7504</v>
      </c>
      <c r="C3409" s="36" t="s">
        <v>1495</v>
      </c>
      <c r="D3409" s="36" t="s">
        <v>1496</v>
      </c>
      <c r="E3409" s="36" t="s">
        <v>1285</v>
      </c>
      <c r="F3409" s="36" t="s">
        <v>286</v>
      </c>
      <c r="G3409" s="36" t="s">
        <v>411</v>
      </c>
      <c r="H3409" s="37">
        <v>78.87</v>
      </c>
      <c r="I3409" s="36" t="s">
        <v>1301</v>
      </c>
      <c r="J3409" s="39" t="s">
        <v>286</v>
      </c>
      <c r="K3409" s="38"/>
      <c r="L3409" s="38"/>
    </row>
    <row r="3410" ht="22.5" customHeight="1">
      <c r="A3410" s="36" t="s">
        <v>7505</v>
      </c>
      <c r="B3410" s="36" t="s">
        <v>7506</v>
      </c>
      <c r="C3410" s="36" t="s">
        <v>1495</v>
      </c>
      <c r="D3410" s="36" t="s">
        <v>1496</v>
      </c>
      <c r="E3410" s="36" t="s">
        <v>1285</v>
      </c>
      <c r="F3410" s="36" t="s">
        <v>286</v>
      </c>
      <c r="G3410" s="36" t="s">
        <v>411</v>
      </c>
      <c r="H3410" s="37">
        <v>10.01</v>
      </c>
      <c r="I3410" s="36" t="s">
        <v>1301</v>
      </c>
      <c r="J3410" s="39" t="s">
        <v>286</v>
      </c>
      <c r="K3410" s="38"/>
      <c r="L3410" s="38"/>
    </row>
    <row r="3411" ht="22.5" customHeight="1">
      <c r="A3411" s="36" t="s">
        <v>7507</v>
      </c>
      <c r="B3411" s="36" t="s">
        <v>7508</v>
      </c>
      <c r="C3411" s="36" t="s">
        <v>1495</v>
      </c>
      <c r="D3411" s="36" t="s">
        <v>1496</v>
      </c>
      <c r="E3411" s="36" t="s">
        <v>1285</v>
      </c>
      <c r="F3411" s="36" t="s">
        <v>286</v>
      </c>
      <c r="G3411" s="36" t="s">
        <v>411</v>
      </c>
      <c r="H3411" s="37">
        <v>10.01</v>
      </c>
      <c r="I3411" s="36" t="s">
        <v>1301</v>
      </c>
      <c r="J3411" s="39" t="s">
        <v>286</v>
      </c>
      <c r="K3411" s="38"/>
      <c r="L3411" s="38"/>
    </row>
    <row r="3412" ht="22.5" customHeight="1">
      <c r="A3412" s="36" t="s">
        <v>7509</v>
      </c>
      <c r="B3412" s="36" t="s">
        <v>7510</v>
      </c>
      <c r="C3412" s="36" t="s">
        <v>1495</v>
      </c>
      <c r="D3412" s="36" t="s">
        <v>1496</v>
      </c>
      <c r="E3412" s="36" t="s">
        <v>1285</v>
      </c>
      <c r="F3412" s="36" t="s">
        <v>286</v>
      </c>
      <c r="G3412" s="36" t="s">
        <v>411</v>
      </c>
      <c r="H3412" s="37">
        <v>520.85</v>
      </c>
      <c r="I3412" s="36" t="s">
        <v>1301</v>
      </c>
      <c r="J3412" s="39" t="s">
        <v>286</v>
      </c>
      <c r="K3412" s="38"/>
      <c r="L3412" s="38"/>
    </row>
    <row r="3413" ht="22.5" customHeight="1">
      <c r="A3413" s="36" t="s">
        <v>7511</v>
      </c>
      <c r="B3413" s="36" t="s">
        <v>7512</v>
      </c>
      <c r="C3413" s="36" t="s">
        <v>1495</v>
      </c>
      <c r="D3413" s="36" t="s">
        <v>1496</v>
      </c>
      <c r="E3413" s="36" t="s">
        <v>1285</v>
      </c>
      <c r="F3413" s="36" t="s">
        <v>286</v>
      </c>
      <c r="G3413" s="36" t="s">
        <v>411</v>
      </c>
      <c r="H3413" s="37">
        <v>6.92</v>
      </c>
      <c r="I3413" s="36" t="s">
        <v>1301</v>
      </c>
      <c r="J3413" s="39" t="s">
        <v>286</v>
      </c>
      <c r="K3413" s="38"/>
      <c r="L3413" s="38"/>
    </row>
    <row r="3414" ht="22.5" customHeight="1">
      <c r="A3414" s="36" t="s">
        <v>7513</v>
      </c>
      <c r="B3414" s="36" t="s">
        <v>7514</v>
      </c>
      <c r="C3414" s="36" t="s">
        <v>1495</v>
      </c>
      <c r="D3414" s="36" t="s">
        <v>1496</v>
      </c>
      <c r="E3414" s="36" t="s">
        <v>1285</v>
      </c>
      <c r="F3414" s="36" t="s">
        <v>286</v>
      </c>
      <c r="G3414" s="36" t="s">
        <v>411</v>
      </c>
      <c r="H3414" s="37">
        <v>78.87</v>
      </c>
      <c r="I3414" s="36" t="s">
        <v>1301</v>
      </c>
      <c r="J3414" s="39" t="s">
        <v>286</v>
      </c>
      <c r="K3414" s="38"/>
      <c r="L3414" s="38"/>
    </row>
    <row r="3415" ht="22.5" customHeight="1">
      <c r="A3415" s="36" t="s">
        <v>7515</v>
      </c>
      <c r="B3415" s="36" t="s">
        <v>7516</v>
      </c>
      <c r="C3415" s="36" t="s">
        <v>1495</v>
      </c>
      <c r="D3415" s="36" t="s">
        <v>1496</v>
      </c>
      <c r="E3415" s="36" t="s">
        <v>1285</v>
      </c>
      <c r="F3415" s="36" t="s">
        <v>286</v>
      </c>
      <c r="G3415" s="36" t="s">
        <v>411</v>
      </c>
      <c r="H3415" s="37">
        <v>94.7</v>
      </c>
      <c r="I3415" s="36" t="s">
        <v>1301</v>
      </c>
      <c r="J3415" s="39" t="s">
        <v>286</v>
      </c>
      <c r="K3415" s="38"/>
      <c r="L3415" s="38"/>
    </row>
    <row r="3416" ht="22.5" customHeight="1">
      <c r="A3416" s="36" t="s">
        <v>7517</v>
      </c>
      <c r="B3416" s="36" t="s">
        <v>7518</v>
      </c>
      <c r="C3416" s="36" t="s">
        <v>1495</v>
      </c>
      <c r="D3416" s="36" t="s">
        <v>1496</v>
      </c>
      <c r="E3416" s="36" t="s">
        <v>1285</v>
      </c>
      <c r="F3416" s="36" t="s">
        <v>286</v>
      </c>
      <c r="G3416" s="36" t="s">
        <v>411</v>
      </c>
      <c r="H3416" s="37">
        <v>74.4</v>
      </c>
      <c r="I3416" s="36" t="s">
        <v>1301</v>
      </c>
      <c r="J3416" s="39" t="s">
        <v>286</v>
      </c>
      <c r="K3416" s="38"/>
      <c r="L3416" s="38"/>
    </row>
    <row r="3417" ht="22.5" customHeight="1">
      <c r="A3417" s="36" t="s">
        <v>7519</v>
      </c>
      <c r="B3417" s="36" t="s">
        <v>7520</v>
      </c>
      <c r="C3417" s="36" t="s">
        <v>1495</v>
      </c>
      <c r="D3417" s="36" t="s">
        <v>1496</v>
      </c>
      <c r="E3417" s="36" t="s">
        <v>1285</v>
      </c>
      <c r="F3417" s="36" t="s">
        <v>286</v>
      </c>
      <c r="G3417" s="36" t="s">
        <v>411</v>
      </c>
      <c r="H3417" s="37">
        <v>10.01</v>
      </c>
      <c r="I3417" s="36" t="s">
        <v>1301</v>
      </c>
      <c r="J3417" s="39" t="s">
        <v>286</v>
      </c>
      <c r="K3417" s="38"/>
      <c r="L3417" s="38"/>
    </row>
    <row r="3418" ht="22.5" customHeight="1">
      <c r="A3418" s="36" t="s">
        <v>7521</v>
      </c>
      <c r="B3418" s="36" t="s">
        <v>7522</v>
      </c>
      <c r="C3418" s="36" t="s">
        <v>1495</v>
      </c>
      <c r="D3418" s="36" t="s">
        <v>1496</v>
      </c>
      <c r="E3418" s="36" t="s">
        <v>1285</v>
      </c>
      <c r="F3418" s="36" t="s">
        <v>286</v>
      </c>
      <c r="G3418" s="36" t="s">
        <v>411</v>
      </c>
      <c r="H3418" s="37">
        <v>10.01</v>
      </c>
      <c r="I3418" s="36" t="s">
        <v>1301</v>
      </c>
      <c r="J3418" s="39" t="s">
        <v>286</v>
      </c>
      <c r="K3418" s="38"/>
      <c r="L3418" s="38"/>
    </row>
    <row r="3419" ht="22.5" customHeight="1">
      <c r="A3419" s="36" t="s">
        <v>7523</v>
      </c>
      <c r="B3419" s="36" t="s">
        <v>7524</v>
      </c>
      <c r="C3419" s="36" t="s">
        <v>1495</v>
      </c>
      <c r="D3419" s="36" t="s">
        <v>1496</v>
      </c>
      <c r="E3419" s="36" t="s">
        <v>1285</v>
      </c>
      <c r="F3419" s="36" t="s">
        <v>286</v>
      </c>
      <c r="G3419" s="36" t="s">
        <v>411</v>
      </c>
      <c r="H3419" s="37">
        <v>6.92</v>
      </c>
      <c r="I3419" s="36" t="s">
        <v>1301</v>
      </c>
      <c r="J3419" s="39" t="s">
        <v>286</v>
      </c>
      <c r="K3419" s="38"/>
      <c r="L3419" s="38"/>
    </row>
    <row r="3420" ht="22.5" customHeight="1">
      <c r="A3420" s="36" t="s">
        <v>7525</v>
      </c>
      <c r="B3420" s="36" t="s">
        <v>7526</v>
      </c>
      <c r="C3420" s="36" t="s">
        <v>1495</v>
      </c>
      <c r="D3420" s="36" t="s">
        <v>1496</v>
      </c>
      <c r="E3420" s="36" t="s">
        <v>1285</v>
      </c>
      <c r="F3420" s="36" t="s">
        <v>286</v>
      </c>
      <c r="G3420" s="36" t="s">
        <v>411</v>
      </c>
      <c r="H3420" s="37">
        <v>78.87</v>
      </c>
      <c r="I3420" s="36" t="s">
        <v>1301</v>
      </c>
      <c r="J3420" s="39" t="s">
        <v>286</v>
      </c>
      <c r="K3420" s="38"/>
      <c r="L3420" s="38"/>
    </row>
    <row r="3421" ht="22.5" customHeight="1">
      <c r="A3421" s="36" t="s">
        <v>7527</v>
      </c>
      <c r="B3421" s="36" t="s">
        <v>7528</v>
      </c>
      <c r="C3421" s="36" t="s">
        <v>1495</v>
      </c>
      <c r="D3421" s="36" t="s">
        <v>1496</v>
      </c>
      <c r="E3421" s="36" t="s">
        <v>1285</v>
      </c>
      <c r="F3421" s="36" t="s">
        <v>286</v>
      </c>
      <c r="G3421" s="36" t="s">
        <v>411</v>
      </c>
      <c r="H3421" s="37">
        <v>39.9</v>
      </c>
      <c r="I3421" s="36" t="s">
        <v>1301</v>
      </c>
      <c r="J3421" s="39" t="s">
        <v>286</v>
      </c>
      <c r="K3421" s="38"/>
      <c r="L3421" s="38"/>
    </row>
    <row r="3422" ht="22.5" customHeight="1">
      <c r="A3422" s="36" t="s">
        <v>7529</v>
      </c>
      <c r="B3422" s="36" t="s">
        <v>7530</v>
      </c>
      <c r="C3422" s="36" t="s">
        <v>1495</v>
      </c>
      <c r="D3422" s="36" t="s">
        <v>1496</v>
      </c>
      <c r="E3422" s="36" t="s">
        <v>1285</v>
      </c>
      <c r="F3422" s="36" t="s">
        <v>286</v>
      </c>
      <c r="G3422" s="36" t="s">
        <v>411</v>
      </c>
      <c r="H3422" s="37">
        <v>10.01</v>
      </c>
      <c r="I3422" s="36" t="s">
        <v>1301</v>
      </c>
      <c r="J3422" s="39" t="s">
        <v>286</v>
      </c>
      <c r="K3422" s="38"/>
      <c r="L3422" s="38"/>
    </row>
    <row r="3423" ht="22.5" customHeight="1">
      <c r="A3423" s="36" t="s">
        <v>7531</v>
      </c>
      <c r="B3423" s="36" t="s">
        <v>7532</v>
      </c>
      <c r="C3423" s="36" t="s">
        <v>1495</v>
      </c>
      <c r="D3423" s="36" t="s">
        <v>1496</v>
      </c>
      <c r="E3423" s="36" t="s">
        <v>1285</v>
      </c>
      <c r="F3423" s="36" t="s">
        <v>286</v>
      </c>
      <c r="G3423" s="36" t="s">
        <v>411</v>
      </c>
      <c r="H3423" s="37">
        <v>10.01</v>
      </c>
      <c r="I3423" s="36" t="s">
        <v>1301</v>
      </c>
      <c r="J3423" s="39" t="s">
        <v>286</v>
      </c>
      <c r="K3423" s="38"/>
      <c r="L3423" s="38"/>
    </row>
    <row r="3424" ht="22.5" customHeight="1">
      <c r="A3424" s="36" t="s">
        <v>7533</v>
      </c>
      <c r="B3424" s="36" t="s">
        <v>7534</v>
      </c>
      <c r="C3424" s="36" t="s">
        <v>1495</v>
      </c>
      <c r="D3424" s="36" t="s">
        <v>1496</v>
      </c>
      <c r="E3424" s="36" t="s">
        <v>1285</v>
      </c>
      <c r="F3424" s="36" t="s">
        <v>286</v>
      </c>
      <c r="G3424" s="36" t="s">
        <v>411</v>
      </c>
      <c r="H3424" s="37">
        <v>82.67</v>
      </c>
      <c r="I3424" s="36" t="s">
        <v>1301</v>
      </c>
      <c r="J3424" s="39" t="s">
        <v>286</v>
      </c>
      <c r="K3424" s="38"/>
      <c r="L3424" s="38"/>
    </row>
    <row r="3425" ht="22.5" customHeight="1">
      <c r="A3425" s="36" t="s">
        <v>7535</v>
      </c>
      <c r="B3425" s="36" t="s">
        <v>7536</v>
      </c>
      <c r="C3425" s="36" t="s">
        <v>1495</v>
      </c>
      <c r="D3425" s="36" t="s">
        <v>1496</v>
      </c>
      <c r="E3425" s="36" t="s">
        <v>1285</v>
      </c>
      <c r="F3425" s="36" t="s">
        <v>286</v>
      </c>
      <c r="G3425" s="36" t="s">
        <v>411</v>
      </c>
      <c r="H3425" s="37">
        <v>14.3</v>
      </c>
      <c r="I3425" s="36" t="s">
        <v>1301</v>
      </c>
      <c r="J3425" s="39" t="s">
        <v>286</v>
      </c>
      <c r="K3425" s="38"/>
      <c r="L3425" s="38"/>
    </row>
    <row r="3426" ht="22.5" customHeight="1">
      <c r="A3426" s="36" t="s">
        <v>7537</v>
      </c>
      <c r="B3426" s="36" t="s">
        <v>7538</v>
      </c>
      <c r="C3426" s="36" t="s">
        <v>1495</v>
      </c>
      <c r="D3426" s="36" t="s">
        <v>1496</v>
      </c>
      <c r="E3426" s="36" t="s">
        <v>1285</v>
      </c>
      <c r="F3426" s="36" t="s">
        <v>286</v>
      </c>
      <c r="G3426" s="36" t="s">
        <v>411</v>
      </c>
      <c r="H3426" s="37">
        <v>14.3</v>
      </c>
      <c r="I3426" s="36" t="s">
        <v>1301</v>
      </c>
      <c r="J3426" s="39" t="s">
        <v>286</v>
      </c>
      <c r="K3426" s="38"/>
      <c r="L3426" s="38"/>
    </row>
    <row r="3427" ht="22.5" customHeight="1">
      <c r="A3427" s="36" t="s">
        <v>7539</v>
      </c>
      <c r="B3427" s="36" t="s">
        <v>7540</v>
      </c>
      <c r="C3427" s="36" t="s">
        <v>1495</v>
      </c>
      <c r="D3427" s="36" t="s">
        <v>1496</v>
      </c>
      <c r="E3427" s="36" t="s">
        <v>1285</v>
      </c>
      <c r="F3427" s="36" t="s">
        <v>286</v>
      </c>
      <c r="G3427" s="36" t="s">
        <v>411</v>
      </c>
      <c r="H3427" s="37">
        <v>82.67</v>
      </c>
      <c r="I3427" s="36" t="s">
        <v>1301</v>
      </c>
      <c r="J3427" s="39" t="s">
        <v>286</v>
      </c>
      <c r="K3427" s="38"/>
      <c r="L3427" s="38"/>
    </row>
    <row r="3428" ht="22.5" customHeight="1">
      <c r="A3428" s="36" t="s">
        <v>7541</v>
      </c>
      <c r="B3428" s="36" t="s">
        <v>7542</v>
      </c>
      <c r="C3428" s="36" t="s">
        <v>1495</v>
      </c>
      <c r="D3428" s="36" t="s">
        <v>1496</v>
      </c>
      <c r="E3428" s="36" t="s">
        <v>1285</v>
      </c>
      <c r="F3428" s="36" t="s">
        <v>286</v>
      </c>
      <c r="G3428" s="36" t="s">
        <v>411</v>
      </c>
      <c r="H3428" s="37">
        <v>14.3</v>
      </c>
      <c r="I3428" s="36" t="s">
        <v>1301</v>
      </c>
      <c r="J3428" s="39" t="s">
        <v>286</v>
      </c>
      <c r="K3428" s="38"/>
      <c r="L3428" s="38"/>
    </row>
    <row r="3429" ht="22.5" customHeight="1">
      <c r="A3429" s="36" t="s">
        <v>7543</v>
      </c>
      <c r="B3429" s="36" t="s">
        <v>7544</v>
      </c>
      <c r="C3429" s="36" t="s">
        <v>1495</v>
      </c>
      <c r="D3429" s="36" t="s">
        <v>1496</v>
      </c>
      <c r="E3429" s="36" t="s">
        <v>1285</v>
      </c>
      <c r="F3429" s="36" t="s">
        <v>286</v>
      </c>
      <c r="G3429" s="36" t="s">
        <v>411</v>
      </c>
      <c r="H3429" s="37">
        <v>37.19</v>
      </c>
      <c r="I3429" s="36" t="s">
        <v>1301</v>
      </c>
      <c r="J3429" s="39" t="s">
        <v>286</v>
      </c>
      <c r="K3429" s="38"/>
      <c r="L3429" s="38"/>
    </row>
    <row r="3430" ht="22.5" customHeight="1">
      <c r="A3430" s="36" t="s">
        <v>7545</v>
      </c>
      <c r="B3430" s="36" t="s">
        <v>7546</v>
      </c>
      <c r="C3430" s="36" t="s">
        <v>1495</v>
      </c>
      <c r="D3430" s="36" t="s">
        <v>1496</v>
      </c>
      <c r="E3430" s="36" t="s">
        <v>1285</v>
      </c>
      <c r="F3430" s="36" t="s">
        <v>286</v>
      </c>
      <c r="G3430" s="36" t="s">
        <v>411</v>
      </c>
      <c r="H3430" s="37">
        <v>37.19</v>
      </c>
      <c r="I3430" s="36" t="s">
        <v>1301</v>
      </c>
      <c r="J3430" s="39" t="s">
        <v>286</v>
      </c>
      <c r="K3430" s="38"/>
      <c r="L3430" s="38"/>
    </row>
    <row r="3431" ht="22.5" customHeight="1">
      <c r="A3431" s="36" t="s">
        <v>7547</v>
      </c>
      <c r="B3431" s="36" t="s">
        <v>7548</v>
      </c>
      <c r="C3431" s="36" t="s">
        <v>1495</v>
      </c>
      <c r="D3431" s="36" t="s">
        <v>1496</v>
      </c>
      <c r="E3431" s="36" t="s">
        <v>1285</v>
      </c>
      <c r="F3431" s="36" t="s">
        <v>286</v>
      </c>
      <c r="G3431" s="36" t="s">
        <v>411</v>
      </c>
      <c r="H3431" s="37">
        <v>14.3</v>
      </c>
      <c r="I3431" s="36" t="s">
        <v>1301</v>
      </c>
      <c r="J3431" s="39" t="s">
        <v>286</v>
      </c>
      <c r="K3431" s="38"/>
      <c r="L3431" s="38"/>
    </row>
    <row r="3432" ht="22.5" customHeight="1">
      <c r="A3432" s="36" t="s">
        <v>7549</v>
      </c>
      <c r="B3432" s="36" t="s">
        <v>7550</v>
      </c>
      <c r="C3432" s="36" t="s">
        <v>1495</v>
      </c>
      <c r="D3432" s="36" t="s">
        <v>1496</v>
      </c>
      <c r="E3432" s="36" t="s">
        <v>1285</v>
      </c>
      <c r="F3432" s="36" t="s">
        <v>286</v>
      </c>
      <c r="G3432" s="36" t="s">
        <v>411</v>
      </c>
      <c r="H3432" s="37">
        <v>6.92</v>
      </c>
      <c r="I3432" s="36" t="s">
        <v>1301</v>
      </c>
      <c r="J3432" s="39" t="s">
        <v>286</v>
      </c>
      <c r="K3432" s="38"/>
      <c r="L3432" s="38"/>
    </row>
    <row r="3433" ht="22.5" customHeight="1">
      <c r="A3433" s="36" t="s">
        <v>7551</v>
      </c>
      <c r="B3433" s="36" t="s">
        <v>7552</v>
      </c>
      <c r="C3433" s="36" t="s">
        <v>1495</v>
      </c>
      <c r="D3433" s="36" t="s">
        <v>1496</v>
      </c>
      <c r="E3433" s="36" t="s">
        <v>1285</v>
      </c>
      <c r="F3433" s="36" t="s">
        <v>286</v>
      </c>
      <c r="G3433" s="36" t="s">
        <v>411</v>
      </c>
      <c r="H3433" s="37">
        <v>78.87</v>
      </c>
      <c r="I3433" s="36" t="s">
        <v>1301</v>
      </c>
      <c r="J3433" s="39" t="s">
        <v>286</v>
      </c>
      <c r="K3433" s="38"/>
      <c r="L3433" s="38"/>
    </row>
    <row r="3434" ht="22.5" customHeight="1">
      <c r="A3434" s="36" t="s">
        <v>7553</v>
      </c>
      <c r="B3434" s="36" t="s">
        <v>7554</v>
      </c>
      <c r="C3434" s="36" t="s">
        <v>1495</v>
      </c>
      <c r="D3434" s="36" t="s">
        <v>1496</v>
      </c>
      <c r="E3434" s="36" t="s">
        <v>1285</v>
      </c>
      <c r="F3434" s="36" t="s">
        <v>286</v>
      </c>
      <c r="G3434" s="36" t="s">
        <v>411</v>
      </c>
      <c r="H3434" s="37">
        <v>81.16</v>
      </c>
      <c r="I3434" s="36" t="s">
        <v>1301</v>
      </c>
      <c r="J3434" s="39" t="s">
        <v>286</v>
      </c>
      <c r="K3434" s="38"/>
      <c r="L3434" s="38"/>
    </row>
    <row r="3435" ht="22.5" customHeight="1">
      <c r="A3435" s="36" t="s">
        <v>7555</v>
      </c>
      <c r="B3435" s="36" t="s">
        <v>7556</v>
      </c>
      <c r="C3435" s="36" t="s">
        <v>1495</v>
      </c>
      <c r="D3435" s="36" t="s">
        <v>1496</v>
      </c>
      <c r="E3435" s="36" t="s">
        <v>1285</v>
      </c>
      <c r="F3435" s="36" t="s">
        <v>286</v>
      </c>
      <c r="G3435" s="36" t="s">
        <v>411</v>
      </c>
      <c r="H3435" s="37">
        <v>148.81</v>
      </c>
      <c r="I3435" s="36" t="s">
        <v>1301</v>
      </c>
      <c r="J3435" s="39" t="s">
        <v>286</v>
      </c>
      <c r="K3435" s="38"/>
      <c r="L3435" s="38"/>
    </row>
    <row r="3436" ht="22.5" customHeight="1">
      <c r="A3436" s="36" t="s">
        <v>7557</v>
      </c>
      <c r="B3436" s="36" t="s">
        <v>7558</v>
      </c>
      <c r="C3436" s="36" t="s">
        <v>1495</v>
      </c>
      <c r="D3436" s="36" t="s">
        <v>1496</v>
      </c>
      <c r="E3436" s="36" t="s">
        <v>1285</v>
      </c>
      <c r="F3436" s="36" t="s">
        <v>286</v>
      </c>
      <c r="G3436" s="36" t="s">
        <v>411</v>
      </c>
      <c r="H3436" s="37">
        <v>45.08</v>
      </c>
      <c r="I3436" s="36" t="s">
        <v>1301</v>
      </c>
      <c r="J3436" s="39" t="s">
        <v>286</v>
      </c>
      <c r="K3436" s="38"/>
      <c r="L3436" s="38"/>
    </row>
    <row r="3437" ht="22.5" customHeight="1">
      <c r="A3437" s="36" t="s">
        <v>7559</v>
      </c>
      <c r="B3437" s="36" t="s">
        <v>7560</v>
      </c>
      <c r="C3437" s="36" t="s">
        <v>1495</v>
      </c>
      <c r="D3437" s="36" t="s">
        <v>1496</v>
      </c>
      <c r="E3437" s="36" t="s">
        <v>1285</v>
      </c>
      <c r="F3437" s="36" t="s">
        <v>286</v>
      </c>
      <c r="G3437" s="36" t="s">
        <v>411</v>
      </c>
      <c r="H3437" s="37">
        <v>82.67</v>
      </c>
      <c r="I3437" s="36" t="s">
        <v>1301</v>
      </c>
      <c r="J3437" s="39" t="s">
        <v>286</v>
      </c>
      <c r="K3437" s="38"/>
      <c r="L3437" s="38"/>
    </row>
    <row r="3438" ht="22.5" customHeight="1">
      <c r="A3438" s="36" t="s">
        <v>7561</v>
      </c>
      <c r="B3438" s="36" t="s">
        <v>7562</v>
      </c>
      <c r="C3438" s="36" t="s">
        <v>1495</v>
      </c>
      <c r="D3438" s="36" t="s">
        <v>1496</v>
      </c>
      <c r="E3438" s="36" t="s">
        <v>1285</v>
      </c>
      <c r="F3438" s="36" t="s">
        <v>286</v>
      </c>
      <c r="G3438" s="36" t="s">
        <v>411</v>
      </c>
      <c r="H3438" s="37">
        <v>14.3</v>
      </c>
      <c r="I3438" s="36" t="s">
        <v>1301</v>
      </c>
      <c r="J3438" s="39" t="s">
        <v>286</v>
      </c>
      <c r="K3438" s="38"/>
      <c r="L3438" s="38"/>
    </row>
    <row r="3439" ht="22.5" customHeight="1">
      <c r="A3439" s="36" t="s">
        <v>7563</v>
      </c>
      <c r="B3439" s="36" t="s">
        <v>7564</v>
      </c>
      <c r="C3439" s="36" t="s">
        <v>1495</v>
      </c>
      <c r="D3439" s="36" t="s">
        <v>1496</v>
      </c>
      <c r="E3439" s="36" t="s">
        <v>1285</v>
      </c>
      <c r="F3439" s="36" t="s">
        <v>286</v>
      </c>
      <c r="G3439" s="36" t="s">
        <v>411</v>
      </c>
      <c r="H3439" s="37">
        <v>38.9</v>
      </c>
      <c r="I3439" s="36" t="s">
        <v>1301</v>
      </c>
      <c r="J3439" s="39" t="s">
        <v>286</v>
      </c>
      <c r="K3439" s="38"/>
      <c r="L3439" s="38"/>
    </row>
    <row r="3440" ht="22.5" customHeight="1">
      <c r="A3440" s="36" t="s">
        <v>7565</v>
      </c>
      <c r="B3440" s="36" t="s">
        <v>7566</v>
      </c>
      <c r="C3440" s="36" t="s">
        <v>1495</v>
      </c>
      <c r="D3440" s="36" t="s">
        <v>1496</v>
      </c>
      <c r="E3440" s="36" t="s">
        <v>1285</v>
      </c>
      <c r="F3440" s="36" t="s">
        <v>286</v>
      </c>
      <c r="G3440" s="36" t="s">
        <v>411</v>
      </c>
      <c r="H3440" s="37">
        <v>10.01</v>
      </c>
      <c r="I3440" s="36" t="s">
        <v>1301</v>
      </c>
      <c r="J3440" s="39" t="s">
        <v>286</v>
      </c>
      <c r="K3440" s="38"/>
      <c r="L3440" s="38"/>
    </row>
    <row r="3441" ht="22.5" customHeight="1">
      <c r="A3441" s="36" t="s">
        <v>7567</v>
      </c>
      <c r="B3441" s="36" t="s">
        <v>7568</v>
      </c>
      <c r="C3441" s="36" t="s">
        <v>1495</v>
      </c>
      <c r="D3441" s="36" t="s">
        <v>1496</v>
      </c>
      <c r="E3441" s="36" t="s">
        <v>1285</v>
      </c>
      <c r="F3441" s="36" t="s">
        <v>286</v>
      </c>
      <c r="G3441" s="36" t="s">
        <v>411</v>
      </c>
      <c r="H3441" s="37">
        <v>10.01</v>
      </c>
      <c r="I3441" s="36" t="s">
        <v>1301</v>
      </c>
      <c r="J3441" s="39" t="s">
        <v>286</v>
      </c>
      <c r="K3441" s="38"/>
      <c r="L3441" s="38"/>
    </row>
    <row r="3442" ht="22.5" customHeight="1">
      <c r="A3442" s="36" t="s">
        <v>7569</v>
      </c>
      <c r="B3442" s="36" t="s">
        <v>7570</v>
      </c>
      <c r="C3442" s="36" t="s">
        <v>1495</v>
      </c>
      <c r="D3442" s="36" t="s">
        <v>1496</v>
      </c>
      <c r="E3442" s="36" t="s">
        <v>1285</v>
      </c>
      <c r="F3442" s="36" t="s">
        <v>286</v>
      </c>
      <c r="G3442" s="36" t="s">
        <v>411</v>
      </c>
      <c r="H3442" s="37">
        <v>37.19</v>
      </c>
      <c r="I3442" s="36" t="s">
        <v>1301</v>
      </c>
      <c r="J3442" s="39" t="s">
        <v>286</v>
      </c>
      <c r="K3442" s="38"/>
      <c r="L3442" s="38"/>
    </row>
    <row r="3443" ht="22.5" customHeight="1">
      <c r="A3443" s="36" t="s">
        <v>7571</v>
      </c>
      <c r="B3443" s="36" t="s">
        <v>7572</v>
      </c>
      <c r="C3443" s="36" t="s">
        <v>1495</v>
      </c>
      <c r="D3443" s="36" t="s">
        <v>1496</v>
      </c>
      <c r="E3443" s="36" t="s">
        <v>1285</v>
      </c>
      <c r="F3443" s="36" t="s">
        <v>286</v>
      </c>
      <c r="G3443" s="36" t="s">
        <v>411</v>
      </c>
      <c r="H3443" s="37">
        <v>14.3</v>
      </c>
      <c r="I3443" s="36" t="s">
        <v>1301</v>
      </c>
      <c r="J3443" s="39" t="s">
        <v>286</v>
      </c>
      <c r="K3443" s="38"/>
      <c r="L3443" s="38"/>
    </row>
    <row r="3444" ht="22.5" customHeight="1">
      <c r="A3444" s="36" t="s">
        <v>7573</v>
      </c>
      <c r="B3444" s="36" t="s">
        <v>7574</v>
      </c>
      <c r="C3444" s="36" t="s">
        <v>1495</v>
      </c>
      <c r="D3444" s="36" t="s">
        <v>1496</v>
      </c>
      <c r="E3444" s="36" t="s">
        <v>1285</v>
      </c>
      <c r="F3444" s="36" t="s">
        <v>286</v>
      </c>
      <c r="G3444" s="36" t="s">
        <v>411</v>
      </c>
      <c r="H3444" s="37">
        <v>0.0</v>
      </c>
      <c r="I3444" s="36" t="s">
        <v>1301</v>
      </c>
      <c r="J3444" s="39" t="s">
        <v>286</v>
      </c>
      <c r="K3444" s="38"/>
      <c r="L3444" s="38"/>
    </row>
    <row r="3445" ht="22.5" customHeight="1">
      <c r="A3445" s="36" t="s">
        <v>7575</v>
      </c>
      <c r="B3445" s="36" t="s">
        <v>7576</v>
      </c>
      <c r="C3445" s="36" t="s">
        <v>1495</v>
      </c>
      <c r="D3445" s="36" t="s">
        <v>1496</v>
      </c>
      <c r="E3445" s="36" t="s">
        <v>1285</v>
      </c>
      <c r="F3445" s="36" t="s">
        <v>286</v>
      </c>
      <c r="G3445" s="36" t="s">
        <v>411</v>
      </c>
      <c r="H3445" s="37">
        <v>14.12</v>
      </c>
      <c r="I3445" s="36" t="s">
        <v>1301</v>
      </c>
      <c r="J3445" s="39" t="s">
        <v>286</v>
      </c>
      <c r="K3445" s="38"/>
      <c r="L3445" s="38"/>
    </row>
    <row r="3446" ht="22.5" customHeight="1">
      <c r="A3446" s="36" t="s">
        <v>7577</v>
      </c>
      <c r="B3446" s="36" t="s">
        <v>7578</v>
      </c>
      <c r="C3446" s="36" t="s">
        <v>1495</v>
      </c>
      <c r="D3446" s="36" t="s">
        <v>1496</v>
      </c>
      <c r="E3446" s="36" t="s">
        <v>1285</v>
      </c>
      <c r="F3446" s="36" t="s">
        <v>286</v>
      </c>
      <c r="G3446" s="36" t="s">
        <v>411</v>
      </c>
      <c r="H3446" s="37">
        <v>78.87</v>
      </c>
      <c r="I3446" s="36" t="s">
        <v>1301</v>
      </c>
      <c r="J3446" s="39" t="s">
        <v>286</v>
      </c>
      <c r="K3446" s="38"/>
      <c r="L3446" s="38"/>
    </row>
    <row r="3447" ht="22.5" customHeight="1">
      <c r="A3447" s="36" t="s">
        <v>7579</v>
      </c>
      <c r="B3447" s="36" t="s">
        <v>7580</v>
      </c>
      <c r="C3447" s="36" t="s">
        <v>1495</v>
      </c>
      <c r="D3447" s="36" t="s">
        <v>1496</v>
      </c>
      <c r="E3447" s="36" t="s">
        <v>1285</v>
      </c>
      <c r="F3447" s="36" t="s">
        <v>286</v>
      </c>
      <c r="G3447" s="36" t="s">
        <v>411</v>
      </c>
      <c r="H3447" s="37">
        <v>14.3</v>
      </c>
      <c r="I3447" s="36" t="s">
        <v>1301</v>
      </c>
      <c r="J3447" s="39" t="s">
        <v>286</v>
      </c>
      <c r="K3447" s="38"/>
      <c r="L3447" s="38"/>
    </row>
    <row r="3448" ht="22.5" customHeight="1">
      <c r="A3448" s="36" t="s">
        <v>7581</v>
      </c>
      <c r="B3448" s="36" t="s">
        <v>7582</v>
      </c>
      <c r="C3448" s="36" t="s">
        <v>1495</v>
      </c>
      <c r="D3448" s="36" t="s">
        <v>1496</v>
      </c>
      <c r="E3448" s="36" t="s">
        <v>1285</v>
      </c>
      <c r="F3448" s="36" t="s">
        <v>286</v>
      </c>
      <c r="G3448" s="36" t="s">
        <v>411</v>
      </c>
      <c r="H3448" s="37">
        <v>396.84</v>
      </c>
      <c r="I3448" s="36" t="s">
        <v>1301</v>
      </c>
      <c r="J3448" s="39" t="s">
        <v>286</v>
      </c>
      <c r="K3448" s="38"/>
      <c r="L3448" s="38"/>
    </row>
    <row r="3449" ht="22.5" customHeight="1">
      <c r="A3449" s="36" t="s">
        <v>7583</v>
      </c>
      <c r="B3449" s="36" t="s">
        <v>7584</v>
      </c>
      <c r="C3449" s="36" t="s">
        <v>1495</v>
      </c>
      <c r="D3449" s="36" t="s">
        <v>1496</v>
      </c>
      <c r="E3449" s="36" t="s">
        <v>1285</v>
      </c>
      <c r="F3449" s="36" t="s">
        <v>286</v>
      </c>
      <c r="G3449" s="36" t="s">
        <v>411</v>
      </c>
      <c r="H3449" s="37">
        <v>396.84</v>
      </c>
      <c r="I3449" s="36" t="s">
        <v>1301</v>
      </c>
      <c r="J3449" s="39" t="s">
        <v>286</v>
      </c>
      <c r="K3449" s="38"/>
      <c r="L3449" s="38"/>
    </row>
    <row r="3450" ht="22.5" customHeight="1">
      <c r="A3450" s="36" t="s">
        <v>7585</v>
      </c>
      <c r="B3450" s="36" t="s">
        <v>7586</v>
      </c>
      <c r="C3450" s="36" t="s">
        <v>1495</v>
      </c>
      <c r="D3450" s="36" t="s">
        <v>1496</v>
      </c>
      <c r="E3450" s="36" t="s">
        <v>1285</v>
      </c>
      <c r="F3450" s="36" t="s">
        <v>286</v>
      </c>
      <c r="G3450" s="36" t="s">
        <v>411</v>
      </c>
      <c r="H3450" s="37">
        <v>82.67</v>
      </c>
      <c r="I3450" s="36" t="s">
        <v>1301</v>
      </c>
      <c r="J3450" s="39" t="s">
        <v>286</v>
      </c>
      <c r="K3450" s="38"/>
      <c r="L3450" s="38"/>
    </row>
    <row r="3451" ht="22.5" customHeight="1">
      <c r="A3451" s="36" t="s">
        <v>7587</v>
      </c>
      <c r="B3451" s="36" t="s">
        <v>7588</v>
      </c>
      <c r="C3451" s="36" t="s">
        <v>1495</v>
      </c>
      <c r="D3451" s="36" t="s">
        <v>1496</v>
      </c>
      <c r="E3451" s="36" t="s">
        <v>1285</v>
      </c>
      <c r="F3451" s="36" t="s">
        <v>286</v>
      </c>
      <c r="G3451" s="36" t="s">
        <v>411</v>
      </c>
      <c r="H3451" s="37">
        <v>14.3</v>
      </c>
      <c r="I3451" s="36" t="s">
        <v>1301</v>
      </c>
      <c r="J3451" s="39" t="s">
        <v>286</v>
      </c>
      <c r="K3451" s="38"/>
      <c r="L3451" s="38"/>
    </row>
    <row r="3452" ht="22.5" customHeight="1">
      <c r="A3452" s="36" t="s">
        <v>7589</v>
      </c>
      <c r="B3452" s="36" t="s">
        <v>7590</v>
      </c>
      <c r="C3452" s="36" t="s">
        <v>1495</v>
      </c>
      <c r="D3452" s="36" t="s">
        <v>1496</v>
      </c>
      <c r="E3452" s="36" t="s">
        <v>1285</v>
      </c>
      <c r="F3452" s="36" t="s">
        <v>286</v>
      </c>
      <c r="G3452" s="36" t="s">
        <v>411</v>
      </c>
      <c r="H3452" s="37">
        <v>873.63</v>
      </c>
      <c r="I3452" s="36" t="s">
        <v>1301</v>
      </c>
      <c r="J3452" s="39" t="s">
        <v>286</v>
      </c>
      <c r="K3452" s="38"/>
      <c r="L3452" s="38"/>
    </row>
    <row r="3453" ht="22.5" customHeight="1">
      <c r="A3453" s="36" t="s">
        <v>7591</v>
      </c>
      <c r="B3453" s="36" t="s">
        <v>7592</v>
      </c>
      <c r="C3453" s="36" t="s">
        <v>1495</v>
      </c>
      <c r="D3453" s="36" t="s">
        <v>1496</v>
      </c>
      <c r="E3453" s="36" t="s">
        <v>1285</v>
      </c>
      <c r="F3453" s="36" t="s">
        <v>286</v>
      </c>
      <c r="G3453" s="36" t="s">
        <v>411</v>
      </c>
      <c r="H3453" s="37">
        <v>710.88</v>
      </c>
      <c r="I3453" s="36" t="s">
        <v>1301</v>
      </c>
      <c r="J3453" s="39" t="s">
        <v>286</v>
      </c>
      <c r="K3453" s="38"/>
      <c r="L3453" s="38"/>
    </row>
    <row r="3454" ht="22.5" customHeight="1">
      <c r="A3454" s="36" t="s">
        <v>7593</v>
      </c>
      <c r="B3454" s="36" t="s">
        <v>7594</v>
      </c>
      <c r="C3454" s="36" t="s">
        <v>1495</v>
      </c>
      <c r="D3454" s="36" t="s">
        <v>1496</v>
      </c>
      <c r="E3454" s="36" t="s">
        <v>1285</v>
      </c>
      <c r="F3454" s="36" t="s">
        <v>286</v>
      </c>
      <c r="G3454" s="36" t="s">
        <v>411</v>
      </c>
      <c r="H3454" s="37">
        <v>6.96</v>
      </c>
      <c r="I3454" s="36" t="s">
        <v>1301</v>
      </c>
      <c r="J3454" s="39" t="s">
        <v>286</v>
      </c>
      <c r="K3454" s="38"/>
      <c r="L3454" s="38"/>
    </row>
    <row r="3455" ht="22.5" customHeight="1">
      <c r="A3455" s="36" t="s">
        <v>7595</v>
      </c>
      <c r="B3455" s="36" t="s">
        <v>7596</v>
      </c>
      <c r="C3455" s="36" t="s">
        <v>1495</v>
      </c>
      <c r="D3455" s="36" t="s">
        <v>1496</v>
      </c>
      <c r="E3455" s="36" t="s">
        <v>1285</v>
      </c>
      <c r="F3455" s="36" t="s">
        <v>286</v>
      </c>
      <c r="G3455" s="36" t="s">
        <v>411</v>
      </c>
      <c r="H3455" s="37">
        <v>68.5</v>
      </c>
      <c r="I3455" s="36" t="s">
        <v>1301</v>
      </c>
      <c r="J3455" s="39" t="s">
        <v>286</v>
      </c>
      <c r="K3455" s="38"/>
      <c r="L3455" s="38"/>
    </row>
    <row r="3456" ht="22.5" customHeight="1">
      <c r="A3456" s="36" t="s">
        <v>7597</v>
      </c>
      <c r="B3456" s="36" t="s">
        <v>7598</v>
      </c>
      <c r="C3456" s="36" t="s">
        <v>1495</v>
      </c>
      <c r="D3456" s="36" t="s">
        <v>1496</v>
      </c>
      <c r="E3456" s="36" t="s">
        <v>1285</v>
      </c>
      <c r="F3456" s="36" t="s">
        <v>286</v>
      </c>
      <c r="G3456" s="36" t="s">
        <v>411</v>
      </c>
      <c r="H3456" s="37">
        <v>275.0</v>
      </c>
      <c r="I3456" s="36" t="s">
        <v>1301</v>
      </c>
      <c r="J3456" s="39" t="s">
        <v>286</v>
      </c>
      <c r="K3456" s="38"/>
      <c r="L3456" s="38"/>
    </row>
    <row r="3457" ht="22.5" customHeight="1">
      <c r="A3457" s="36" t="s">
        <v>7599</v>
      </c>
      <c r="B3457" s="36" t="s">
        <v>7600</v>
      </c>
      <c r="C3457" s="36" t="s">
        <v>1495</v>
      </c>
      <c r="D3457" s="36" t="s">
        <v>1496</v>
      </c>
      <c r="E3457" s="36" t="s">
        <v>1285</v>
      </c>
      <c r="F3457" s="36" t="s">
        <v>286</v>
      </c>
      <c r="G3457" s="36" t="s">
        <v>411</v>
      </c>
      <c r="H3457" s="37">
        <v>152.11</v>
      </c>
      <c r="I3457" s="36" t="s">
        <v>1301</v>
      </c>
      <c r="J3457" s="39" t="s">
        <v>286</v>
      </c>
      <c r="K3457" s="38"/>
      <c r="L3457" s="38"/>
    </row>
    <row r="3458" ht="22.5" customHeight="1">
      <c r="A3458" s="36" t="s">
        <v>7601</v>
      </c>
      <c r="B3458" s="36" t="s">
        <v>7602</v>
      </c>
      <c r="C3458" s="36" t="s">
        <v>1495</v>
      </c>
      <c r="D3458" s="36" t="s">
        <v>1496</v>
      </c>
      <c r="E3458" s="36" t="s">
        <v>1285</v>
      </c>
      <c r="F3458" s="36" t="s">
        <v>286</v>
      </c>
      <c r="G3458" s="36" t="s">
        <v>411</v>
      </c>
      <c r="H3458" s="37">
        <v>27.71</v>
      </c>
      <c r="I3458" s="36" t="s">
        <v>1301</v>
      </c>
      <c r="J3458" s="39" t="s">
        <v>286</v>
      </c>
      <c r="K3458" s="38"/>
      <c r="L3458" s="38"/>
    </row>
    <row r="3459" ht="22.5" customHeight="1">
      <c r="A3459" s="36" t="s">
        <v>7603</v>
      </c>
      <c r="B3459" s="36" t="s">
        <v>7604</v>
      </c>
      <c r="C3459" s="36" t="s">
        <v>286</v>
      </c>
      <c r="D3459" s="36" t="s">
        <v>286</v>
      </c>
      <c r="E3459" s="36" t="s">
        <v>287</v>
      </c>
      <c r="F3459" s="36" t="s">
        <v>286</v>
      </c>
      <c r="G3459" s="36" t="s">
        <v>411</v>
      </c>
      <c r="H3459" s="37">
        <v>44.58</v>
      </c>
      <c r="I3459" s="36" t="s">
        <v>1301</v>
      </c>
      <c r="J3459" s="39" t="s">
        <v>286</v>
      </c>
      <c r="K3459" s="38"/>
      <c r="L3459" s="38"/>
    </row>
    <row r="3460" ht="22.5" customHeight="1">
      <c r="A3460" s="36" t="s">
        <v>7605</v>
      </c>
      <c r="B3460" s="36" t="s">
        <v>7606</v>
      </c>
      <c r="C3460" s="36" t="s">
        <v>1495</v>
      </c>
      <c r="D3460" s="36" t="s">
        <v>1496</v>
      </c>
      <c r="E3460" s="36" t="s">
        <v>1285</v>
      </c>
      <c r="F3460" s="36" t="s">
        <v>286</v>
      </c>
      <c r="G3460" s="36" t="s">
        <v>411</v>
      </c>
      <c r="H3460" s="37">
        <v>46.46</v>
      </c>
      <c r="I3460" s="36" t="s">
        <v>1301</v>
      </c>
      <c r="J3460" s="39" t="s">
        <v>286</v>
      </c>
      <c r="K3460" s="38"/>
      <c r="L3460" s="38"/>
    </row>
    <row r="3461" ht="22.5" customHeight="1">
      <c r="A3461" s="36" t="s">
        <v>7607</v>
      </c>
      <c r="B3461" s="36" t="s">
        <v>7608</v>
      </c>
      <c r="C3461" s="36" t="s">
        <v>1495</v>
      </c>
      <c r="D3461" s="36" t="s">
        <v>1496</v>
      </c>
      <c r="E3461" s="36" t="s">
        <v>1285</v>
      </c>
      <c r="F3461" s="36" t="s">
        <v>286</v>
      </c>
      <c r="G3461" s="36" t="s">
        <v>411</v>
      </c>
      <c r="H3461" s="37">
        <v>14.58</v>
      </c>
      <c r="I3461" s="36" t="s">
        <v>1301</v>
      </c>
      <c r="J3461" s="39" t="s">
        <v>286</v>
      </c>
      <c r="K3461" s="38"/>
      <c r="L3461" s="38"/>
    </row>
    <row r="3462" ht="22.5" customHeight="1">
      <c r="A3462" s="36" t="s">
        <v>7609</v>
      </c>
      <c r="B3462" s="36" t="s">
        <v>7610</v>
      </c>
      <c r="C3462" s="36" t="s">
        <v>1495</v>
      </c>
      <c r="D3462" s="36" t="s">
        <v>1496</v>
      </c>
      <c r="E3462" s="36" t="s">
        <v>1285</v>
      </c>
      <c r="F3462" s="36" t="s">
        <v>286</v>
      </c>
      <c r="G3462" s="36" t="s">
        <v>411</v>
      </c>
      <c r="H3462" s="37">
        <v>15.21</v>
      </c>
      <c r="I3462" s="36" t="s">
        <v>1301</v>
      </c>
      <c r="J3462" s="39" t="s">
        <v>286</v>
      </c>
      <c r="K3462" s="38"/>
      <c r="L3462" s="38"/>
    </row>
    <row r="3463" ht="22.5" customHeight="1">
      <c r="A3463" s="36" t="s">
        <v>7611</v>
      </c>
      <c r="B3463" s="36" t="s">
        <v>7612</v>
      </c>
      <c r="C3463" s="36" t="s">
        <v>1495</v>
      </c>
      <c r="D3463" s="36" t="s">
        <v>1496</v>
      </c>
      <c r="E3463" s="36" t="s">
        <v>1285</v>
      </c>
      <c r="F3463" s="36" t="s">
        <v>286</v>
      </c>
      <c r="G3463" s="36" t="s">
        <v>411</v>
      </c>
      <c r="H3463" s="37">
        <v>10.35</v>
      </c>
      <c r="I3463" s="36" t="s">
        <v>1301</v>
      </c>
      <c r="J3463" s="39" t="s">
        <v>286</v>
      </c>
      <c r="K3463" s="38"/>
      <c r="L3463" s="38"/>
    </row>
    <row r="3464" ht="22.5" customHeight="1">
      <c r="A3464" s="36" t="s">
        <v>7613</v>
      </c>
      <c r="B3464" s="36" t="s">
        <v>7614</v>
      </c>
      <c r="C3464" s="36" t="s">
        <v>1495</v>
      </c>
      <c r="D3464" s="36" t="s">
        <v>1496</v>
      </c>
      <c r="E3464" s="36" t="s">
        <v>1285</v>
      </c>
      <c r="F3464" s="36" t="s">
        <v>286</v>
      </c>
      <c r="G3464" s="36" t="s">
        <v>411</v>
      </c>
      <c r="H3464" s="37">
        <v>29.26</v>
      </c>
      <c r="I3464" s="36" t="s">
        <v>1301</v>
      </c>
      <c r="J3464" s="39" t="s">
        <v>286</v>
      </c>
      <c r="K3464" s="38"/>
      <c r="L3464" s="38"/>
    </row>
    <row r="3465" ht="22.5" customHeight="1">
      <c r="A3465" s="36" t="s">
        <v>7615</v>
      </c>
      <c r="B3465" s="36" t="s">
        <v>7616</v>
      </c>
      <c r="C3465" s="36" t="s">
        <v>1495</v>
      </c>
      <c r="D3465" s="36" t="s">
        <v>1496</v>
      </c>
      <c r="E3465" s="36" t="s">
        <v>1285</v>
      </c>
      <c r="F3465" s="36" t="s">
        <v>286</v>
      </c>
      <c r="G3465" s="36" t="s">
        <v>411</v>
      </c>
      <c r="H3465" s="37">
        <v>24.58</v>
      </c>
      <c r="I3465" s="36" t="s">
        <v>1301</v>
      </c>
      <c r="J3465" s="39" t="s">
        <v>286</v>
      </c>
      <c r="K3465" s="38"/>
      <c r="L3465" s="38"/>
    </row>
    <row r="3466" ht="22.5" customHeight="1">
      <c r="A3466" s="36" t="s">
        <v>7617</v>
      </c>
      <c r="B3466" s="36" t="s">
        <v>7618</v>
      </c>
      <c r="C3466" s="36" t="s">
        <v>1495</v>
      </c>
      <c r="D3466" s="36" t="s">
        <v>1496</v>
      </c>
      <c r="E3466" s="36" t="s">
        <v>1285</v>
      </c>
      <c r="F3466" s="36" t="s">
        <v>286</v>
      </c>
      <c r="G3466" s="36" t="s">
        <v>411</v>
      </c>
      <c r="H3466" s="37">
        <v>24.58</v>
      </c>
      <c r="I3466" s="36" t="s">
        <v>1301</v>
      </c>
      <c r="J3466" s="39" t="s">
        <v>286</v>
      </c>
      <c r="K3466" s="38"/>
      <c r="L3466" s="38"/>
    </row>
    <row r="3467" ht="22.5" customHeight="1">
      <c r="A3467" s="36" t="s">
        <v>7619</v>
      </c>
      <c r="B3467" s="36" t="s">
        <v>7620</v>
      </c>
      <c r="C3467" s="36" t="s">
        <v>1495</v>
      </c>
      <c r="D3467" s="36" t="s">
        <v>1496</v>
      </c>
      <c r="E3467" s="36" t="s">
        <v>1285</v>
      </c>
      <c r="F3467" s="36" t="s">
        <v>286</v>
      </c>
      <c r="G3467" s="36" t="s">
        <v>411</v>
      </c>
      <c r="H3467" s="37">
        <v>29.56</v>
      </c>
      <c r="I3467" s="36" t="s">
        <v>1301</v>
      </c>
      <c r="J3467" s="39" t="s">
        <v>286</v>
      </c>
      <c r="K3467" s="38"/>
      <c r="L3467" s="38"/>
    </row>
    <row r="3468" ht="22.5" customHeight="1">
      <c r="A3468" s="36" t="s">
        <v>7621</v>
      </c>
      <c r="B3468" s="36" t="s">
        <v>7622</v>
      </c>
      <c r="C3468" s="36" t="s">
        <v>1495</v>
      </c>
      <c r="D3468" s="36" t="s">
        <v>1496</v>
      </c>
      <c r="E3468" s="36" t="s">
        <v>1285</v>
      </c>
      <c r="F3468" s="36" t="s">
        <v>286</v>
      </c>
      <c r="G3468" s="36" t="s">
        <v>411</v>
      </c>
      <c r="H3468" s="37">
        <v>24.58</v>
      </c>
      <c r="I3468" s="36" t="s">
        <v>1301</v>
      </c>
      <c r="J3468" s="39" t="s">
        <v>286</v>
      </c>
      <c r="K3468" s="38"/>
      <c r="L3468" s="38"/>
    </row>
    <row r="3469" ht="22.5" customHeight="1">
      <c r="A3469" s="36" t="s">
        <v>7623</v>
      </c>
      <c r="B3469" s="36" t="s">
        <v>7624</v>
      </c>
      <c r="C3469" s="36" t="s">
        <v>1495</v>
      </c>
      <c r="D3469" s="36" t="s">
        <v>1496</v>
      </c>
      <c r="E3469" s="36" t="s">
        <v>1285</v>
      </c>
      <c r="F3469" s="36" t="s">
        <v>286</v>
      </c>
      <c r="G3469" s="36" t="s">
        <v>411</v>
      </c>
      <c r="H3469" s="37">
        <v>23.35</v>
      </c>
      <c r="I3469" s="36" t="s">
        <v>1301</v>
      </c>
      <c r="J3469" s="39" t="s">
        <v>286</v>
      </c>
      <c r="K3469" s="38"/>
      <c r="L3469" s="38"/>
    </row>
    <row r="3470" ht="22.5" customHeight="1">
      <c r="A3470" s="36" t="s">
        <v>7625</v>
      </c>
      <c r="B3470" s="36" t="s">
        <v>7626</v>
      </c>
      <c r="C3470" s="36" t="s">
        <v>1495</v>
      </c>
      <c r="D3470" s="36" t="s">
        <v>1496</v>
      </c>
      <c r="E3470" s="36" t="s">
        <v>1285</v>
      </c>
      <c r="F3470" s="36" t="s">
        <v>286</v>
      </c>
      <c r="G3470" s="36" t="s">
        <v>411</v>
      </c>
      <c r="H3470" s="37">
        <v>23.35</v>
      </c>
      <c r="I3470" s="36" t="s">
        <v>1301</v>
      </c>
      <c r="J3470" s="39" t="s">
        <v>286</v>
      </c>
      <c r="K3470" s="38"/>
      <c r="L3470" s="38"/>
    </row>
    <row r="3471" ht="22.5" customHeight="1">
      <c r="A3471" s="36" t="s">
        <v>7627</v>
      </c>
      <c r="B3471" s="36" t="s">
        <v>7628</v>
      </c>
      <c r="C3471" s="36" t="s">
        <v>1495</v>
      </c>
      <c r="D3471" s="36" t="s">
        <v>1496</v>
      </c>
      <c r="E3471" s="36" t="s">
        <v>1285</v>
      </c>
      <c r="F3471" s="36" t="s">
        <v>286</v>
      </c>
      <c r="G3471" s="36" t="s">
        <v>411</v>
      </c>
      <c r="H3471" s="37">
        <v>12.88</v>
      </c>
      <c r="I3471" s="36" t="s">
        <v>1301</v>
      </c>
      <c r="J3471" s="39" t="s">
        <v>286</v>
      </c>
      <c r="K3471" s="38"/>
      <c r="L3471" s="38"/>
    </row>
    <row r="3472" ht="22.5" customHeight="1">
      <c r="A3472" s="36" t="s">
        <v>7629</v>
      </c>
      <c r="B3472" s="36" t="s">
        <v>7630</v>
      </c>
      <c r="C3472" s="36" t="s">
        <v>1495</v>
      </c>
      <c r="D3472" s="36" t="s">
        <v>1496</v>
      </c>
      <c r="E3472" s="36" t="s">
        <v>1285</v>
      </c>
      <c r="F3472" s="36" t="s">
        <v>286</v>
      </c>
      <c r="G3472" s="36" t="s">
        <v>411</v>
      </c>
      <c r="H3472" s="37">
        <v>12.88</v>
      </c>
      <c r="I3472" s="36" t="s">
        <v>1301</v>
      </c>
      <c r="J3472" s="39" t="s">
        <v>286</v>
      </c>
      <c r="K3472" s="38"/>
      <c r="L3472" s="38"/>
    </row>
    <row r="3473" ht="22.5" customHeight="1">
      <c r="A3473" s="36" t="s">
        <v>7631</v>
      </c>
      <c r="B3473" s="36" t="s">
        <v>7632</v>
      </c>
      <c r="C3473" s="36" t="s">
        <v>1495</v>
      </c>
      <c r="D3473" s="36" t="s">
        <v>1496</v>
      </c>
      <c r="E3473" s="36" t="s">
        <v>1285</v>
      </c>
      <c r="F3473" s="36" t="s">
        <v>286</v>
      </c>
      <c r="G3473" s="36" t="s">
        <v>411</v>
      </c>
      <c r="H3473" s="37">
        <v>12.88</v>
      </c>
      <c r="I3473" s="36" t="s">
        <v>1301</v>
      </c>
      <c r="J3473" s="39" t="s">
        <v>286</v>
      </c>
      <c r="K3473" s="38"/>
      <c r="L3473" s="38"/>
    </row>
    <row r="3474" ht="22.5" customHeight="1">
      <c r="A3474" s="36" t="s">
        <v>7633</v>
      </c>
      <c r="B3474" s="36" t="s">
        <v>7634</v>
      </c>
      <c r="C3474" s="36" t="s">
        <v>1495</v>
      </c>
      <c r="D3474" s="36" t="s">
        <v>1496</v>
      </c>
      <c r="E3474" s="36" t="s">
        <v>1285</v>
      </c>
      <c r="F3474" s="36" t="s">
        <v>286</v>
      </c>
      <c r="G3474" s="36" t="s">
        <v>411</v>
      </c>
      <c r="H3474" s="37">
        <v>34.87</v>
      </c>
      <c r="I3474" s="36" t="s">
        <v>1301</v>
      </c>
      <c r="J3474" s="39" t="s">
        <v>286</v>
      </c>
      <c r="K3474" s="38"/>
      <c r="L3474" s="38"/>
    </row>
    <row r="3475" ht="22.5" customHeight="1">
      <c r="A3475" s="36" t="s">
        <v>7635</v>
      </c>
      <c r="B3475" s="36" t="s">
        <v>7636</v>
      </c>
      <c r="C3475" s="36" t="s">
        <v>1495</v>
      </c>
      <c r="D3475" s="36" t="s">
        <v>1496</v>
      </c>
      <c r="E3475" s="36" t="s">
        <v>1285</v>
      </c>
      <c r="F3475" s="36" t="s">
        <v>286</v>
      </c>
      <c r="G3475" s="36" t="s">
        <v>411</v>
      </c>
      <c r="H3475" s="37">
        <v>34.1</v>
      </c>
      <c r="I3475" s="36" t="s">
        <v>1301</v>
      </c>
      <c r="J3475" s="39" t="s">
        <v>286</v>
      </c>
      <c r="K3475" s="38"/>
      <c r="L3475" s="38"/>
    </row>
    <row r="3476" ht="22.5" customHeight="1">
      <c r="A3476" s="36" t="s">
        <v>7637</v>
      </c>
      <c r="B3476" s="36" t="s">
        <v>7638</v>
      </c>
      <c r="C3476" s="36" t="s">
        <v>1495</v>
      </c>
      <c r="D3476" s="36" t="s">
        <v>1496</v>
      </c>
      <c r="E3476" s="36" t="s">
        <v>1285</v>
      </c>
      <c r="F3476" s="36" t="s">
        <v>286</v>
      </c>
      <c r="G3476" s="36" t="s">
        <v>411</v>
      </c>
      <c r="H3476" s="37">
        <v>291.67</v>
      </c>
      <c r="I3476" s="36" t="s">
        <v>1301</v>
      </c>
      <c r="J3476" s="39" t="s">
        <v>286</v>
      </c>
      <c r="K3476" s="38"/>
      <c r="L3476" s="38"/>
    </row>
    <row r="3477" ht="22.5" customHeight="1">
      <c r="A3477" s="36" t="s">
        <v>7639</v>
      </c>
      <c r="B3477" s="36" t="s">
        <v>7640</v>
      </c>
      <c r="C3477" s="36" t="s">
        <v>1495</v>
      </c>
      <c r="D3477" s="36" t="s">
        <v>1496</v>
      </c>
      <c r="E3477" s="36" t="s">
        <v>1285</v>
      </c>
      <c r="F3477" s="36" t="s">
        <v>286</v>
      </c>
      <c r="G3477" s="36" t="s">
        <v>411</v>
      </c>
      <c r="H3477" s="37">
        <v>64.17</v>
      </c>
      <c r="I3477" s="36" t="s">
        <v>1301</v>
      </c>
      <c r="J3477" s="39" t="s">
        <v>286</v>
      </c>
      <c r="K3477" s="38"/>
      <c r="L3477" s="38"/>
    </row>
    <row r="3478" ht="22.5" customHeight="1">
      <c r="A3478" s="36" t="s">
        <v>7641</v>
      </c>
      <c r="B3478" s="36" t="s">
        <v>7642</v>
      </c>
      <c r="C3478" s="36" t="s">
        <v>1495</v>
      </c>
      <c r="D3478" s="36" t="s">
        <v>1496</v>
      </c>
      <c r="E3478" s="36" t="s">
        <v>1285</v>
      </c>
      <c r="F3478" s="36" t="s">
        <v>286</v>
      </c>
      <c r="G3478" s="36" t="s">
        <v>411</v>
      </c>
      <c r="H3478" s="37">
        <v>398.61</v>
      </c>
      <c r="I3478" s="36" t="s">
        <v>1301</v>
      </c>
      <c r="J3478" s="39" t="s">
        <v>286</v>
      </c>
      <c r="K3478" s="38"/>
      <c r="L3478" s="38"/>
    </row>
    <row r="3479" ht="22.5" customHeight="1">
      <c r="A3479" s="36" t="s">
        <v>7643</v>
      </c>
      <c r="B3479" s="36" t="s">
        <v>7644</v>
      </c>
      <c r="C3479" s="36" t="s">
        <v>1495</v>
      </c>
      <c r="D3479" s="36" t="s">
        <v>1496</v>
      </c>
      <c r="E3479" s="36" t="s">
        <v>1285</v>
      </c>
      <c r="F3479" s="36" t="s">
        <v>286</v>
      </c>
      <c r="G3479" s="36" t="s">
        <v>411</v>
      </c>
      <c r="H3479" s="37">
        <v>4250.0</v>
      </c>
      <c r="I3479" s="36" t="s">
        <v>1301</v>
      </c>
      <c r="J3479" s="39" t="s">
        <v>286</v>
      </c>
      <c r="K3479" s="38"/>
      <c r="L3479" s="38"/>
    </row>
    <row r="3480" ht="22.5" customHeight="1">
      <c r="A3480" s="36" t="s">
        <v>7645</v>
      </c>
      <c r="B3480" s="36" t="s">
        <v>7646</v>
      </c>
      <c r="C3480" s="36" t="s">
        <v>1495</v>
      </c>
      <c r="D3480" s="36" t="s">
        <v>1496</v>
      </c>
      <c r="E3480" s="36" t="s">
        <v>1285</v>
      </c>
      <c r="F3480" s="36" t="s">
        <v>286</v>
      </c>
      <c r="G3480" s="36" t="s">
        <v>411</v>
      </c>
      <c r="H3480" s="37">
        <v>63.35</v>
      </c>
      <c r="I3480" s="36" t="s">
        <v>1301</v>
      </c>
      <c r="J3480" s="39" t="s">
        <v>286</v>
      </c>
      <c r="K3480" s="38"/>
      <c r="L3480" s="38"/>
    </row>
    <row r="3481" ht="22.5" customHeight="1">
      <c r="A3481" s="36" t="s">
        <v>7647</v>
      </c>
      <c r="B3481" s="36" t="s">
        <v>7648</v>
      </c>
      <c r="C3481" s="36" t="s">
        <v>1495</v>
      </c>
      <c r="D3481" s="36" t="s">
        <v>1496</v>
      </c>
      <c r="E3481" s="36" t="s">
        <v>1285</v>
      </c>
      <c r="F3481" s="36" t="s">
        <v>286</v>
      </c>
      <c r="G3481" s="36" t="s">
        <v>411</v>
      </c>
      <c r="H3481" s="37">
        <v>4250.0</v>
      </c>
      <c r="I3481" s="36" t="s">
        <v>1301</v>
      </c>
      <c r="J3481" s="39" t="s">
        <v>286</v>
      </c>
      <c r="K3481" s="38"/>
      <c r="L3481" s="38"/>
    </row>
    <row r="3482" ht="22.5" customHeight="1">
      <c r="A3482" s="36" t="s">
        <v>7649</v>
      </c>
      <c r="B3482" s="36" t="s">
        <v>7650</v>
      </c>
      <c r="C3482" s="36" t="s">
        <v>1495</v>
      </c>
      <c r="D3482" s="36" t="s">
        <v>1496</v>
      </c>
      <c r="E3482" s="36" t="s">
        <v>1285</v>
      </c>
      <c r="F3482" s="36" t="s">
        <v>286</v>
      </c>
      <c r="G3482" s="36" t="s">
        <v>411</v>
      </c>
      <c r="H3482" s="37">
        <v>66.36</v>
      </c>
      <c r="I3482" s="36" t="s">
        <v>1301</v>
      </c>
      <c r="J3482" s="39" t="s">
        <v>286</v>
      </c>
      <c r="K3482" s="38"/>
      <c r="L3482" s="38"/>
    </row>
    <row r="3483" ht="22.5" customHeight="1">
      <c r="A3483" s="36" t="s">
        <v>7651</v>
      </c>
      <c r="B3483" s="36" t="s">
        <v>7652</v>
      </c>
      <c r="C3483" s="36" t="s">
        <v>1495</v>
      </c>
      <c r="D3483" s="36" t="s">
        <v>1496</v>
      </c>
      <c r="E3483" s="36" t="s">
        <v>1285</v>
      </c>
      <c r="F3483" s="36" t="s">
        <v>286</v>
      </c>
      <c r="G3483" s="36" t="s">
        <v>411</v>
      </c>
      <c r="H3483" s="37">
        <v>350.0</v>
      </c>
      <c r="I3483" s="36" t="s">
        <v>1301</v>
      </c>
      <c r="J3483" s="39" t="s">
        <v>286</v>
      </c>
      <c r="K3483" s="38"/>
      <c r="L3483" s="38"/>
    </row>
    <row r="3484" ht="22.5" customHeight="1">
      <c r="A3484" s="36" t="s">
        <v>7653</v>
      </c>
      <c r="B3484" s="36" t="s">
        <v>7654</v>
      </c>
      <c r="C3484" s="36" t="s">
        <v>1495</v>
      </c>
      <c r="D3484" s="36" t="s">
        <v>1496</v>
      </c>
      <c r="E3484" s="36" t="s">
        <v>1285</v>
      </c>
      <c r="F3484" s="36" t="s">
        <v>286</v>
      </c>
      <c r="G3484" s="36" t="s">
        <v>411</v>
      </c>
      <c r="H3484" s="37">
        <v>104.36</v>
      </c>
      <c r="I3484" s="36" t="s">
        <v>1301</v>
      </c>
      <c r="J3484" s="39" t="s">
        <v>286</v>
      </c>
      <c r="K3484" s="38"/>
      <c r="L3484" s="38"/>
    </row>
    <row r="3485" ht="22.5" customHeight="1">
      <c r="A3485" s="36" t="s">
        <v>7655</v>
      </c>
      <c r="B3485" s="36" t="s">
        <v>7656</v>
      </c>
      <c r="C3485" s="36" t="s">
        <v>1495</v>
      </c>
      <c r="D3485" s="36" t="s">
        <v>1496</v>
      </c>
      <c r="E3485" s="36" t="s">
        <v>1285</v>
      </c>
      <c r="F3485" s="36" t="s">
        <v>286</v>
      </c>
      <c r="G3485" s="36" t="s">
        <v>411</v>
      </c>
      <c r="H3485" s="37">
        <v>300.0</v>
      </c>
      <c r="I3485" s="36" t="s">
        <v>1301</v>
      </c>
      <c r="J3485" s="39" t="s">
        <v>286</v>
      </c>
      <c r="K3485" s="38"/>
      <c r="L3485" s="38"/>
    </row>
    <row r="3486" ht="22.5" customHeight="1">
      <c r="A3486" s="36" t="s">
        <v>7657</v>
      </c>
      <c r="B3486" s="36" t="s">
        <v>7658</v>
      </c>
      <c r="C3486" s="36" t="s">
        <v>1495</v>
      </c>
      <c r="D3486" s="36" t="s">
        <v>1496</v>
      </c>
      <c r="E3486" s="36" t="s">
        <v>1285</v>
      </c>
      <c r="F3486" s="36" t="s">
        <v>286</v>
      </c>
      <c r="G3486" s="36" t="s">
        <v>411</v>
      </c>
      <c r="H3486" s="37">
        <v>250.0</v>
      </c>
      <c r="I3486" s="36" t="s">
        <v>1301</v>
      </c>
      <c r="J3486" s="39" t="s">
        <v>286</v>
      </c>
      <c r="K3486" s="38"/>
      <c r="L3486" s="38"/>
    </row>
    <row r="3487" ht="22.5" customHeight="1">
      <c r="A3487" s="36" t="s">
        <v>7659</v>
      </c>
      <c r="B3487" s="36" t="s">
        <v>7660</v>
      </c>
      <c r="C3487" s="36" t="s">
        <v>1495</v>
      </c>
      <c r="D3487" s="36" t="s">
        <v>1496</v>
      </c>
      <c r="E3487" s="36" t="s">
        <v>1285</v>
      </c>
      <c r="F3487" s="36" t="s">
        <v>286</v>
      </c>
      <c r="G3487" s="36" t="s">
        <v>411</v>
      </c>
      <c r="H3487" s="37">
        <v>96.07</v>
      </c>
      <c r="I3487" s="36" t="s">
        <v>1301</v>
      </c>
      <c r="J3487" s="39" t="s">
        <v>286</v>
      </c>
      <c r="K3487" s="38"/>
      <c r="L3487" s="38"/>
    </row>
    <row r="3488" ht="22.5" customHeight="1">
      <c r="A3488" s="36" t="s">
        <v>7661</v>
      </c>
      <c r="B3488" s="36" t="s">
        <v>7662</v>
      </c>
      <c r="C3488" s="36" t="s">
        <v>1495</v>
      </c>
      <c r="D3488" s="36" t="s">
        <v>1496</v>
      </c>
      <c r="E3488" s="36" t="s">
        <v>1285</v>
      </c>
      <c r="F3488" s="36" t="s">
        <v>286</v>
      </c>
      <c r="G3488" s="36" t="s">
        <v>411</v>
      </c>
      <c r="H3488" s="37">
        <v>108.65</v>
      </c>
      <c r="I3488" s="36" t="s">
        <v>1301</v>
      </c>
      <c r="J3488" s="39" t="s">
        <v>286</v>
      </c>
      <c r="K3488" s="38"/>
      <c r="L3488" s="38"/>
    </row>
    <row r="3489" ht="22.5" customHeight="1">
      <c r="A3489" s="36" t="s">
        <v>7663</v>
      </c>
      <c r="B3489" s="36" t="s">
        <v>7664</v>
      </c>
      <c r="C3489" s="36" t="s">
        <v>1495</v>
      </c>
      <c r="D3489" s="36" t="s">
        <v>1496</v>
      </c>
      <c r="E3489" s="36" t="s">
        <v>1285</v>
      </c>
      <c r="F3489" s="36" t="s">
        <v>286</v>
      </c>
      <c r="G3489" s="36" t="s">
        <v>411</v>
      </c>
      <c r="H3489" s="37">
        <v>100.07</v>
      </c>
      <c r="I3489" s="36" t="s">
        <v>1301</v>
      </c>
      <c r="J3489" s="39" t="s">
        <v>286</v>
      </c>
      <c r="K3489" s="38"/>
      <c r="L3489" s="38"/>
    </row>
    <row r="3490" ht="22.5" customHeight="1">
      <c r="A3490" s="36" t="s">
        <v>7665</v>
      </c>
      <c r="B3490" s="36" t="s">
        <v>7666</v>
      </c>
      <c r="C3490" s="36" t="s">
        <v>1495</v>
      </c>
      <c r="D3490" s="36" t="s">
        <v>1496</v>
      </c>
      <c r="E3490" s="36" t="s">
        <v>1285</v>
      </c>
      <c r="F3490" s="36" t="s">
        <v>286</v>
      </c>
      <c r="G3490" s="36" t="s">
        <v>411</v>
      </c>
      <c r="H3490" s="37">
        <v>48.35</v>
      </c>
      <c r="I3490" s="36" t="s">
        <v>1301</v>
      </c>
      <c r="J3490" s="39" t="s">
        <v>286</v>
      </c>
      <c r="K3490" s="38"/>
      <c r="L3490" s="38"/>
    </row>
    <row r="3491" ht="22.5" customHeight="1">
      <c r="A3491" s="36" t="s">
        <v>7667</v>
      </c>
      <c r="B3491" s="36" t="s">
        <v>7668</v>
      </c>
      <c r="C3491" s="36" t="s">
        <v>1495</v>
      </c>
      <c r="D3491" s="36" t="s">
        <v>1496</v>
      </c>
      <c r="E3491" s="36" t="s">
        <v>1285</v>
      </c>
      <c r="F3491" s="36" t="s">
        <v>286</v>
      </c>
      <c r="G3491" s="36" t="s">
        <v>411</v>
      </c>
      <c r="H3491" s="37">
        <v>31.54</v>
      </c>
      <c r="I3491" s="36" t="s">
        <v>1301</v>
      </c>
      <c r="J3491" s="39" t="s">
        <v>286</v>
      </c>
      <c r="K3491" s="38"/>
      <c r="L3491" s="38"/>
    </row>
    <row r="3492" ht="22.5" customHeight="1">
      <c r="A3492" s="36" t="s">
        <v>7669</v>
      </c>
      <c r="B3492" s="36" t="s">
        <v>7670</v>
      </c>
      <c r="C3492" s="36" t="s">
        <v>1495</v>
      </c>
      <c r="D3492" s="36" t="s">
        <v>1496</v>
      </c>
      <c r="E3492" s="36" t="s">
        <v>1285</v>
      </c>
      <c r="F3492" s="36" t="s">
        <v>286</v>
      </c>
      <c r="G3492" s="36" t="s">
        <v>411</v>
      </c>
      <c r="H3492" s="37">
        <v>34.21</v>
      </c>
      <c r="I3492" s="36" t="s">
        <v>1301</v>
      </c>
      <c r="J3492" s="39" t="s">
        <v>286</v>
      </c>
      <c r="K3492" s="38"/>
      <c r="L3492" s="38"/>
    </row>
    <row r="3493" ht="22.5" customHeight="1">
      <c r="A3493" s="36" t="s">
        <v>7671</v>
      </c>
      <c r="B3493" s="36" t="s">
        <v>7672</v>
      </c>
      <c r="C3493" s="36" t="s">
        <v>1495</v>
      </c>
      <c r="D3493" s="36" t="s">
        <v>1496</v>
      </c>
      <c r="E3493" s="36" t="s">
        <v>1285</v>
      </c>
      <c r="F3493" s="36" t="s">
        <v>286</v>
      </c>
      <c r="G3493" s="36" t="s">
        <v>411</v>
      </c>
      <c r="H3493" s="37">
        <v>225.48</v>
      </c>
      <c r="I3493" s="36" t="s">
        <v>1301</v>
      </c>
      <c r="J3493" s="39" t="s">
        <v>286</v>
      </c>
      <c r="K3493" s="38"/>
      <c r="L3493" s="38"/>
    </row>
    <row r="3494" ht="22.5" customHeight="1">
      <c r="A3494" s="36" t="s">
        <v>7673</v>
      </c>
      <c r="B3494" s="36" t="s">
        <v>7674</v>
      </c>
      <c r="C3494" s="36" t="s">
        <v>1495</v>
      </c>
      <c r="D3494" s="36" t="s">
        <v>1496</v>
      </c>
      <c r="E3494" s="36" t="s">
        <v>1285</v>
      </c>
      <c r="F3494" s="36" t="s">
        <v>286</v>
      </c>
      <c r="G3494" s="36" t="s">
        <v>411</v>
      </c>
      <c r="H3494" s="37">
        <v>225.48</v>
      </c>
      <c r="I3494" s="36" t="s">
        <v>1301</v>
      </c>
      <c r="J3494" s="39" t="s">
        <v>286</v>
      </c>
      <c r="K3494" s="38"/>
      <c r="L3494" s="38"/>
    </row>
    <row r="3495" ht="22.5" customHeight="1">
      <c r="A3495" s="36" t="s">
        <v>7675</v>
      </c>
      <c r="B3495" s="36" t="s">
        <v>7676</v>
      </c>
      <c r="C3495" s="36" t="s">
        <v>1495</v>
      </c>
      <c r="D3495" s="36" t="s">
        <v>1496</v>
      </c>
      <c r="E3495" s="36" t="s">
        <v>1285</v>
      </c>
      <c r="F3495" s="36" t="s">
        <v>286</v>
      </c>
      <c r="G3495" s="36" t="s">
        <v>411</v>
      </c>
      <c r="H3495" s="37">
        <v>154.33</v>
      </c>
      <c r="I3495" s="36" t="s">
        <v>1301</v>
      </c>
      <c r="J3495" s="39" t="s">
        <v>286</v>
      </c>
      <c r="K3495" s="38"/>
      <c r="L3495" s="38"/>
    </row>
    <row r="3496" ht="22.5" customHeight="1">
      <c r="A3496" s="36" t="s">
        <v>7677</v>
      </c>
      <c r="B3496" s="36" t="s">
        <v>7678</v>
      </c>
      <c r="C3496" s="36" t="s">
        <v>1495</v>
      </c>
      <c r="D3496" s="36" t="s">
        <v>1496</v>
      </c>
      <c r="E3496" s="36" t="s">
        <v>1285</v>
      </c>
      <c r="F3496" s="36" t="s">
        <v>286</v>
      </c>
      <c r="G3496" s="36" t="s">
        <v>411</v>
      </c>
      <c r="H3496" s="37">
        <v>154.33</v>
      </c>
      <c r="I3496" s="36" t="s">
        <v>1301</v>
      </c>
      <c r="J3496" s="39" t="s">
        <v>286</v>
      </c>
      <c r="K3496" s="38"/>
      <c r="L3496" s="38"/>
    </row>
    <row r="3497" ht="22.5" customHeight="1">
      <c r="A3497" s="36" t="s">
        <v>7679</v>
      </c>
      <c r="B3497" s="36" t="s">
        <v>7680</v>
      </c>
      <c r="C3497" s="36" t="s">
        <v>1495</v>
      </c>
      <c r="D3497" s="36" t="s">
        <v>1496</v>
      </c>
      <c r="E3497" s="36" t="s">
        <v>1285</v>
      </c>
      <c r="F3497" s="36" t="s">
        <v>286</v>
      </c>
      <c r="G3497" s="36" t="s">
        <v>411</v>
      </c>
      <c r="H3497" s="37">
        <v>53.82</v>
      </c>
      <c r="I3497" s="36" t="s">
        <v>1301</v>
      </c>
      <c r="J3497" s="39" t="s">
        <v>286</v>
      </c>
      <c r="K3497" s="38"/>
      <c r="L3497" s="38"/>
    </row>
    <row r="3498" ht="22.5" customHeight="1">
      <c r="A3498" s="36" t="s">
        <v>7681</v>
      </c>
      <c r="B3498" s="36" t="s">
        <v>7682</v>
      </c>
      <c r="C3498" s="36" t="s">
        <v>1495</v>
      </c>
      <c r="D3498" s="36" t="s">
        <v>1496</v>
      </c>
      <c r="E3498" s="36" t="s">
        <v>1285</v>
      </c>
      <c r="F3498" s="36" t="s">
        <v>286</v>
      </c>
      <c r="G3498" s="36" t="s">
        <v>411</v>
      </c>
      <c r="H3498" s="37">
        <v>43.76</v>
      </c>
      <c r="I3498" s="36" t="s">
        <v>1301</v>
      </c>
      <c r="J3498" s="39" t="s">
        <v>286</v>
      </c>
      <c r="K3498" s="38"/>
      <c r="L3498" s="38"/>
    </row>
    <row r="3499" ht="22.5" customHeight="1">
      <c r="A3499" s="36" t="s">
        <v>7683</v>
      </c>
      <c r="B3499" s="36" t="s">
        <v>7684</v>
      </c>
      <c r="C3499" s="36" t="s">
        <v>1495</v>
      </c>
      <c r="D3499" s="36" t="s">
        <v>1496</v>
      </c>
      <c r="E3499" s="36" t="s">
        <v>1285</v>
      </c>
      <c r="F3499" s="36" t="s">
        <v>286</v>
      </c>
      <c r="G3499" s="36" t="s">
        <v>411</v>
      </c>
      <c r="H3499" s="37">
        <v>49.76</v>
      </c>
      <c r="I3499" s="36" t="s">
        <v>1301</v>
      </c>
      <c r="J3499" s="39" t="s">
        <v>286</v>
      </c>
      <c r="K3499" s="38"/>
      <c r="L3499" s="38"/>
    </row>
    <row r="3500" ht="22.5" customHeight="1">
      <c r="A3500" s="36" t="s">
        <v>7685</v>
      </c>
      <c r="B3500" s="36" t="s">
        <v>7686</v>
      </c>
      <c r="C3500" s="36" t="s">
        <v>1495</v>
      </c>
      <c r="D3500" s="36" t="s">
        <v>1496</v>
      </c>
      <c r="E3500" s="36" t="s">
        <v>1285</v>
      </c>
      <c r="F3500" s="36" t="s">
        <v>286</v>
      </c>
      <c r="G3500" s="36" t="s">
        <v>411</v>
      </c>
      <c r="H3500" s="37">
        <v>120.09</v>
      </c>
      <c r="I3500" s="36" t="s">
        <v>1301</v>
      </c>
      <c r="J3500" s="39" t="s">
        <v>286</v>
      </c>
      <c r="K3500" s="38"/>
      <c r="L3500" s="38"/>
    </row>
    <row r="3501" ht="22.5" customHeight="1">
      <c r="A3501" s="36" t="s">
        <v>7687</v>
      </c>
      <c r="B3501" s="36" t="s">
        <v>7688</v>
      </c>
      <c r="C3501" s="36" t="s">
        <v>1495</v>
      </c>
      <c r="D3501" s="36" t="s">
        <v>1496</v>
      </c>
      <c r="E3501" s="36" t="s">
        <v>1285</v>
      </c>
      <c r="F3501" s="36" t="s">
        <v>286</v>
      </c>
      <c r="G3501" s="36" t="s">
        <v>411</v>
      </c>
      <c r="H3501" s="37">
        <v>173.23</v>
      </c>
      <c r="I3501" s="36" t="s">
        <v>1301</v>
      </c>
      <c r="J3501" s="39" t="s">
        <v>286</v>
      </c>
      <c r="K3501" s="38"/>
      <c r="L3501" s="38"/>
    </row>
    <row r="3502" ht="22.5" customHeight="1">
      <c r="A3502" s="36" t="s">
        <v>7689</v>
      </c>
      <c r="B3502" s="36" t="s">
        <v>7690</v>
      </c>
      <c r="C3502" s="36" t="s">
        <v>1495</v>
      </c>
      <c r="D3502" s="36" t="s">
        <v>1496</v>
      </c>
      <c r="E3502" s="36" t="s">
        <v>1285</v>
      </c>
      <c r="F3502" s="36" t="s">
        <v>286</v>
      </c>
      <c r="G3502" s="36" t="s">
        <v>411</v>
      </c>
      <c r="H3502" s="37">
        <v>101.52</v>
      </c>
      <c r="I3502" s="36" t="s">
        <v>1301</v>
      </c>
      <c r="J3502" s="39" t="s">
        <v>286</v>
      </c>
      <c r="K3502" s="38"/>
      <c r="L3502" s="38"/>
    </row>
    <row r="3503" ht="22.5" customHeight="1">
      <c r="A3503" s="36" t="s">
        <v>7691</v>
      </c>
      <c r="B3503" s="36" t="s">
        <v>7692</v>
      </c>
      <c r="C3503" s="36" t="s">
        <v>1495</v>
      </c>
      <c r="D3503" s="36" t="s">
        <v>1496</v>
      </c>
      <c r="E3503" s="36" t="s">
        <v>1285</v>
      </c>
      <c r="F3503" s="36" t="s">
        <v>286</v>
      </c>
      <c r="G3503" s="36" t="s">
        <v>411</v>
      </c>
      <c r="H3503" s="37">
        <v>94.56</v>
      </c>
      <c r="I3503" s="36" t="s">
        <v>1301</v>
      </c>
      <c r="J3503" s="39" t="s">
        <v>286</v>
      </c>
      <c r="K3503" s="38"/>
      <c r="L3503" s="38"/>
    </row>
    <row r="3504" ht="22.5" customHeight="1">
      <c r="A3504" s="36" t="s">
        <v>7693</v>
      </c>
      <c r="B3504" s="36" t="s">
        <v>7694</v>
      </c>
      <c r="C3504" s="36" t="s">
        <v>1495</v>
      </c>
      <c r="D3504" s="36" t="s">
        <v>1496</v>
      </c>
      <c r="E3504" s="36" t="s">
        <v>1285</v>
      </c>
      <c r="F3504" s="36" t="s">
        <v>286</v>
      </c>
      <c r="G3504" s="36" t="s">
        <v>411</v>
      </c>
      <c r="H3504" s="37">
        <v>42.16</v>
      </c>
      <c r="I3504" s="36" t="s">
        <v>1301</v>
      </c>
      <c r="J3504" s="39" t="s">
        <v>286</v>
      </c>
      <c r="K3504" s="38"/>
      <c r="L3504" s="38"/>
    </row>
    <row r="3505" ht="22.5" customHeight="1">
      <c r="A3505" s="36" t="s">
        <v>7695</v>
      </c>
      <c r="B3505" s="36" t="s">
        <v>7696</v>
      </c>
      <c r="C3505" s="36" t="s">
        <v>1495</v>
      </c>
      <c r="D3505" s="36" t="s">
        <v>1496</v>
      </c>
      <c r="E3505" s="36" t="s">
        <v>1285</v>
      </c>
      <c r="F3505" s="36" t="s">
        <v>286</v>
      </c>
      <c r="G3505" s="36" t="s">
        <v>411</v>
      </c>
      <c r="H3505" s="37">
        <v>11.43</v>
      </c>
      <c r="I3505" s="36" t="s">
        <v>1301</v>
      </c>
      <c r="J3505" s="39" t="s">
        <v>286</v>
      </c>
      <c r="K3505" s="38"/>
      <c r="L3505" s="38"/>
    </row>
    <row r="3506" ht="22.5" customHeight="1">
      <c r="A3506" s="36" t="s">
        <v>7697</v>
      </c>
      <c r="B3506" s="36" t="s">
        <v>7698</v>
      </c>
      <c r="C3506" s="36" t="s">
        <v>1495</v>
      </c>
      <c r="D3506" s="36" t="s">
        <v>1496</v>
      </c>
      <c r="E3506" s="36" t="s">
        <v>1285</v>
      </c>
      <c r="F3506" s="36" t="s">
        <v>286</v>
      </c>
      <c r="G3506" s="36" t="s">
        <v>411</v>
      </c>
      <c r="H3506" s="37">
        <v>23.42</v>
      </c>
      <c r="I3506" s="36" t="s">
        <v>1301</v>
      </c>
      <c r="J3506" s="39" t="s">
        <v>286</v>
      </c>
      <c r="K3506" s="38"/>
      <c r="L3506" s="38"/>
    </row>
    <row r="3507" ht="22.5" customHeight="1">
      <c r="A3507" s="36" t="s">
        <v>7699</v>
      </c>
      <c r="B3507" s="36" t="s">
        <v>7700</v>
      </c>
      <c r="C3507" s="36" t="s">
        <v>1495</v>
      </c>
      <c r="D3507" s="36" t="s">
        <v>1496</v>
      </c>
      <c r="E3507" s="36" t="s">
        <v>1285</v>
      </c>
      <c r="F3507" s="36" t="s">
        <v>286</v>
      </c>
      <c r="G3507" s="36" t="s">
        <v>411</v>
      </c>
      <c r="H3507" s="37">
        <v>20.81</v>
      </c>
      <c r="I3507" s="36" t="s">
        <v>1301</v>
      </c>
      <c r="J3507" s="39" t="s">
        <v>286</v>
      </c>
      <c r="K3507" s="38"/>
      <c r="L3507" s="38"/>
    </row>
    <row r="3508" ht="22.5" customHeight="1">
      <c r="A3508" s="36" t="s">
        <v>7701</v>
      </c>
      <c r="B3508" s="36" t="s">
        <v>7702</v>
      </c>
      <c r="C3508" s="36" t="s">
        <v>1495</v>
      </c>
      <c r="D3508" s="36" t="s">
        <v>1496</v>
      </c>
      <c r="E3508" s="36" t="s">
        <v>1285</v>
      </c>
      <c r="F3508" s="36" t="s">
        <v>286</v>
      </c>
      <c r="G3508" s="36" t="s">
        <v>411</v>
      </c>
      <c r="H3508" s="37">
        <v>34.88</v>
      </c>
      <c r="I3508" s="36" t="s">
        <v>1301</v>
      </c>
      <c r="J3508" s="39" t="s">
        <v>286</v>
      </c>
      <c r="K3508" s="38"/>
      <c r="L3508" s="38"/>
    </row>
    <row r="3509" ht="22.5" customHeight="1">
      <c r="A3509" s="36" t="s">
        <v>7703</v>
      </c>
      <c r="B3509" s="36" t="s">
        <v>7704</v>
      </c>
      <c r="C3509" s="36" t="s">
        <v>1495</v>
      </c>
      <c r="D3509" s="36" t="s">
        <v>1496</v>
      </c>
      <c r="E3509" s="36" t="s">
        <v>1285</v>
      </c>
      <c r="F3509" s="36" t="s">
        <v>286</v>
      </c>
      <c r="G3509" s="36" t="s">
        <v>411</v>
      </c>
      <c r="H3509" s="37">
        <v>11.49</v>
      </c>
      <c r="I3509" s="36" t="s">
        <v>1301</v>
      </c>
      <c r="J3509" s="39" t="s">
        <v>286</v>
      </c>
      <c r="K3509" s="38"/>
      <c r="L3509" s="38"/>
    </row>
    <row r="3510" ht="22.5" customHeight="1">
      <c r="A3510" s="36" t="s">
        <v>7705</v>
      </c>
      <c r="B3510" s="36" t="s">
        <v>7706</v>
      </c>
      <c r="C3510" s="36" t="s">
        <v>1495</v>
      </c>
      <c r="D3510" s="36" t="s">
        <v>1496</v>
      </c>
      <c r="E3510" s="36" t="s">
        <v>1285</v>
      </c>
      <c r="F3510" s="36" t="s">
        <v>286</v>
      </c>
      <c r="G3510" s="36" t="s">
        <v>411</v>
      </c>
      <c r="H3510" s="37">
        <v>28.34</v>
      </c>
      <c r="I3510" s="36" t="s">
        <v>1301</v>
      </c>
      <c r="J3510" s="39" t="s">
        <v>286</v>
      </c>
      <c r="K3510" s="38"/>
      <c r="L3510" s="38"/>
    </row>
    <row r="3511" ht="22.5" customHeight="1">
      <c r="A3511" s="36" t="s">
        <v>7707</v>
      </c>
      <c r="B3511" s="36" t="s">
        <v>7708</v>
      </c>
      <c r="C3511" s="36" t="s">
        <v>1495</v>
      </c>
      <c r="D3511" s="36" t="s">
        <v>1496</v>
      </c>
      <c r="E3511" s="36" t="s">
        <v>1285</v>
      </c>
      <c r="F3511" s="36" t="s">
        <v>286</v>
      </c>
      <c r="G3511" s="36" t="s">
        <v>411</v>
      </c>
      <c r="H3511" s="37">
        <v>12.77</v>
      </c>
      <c r="I3511" s="36" t="s">
        <v>1301</v>
      </c>
      <c r="J3511" s="39" t="s">
        <v>286</v>
      </c>
      <c r="K3511" s="38"/>
      <c r="L3511" s="38"/>
    </row>
    <row r="3512" ht="22.5" customHeight="1">
      <c r="A3512" s="36" t="s">
        <v>7709</v>
      </c>
      <c r="B3512" s="36" t="s">
        <v>7710</v>
      </c>
      <c r="C3512" s="36" t="s">
        <v>1495</v>
      </c>
      <c r="D3512" s="36" t="s">
        <v>1496</v>
      </c>
      <c r="E3512" s="36" t="s">
        <v>1285</v>
      </c>
      <c r="F3512" s="36" t="s">
        <v>286</v>
      </c>
      <c r="G3512" s="36" t="s">
        <v>411</v>
      </c>
      <c r="H3512" s="37">
        <v>18.46</v>
      </c>
      <c r="I3512" s="36" t="s">
        <v>1301</v>
      </c>
      <c r="J3512" s="39" t="s">
        <v>286</v>
      </c>
      <c r="K3512" s="38"/>
      <c r="L3512" s="38"/>
    </row>
    <row r="3513" ht="22.5" customHeight="1">
      <c r="A3513" s="36" t="s">
        <v>7711</v>
      </c>
      <c r="B3513" s="36" t="s">
        <v>7712</v>
      </c>
      <c r="C3513" s="36" t="s">
        <v>1495</v>
      </c>
      <c r="D3513" s="36" t="s">
        <v>1496</v>
      </c>
      <c r="E3513" s="36" t="s">
        <v>1285</v>
      </c>
      <c r="F3513" s="36" t="s">
        <v>286</v>
      </c>
      <c r="G3513" s="36" t="s">
        <v>411</v>
      </c>
      <c r="H3513" s="37">
        <v>21.65</v>
      </c>
      <c r="I3513" s="36" t="s">
        <v>1301</v>
      </c>
      <c r="J3513" s="39" t="s">
        <v>286</v>
      </c>
      <c r="K3513" s="38"/>
      <c r="L3513" s="38"/>
    </row>
    <row r="3514" ht="22.5" customHeight="1">
      <c r="A3514" s="36" t="s">
        <v>7713</v>
      </c>
      <c r="B3514" s="36" t="s">
        <v>7714</v>
      </c>
      <c r="C3514" s="36" t="s">
        <v>1495</v>
      </c>
      <c r="D3514" s="36" t="s">
        <v>1496</v>
      </c>
      <c r="E3514" s="36" t="s">
        <v>1285</v>
      </c>
      <c r="F3514" s="36" t="s">
        <v>286</v>
      </c>
      <c r="G3514" s="36" t="s">
        <v>411</v>
      </c>
      <c r="H3514" s="37">
        <v>3.91</v>
      </c>
      <c r="I3514" s="36" t="s">
        <v>1301</v>
      </c>
      <c r="J3514" s="39" t="s">
        <v>286</v>
      </c>
      <c r="K3514" s="38"/>
      <c r="L3514" s="38"/>
    </row>
    <row r="3515" ht="22.5" customHeight="1">
      <c r="A3515" s="36" t="s">
        <v>7715</v>
      </c>
      <c r="B3515" s="36" t="s">
        <v>7716</v>
      </c>
      <c r="C3515" s="36" t="s">
        <v>1495</v>
      </c>
      <c r="D3515" s="36" t="s">
        <v>1496</v>
      </c>
      <c r="E3515" s="36" t="s">
        <v>1285</v>
      </c>
      <c r="F3515" s="36" t="s">
        <v>286</v>
      </c>
      <c r="G3515" s="36" t="s">
        <v>411</v>
      </c>
      <c r="H3515" s="37">
        <v>19.66</v>
      </c>
      <c r="I3515" s="36" t="s">
        <v>1301</v>
      </c>
      <c r="J3515" s="39" t="s">
        <v>286</v>
      </c>
      <c r="K3515" s="38"/>
      <c r="L3515" s="38"/>
    </row>
    <row r="3516" ht="22.5" customHeight="1">
      <c r="A3516" s="36" t="s">
        <v>7717</v>
      </c>
      <c r="B3516" s="36" t="s">
        <v>7718</v>
      </c>
      <c r="C3516" s="36" t="s">
        <v>1495</v>
      </c>
      <c r="D3516" s="36" t="s">
        <v>1496</v>
      </c>
      <c r="E3516" s="36" t="s">
        <v>1285</v>
      </c>
      <c r="F3516" s="36" t="s">
        <v>286</v>
      </c>
      <c r="G3516" s="36" t="s">
        <v>411</v>
      </c>
      <c r="H3516" s="37">
        <v>3.93</v>
      </c>
      <c r="I3516" s="36" t="s">
        <v>1301</v>
      </c>
      <c r="J3516" s="39" t="s">
        <v>286</v>
      </c>
      <c r="K3516" s="38"/>
      <c r="L3516" s="38"/>
    </row>
    <row r="3517" ht="22.5" customHeight="1">
      <c r="A3517" s="36" t="s">
        <v>7719</v>
      </c>
      <c r="B3517" s="36" t="s">
        <v>7720</v>
      </c>
      <c r="C3517" s="36" t="s">
        <v>1495</v>
      </c>
      <c r="D3517" s="36" t="s">
        <v>1496</v>
      </c>
      <c r="E3517" s="36" t="s">
        <v>1285</v>
      </c>
      <c r="F3517" s="36" t="s">
        <v>286</v>
      </c>
      <c r="G3517" s="36" t="s">
        <v>411</v>
      </c>
      <c r="H3517" s="37">
        <v>10.74</v>
      </c>
      <c r="I3517" s="36" t="s">
        <v>1301</v>
      </c>
      <c r="J3517" s="39" t="s">
        <v>286</v>
      </c>
      <c r="K3517" s="38"/>
      <c r="L3517" s="38"/>
    </row>
    <row r="3518" ht="22.5" customHeight="1">
      <c r="A3518" s="36" t="s">
        <v>7721</v>
      </c>
      <c r="B3518" s="36" t="s">
        <v>7722</v>
      </c>
      <c r="C3518" s="36" t="s">
        <v>1495</v>
      </c>
      <c r="D3518" s="36" t="s">
        <v>1496</v>
      </c>
      <c r="E3518" s="36" t="s">
        <v>1285</v>
      </c>
      <c r="F3518" s="36" t="s">
        <v>286</v>
      </c>
      <c r="G3518" s="36" t="s">
        <v>411</v>
      </c>
      <c r="H3518" s="37">
        <v>21.87</v>
      </c>
      <c r="I3518" s="36" t="s">
        <v>1301</v>
      </c>
      <c r="J3518" s="39" t="s">
        <v>286</v>
      </c>
      <c r="K3518" s="38"/>
      <c r="L3518" s="38"/>
    </row>
    <row r="3519" ht="22.5" customHeight="1">
      <c r="A3519" s="36" t="s">
        <v>7723</v>
      </c>
      <c r="B3519" s="36" t="s">
        <v>7724</v>
      </c>
      <c r="C3519" s="36" t="s">
        <v>1495</v>
      </c>
      <c r="D3519" s="36" t="s">
        <v>1496</v>
      </c>
      <c r="E3519" s="36" t="s">
        <v>1285</v>
      </c>
      <c r="F3519" s="36" t="s">
        <v>286</v>
      </c>
      <c r="G3519" s="36" t="s">
        <v>411</v>
      </c>
      <c r="H3519" s="37">
        <v>6.96</v>
      </c>
      <c r="I3519" s="36" t="s">
        <v>1301</v>
      </c>
      <c r="J3519" s="39" t="s">
        <v>286</v>
      </c>
      <c r="K3519" s="38"/>
      <c r="L3519" s="38"/>
    </row>
    <row r="3520" ht="22.5" customHeight="1">
      <c r="A3520" s="36" t="s">
        <v>7725</v>
      </c>
      <c r="B3520" s="36" t="s">
        <v>7726</v>
      </c>
      <c r="C3520" s="36" t="s">
        <v>1495</v>
      </c>
      <c r="D3520" s="36" t="s">
        <v>1496</v>
      </c>
      <c r="E3520" s="36" t="s">
        <v>1285</v>
      </c>
      <c r="F3520" s="36" t="s">
        <v>286</v>
      </c>
      <c r="G3520" s="36" t="s">
        <v>411</v>
      </c>
      <c r="H3520" s="37">
        <v>152.11</v>
      </c>
      <c r="I3520" s="36" t="s">
        <v>1301</v>
      </c>
      <c r="J3520" s="39" t="s">
        <v>286</v>
      </c>
      <c r="K3520" s="38"/>
      <c r="L3520" s="38"/>
    </row>
    <row r="3521" ht="22.5" customHeight="1">
      <c r="A3521" s="36" t="s">
        <v>7727</v>
      </c>
      <c r="B3521" s="36" t="s">
        <v>7728</v>
      </c>
      <c r="C3521" s="36" t="s">
        <v>1495</v>
      </c>
      <c r="D3521" s="36" t="s">
        <v>1496</v>
      </c>
      <c r="E3521" s="36" t="s">
        <v>1285</v>
      </c>
      <c r="F3521" s="36" t="s">
        <v>286</v>
      </c>
      <c r="G3521" s="36" t="s">
        <v>411</v>
      </c>
      <c r="H3521" s="37">
        <v>34.92</v>
      </c>
      <c r="I3521" s="36" t="s">
        <v>1301</v>
      </c>
      <c r="J3521" s="39" t="s">
        <v>286</v>
      </c>
      <c r="K3521" s="38"/>
      <c r="L3521" s="38"/>
    </row>
    <row r="3522" ht="22.5" customHeight="1">
      <c r="A3522" s="36" t="s">
        <v>7729</v>
      </c>
      <c r="B3522" s="36" t="s">
        <v>7730</v>
      </c>
      <c r="C3522" s="36" t="s">
        <v>1495</v>
      </c>
      <c r="D3522" s="36" t="s">
        <v>1496</v>
      </c>
      <c r="E3522" s="36" t="s">
        <v>1285</v>
      </c>
      <c r="F3522" s="36" t="s">
        <v>286</v>
      </c>
      <c r="G3522" s="36" t="s">
        <v>411</v>
      </c>
      <c r="H3522" s="37">
        <v>60.03</v>
      </c>
      <c r="I3522" s="36" t="s">
        <v>1301</v>
      </c>
      <c r="J3522" s="39" t="s">
        <v>286</v>
      </c>
      <c r="K3522" s="38"/>
      <c r="L3522" s="38"/>
    </row>
    <row r="3523" ht="22.5" customHeight="1">
      <c r="A3523" s="36" t="s">
        <v>7731</v>
      </c>
      <c r="B3523" s="36" t="s">
        <v>7732</v>
      </c>
      <c r="C3523" s="36" t="s">
        <v>1495</v>
      </c>
      <c r="D3523" s="36" t="s">
        <v>1496</v>
      </c>
      <c r="E3523" s="36" t="s">
        <v>1285</v>
      </c>
      <c r="F3523" s="36" t="s">
        <v>286</v>
      </c>
      <c r="G3523" s="36" t="s">
        <v>411</v>
      </c>
      <c r="H3523" s="37">
        <v>209.9</v>
      </c>
      <c r="I3523" s="36" t="s">
        <v>1301</v>
      </c>
      <c r="J3523" s="39" t="s">
        <v>286</v>
      </c>
      <c r="K3523" s="38"/>
      <c r="L3523" s="38"/>
    </row>
    <row r="3524" ht="22.5" customHeight="1">
      <c r="A3524" s="36" t="s">
        <v>7733</v>
      </c>
      <c r="B3524" s="36" t="s">
        <v>7734</v>
      </c>
      <c r="C3524" s="36" t="s">
        <v>1495</v>
      </c>
      <c r="D3524" s="36" t="s">
        <v>1496</v>
      </c>
      <c r="E3524" s="36" t="s">
        <v>1285</v>
      </c>
      <c r="F3524" s="36" t="s">
        <v>286</v>
      </c>
      <c r="G3524" s="36" t="s">
        <v>411</v>
      </c>
      <c r="H3524" s="37">
        <v>29.94</v>
      </c>
      <c r="I3524" s="36" t="s">
        <v>1301</v>
      </c>
      <c r="J3524" s="39" t="s">
        <v>286</v>
      </c>
      <c r="K3524" s="38"/>
      <c r="L3524" s="38"/>
    </row>
    <row r="3525" ht="22.5" customHeight="1">
      <c r="A3525" s="36" t="s">
        <v>7735</v>
      </c>
      <c r="B3525" s="36" t="s">
        <v>7736</v>
      </c>
      <c r="C3525" s="36" t="s">
        <v>1495</v>
      </c>
      <c r="D3525" s="36" t="s">
        <v>1496</v>
      </c>
      <c r="E3525" s="36" t="s">
        <v>1285</v>
      </c>
      <c r="F3525" s="36" t="s">
        <v>286</v>
      </c>
      <c r="G3525" s="36" t="s">
        <v>411</v>
      </c>
      <c r="H3525" s="37">
        <v>148.81</v>
      </c>
      <c r="I3525" s="36" t="s">
        <v>1301</v>
      </c>
      <c r="J3525" s="39" t="s">
        <v>286</v>
      </c>
      <c r="K3525" s="38"/>
      <c r="L3525" s="38"/>
    </row>
    <row r="3526" ht="22.5" customHeight="1">
      <c r="A3526" s="36" t="s">
        <v>7737</v>
      </c>
      <c r="B3526" s="36" t="s">
        <v>7738</v>
      </c>
      <c r="C3526" s="36" t="s">
        <v>1495</v>
      </c>
      <c r="D3526" s="36" t="s">
        <v>1496</v>
      </c>
      <c r="E3526" s="36" t="s">
        <v>1285</v>
      </c>
      <c r="F3526" s="36" t="s">
        <v>286</v>
      </c>
      <c r="G3526" s="36" t="s">
        <v>411</v>
      </c>
      <c r="H3526" s="37">
        <v>33.73</v>
      </c>
      <c r="I3526" s="36" t="s">
        <v>1301</v>
      </c>
      <c r="J3526" s="39" t="s">
        <v>286</v>
      </c>
      <c r="K3526" s="38"/>
      <c r="L3526" s="38"/>
    </row>
    <row r="3527" ht="22.5" customHeight="1">
      <c r="A3527" s="36" t="s">
        <v>7739</v>
      </c>
      <c r="B3527" s="36" t="s">
        <v>7740</v>
      </c>
      <c r="C3527" s="36" t="s">
        <v>1495</v>
      </c>
      <c r="D3527" s="36" t="s">
        <v>1496</v>
      </c>
      <c r="E3527" s="36" t="s">
        <v>1285</v>
      </c>
      <c r="F3527" s="36" t="s">
        <v>286</v>
      </c>
      <c r="G3527" s="36" t="s">
        <v>411</v>
      </c>
      <c r="H3527" s="37">
        <v>24.49</v>
      </c>
      <c r="I3527" s="36" t="s">
        <v>1301</v>
      </c>
      <c r="J3527" s="39" t="s">
        <v>286</v>
      </c>
      <c r="K3527" s="38"/>
      <c r="L3527" s="38"/>
    </row>
    <row r="3528" ht="22.5" customHeight="1">
      <c r="A3528" s="36" t="s">
        <v>7741</v>
      </c>
      <c r="B3528" s="36" t="s">
        <v>7742</v>
      </c>
      <c r="C3528" s="36" t="s">
        <v>1495</v>
      </c>
      <c r="D3528" s="36" t="s">
        <v>1496</v>
      </c>
      <c r="E3528" s="36" t="s">
        <v>1285</v>
      </c>
      <c r="F3528" s="36" t="s">
        <v>286</v>
      </c>
      <c r="G3528" s="36" t="s">
        <v>411</v>
      </c>
      <c r="H3528" s="37">
        <v>42.05</v>
      </c>
      <c r="I3528" s="36" t="s">
        <v>1301</v>
      </c>
      <c r="J3528" s="39" t="s">
        <v>286</v>
      </c>
      <c r="K3528" s="38"/>
      <c r="L3528" s="38"/>
    </row>
    <row r="3529" ht="22.5" customHeight="1">
      <c r="A3529" s="36" t="s">
        <v>7743</v>
      </c>
      <c r="B3529" s="36" t="s">
        <v>7744</v>
      </c>
      <c r="C3529" s="36" t="s">
        <v>1495</v>
      </c>
      <c r="D3529" s="36" t="s">
        <v>1496</v>
      </c>
      <c r="E3529" s="36" t="s">
        <v>1285</v>
      </c>
      <c r="F3529" s="36" t="s">
        <v>286</v>
      </c>
      <c r="G3529" s="36" t="s">
        <v>411</v>
      </c>
      <c r="H3529" s="37">
        <v>21.81</v>
      </c>
      <c r="I3529" s="36" t="s">
        <v>1301</v>
      </c>
      <c r="J3529" s="39" t="s">
        <v>286</v>
      </c>
      <c r="K3529" s="38"/>
      <c r="L3529" s="38"/>
    </row>
    <row r="3530" ht="22.5" customHeight="1">
      <c r="A3530" s="36" t="s">
        <v>7745</v>
      </c>
      <c r="B3530" s="36" t="s">
        <v>7746</v>
      </c>
      <c r="C3530" s="36" t="s">
        <v>286</v>
      </c>
      <c r="D3530" s="36" t="s">
        <v>286</v>
      </c>
      <c r="E3530" s="36" t="s">
        <v>287</v>
      </c>
      <c r="F3530" s="36" t="s">
        <v>286</v>
      </c>
      <c r="G3530" s="36" t="s">
        <v>411</v>
      </c>
      <c r="H3530" s="37">
        <v>90.63</v>
      </c>
      <c r="I3530" s="36" t="s">
        <v>1301</v>
      </c>
      <c r="J3530" s="39" t="s">
        <v>286</v>
      </c>
      <c r="K3530" s="38"/>
      <c r="L3530" s="38"/>
    </row>
    <row r="3531" ht="22.5" customHeight="1">
      <c r="A3531" s="36" t="s">
        <v>7747</v>
      </c>
      <c r="B3531" s="36" t="s">
        <v>7748</v>
      </c>
      <c r="C3531" s="36" t="s">
        <v>1495</v>
      </c>
      <c r="D3531" s="36" t="s">
        <v>1496</v>
      </c>
      <c r="E3531" s="36" t="s">
        <v>1285</v>
      </c>
      <c r="F3531" s="36" t="s">
        <v>286</v>
      </c>
      <c r="G3531" s="36" t="s">
        <v>411</v>
      </c>
      <c r="H3531" s="37">
        <v>90.18</v>
      </c>
      <c r="I3531" s="36" t="s">
        <v>1301</v>
      </c>
      <c r="J3531" s="39" t="s">
        <v>286</v>
      </c>
      <c r="K3531" s="38"/>
      <c r="L3531" s="38"/>
    </row>
    <row r="3532" ht="22.5" customHeight="1">
      <c r="A3532" s="36" t="s">
        <v>7749</v>
      </c>
      <c r="B3532" s="36" t="s">
        <v>7750</v>
      </c>
      <c r="C3532" s="36" t="s">
        <v>1495</v>
      </c>
      <c r="D3532" s="36" t="s">
        <v>1496</v>
      </c>
      <c r="E3532" s="36" t="s">
        <v>1285</v>
      </c>
      <c r="F3532" s="36" t="s">
        <v>286</v>
      </c>
      <c r="G3532" s="36" t="s">
        <v>411</v>
      </c>
      <c r="H3532" s="37">
        <v>4.21</v>
      </c>
      <c r="I3532" s="36" t="s">
        <v>1301</v>
      </c>
      <c r="J3532" s="39" t="s">
        <v>286</v>
      </c>
      <c r="K3532" s="38"/>
      <c r="L3532" s="38"/>
    </row>
    <row r="3533" ht="22.5" customHeight="1">
      <c r="A3533" s="36" t="s">
        <v>7751</v>
      </c>
      <c r="B3533" s="36" t="s">
        <v>7752</v>
      </c>
      <c r="C3533" s="36" t="s">
        <v>1495</v>
      </c>
      <c r="D3533" s="36" t="s">
        <v>1496</v>
      </c>
      <c r="E3533" s="36" t="s">
        <v>1285</v>
      </c>
      <c r="F3533" s="36" t="s">
        <v>286</v>
      </c>
      <c r="G3533" s="36" t="s">
        <v>411</v>
      </c>
      <c r="H3533" s="37">
        <v>31.34</v>
      </c>
      <c r="I3533" s="36" t="s">
        <v>1301</v>
      </c>
      <c r="J3533" s="39" t="s">
        <v>286</v>
      </c>
      <c r="K3533" s="38"/>
      <c r="L3533" s="38"/>
    </row>
    <row r="3534" ht="22.5" customHeight="1">
      <c r="A3534" s="36" t="s">
        <v>7753</v>
      </c>
      <c r="B3534" s="36" t="s">
        <v>7754</v>
      </c>
      <c r="C3534" s="36" t="s">
        <v>1495</v>
      </c>
      <c r="D3534" s="36" t="s">
        <v>1496</v>
      </c>
      <c r="E3534" s="36" t="s">
        <v>1285</v>
      </c>
      <c r="F3534" s="36" t="s">
        <v>286</v>
      </c>
      <c r="G3534" s="36" t="s">
        <v>411</v>
      </c>
      <c r="H3534" s="37">
        <v>16.65</v>
      </c>
      <c r="I3534" s="36" t="s">
        <v>1301</v>
      </c>
      <c r="J3534" s="39" t="s">
        <v>286</v>
      </c>
      <c r="K3534" s="38"/>
      <c r="L3534" s="38"/>
    </row>
    <row r="3535" ht="22.5" customHeight="1">
      <c r="A3535" s="36" t="s">
        <v>7755</v>
      </c>
      <c r="B3535" s="36" t="s">
        <v>7756</v>
      </c>
      <c r="C3535" s="36" t="s">
        <v>1495</v>
      </c>
      <c r="D3535" s="36" t="s">
        <v>1496</v>
      </c>
      <c r="E3535" s="36" t="s">
        <v>1285</v>
      </c>
      <c r="F3535" s="36" t="s">
        <v>286</v>
      </c>
      <c r="G3535" s="36" t="s">
        <v>411</v>
      </c>
      <c r="H3535" s="37">
        <v>188.74</v>
      </c>
      <c r="I3535" s="36" t="s">
        <v>1301</v>
      </c>
      <c r="J3535" s="39" t="s">
        <v>286</v>
      </c>
      <c r="K3535" s="38"/>
      <c r="L3535" s="38"/>
    </row>
    <row r="3536" ht="22.5" customHeight="1">
      <c r="A3536" s="36" t="s">
        <v>7757</v>
      </c>
      <c r="B3536" s="36" t="s">
        <v>7758</v>
      </c>
      <c r="C3536" s="36" t="s">
        <v>1495</v>
      </c>
      <c r="D3536" s="36" t="s">
        <v>1496</v>
      </c>
      <c r="E3536" s="36" t="s">
        <v>1285</v>
      </c>
      <c r="F3536" s="36" t="s">
        <v>286</v>
      </c>
      <c r="G3536" s="36" t="s">
        <v>411</v>
      </c>
      <c r="H3536" s="37">
        <v>188.18</v>
      </c>
      <c r="I3536" s="36" t="s">
        <v>1301</v>
      </c>
      <c r="J3536" s="39" t="s">
        <v>286</v>
      </c>
      <c r="K3536" s="38"/>
      <c r="L3536" s="38"/>
    </row>
    <row r="3537" ht="22.5" customHeight="1">
      <c r="A3537" s="36" t="s">
        <v>7759</v>
      </c>
      <c r="B3537" s="36" t="s">
        <v>7760</v>
      </c>
      <c r="C3537" s="36" t="s">
        <v>1495</v>
      </c>
      <c r="D3537" s="36" t="s">
        <v>1496</v>
      </c>
      <c r="E3537" s="36" t="s">
        <v>1285</v>
      </c>
      <c r="F3537" s="36" t="s">
        <v>286</v>
      </c>
      <c r="G3537" s="36" t="s">
        <v>411</v>
      </c>
      <c r="H3537" s="37">
        <v>115.53</v>
      </c>
      <c r="I3537" s="36" t="s">
        <v>1301</v>
      </c>
      <c r="J3537" s="39" t="s">
        <v>286</v>
      </c>
      <c r="K3537" s="38"/>
      <c r="L3537" s="38"/>
    </row>
    <row r="3538" ht="22.5" customHeight="1">
      <c r="A3538" s="36" t="s">
        <v>7761</v>
      </c>
      <c r="B3538" s="36" t="s">
        <v>7762</v>
      </c>
      <c r="C3538" s="36" t="s">
        <v>1495</v>
      </c>
      <c r="D3538" s="36" t="s">
        <v>1496</v>
      </c>
      <c r="E3538" s="36" t="s">
        <v>1285</v>
      </c>
      <c r="F3538" s="36" t="s">
        <v>286</v>
      </c>
      <c r="G3538" s="36" t="s">
        <v>411</v>
      </c>
      <c r="H3538" s="37">
        <v>39.19</v>
      </c>
      <c r="I3538" s="36" t="s">
        <v>1301</v>
      </c>
      <c r="J3538" s="39" t="s">
        <v>286</v>
      </c>
      <c r="K3538" s="38"/>
      <c r="L3538" s="38"/>
    </row>
    <row r="3539" ht="22.5" customHeight="1">
      <c r="A3539" s="36" t="s">
        <v>7763</v>
      </c>
      <c r="B3539" s="36" t="s">
        <v>7764</v>
      </c>
      <c r="C3539" s="36" t="s">
        <v>1495</v>
      </c>
      <c r="D3539" s="36" t="s">
        <v>1496</v>
      </c>
      <c r="E3539" s="36" t="s">
        <v>1285</v>
      </c>
      <c r="F3539" s="36" t="s">
        <v>286</v>
      </c>
      <c r="G3539" s="36" t="s">
        <v>411</v>
      </c>
      <c r="H3539" s="37">
        <v>20.33</v>
      </c>
      <c r="I3539" s="36" t="s">
        <v>1301</v>
      </c>
      <c r="J3539" s="39" t="s">
        <v>286</v>
      </c>
      <c r="K3539" s="38"/>
      <c r="L3539" s="38"/>
    </row>
    <row r="3540" ht="22.5" customHeight="1">
      <c r="A3540" s="36" t="s">
        <v>7765</v>
      </c>
      <c r="B3540" s="36" t="s">
        <v>7766</v>
      </c>
      <c r="C3540" s="36" t="s">
        <v>1495</v>
      </c>
      <c r="D3540" s="36" t="s">
        <v>1496</v>
      </c>
      <c r="E3540" s="36" t="s">
        <v>1285</v>
      </c>
      <c r="F3540" s="36" t="s">
        <v>286</v>
      </c>
      <c r="G3540" s="36" t="s">
        <v>411</v>
      </c>
      <c r="H3540" s="37">
        <v>57.3</v>
      </c>
      <c r="I3540" s="36" t="s">
        <v>1301</v>
      </c>
      <c r="J3540" s="39" t="s">
        <v>286</v>
      </c>
      <c r="K3540" s="38"/>
      <c r="L3540" s="38"/>
    </row>
    <row r="3541" ht="22.5" customHeight="1">
      <c r="A3541" s="36" t="s">
        <v>7767</v>
      </c>
      <c r="B3541" s="36" t="s">
        <v>7768</v>
      </c>
      <c r="C3541" s="36" t="s">
        <v>1495</v>
      </c>
      <c r="D3541" s="36" t="s">
        <v>1496</v>
      </c>
      <c r="E3541" s="36" t="s">
        <v>1285</v>
      </c>
      <c r="F3541" s="36" t="s">
        <v>286</v>
      </c>
      <c r="G3541" s="36" t="s">
        <v>411</v>
      </c>
      <c r="H3541" s="37">
        <v>13.82</v>
      </c>
      <c r="I3541" s="36" t="s">
        <v>1301</v>
      </c>
      <c r="J3541" s="39" t="s">
        <v>286</v>
      </c>
      <c r="K3541" s="38"/>
      <c r="L3541" s="38"/>
    </row>
    <row r="3542" ht="22.5" customHeight="1">
      <c r="A3542" s="36" t="s">
        <v>7769</v>
      </c>
      <c r="B3542" s="36" t="s">
        <v>7770</v>
      </c>
      <c r="C3542" s="36" t="s">
        <v>1495</v>
      </c>
      <c r="D3542" s="36" t="s">
        <v>1496</v>
      </c>
      <c r="E3542" s="36" t="s">
        <v>1285</v>
      </c>
      <c r="F3542" s="36" t="s">
        <v>286</v>
      </c>
      <c r="G3542" s="36" t="s">
        <v>411</v>
      </c>
      <c r="H3542" s="37">
        <v>71.44</v>
      </c>
      <c r="I3542" s="36" t="s">
        <v>1301</v>
      </c>
      <c r="J3542" s="39" t="s">
        <v>286</v>
      </c>
      <c r="K3542" s="38"/>
      <c r="L3542" s="38"/>
    </row>
    <row r="3543" ht="22.5" customHeight="1">
      <c r="A3543" s="36" t="s">
        <v>7771</v>
      </c>
      <c r="B3543" s="36" t="s">
        <v>7772</v>
      </c>
      <c r="C3543" s="36" t="s">
        <v>1495</v>
      </c>
      <c r="D3543" s="36" t="s">
        <v>1496</v>
      </c>
      <c r="E3543" s="36" t="s">
        <v>1285</v>
      </c>
      <c r="F3543" s="36" t="s">
        <v>286</v>
      </c>
      <c r="G3543" s="36" t="s">
        <v>411</v>
      </c>
      <c r="H3543" s="37">
        <v>106.36</v>
      </c>
      <c r="I3543" s="36" t="s">
        <v>1301</v>
      </c>
      <c r="J3543" s="39" t="s">
        <v>286</v>
      </c>
      <c r="K3543" s="38"/>
      <c r="L3543" s="38"/>
    </row>
    <row r="3544" ht="22.5" customHeight="1">
      <c r="A3544" s="36" t="s">
        <v>7773</v>
      </c>
      <c r="B3544" s="36" t="s">
        <v>7774</v>
      </c>
      <c r="C3544" s="36" t="s">
        <v>1495</v>
      </c>
      <c r="D3544" s="36" t="s">
        <v>1496</v>
      </c>
      <c r="E3544" s="36" t="s">
        <v>1285</v>
      </c>
      <c r="F3544" s="36" t="s">
        <v>286</v>
      </c>
      <c r="G3544" s="36" t="s">
        <v>411</v>
      </c>
      <c r="H3544" s="37">
        <v>150.0</v>
      </c>
      <c r="I3544" s="36" t="s">
        <v>1301</v>
      </c>
      <c r="J3544" s="39" t="s">
        <v>286</v>
      </c>
      <c r="K3544" s="38"/>
      <c r="L3544" s="38"/>
    </row>
    <row r="3545" ht="22.5" customHeight="1">
      <c r="A3545" s="36" t="s">
        <v>7775</v>
      </c>
      <c r="B3545" s="36" t="s">
        <v>7776</v>
      </c>
      <c r="C3545" s="36" t="s">
        <v>1495</v>
      </c>
      <c r="D3545" s="36" t="s">
        <v>1496</v>
      </c>
      <c r="E3545" s="36" t="s">
        <v>1285</v>
      </c>
      <c r="F3545" s="36" t="s">
        <v>286</v>
      </c>
      <c r="G3545" s="36" t="s">
        <v>411</v>
      </c>
      <c r="H3545" s="37">
        <v>28.37</v>
      </c>
      <c r="I3545" s="36" t="s">
        <v>1301</v>
      </c>
      <c r="J3545" s="39" t="s">
        <v>286</v>
      </c>
      <c r="K3545" s="38"/>
      <c r="L3545" s="38"/>
    </row>
    <row r="3546" ht="22.5" customHeight="1">
      <c r="A3546" s="36" t="s">
        <v>7777</v>
      </c>
      <c r="B3546" s="36" t="s">
        <v>7778</v>
      </c>
      <c r="C3546" s="36" t="s">
        <v>1495</v>
      </c>
      <c r="D3546" s="36" t="s">
        <v>1496</v>
      </c>
      <c r="E3546" s="36" t="s">
        <v>1285</v>
      </c>
      <c r="F3546" s="36" t="s">
        <v>286</v>
      </c>
      <c r="G3546" s="36" t="s">
        <v>411</v>
      </c>
      <c r="H3546" s="37">
        <v>6.38</v>
      </c>
      <c r="I3546" s="36" t="s">
        <v>1301</v>
      </c>
      <c r="J3546" s="39" t="s">
        <v>286</v>
      </c>
      <c r="K3546" s="38"/>
      <c r="L3546" s="38"/>
    </row>
    <row r="3547" ht="22.5" customHeight="1">
      <c r="A3547" s="36" t="s">
        <v>7779</v>
      </c>
      <c r="B3547" s="36" t="s">
        <v>7780</v>
      </c>
      <c r="C3547" s="36" t="s">
        <v>1495</v>
      </c>
      <c r="D3547" s="36" t="s">
        <v>1496</v>
      </c>
      <c r="E3547" s="36" t="s">
        <v>1285</v>
      </c>
      <c r="F3547" s="36" t="s">
        <v>286</v>
      </c>
      <c r="G3547" s="36" t="s">
        <v>411</v>
      </c>
      <c r="H3547" s="37">
        <v>19.49</v>
      </c>
      <c r="I3547" s="36" t="s">
        <v>1301</v>
      </c>
      <c r="J3547" s="39" t="s">
        <v>286</v>
      </c>
      <c r="K3547" s="38"/>
      <c r="L3547" s="38"/>
    </row>
    <row r="3548" ht="22.5" customHeight="1">
      <c r="A3548" s="36" t="s">
        <v>7781</v>
      </c>
      <c r="B3548" s="36" t="s">
        <v>7782</v>
      </c>
      <c r="C3548" s="36" t="s">
        <v>1495</v>
      </c>
      <c r="D3548" s="36" t="s">
        <v>1496</v>
      </c>
      <c r="E3548" s="36" t="s">
        <v>1285</v>
      </c>
      <c r="F3548" s="36" t="s">
        <v>286</v>
      </c>
      <c r="G3548" s="36" t="s">
        <v>411</v>
      </c>
      <c r="H3548" s="37">
        <v>24.27</v>
      </c>
      <c r="I3548" s="36" t="s">
        <v>1301</v>
      </c>
      <c r="J3548" s="39" t="s">
        <v>286</v>
      </c>
      <c r="K3548" s="38"/>
      <c r="L3548" s="38"/>
    </row>
    <row r="3549" ht="22.5" customHeight="1">
      <c r="A3549" s="36" t="s">
        <v>7783</v>
      </c>
      <c r="B3549" s="36" t="s">
        <v>7784</v>
      </c>
      <c r="C3549" s="36" t="s">
        <v>1495</v>
      </c>
      <c r="D3549" s="36" t="s">
        <v>1496</v>
      </c>
      <c r="E3549" s="36" t="s">
        <v>1285</v>
      </c>
      <c r="F3549" s="36" t="s">
        <v>286</v>
      </c>
      <c r="G3549" s="36" t="s">
        <v>411</v>
      </c>
      <c r="H3549" s="37">
        <v>121.13</v>
      </c>
      <c r="I3549" s="36" t="s">
        <v>1301</v>
      </c>
      <c r="J3549" s="39" t="s">
        <v>286</v>
      </c>
      <c r="K3549" s="38"/>
      <c r="L3549" s="38"/>
    </row>
    <row r="3550" ht="22.5" customHeight="1">
      <c r="A3550" s="36" t="s">
        <v>7785</v>
      </c>
      <c r="B3550" s="36" t="s">
        <v>7786</v>
      </c>
      <c r="C3550" s="36" t="s">
        <v>1495</v>
      </c>
      <c r="D3550" s="36" t="s">
        <v>1496</v>
      </c>
      <c r="E3550" s="36" t="s">
        <v>1285</v>
      </c>
      <c r="F3550" s="36" t="s">
        <v>286</v>
      </c>
      <c r="G3550" s="36" t="s">
        <v>411</v>
      </c>
      <c r="H3550" s="37">
        <v>11.51</v>
      </c>
      <c r="I3550" s="36" t="s">
        <v>1301</v>
      </c>
      <c r="J3550" s="39" t="s">
        <v>286</v>
      </c>
      <c r="K3550" s="38"/>
      <c r="L3550" s="38"/>
    </row>
    <row r="3551" ht="22.5" customHeight="1">
      <c r="A3551" s="36" t="s">
        <v>7787</v>
      </c>
      <c r="B3551" s="36" t="s">
        <v>7788</v>
      </c>
      <c r="C3551" s="36" t="s">
        <v>286</v>
      </c>
      <c r="D3551" s="36" t="s">
        <v>286</v>
      </c>
      <c r="E3551" s="36" t="s">
        <v>287</v>
      </c>
      <c r="F3551" s="36" t="s">
        <v>286</v>
      </c>
      <c r="G3551" s="36" t="s">
        <v>411</v>
      </c>
      <c r="H3551" s="37">
        <v>150.0</v>
      </c>
      <c r="I3551" s="36" t="s">
        <v>1301</v>
      </c>
      <c r="J3551" s="39" t="s">
        <v>286</v>
      </c>
      <c r="K3551" s="38"/>
      <c r="L3551" s="38"/>
    </row>
    <row r="3552" ht="22.5" customHeight="1">
      <c r="A3552" s="36" t="s">
        <v>7789</v>
      </c>
      <c r="B3552" s="36" t="s">
        <v>7790</v>
      </c>
      <c r="C3552" s="36" t="s">
        <v>1495</v>
      </c>
      <c r="D3552" s="36" t="s">
        <v>1496</v>
      </c>
      <c r="E3552" s="36" t="s">
        <v>1285</v>
      </c>
      <c r="F3552" s="36" t="s">
        <v>286</v>
      </c>
      <c r="G3552" s="36" t="s">
        <v>411</v>
      </c>
      <c r="H3552" s="37">
        <v>5.77</v>
      </c>
      <c r="I3552" s="36" t="s">
        <v>1301</v>
      </c>
      <c r="J3552" s="39" t="s">
        <v>286</v>
      </c>
      <c r="K3552" s="38"/>
      <c r="L3552" s="38"/>
    </row>
    <row r="3553" ht="22.5" customHeight="1">
      <c r="A3553" s="36" t="s">
        <v>7791</v>
      </c>
      <c r="B3553" s="36" t="s">
        <v>7792</v>
      </c>
      <c r="C3553" s="36" t="s">
        <v>1495</v>
      </c>
      <c r="D3553" s="36" t="s">
        <v>1496</v>
      </c>
      <c r="E3553" s="36" t="s">
        <v>1285</v>
      </c>
      <c r="F3553" s="36" t="s">
        <v>286</v>
      </c>
      <c r="G3553" s="36" t="s">
        <v>411</v>
      </c>
      <c r="H3553" s="37">
        <v>426.99</v>
      </c>
      <c r="I3553" s="36" t="s">
        <v>1301</v>
      </c>
      <c r="J3553" s="39" t="s">
        <v>286</v>
      </c>
      <c r="K3553" s="38"/>
      <c r="L3553" s="38"/>
    </row>
    <row r="3554" ht="22.5" customHeight="1">
      <c r="A3554" s="36" t="s">
        <v>7793</v>
      </c>
      <c r="B3554" s="36" t="s">
        <v>7794</v>
      </c>
      <c r="C3554" s="36" t="s">
        <v>1495</v>
      </c>
      <c r="D3554" s="36" t="s">
        <v>1496</v>
      </c>
      <c r="E3554" s="36" t="s">
        <v>1285</v>
      </c>
      <c r="F3554" s="36" t="s">
        <v>286</v>
      </c>
      <c r="G3554" s="36" t="s">
        <v>411</v>
      </c>
      <c r="H3554" s="37">
        <v>432.64</v>
      </c>
      <c r="I3554" s="36" t="s">
        <v>1301</v>
      </c>
      <c r="J3554" s="39" t="s">
        <v>286</v>
      </c>
      <c r="K3554" s="38"/>
      <c r="L3554" s="38"/>
    </row>
    <row r="3555" ht="22.5" customHeight="1">
      <c r="A3555" s="36" t="s">
        <v>7795</v>
      </c>
      <c r="B3555" s="36" t="s">
        <v>7796</v>
      </c>
      <c r="C3555" s="36" t="s">
        <v>1495</v>
      </c>
      <c r="D3555" s="36" t="s">
        <v>1496</v>
      </c>
      <c r="E3555" s="36" t="s">
        <v>1285</v>
      </c>
      <c r="F3555" s="36" t="s">
        <v>286</v>
      </c>
      <c r="G3555" s="36" t="s">
        <v>411</v>
      </c>
      <c r="H3555" s="37">
        <v>18.75</v>
      </c>
      <c r="I3555" s="36" t="s">
        <v>1301</v>
      </c>
      <c r="J3555" s="39" t="s">
        <v>286</v>
      </c>
      <c r="K3555" s="38"/>
      <c r="L3555" s="38"/>
    </row>
    <row r="3556" ht="22.5" customHeight="1">
      <c r="A3556" s="36" t="s">
        <v>7797</v>
      </c>
      <c r="B3556" s="36" t="s">
        <v>7798</v>
      </c>
      <c r="C3556" s="36" t="s">
        <v>1495</v>
      </c>
      <c r="D3556" s="36" t="s">
        <v>1496</v>
      </c>
      <c r="E3556" s="36" t="s">
        <v>1285</v>
      </c>
      <c r="F3556" s="36" t="s">
        <v>286</v>
      </c>
      <c r="G3556" s="36" t="s">
        <v>411</v>
      </c>
      <c r="H3556" s="37">
        <v>58.37</v>
      </c>
      <c r="I3556" s="36" t="s">
        <v>1301</v>
      </c>
      <c r="J3556" s="39" t="s">
        <v>286</v>
      </c>
      <c r="K3556" s="38"/>
      <c r="L3556" s="38"/>
    </row>
    <row r="3557" ht="22.5" customHeight="1">
      <c r="A3557" s="36" t="s">
        <v>7799</v>
      </c>
      <c r="B3557" s="36" t="s">
        <v>7800</v>
      </c>
      <c r="C3557" s="36" t="s">
        <v>1495</v>
      </c>
      <c r="D3557" s="36" t="s">
        <v>1496</v>
      </c>
      <c r="E3557" s="36" t="s">
        <v>1285</v>
      </c>
      <c r="F3557" s="36" t="s">
        <v>286</v>
      </c>
      <c r="G3557" s="36" t="s">
        <v>411</v>
      </c>
      <c r="H3557" s="37">
        <v>90.0</v>
      </c>
      <c r="I3557" s="36" t="s">
        <v>1301</v>
      </c>
      <c r="J3557" s="39" t="s">
        <v>286</v>
      </c>
      <c r="K3557" s="38"/>
      <c r="L3557" s="38"/>
    </row>
    <row r="3558" ht="22.5" customHeight="1">
      <c r="A3558" s="36" t="s">
        <v>7801</v>
      </c>
      <c r="B3558" s="36" t="s">
        <v>7802</v>
      </c>
      <c r="C3558" s="36" t="s">
        <v>1495</v>
      </c>
      <c r="D3558" s="36" t="s">
        <v>1496</v>
      </c>
      <c r="E3558" s="36" t="s">
        <v>1285</v>
      </c>
      <c r="F3558" s="36" t="s">
        <v>286</v>
      </c>
      <c r="G3558" s="36" t="s">
        <v>411</v>
      </c>
      <c r="H3558" s="37">
        <v>325.0</v>
      </c>
      <c r="I3558" s="36" t="s">
        <v>1301</v>
      </c>
      <c r="J3558" s="39" t="s">
        <v>286</v>
      </c>
      <c r="K3558" s="38"/>
      <c r="L3558" s="38"/>
    </row>
    <row r="3559" ht="22.5" customHeight="1">
      <c r="A3559" s="36" t="s">
        <v>7803</v>
      </c>
      <c r="B3559" s="36" t="s">
        <v>7804</v>
      </c>
      <c r="C3559" s="36" t="s">
        <v>1495</v>
      </c>
      <c r="D3559" s="36" t="s">
        <v>1496</v>
      </c>
      <c r="E3559" s="36" t="s">
        <v>1285</v>
      </c>
      <c r="F3559" s="36" t="s">
        <v>286</v>
      </c>
      <c r="G3559" s="36" t="s">
        <v>411</v>
      </c>
      <c r="H3559" s="37">
        <v>30.93</v>
      </c>
      <c r="I3559" s="36" t="s">
        <v>1301</v>
      </c>
      <c r="J3559" s="39" t="s">
        <v>286</v>
      </c>
      <c r="K3559" s="38"/>
      <c r="L3559" s="38"/>
    </row>
    <row r="3560" ht="22.5" customHeight="1">
      <c r="A3560" s="36" t="s">
        <v>7805</v>
      </c>
      <c r="B3560" s="36" t="s">
        <v>7806</v>
      </c>
      <c r="C3560" s="36" t="s">
        <v>1495</v>
      </c>
      <c r="D3560" s="36" t="s">
        <v>1496</v>
      </c>
      <c r="E3560" s="36" t="s">
        <v>1285</v>
      </c>
      <c r="F3560" s="36" t="s">
        <v>286</v>
      </c>
      <c r="G3560" s="36" t="s">
        <v>411</v>
      </c>
      <c r="H3560" s="37">
        <v>22.26</v>
      </c>
      <c r="I3560" s="36" t="s">
        <v>1301</v>
      </c>
      <c r="J3560" s="39" t="s">
        <v>286</v>
      </c>
      <c r="K3560" s="38"/>
      <c r="L3560" s="38"/>
    </row>
    <row r="3561" ht="22.5" customHeight="1">
      <c r="A3561" s="36" t="s">
        <v>7807</v>
      </c>
      <c r="B3561" s="36" t="s">
        <v>7808</v>
      </c>
      <c r="C3561" s="36" t="s">
        <v>1495</v>
      </c>
      <c r="D3561" s="36" t="s">
        <v>1496</v>
      </c>
      <c r="E3561" s="36" t="s">
        <v>1285</v>
      </c>
      <c r="F3561" s="36" t="s">
        <v>286</v>
      </c>
      <c r="G3561" s="36" t="s">
        <v>411</v>
      </c>
      <c r="H3561" s="37">
        <v>26.49</v>
      </c>
      <c r="I3561" s="36" t="s">
        <v>1301</v>
      </c>
      <c r="J3561" s="39" t="s">
        <v>286</v>
      </c>
      <c r="K3561" s="38"/>
      <c r="L3561" s="38"/>
    </row>
    <row r="3562" ht="22.5" customHeight="1">
      <c r="A3562" s="36" t="s">
        <v>7809</v>
      </c>
      <c r="B3562" s="36" t="s">
        <v>7810</v>
      </c>
      <c r="C3562" s="36" t="s">
        <v>1495</v>
      </c>
      <c r="D3562" s="36" t="s">
        <v>1496</v>
      </c>
      <c r="E3562" s="36" t="s">
        <v>1285</v>
      </c>
      <c r="F3562" s="36" t="s">
        <v>286</v>
      </c>
      <c r="G3562" s="36" t="s">
        <v>411</v>
      </c>
      <c r="H3562" s="37">
        <v>88.53</v>
      </c>
      <c r="I3562" s="36" t="s">
        <v>1301</v>
      </c>
      <c r="J3562" s="39" t="s">
        <v>286</v>
      </c>
      <c r="K3562" s="38"/>
      <c r="L3562" s="38"/>
    </row>
    <row r="3563" ht="22.5" customHeight="1">
      <c r="A3563" s="36" t="s">
        <v>7811</v>
      </c>
      <c r="B3563" s="36" t="s">
        <v>7812</v>
      </c>
      <c r="C3563" s="36" t="s">
        <v>1495</v>
      </c>
      <c r="D3563" s="36" t="s">
        <v>1496</v>
      </c>
      <c r="E3563" s="36" t="s">
        <v>1285</v>
      </c>
      <c r="F3563" s="36" t="s">
        <v>286</v>
      </c>
      <c r="G3563" s="36" t="s">
        <v>411</v>
      </c>
      <c r="H3563" s="37">
        <v>115.09</v>
      </c>
      <c r="I3563" s="36" t="s">
        <v>1301</v>
      </c>
      <c r="J3563" s="39" t="s">
        <v>286</v>
      </c>
      <c r="K3563" s="38"/>
      <c r="L3563" s="38"/>
    </row>
    <row r="3564" ht="22.5" customHeight="1">
      <c r="A3564" s="36" t="s">
        <v>7813</v>
      </c>
      <c r="B3564" s="36" t="s">
        <v>7814</v>
      </c>
      <c r="C3564" s="36" t="s">
        <v>1495</v>
      </c>
      <c r="D3564" s="36" t="s">
        <v>1496</v>
      </c>
      <c r="E3564" s="36" t="s">
        <v>1285</v>
      </c>
      <c r="F3564" s="36" t="s">
        <v>286</v>
      </c>
      <c r="G3564" s="36" t="s">
        <v>411</v>
      </c>
      <c r="H3564" s="37">
        <v>95.91</v>
      </c>
      <c r="I3564" s="36" t="s">
        <v>1301</v>
      </c>
      <c r="J3564" s="39" t="s">
        <v>286</v>
      </c>
      <c r="K3564" s="38"/>
      <c r="L3564" s="38"/>
    </row>
    <row r="3565" ht="22.5" customHeight="1">
      <c r="A3565" s="36" t="s">
        <v>7815</v>
      </c>
      <c r="B3565" s="36" t="s">
        <v>7816</v>
      </c>
      <c r="C3565" s="36" t="s">
        <v>1495</v>
      </c>
      <c r="D3565" s="36" t="s">
        <v>1496</v>
      </c>
      <c r="E3565" s="36" t="s">
        <v>1285</v>
      </c>
      <c r="F3565" s="36" t="s">
        <v>286</v>
      </c>
      <c r="G3565" s="36" t="s">
        <v>411</v>
      </c>
      <c r="H3565" s="37">
        <v>82.21</v>
      </c>
      <c r="I3565" s="36" t="s">
        <v>1301</v>
      </c>
      <c r="J3565" s="39" t="s">
        <v>286</v>
      </c>
      <c r="K3565" s="38"/>
      <c r="L3565" s="38"/>
    </row>
    <row r="3566" ht="22.5" customHeight="1">
      <c r="A3566" s="36" t="s">
        <v>7817</v>
      </c>
      <c r="B3566" s="36" t="s">
        <v>7818</v>
      </c>
      <c r="C3566" s="36" t="s">
        <v>1495</v>
      </c>
      <c r="D3566" s="36" t="s">
        <v>1496</v>
      </c>
      <c r="E3566" s="36" t="s">
        <v>1285</v>
      </c>
      <c r="F3566" s="36" t="s">
        <v>286</v>
      </c>
      <c r="G3566" s="36" t="s">
        <v>411</v>
      </c>
      <c r="H3566" s="37">
        <v>76.73</v>
      </c>
      <c r="I3566" s="36" t="s">
        <v>1301</v>
      </c>
      <c r="J3566" s="39" t="s">
        <v>286</v>
      </c>
      <c r="K3566" s="38"/>
      <c r="L3566" s="38"/>
    </row>
    <row r="3567" ht="22.5" customHeight="1">
      <c r="A3567" s="36" t="s">
        <v>7819</v>
      </c>
      <c r="B3567" s="36" t="s">
        <v>7820</v>
      </c>
      <c r="C3567" s="36" t="s">
        <v>1495</v>
      </c>
      <c r="D3567" s="36" t="s">
        <v>1496</v>
      </c>
      <c r="E3567" s="36" t="s">
        <v>1285</v>
      </c>
      <c r="F3567" s="36" t="s">
        <v>286</v>
      </c>
      <c r="G3567" s="36" t="s">
        <v>411</v>
      </c>
      <c r="H3567" s="37">
        <v>63.94</v>
      </c>
      <c r="I3567" s="36" t="s">
        <v>1301</v>
      </c>
      <c r="J3567" s="39" t="s">
        <v>286</v>
      </c>
      <c r="K3567" s="38"/>
      <c r="L3567" s="38"/>
    </row>
    <row r="3568" ht="22.5" customHeight="1">
      <c r="A3568" s="36" t="s">
        <v>7821</v>
      </c>
      <c r="B3568" s="36" t="s">
        <v>7822</v>
      </c>
      <c r="C3568" s="36" t="s">
        <v>1495</v>
      </c>
      <c r="D3568" s="36" t="s">
        <v>1496</v>
      </c>
      <c r="E3568" s="36" t="s">
        <v>1285</v>
      </c>
      <c r="F3568" s="36" t="s">
        <v>286</v>
      </c>
      <c r="G3568" s="36" t="s">
        <v>411</v>
      </c>
      <c r="H3568" s="37">
        <v>88.53</v>
      </c>
      <c r="I3568" s="36" t="s">
        <v>1301</v>
      </c>
      <c r="J3568" s="39" t="s">
        <v>286</v>
      </c>
      <c r="K3568" s="38"/>
      <c r="L3568" s="38"/>
    </row>
    <row r="3569" ht="22.5" customHeight="1">
      <c r="A3569" s="36" t="s">
        <v>7823</v>
      </c>
      <c r="B3569" s="36" t="s">
        <v>7824</v>
      </c>
      <c r="C3569" s="36" t="s">
        <v>1495</v>
      </c>
      <c r="D3569" s="36" t="s">
        <v>1496</v>
      </c>
      <c r="E3569" s="36" t="s">
        <v>1285</v>
      </c>
      <c r="F3569" s="36" t="s">
        <v>286</v>
      </c>
      <c r="G3569" s="36" t="s">
        <v>411</v>
      </c>
      <c r="H3569" s="37">
        <v>52.31</v>
      </c>
      <c r="I3569" s="36" t="s">
        <v>1301</v>
      </c>
      <c r="J3569" s="39" t="s">
        <v>286</v>
      </c>
      <c r="K3569" s="38"/>
      <c r="L3569" s="38"/>
    </row>
    <row r="3570" ht="22.5" customHeight="1">
      <c r="A3570" s="36" t="s">
        <v>7825</v>
      </c>
      <c r="B3570" s="36" t="s">
        <v>7826</v>
      </c>
      <c r="C3570" s="36" t="s">
        <v>1495</v>
      </c>
      <c r="D3570" s="36" t="s">
        <v>1496</v>
      </c>
      <c r="E3570" s="36" t="s">
        <v>1285</v>
      </c>
      <c r="F3570" s="36" t="s">
        <v>286</v>
      </c>
      <c r="G3570" s="36" t="s">
        <v>411</v>
      </c>
      <c r="H3570" s="37">
        <v>95.91</v>
      </c>
      <c r="I3570" s="36" t="s">
        <v>1301</v>
      </c>
      <c r="J3570" s="39" t="s">
        <v>286</v>
      </c>
      <c r="K3570" s="38"/>
      <c r="L3570" s="38"/>
    </row>
    <row r="3571" ht="22.5" customHeight="1">
      <c r="A3571" s="36" t="s">
        <v>7827</v>
      </c>
      <c r="B3571" s="36" t="s">
        <v>7828</v>
      </c>
      <c r="C3571" s="36" t="s">
        <v>1495</v>
      </c>
      <c r="D3571" s="36" t="s">
        <v>1496</v>
      </c>
      <c r="E3571" s="36" t="s">
        <v>1285</v>
      </c>
      <c r="F3571" s="36" t="s">
        <v>286</v>
      </c>
      <c r="G3571" s="36" t="s">
        <v>411</v>
      </c>
      <c r="H3571" s="37">
        <v>5.35</v>
      </c>
      <c r="I3571" s="36" t="s">
        <v>1301</v>
      </c>
      <c r="J3571" s="39" t="s">
        <v>286</v>
      </c>
      <c r="K3571" s="38"/>
      <c r="L3571" s="38"/>
    </row>
    <row r="3572" ht="22.5" customHeight="1">
      <c r="A3572" s="36" t="s">
        <v>7829</v>
      </c>
      <c r="B3572" s="36" t="s">
        <v>7830</v>
      </c>
      <c r="C3572" s="36" t="s">
        <v>1495</v>
      </c>
      <c r="D3572" s="36" t="s">
        <v>1496</v>
      </c>
      <c r="E3572" s="36" t="s">
        <v>1285</v>
      </c>
      <c r="F3572" s="36" t="s">
        <v>286</v>
      </c>
      <c r="G3572" s="36" t="s">
        <v>411</v>
      </c>
      <c r="H3572" s="37">
        <v>128.33</v>
      </c>
      <c r="I3572" s="36" t="s">
        <v>1301</v>
      </c>
      <c r="J3572" s="39" t="s">
        <v>286</v>
      </c>
      <c r="K3572" s="38"/>
      <c r="L3572" s="38"/>
    </row>
    <row r="3573" ht="22.5" customHeight="1">
      <c r="A3573" s="36" t="s">
        <v>7831</v>
      </c>
      <c r="B3573" s="36" t="s">
        <v>7832</v>
      </c>
      <c r="C3573" s="36" t="s">
        <v>1495</v>
      </c>
      <c r="D3573" s="36" t="s">
        <v>1496</v>
      </c>
      <c r="E3573" s="36" t="s">
        <v>1285</v>
      </c>
      <c r="F3573" s="36" t="s">
        <v>286</v>
      </c>
      <c r="G3573" s="36" t="s">
        <v>411</v>
      </c>
      <c r="H3573" s="37">
        <v>137.5</v>
      </c>
      <c r="I3573" s="36" t="s">
        <v>1301</v>
      </c>
      <c r="J3573" s="39" t="s">
        <v>286</v>
      </c>
      <c r="K3573" s="38"/>
      <c r="L3573" s="38"/>
    </row>
    <row r="3574" ht="22.5" customHeight="1">
      <c r="A3574" s="36" t="s">
        <v>7833</v>
      </c>
      <c r="B3574" s="36" t="s">
        <v>7834</v>
      </c>
      <c r="C3574" s="36" t="s">
        <v>1495</v>
      </c>
      <c r="D3574" s="36" t="s">
        <v>1496</v>
      </c>
      <c r="E3574" s="36" t="s">
        <v>1285</v>
      </c>
      <c r="F3574" s="36" t="s">
        <v>286</v>
      </c>
      <c r="G3574" s="36" t="s">
        <v>411</v>
      </c>
      <c r="H3574" s="37">
        <v>320.83</v>
      </c>
      <c r="I3574" s="36" t="s">
        <v>1301</v>
      </c>
      <c r="J3574" s="39" t="s">
        <v>286</v>
      </c>
      <c r="K3574" s="38"/>
      <c r="L3574" s="38"/>
    </row>
    <row r="3575" ht="22.5" customHeight="1">
      <c r="A3575" s="36" t="s">
        <v>7835</v>
      </c>
      <c r="B3575" s="36" t="s">
        <v>7836</v>
      </c>
      <c r="C3575" s="36" t="s">
        <v>1495</v>
      </c>
      <c r="D3575" s="36" t="s">
        <v>1496</v>
      </c>
      <c r="E3575" s="36" t="s">
        <v>1285</v>
      </c>
      <c r="F3575" s="36" t="s">
        <v>286</v>
      </c>
      <c r="G3575" s="36" t="s">
        <v>411</v>
      </c>
      <c r="H3575" s="37">
        <v>284.17</v>
      </c>
      <c r="I3575" s="36" t="s">
        <v>1301</v>
      </c>
      <c r="J3575" s="39" t="s">
        <v>286</v>
      </c>
      <c r="K3575" s="38"/>
      <c r="L3575" s="38"/>
    </row>
    <row r="3576" ht="22.5" customHeight="1">
      <c r="A3576" s="36" t="s">
        <v>7837</v>
      </c>
      <c r="B3576" s="36" t="s">
        <v>7838</v>
      </c>
      <c r="C3576" s="36" t="s">
        <v>1495</v>
      </c>
      <c r="D3576" s="36" t="s">
        <v>1496</v>
      </c>
      <c r="E3576" s="36" t="s">
        <v>1285</v>
      </c>
      <c r="F3576" s="36" t="s">
        <v>286</v>
      </c>
      <c r="G3576" s="36" t="s">
        <v>411</v>
      </c>
      <c r="H3576" s="37">
        <v>93.5</v>
      </c>
      <c r="I3576" s="36" t="s">
        <v>1301</v>
      </c>
      <c r="J3576" s="39" t="s">
        <v>286</v>
      </c>
      <c r="K3576" s="38"/>
      <c r="L3576" s="38"/>
    </row>
    <row r="3577" ht="22.5" customHeight="1">
      <c r="A3577" s="36" t="s">
        <v>7839</v>
      </c>
      <c r="B3577" s="36" t="s">
        <v>7840</v>
      </c>
      <c r="C3577" s="36" t="s">
        <v>1495</v>
      </c>
      <c r="D3577" s="36" t="s">
        <v>1496</v>
      </c>
      <c r="E3577" s="36" t="s">
        <v>1285</v>
      </c>
      <c r="F3577" s="36" t="s">
        <v>286</v>
      </c>
      <c r="G3577" s="36" t="s">
        <v>411</v>
      </c>
      <c r="H3577" s="37">
        <v>110.0</v>
      </c>
      <c r="I3577" s="36" t="s">
        <v>1301</v>
      </c>
      <c r="J3577" s="39" t="s">
        <v>286</v>
      </c>
      <c r="K3577" s="38"/>
      <c r="L3577" s="38"/>
    </row>
    <row r="3578" ht="22.5" customHeight="1">
      <c r="A3578" s="36" t="s">
        <v>7841</v>
      </c>
      <c r="B3578" s="36" t="s">
        <v>7842</v>
      </c>
      <c r="C3578" s="36" t="s">
        <v>1495</v>
      </c>
      <c r="D3578" s="36" t="s">
        <v>1496</v>
      </c>
      <c r="E3578" s="36" t="s">
        <v>1285</v>
      </c>
      <c r="F3578" s="36" t="s">
        <v>286</v>
      </c>
      <c r="G3578" s="36" t="s">
        <v>411</v>
      </c>
      <c r="H3578" s="37">
        <v>467.5</v>
      </c>
      <c r="I3578" s="36" t="s">
        <v>1301</v>
      </c>
      <c r="J3578" s="39" t="s">
        <v>286</v>
      </c>
      <c r="K3578" s="38"/>
      <c r="L3578" s="38"/>
    </row>
    <row r="3579" ht="22.5" customHeight="1">
      <c r="A3579" s="36" t="s">
        <v>7843</v>
      </c>
      <c r="B3579" s="36" t="s">
        <v>7844</v>
      </c>
      <c r="C3579" s="36" t="s">
        <v>1495</v>
      </c>
      <c r="D3579" s="36" t="s">
        <v>1496</v>
      </c>
      <c r="E3579" s="36" t="s">
        <v>1285</v>
      </c>
      <c r="F3579" s="36" t="s">
        <v>286</v>
      </c>
      <c r="G3579" s="36" t="s">
        <v>411</v>
      </c>
      <c r="H3579" s="37">
        <v>481.25</v>
      </c>
      <c r="I3579" s="36" t="s">
        <v>1301</v>
      </c>
      <c r="J3579" s="39" t="s">
        <v>286</v>
      </c>
      <c r="K3579" s="38"/>
      <c r="L3579" s="38"/>
    </row>
    <row r="3580" ht="22.5" customHeight="1">
      <c r="A3580" s="36" t="s">
        <v>7845</v>
      </c>
      <c r="B3580" s="36" t="s">
        <v>7846</v>
      </c>
      <c r="C3580" s="36" t="s">
        <v>1495</v>
      </c>
      <c r="D3580" s="36" t="s">
        <v>1496</v>
      </c>
      <c r="E3580" s="36" t="s">
        <v>1285</v>
      </c>
      <c r="F3580" s="36" t="s">
        <v>286</v>
      </c>
      <c r="G3580" s="36" t="s">
        <v>411</v>
      </c>
      <c r="H3580" s="37">
        <v>49.5</v>
      </c>
      <c r="I3580" s="36" t="s">
        <v>1301</v>
      </c>
      <c r="J3580" s="39" t="s">
        <v>286</v>
      </c>
      <c r="K3580" s="38"/>
      <c r="L3580" s="38"/>
    </row>
    <row r="3581" ht="22.5" customHeight="1">
      <c r="A3581" s="36" t="s">
        <v>7847</v>
      </c>
      <c r="B3581" s="36" t="s">
        <v>7848</v>
      </c>
      <c r="C3581" s="36" t="s">
        <v>1495</v>
      </c>
      <c r="D3581" s="36" t="s">
        <v>1496</v>
      </c>
      <c r="E3581" s="36" t="s">
        <v>1285</v>
      </c>
      <c r="F3581" s="36" t="s">
        <v>286</v>
      </c>
      <c r="G3581" s="36" t="s">
        <v>411</v>
      </c>
      <c r="H3581" s="37">
        <v>48.41</v>
      </c>
      <c r="I3581" s="36" t="s">
        <v>1301</v>
      </c>
      <c r="J3581" s="39" t="s">
        <v>286</v>
      </c>
      <c r="K3581" s="38"/>
      <c r="L3581" s="38"/>
    </row>
    <row r="3582" ht="22.5" customHeight="1">
      <c r="A3582" s="36" t="s">
        <v>7849</v>
      </c>
      <c r="B3582" s="36" t="s">
        <v>7850</v>
      </c>
      <c r="C3582" s="36" t="s">
        <v>1495</v>
      </c>
      <c r="D3582" s="36" t="s">
        <v>1496</v>
      </c>
      <c r="E3582" s="36" t="s">
        <v>1285</v>
      </c>
      <c r="F3582" s="36" t="s">
        <v>286</v>
      </c>
      <c r="G3582" s="36" t="s">
        <v>411</v>
      </c>
      <c r="H3582" s="37">
        <v>79.4</v>
      </c>
      <c r="I3582" s="36" t="s">
        <v>1301</v>
      </c>
      <c r="J3582" s="39" t="s">
        <v>286</v>
      </c>
      <c r="K3582" s="38"/>
      <c r="L3582" s="38"/>
    </row>
    <row r="3583" ht="22.5" customHeight="1">
      <c r="A3583" s="36" t="s">
        <v>7851</v>
      </c>
      <c r="B3583" s="36" t="s">
        <v>7852</v>
      </c>
      <c r="C3583" s="36" t="s">
        <v>1495</v>
      </c>
      <c r="D3583" s="36" t="s">
        <v>1496</v>
      </c>
      <c r="E3583" s="36" t="s">
        <v>1285</v>
      </c>
      <c r="F3583" s="36" t="s">
        <v>286</v>
      </c>
      <c r="G3583" s="36" t="s">
        <v>411</v>
      </c>
      <c r="H3583" s="37">
        <v>62.68</v>
      </c>
      <c r="I3583" s="36" t="s">
        <v>1301</v>
      </c>
      <c r="J3583" s="39" t="s">
        <v>286</v>
      </c>
      <c r="K3583" s="38"/>
      <c r="L3583" s="38"/>
    </row>
    <row r="3584" ht="22.5" customHeight="1">
      <c r="A3584" s="36" t="s">
        <v>7853</v>
      </c>
      <c r="B3584" s="36" t="s">
        <v>7854</v>
      </c>
      <c r="C3584" s="36" t="s">
        <v>1495</v>
      </c>
      <c r="D3584" s="36" t="s">
        <v>1496</v>
      </c>
      <c r="E3584" s="36" t="s">
        <v>1285</v>
      </c>
      <c r="F3584" s="36" t="s">
        <v>286</v>
      </c>
      <c r="G3584" s="36" t="s">
        <v>411</v>
      </c>
      <c r="H3584" s="37">
        <v>15.27</v>
      </c>
      <c r="I3584" s="36" t="s">
        <v>1301</v>
      </c>
      <c r="J3584" s="39" t="s">
        <v>286</v>
      </c>
      <c r="K3584" s="38"/>
      <c r="L3584" s="38"/>
    </row>
    <row r="3585" ht="22.5" customHeight="1">
      <c r="A3585" s="36" t="s">
        <v>7855</v>
      </c>
      <c r="B3585" s="36" t="s">
        <v>7856</v>
      </c>
      <c r="C3585" s="36" t="s">
        <v>1495</v>
      </c>
      <c r="D3585" s="36" t="s">
        <v>1496</v>
      </c>
      <c r="E3585" s="36" t="s">
        <v>1285</v>
      </c>
      <c r="F3585" s="36" t="s">
        <v>286</v>
      </c>
      <c r="G3585" s="36" t="s">
        <v>411</v>
      </c>
      <c r="H3585" s="37">
        <v>15.68</v>
      </c>
      <c r="I3585" s="36" t="s">
        <v>1301</v>
      </c>
      <c r="J3585" s="39" t="s">
        <v>286</v>
      </c>
      <c r="K3585" s="38"/>
      <c r="L3585" s="38"/>
    </row>
    <row r="3586" ht="22.5" customHeight="1">
      <c r="A3586" s="36" t="s">
        <v>7857</v>
      </c>
      <c r="B3586" s="36" t="s">
        <v>7858</v>
      </c>
      <c r="C3586" s="36" t="s">
        <v>1495</v>
      </c>
      <c r="D3586" s="36" t="s">
        <v>1496</v>
      </c>
      <c r="E3586" s="36" t="s">
        <v>1285</v>
      </c>
      <c r="F3586" s="36" t="s">
        <v>286</v>
      </c>
      <c r="G3586" s="36" t="s">
        <v>411</v>
      </c>
      <c r="H3586" s="37">
        <v>6.19</v>
      </c>
      <c r="I3586" s="36" t="s">
        <v>1301</v>
      </c>
      <c r="J3586" s="39" t="s">
        <v>286</v>
      </c>
      <c r="K3586" s="38"/>
      <c r="L3586" s="38"/>
    </row>
    <row r="3587" ht="22.5" customHeight="1">
      <c r="A3587" s="36" t="s">
        <v>7859</v>
      </c>
      <c r="B3587" s="36" t="s">
        <v>7860</v>
      </c>
      <c r="C3587" s="36" t="s">
        <v>1495</v>
      </c>
      <c r="D3587" s="36" t="s">
        <v>1496</v>
      </c>
      <c r="E3587" s="36" t="s">
        <v>1285</v>
      </c>
      <c r="F3587" s="36" t="s">
        <v>286</v>
      </c>
      <c r="G3587" s="36" t="s">
        <v>411</v>
      </c>
      <c r="H3587" s="37">
        <v>16.41</v>
      </c>
      <c r="I3587" s="36" t="s">
        <v>1301</v>
      </c>
      <c r="J3587" s="39" t="s">
        <v>286</v>
      </c>
      <c r="K3587" s="38"/>
      <c r="L3587" s="38"/>
    </row>
    <row r="3588" ht="22.5" customHeight="1">
      <c r="A3588" s="36" t="s">
        <v>7861</v>
      </c>
      <c r="B3588" s="36" t="s">
        <v>7862</v>
      </c>
      <c r="C3588" s="36" t="s">
        <v>1495</v>
      </c>
      <c r="D3588" s="36" t="s">
        <v>1496</v>
      </c>
      <c r="E3588" s="36" t="s">
        <v>1285</v>
      </c>
      <c r="F3588" s="36" t="s">
        <v>286</v>
      </c>
      <c r="G3588" s="36" t="s">
        <v>411</v>
      </c>
      <c r="H3588" s="37">
        <v>16.41</v>
      </c>
      <c r="I3588" s="36" t="s">
        <v>1301</v>
      </c>
      <c r="J3588" s="39" t="s">
        <v>286</v>
      </c>
      <c r="K3588" s="38"/>
      <c r="L3588" s="38"/>
    </row>
    <row r="3589" ht="22.5" customHeight="1">
      <c r="A3589" s="36" t="s">
        <v>7863</v>
      </c>
      <c r="B3589" s="36" t="s">
        <v>7864</v>
      </c>
      <c r="C3589" s="36" t="s">
        <v>1495</v>
      </c>
      <c r="D3589" s="36" t="s">
        <v>1496</v>
      </c>
      <c r="E3589" s="36" t="s">
        <v>1285</v>
      </c>
      <c r="F3589" s="36" t="s">
        <v>286</v>
      </c>
      <c r="G3589" s="36" t="s">
        <v>411</v>
      </c>
      <c r="H3589" s="37">
        <v>15.2</v>
      </c>
      <c r="I3589" s="36" t="s">
        <v>1301</v>
      </c>
      <c r="J3589" s="39" t="s">
        <v>286</v>
      </c>
      <c r="K3589" s="38"/>
      <c r="L3589" s="38"/>
    </row>
    <row r="3590" ht="22.5" customHeight="1">
      <c r="A3590" s="36" t="s">
        <v>7865</v>
      </c>
      <c r="B3590" s="36" t="s">
        <v>7866</v>
      </c>
      <c r="C3590" s="36" t="s">
        <v>1495</v>
      </c>
      <c r="D3590" s="36" t="s">
        <v>1496</v>
      </c>
      <c r="E3590" s="36" t="s">
        <v>1285</v>
      </c>
      <c r="F3590" s="36" t="s">
        <v>286</v>
      </c>
      <c r="G3590" s="36" t="s">
        <v>411</v>
      </c>
      <c r="H3590" s="37">
        <v>9.85</v>
      </c>
      <c r="I3590" s="36" t="s">
        <v>1301</v>
      </c>
      <c r="J3590" s="39" t="s">
        <v>286</v>
      </c>
      <c r="K3590" s="38"/>
      <c r="L3590" s="38"/>
    </row>
    <row r="3591" ht="22.5" customHeight="1">
      <c r="A3591" s="36" t="s">
        <v>7867</v>
      </c>
      <c r="B3591" s="36" t="s">
        <v>7868</v>
      </c>
      <c r="C3591" s="36" t="s">
        <v>1495</v>
      </c>
      <c r="D3591" s="36" t="s">
        <v>1496</v>
      </c>
      <c r="E3591" s="36" t="s">
        <v>1285</v>
      </c>
      <c r="F3591" s="36" t="s">
        <v>286</v>
      </c>
      <c r="G3591" s="36" t="s">
        <v>411</v>
      </c>
      <c r="H3591" s="37">
        <v>220.0</v>
      </c>
      <c r="I3591" s="36" t="s">
        <v>1301</v>
      </c>
      <c r="J3591" s="39" t="s">
        <v>286</v>
      </c>
      <c r="K3591" s="38"/>
      <c r="L3591" s="38"/>
    </row>
    <row r="3592" ht="22.5" customHeight="1">
      <c r="A3592" s="36" t="s">
        <v>7869</v>
      </c>
      <c r="B3592" s="36" t="s">
        <v>7870</v>
      </c>
      <c r="C3592" s="36" t="s">
        <v>1495</v>
      </c>
      <c r="D3592" s="36" t="s">
        <v>1496</v>
      </c>
      <c r="E3592" s="36" t="s">
        <v>1285</v>
      </c>
      <c r="F3592" s="36" t="s">
        <v>286</v>
      </c>
      <c r="G3592" s="36" t="s">
        <v>411</v>
      </c>
      <c r="H3592" s="37">
        <v>207.16</v>
      </c>
      <c r="I3592" s="36" t="s">
        <v>1301</v>
      </c>
      <c r="J3592" s="39" t="s">
        <v>286</v>
      </c>
      <c r="K3592" s="38"/>
      <c r="L3592" s="38"/>
    </row>
    <row r="3593" ht="22.5" customHeight="1">
      <c r="A3593" s="36" t="s">
        <v>7871</v>
      </c>
      <c r="B3593" s="36" t="s">
        <v>7872</v>
      </c>
      <c r="C3593" s="36" t="s">
        <v>1495</v>
      </c>
      <c r="D3593" s="36" t="s">
        <v>1496</v>
      </c>
      <c r="E3593" s="36" t="s">
        <v>1285</v>
      </c>
      <c r="F3593" s="36" t="s">
        <v>286</v>
      </c>
      <c r="G3593" s="36" t="s">
        <v>411</v>
      </c>
      <c r="H3593" s="37">
        <v>517.91</v>
      </c>
      <c r="I3593" s="36" t="s">
        <v>1301</v>
      </c>
      <c r="J3593" s="39" t="s">
        <v>286</v>
      </c>
      <c r="K3593" s="38"/>
      <c r="L3593" s="38"/>
    </row>
    <row r="3594" ht="22.5" customHeight="1">
      <c r="A3594" s="36" t="s">
        <v>7873</v>
      </c>
      <c r="B3594" s="36" t="s">
        <v>7874</v>
      </c>
      <c r="C3594" s="36" t="s">
        <v>1495</v>
      </c>
      <c r="D3594" s="36" t="s">
        <v>1496</v>
      </c>
      <c r="E3594" s="36" t="s">
        <v>1285</v>
      </c>
      <c r="F3594" s="36" t="s">
        <v>286</v>
      </c>
      <c r="G3594" s="36" t="s">
        <v>411</v>
      </c>
      <c r="H3594" s="37">
        <v>207.16</v>
      </c>
      <c r="I3594" s="36" t="s">
        <v>1301</v>
      </c>
      <c r="J3594" s="39" t="s">
        <v>286</v>
      </c>
      <c r="K3594" s="38"/>
      <c r="L3594" s="38"/>
    </row>
    <row r="3595" ht="22.5" customHeight="1">
      <c r="A3595" s="36" t="s">
        <v>7875</v>
      </c>
      <c r="B3595" s="36" t="s">
        <v>7876</v>
      </c>
      <c r="C3595" s="36" t="s">
        <v>1495</v>
      </c>
      <c r="D3595" s="36" t="s">
        <v>1496</v>
      </c>
      <c r="E3595" s="36" t="s">
        <v>1285</v>
      </c>
      <c r="F3595" s="36" t="s">
        <v>286</v>
      </c>
      <c r="G3595" s="36" t="s">
        <v>411</v>
      </c>
      <c r="H3595" s="37">
        <v>6.65</v>
      </c>
      <c r="I3595" s="36" t="s">
        <v>1301</v>
      </c>
      <c r="J3595" s="39" t="s">
        <v>286</v>
      </c>
      <c r="K3595" s="38"/>
      <c r="L3595" s="38"/>
    </row>
    <row r="3596" ht="22.5" customHeight="1">
      <c r="A3596" s="36" t="s">
        <v>7877</v>
      </c>
      <c r="B3596" s="36" t="s">
        <v>7878</v>
      </c>
      <c r="C3596" s="36" t="s">
        <v>1495</v>
      </c>
      <c r="D3596" s="36" t="s">
        <v>1496</v>
      </c>
      <c r="E3596" s="36" t="s">
        <v>1285</v>
      </c>
      <c r="F3596" s="36" t="s">
        <v>286</v>
      </c>
      <c r="G3596" s="36" t="s">
        <v>411</v>
      </c>
      <c r="H3596" s="37">
        <v>77.77</v>
      </c>
      <c r="I3596" s="36" t="s">
        <v>1301</v>
      </c>
      <c r="J3596" s="39" t="s">
        <v>286</v>
      </c>
      <c r="K3596" s="38"/>
      <c r="L3596" s="38"/>
    </row>
    <row r="3597" ht="22.5" customHeight="1">
      <c r="A3597" s="36" t="s">
        <v>7879</v>
      </c>
      <c r="B3597" s="36" t="s">
        <v>7880</v>
      </c>
      <c r="C3597" s="36" t="s">
        <v>1495</v>
      </c>
      <c r="D3597" s="36" t="s">
        <v>1496</v>
      </c>
      <c r="E3597" s="36" t="s">
        <v>1285</v>
      </c>
      <c r="F3597" s="36" t="s">
        <v>286</v>
      </c>
      <c r="G3597" s="36" t="s">
        <v>411</v>
      </c>
      <c r="H3597" s="37">
        <v>411.09</v>
      </c>
      <c r="I3597" s="36" t="s">
        <v>1301</v>
      </c>
      <c r="J3597" s="39" t="s">
        <v>286</v>
      </c>
      <c r="K3597" s="38"/>
      <c r="L3597" s="38"/>
    </row>
    <row r="3598" ht="22.5" customHeight="1">
      <c r="A3598" s="36" t="s">
        <v>7881</v>
      </c>
      <c r="B3598" s="36" t="s">
        <v>7882</v>
      </c>
      <c r="C3598" s="36" t="s">
        <v>1495</v>
      </c>
      <c r="D3598" s="36" t="s">
        <v>1496</v>
      </c>
      <c r="E3598" s="36" t="s">
        <v>1285</v>
      </c>
      <c r="F3598" s="36" t="s">
        <v>286</v>
      </c>
      <c r="G3598" s="36" t="s">
        <v>411</v>
      </c>
      <c r="H3598" s="37">
        <v>62.12</v>
      </c>
      <c r="I3598" s="36" t="s">
        <v>1301</v>
      </c>
      <c r="J3598" s="39" t="s">
        <v>286</v>
      </c>
      <c r="K3598" s="38"/>
      <c r="L3598" s="38"/>
    </row>
    <row r="3599" ht="22.5" customHeight="1">
      <c r="A3599" s="36" t="s">
        <v>7883</v>
      </c>
      <c r="B3599" s="36" t="s">
        <v>7884</v>
      </c>
      <c r="C3599" s="36" t="s">
        <v>1495</v>
      </c>
      <c r="D3599" s="36" t="s">
        <v>1496</v>
      </c>
      <c r="E3599" s="36" t="s">
        <v>1285</v>
      </c>
      <c r="F3599" s="36" t="s">
        <v>286</v>
      </c>
      <c r="G3599" s="36" t="s">
        <v>411</v>
      </c>
      <c r="H3599" s="37">
        <v>88.74</v>
      </c>
      <c r="I3599" s="36" t="s">
        <v>1301</v>
      </c>
      <c r="J3599" s="39" t="s">
        <v>286</v>
      </c>
      <c r="K3599" s="38"/>
      <c r="L3599" s="38"/>
    </row>
    <row r="3600" ht="22.5" customHeight="1">
      <c r="A3600" s="36" t="s">
        <v>7885</v>
      </c>
      <c r="B3600" s="36" t="s">
        <v>7886</v>
      </c>
      <c r="C3600" s="36" t="s">
        <v>1495</v>
      </c>
      <c r="D3600" s="36" t="s">
        <v>1496</v>
      </c>
      <c r="E3600" s="36" t="s">
        <v>1285</v>
      </c>
      <c r="F3600" s="36" t="s">
        <v>286</v>
      </c>
      <c r="G3600" s="36" t="s">
        <v>411</v>
      </c>
      <c r="H3600" s="37">
        <v>104.33</v>
      </c>
      <c r="I3600" s="36" t="s">
        <v>1301</v>
      </c>
      <c r="J3600" s="39" t="s">
        <v>286</v>
      </c>
      <c r="K3600" s="38"/>
      <c r="L3600" s="38"/>
    </row>
    <row r="3601" ht="22.5" customHeight="1">
      <c r="A3601" s="36" t="s">
        <v>7887</v>
      </c>
      <c r="B3601" s="36" t="s">
        <v>7888</v>
      </c>
      <c r="C3601" s="36" t="s">
        <v>1495</v>
      </c>
      <c r="D3601" s="36" t="s">
        <v>1496</v>
      </c>
      <c r="E3601" s="36" t="s">
        <v>1285</v>
      </c>
      <c r="F3601" s="36" t="s">
        <v>286</v>
      </c>
      <c r="G3601" s="36" t="s">
        <v>411</v>
      </c>
      <c r="H3601" s="37">
        <v>95.63</v>
      </c>
      <c r="I3601" s="36" t="s">
        <v>1301</v>
      </c>
      <c r="J3601" s="39" t="s">
        <v>286</v>
      </c>
      <c r="K3601" s="38"/>
      <c r="L3601" s="38"/>
    </row>
    <row r="3602" ht="22.5" customHeight="1">
      <c r="A3602" s="36" t="s">
        <v>7889</v>
      </c>
      <c r="B3602" s="36" t="s">
        <v>7890</v>
      </c>
      <c r="C3602" s="36" t="s">
        <v>1495</v>
      </c>
      <c r="D3602" s="36" t="s">
        <v>1496</v>
      </c>
      <c r="E3602" s="36" t="s">
        <v>1285</v>
      </c>
      <c r="F3602" s="36" t="s">
        <v>286</v>
      </c>
      <c r="G3602" s="36" t="s">
        <v>411</v>
      </c>
      <c r="H3602" s="37">
        <v>23.68</v>
      </c>
      <c r="I3602" s="36" t="s">
        <v>1301</v>
      </c>
      <c r="J3602" s="39" t="s">
        <v>286</v>
      </c>
      <c r="K3602" s="38"/>
      <c r="L3602" s="38"/>
    </row>
    <row r="3603" ht="22.5" customHeight="1">
      <c r="A3603" s="36" t="s">
        <v>7891</v>
      </c>
      <c r="B3603" s="36" t="s">
        <v>7892</v>
      </c>
      <c r="C3603" s="36" t="s">
        <v>1495</v>
      </c>
      <c r="D3603" s="36" t="s">
        <v>1496</v>
      </c>
      <c r="E3603" s="36" t="s">
        <v>1285</v>
      </c>
      <c r="F3603" s="36" t="s">
        <v>286</v>
      </c>
      <c r="G3603" s="36" t="s">
        <v>411</v>
      </c>
      <c r="H3603" s="37">
        <v>22.73</v>
      </c>
      <c r="I3603" s="36" t="s">
        <v>1301</v>
      </c>
      <c r="J3603" s="39" t="s">
        <v>286</v>
      </c>
      <c r="K3603" s="38"/>
      <c r="L3603" s="38"/>
    </row>
    <row r="3604" ht="22.5" customHeight="1">
      <c r="A3604" s="36" t="s">
        <v>7893</v>
      </c>
      <c r="B3604" s="36" t="s">
        <v>7894</v>
      </c>
      <c r="C3604" s="36" t="s">
        <v>1495</v>
      </c>
      <c r="D3604" s="36" t="s">
        <v>1496</v>
      </c>
      <c r="E3604" s="36" t="s">
        <v>1285</v>
      </c>
      <c r="F3604" s="36" t="s">
        <v>286</v>
      </c>
      <c r="G3604" s="36" t="s">
        <v>411</v>
      </c>
      <c r="H3604" s="37">
        <v>17.1</v>
      </c>
      <c r="I3604" s="36" t="s">
        <v>1301</v>
      </c>
      <c r="J3604" s="39" t="s">
        <v>286</v>
      </c>
      <c r="K3604" s="38"/>
      <c r="L3604" s="38"/>
    </row>
    <row r="3605" ht="22.5" customHeight="1">
      <c r="A3605" s="36" t="s">
        <v>7895</v>
      </c>
      <c r="B3605" s="36" t="s">
        <v>7896</v>
      </c>
      <c r="C3605" s="36" t="s">
        <v>1495</v>
      </c>
      <c r="D3605" s="36" t="s">
        <v>1496</v>
      </c>
      <c r="E3605" s="36" t="s">
        <v>1285</v>
      </c>
      <c r="F3605" s="36" t="s">
        <v>286</v>
      </c>
      <c r="G3605" s="36" t="s">
        <v>411</v>
      </c>
      <c r="H3605" s="37">
        <v>110.9</v>
      </c>
      <c r="I3605" s="36" t="s">
        <v>1301</v>
      </c>
      <c r="J3605" s="39" t="s">
        <v>286</v>
      </c>
      <c r="K3605" s="38"/>
      <c r="L3605" s="38"/>
    </row>
    <row r="3606" ht="22.5" customHeight="1">
      <c r="A3606" s="36" t="s">
        <v>7897</v>
      </c>
      <c r="B3606" s="36" t="s">
        <v>7898</v>
      </c>
      <c r="C3606" s="36" t="s">
        <v>1495</v>
      </c>
      <c r="D3606" s="36" t="s">
        <v>1496</v>
      </c>
      <c r="E3606" s="36" t="s">
        <v>1285</v>
      </c>
      <c r="F3606" s="36" t="s">
        <v>286</v>
      </c>
      <c r="G3606" s="36" t="s">
        <v>411</v>
      </c>
      <c r="H3606" s="37">
        <v>125.0</v>
      </c>
      <c r="I3606" s="36" t="s">
        <v>1301</v>
      </c>
      <c r="J3606" s="39" t="s">
        <v>286</v>
      </c>
      <c r="K3606" s="38"/>
      <c r="L3606" s="38"/>
    </row>
    <row r="3607" ht="22.5" customHeight="1">
      <c r="A3607" s="36" t="s">
        <v>7899</v>
      </c>
      <c r="B3607" s="36" t="s">
        <v>7900</v>
      </c>
      <c r="C3607" s="36" t="s">
        <v>1495</v>
      </c>
      <c r="D3607" s="36" t="s">
        <v>1496</v>
      </c>
      <c r="E3607" s="36" t="s">
        <v>1285</v>
      </c>
      <c r="F3607" s="36" t="s">
        <v>286</v>
      </c>
      <c r="G3607" s="36" t="s">
        <v>411</v>
      </c>
      <c r="H3607" s="37">
        <v>300.0</v>
      </c>
      <c r="I3607" s="36" t="s">
        <v>1301</v>
      </c>
      <c r="J3607" s="39" t="s">
        <v>286</v>
      </c>
      <c r="K3607" s="38"/>
      <c r="L3607" s="38"/>
    </row>
    <row r="3608" ht="22.5" customHeight="1">
      <c r="A3608" s="36" t="s">
        <v>7901</v>
      </c>
      <c r="B3608" s="36" t="s">
        <v>7902</v>
      </c>
      <c r="C3608" s="36" t="s">
        <v>1495</v>
      </c>
      <c r="D3608" s="36" t="s">
        <v>1496</v>
      </c>
      <c r="E3608" s="36" t="s">
        <v>1285</v>
      </c>
      <c r="F3608" s="36" t="s">
        <v>286</v>
      </c>
      <c r="G3608" s="36" t="s">
        <v>411</v>
      </c>
      <c r="H3608" s="37">
        <v>920.72</v>
      </c>
      <c r="I3608" s="36" t="s">
        <v>1301</v>
      </c>
      <c r="J3608" s="39" t="s">
        <v>286</v>
      </c>
      <c r="K3608" s="38"/>
      <c r="L3608" s="38"/>
    </row>
    <row r="3609" ht="22.5" customHeight="1">
      <c r="A3609" s="36" t="s">
        <v>7903</v>
      </c>
      <c r="B3609" s="36" t="s">
        <v>7904</v>
      </c>
      <c r="C3609" s="36" t="s">
        <v>1495</v>
      </c>
      <c r="D3609" s="36" t="s">
        <v>1496</v>
      </c>
      <c r="E3609" s="36" t="s">
        <v>1285</v>
      </c>
      <c r="F3609" s="36" t="s">
        <v>286</v>
      </c>
      <c r="G3609" s="36" t="s">
        <v>411</v>
      </c>
      <c r="H3609" s="37">
        <v>13.09</v>
      </c>
      <c r="I3609" s="36" t="s">
        <v>1301</v>
      </c>
      <c r="J3609" s="39" t="s">
        <v>286</v>
      </c>
      <c r="K3609" s="38"/>
      <c r="L3609" s="38"/>
    </row>
    <row r="3610" ht="22.5" customHeight="1">
      <c r="A3610" s="36" t="s">
        <v>7905</v>
      </c>
      <c r="B3610" s="36" t="s">
        <v>7906</v>
      </c>
      <c r="C3610" s="36" t="s">
        <v>1495</v>
      </c>
      <c r="D3610" s="36" t="s">
        <v>1496</v>
      </c>
      <c r="E3610" s="36" t="s">
        <v>1285</v>
      </c>
      <c r="F3610" s="36" t="s">
        <v>286</v>
      </c>
      <c r="G3610" s="36" t="s">
        <v>411</v>
      </c>
      <c r="H3610" s="37">
        <v>13.8</v>
      </c>
      <c r="I3610" s="36" t="s">
        <v>1301</v>
      </c>
      <c r="J3610" s="39" t="s">
        <v>286</v>
      </c>
      <c r="K3610" s="38"/>
      <c r="L3610" s="38"/>
    </row>
    <row r="3611" ht="22.5" customHeight="1">
      <c r="A3611" s="36" t="s">
        <v>7907</v>
      </c>
      <c r="B3611" s="36" t="s">
        <v>7908</v>
      </c>
      <c r="C3611" s="36" t="s">
        <v>1495</v>
      </c>
      <c r="D3611" s="36" t="s">
        <v>1496</v>
      </c>
      <c r="E3611" s="36" t="s">
        <v>1285</v>
      </c>
      <c r="F3611" s="36" t="s">
        <v>286</v>
      </c>
      <c r="G3611" s="36" t="s">
        <v>411</v>
      </c>
      <c r="H3611" s="37">
        <v>2.83</v>
      </c>
      <c r="I3611" s="36" t="s">
        <v>1301</v>
      </c>
      <c r="J3611" s="39" t="s">
        <v>286</v>
      </c>
      <c r="K3611" s="38"/>
      <c r="L3611" s="38"/>
    </row>
    <row r="3612" ht="22.5" customHeight="1">
      <c r="A3612" s="36" t="s">
        <v>7909</v>
      </c>
      <c r="B3612" s="36" t="s">
        <v>7910</v>
      </c>
      <c r="C3612" s="36" t="s">
        <v>1495</v>
      </c>
      <c r="D3612" s="36" t="s">
        <v>1496</v>
      </c>
      <c r="E3612" s="36" t="s">
        <v>1285</v>
      </c>
      <c r="F3612" s="36" t="s">
        <v>286</v>
      </c>
      <c r="G3612" s="36" t="s">
        <v>411</v>
      </c>
      <c r="H3612" s="37">
        <v>22.01</v>
      </c>
      <c r="I3612" s="36" t="s">
        <v>1301</v>
      </c>
      <c r="J3612" s="39" t="s">
        <v>286</v>
      </c>
      <c r="K3612" s="38"/>
      <c r="L3612" s="38"/>
    </row>
    <row r="3613" ht="22.5" customHeight="1">
      <c r="A3613" s="36" t="s">
        <v>7911</v>
      </c>
      <c r="B3613" s="36" t="s">
        <v>7912</v>
      </c>
      <c r="C3613" s="36" t="s">
        <v>1495</v>
      </c>
      <c r="D3613" s="36" t="s">
        <v>1496</v>
      </c>
      <c r="E3613" s="36" t="s">
        <v>1285</v>
      </c>
      <c r="F3613" s="36" t="s">
        <v>286</v>
      </c>
      <c r="G3613" s="36" t="s">
        <v>411</v>
      </c>
      <c r="H3613" s="37">
        <v>22.01</v>
      </c>
      <c r="I3613" s="36" t="s">
        <v>1301</v>
      </c>
      <c r="J3613" s="39" t="s">
        <v>286</v>
      </c>
      <c r="K3613" s="38"/>
      <c r="L3613" s="38"/>
    </row>
    <row r="3614" ht="22.5" customHeight="1">
      <c r="A3614" s="36" t="s">
        <v>7913</v>
      </c>
      <c r="B3614" s="36" t="s">
        <v>7914</v>
      </c>
      <c r="C3614" s="36" t="s">
        <v>1495</v>
      </c>
      <c r="D3614" s="36" t="s">
        <v>1496</v>
      </c>
      <c r="E3614" s="36" t="s">
        <v>1285</v>
      </c>
      <c r="F3614" s="36" t="s">
        <v>286</v>
      </c>
      <c r="G3614" s="36" t="s">
        <v>411</v>
      </c>
      <c r="H3614" s="37">
        <v>10.35</v>
      </c>
      <c r="I3614" s="36" t="s">
        <v>1301</v>
      </c>
      <c r="J3614" s="39" t="s">
        <v>286</v>
      </c>
      <c r="K3614" s="38"/>
      <c r="L3614" s="38"/>
    </row>
    <row r="3615" ht="22.5" customHeight="1">
      <c r="A3615" s="36" t="s">
        <v>7915</v>
      </c>
      <c r="B3615" s="36" t="s">
        <v>7916</v>
      </c>
      <c r="C3615" s="36" t="s">
        <v>1495</v>
      </c>
      <c r="D3615" s="36" t="s">
        <v>1496</v>
      </c>
      <c r="E3615" s="36" t="s">
        <v>1285</v>
      </c>
      <c r="F3615" s="36" t="s">
        <v>286</v>
      </c>
      <c r="G3615" s="36" t="s">
        <v>411</v>
      </c>
      <c r="H3615" s="37">
        <v>4.57</v>
      </c>
      <c r="I3615" s="36" t="s">
        <v>1301</v>
      </c>
      <c r="J3615" s="39" t="s">
        <v>286</v>
      </c>
      <c r="K3615" s="38"/>
      <c r="L3615" s="38"/>
    </row>
    <row r="3616" ht="22.5" customHeight="1">
      <c r="A3616" s="36" t="s">
        <v>7917</v>
      </c>
      <c r="B3616" s="36" t="s">
        <v>7918</v>
      </c>
      <c r="C3616" s="36" t="s">
        <v>1495</v>
      </c>
      <c r="D3616" s="36" t="s">
        <v>1496</v>
      </c>
      <c r="E3616" s="36" t="s">
        <v>1285</v>
      </c>
      <c r="F3616" s="36" t="s">
        <v>286</v>
      </c>
      <c r="G3616" s="36" t="s">
        <v>411</v>
      </c>
      <c r="H3616" s="37">
        <v>4.94</v>
      </c>
      <c r="I3616" s="36" t="s">
        <v>1301</v>
      </c>
      <c r="J3616" s="39" t="s">
        <v>286</v>
      </c>
      <c r="K3616" s="38"/>
      <c r="L3616" s="38"/>
    </row>
    <row r="3617" ht="22.5" customHeight="1">
      <c r="A3617" s="36" t="s">
        <v>7919</v>
      </c>
      <c r="B3617" s="36" t="s">
        <v>7920</v>
      </c>
      <c r="C3617" s="36" t="s">
        <v>1495</v>
      </c>
      <c r="D3617" s="36" t="s">
        <v>1496</v>
      </c>
      <c r="E3617" s="36" t="s">
        <v>1285</v>
      </c>
      <c r="F3617" s="36" t="s">
        <v>286</v>
      </c>
      <c r="G3617" s="36" t="s">
        <v>411</v>
      </c>
      <c r="H3617" s="37">
        <v>12.34</v>
      </c>
      <c r="I3617" s="36" t="s">
        <v>1301</v>
      </c>
      <c r="J3617" s="39" t="s">
        <v>286</v>
      </c>
      <c r="K3617" s="38"/>
      <c r="L3617" s="38"/>
    </row>
    <row r="3618" ht="22.5" customHeight="1">
      <c r="A3618" s="36" t="s">
        <v>7921</v>
      </c>
      <c r="B3618" s="36" t="s">
        <v>7922</v>
      </c>
      <c r="C3618" s="36" t="s">
        <v>1495</v>
      </c>
      <c r="D3618" s="36" t="s">
        <v>1496</v>
      </c>
      <c r="E3618" s="36" t="s">
        <v>1285</v>
      </c>
      <c r="F3618" s="36" t="s">
        <v>286</v>
      </c>
      <c r="G3618" s="36" t="s">
        <v>411</v>
      </c>
      <c r="H3618" s="37">
        <v>9.86</v>
      </c>
      <c r="I3618" s="36" t="s">
        <v>1301</v>
      </c>
      <c r="J3618" s="39" t="s">
        <v>286</v>
      </c>
      <c r="K3618" s="38"/>
      <c r="L3618" s="38"/>
    </row>
    <row r="3619" ht="22.5" customHeight="1">
      <c r="A3619" s="36" t="s">
        <v>7923</v>
      </c>
      <c r="B3619" s="36" t="s">
        <v>7924</v>
      </c>
      <c r="C3619" s="36" t="s">
        <v>1495</v>
      </c>
      <c r="D3619" s="36" t="s">
        <v>1496</v>
      </c>
      <c r="E3619" s="36" t="s">
        <v>1285</v>
      </c>
      <c r="F3619" s="36" t="s">
        <v>286</v>
      </c>
      <c r="G3619" s="36" t="s">
        <v>411</v>
      </c>
      <c r="H3619" s="37">
        <v>5.11</v>
      </c>
      <c r="I3619" s="36" t="s">
        <v>1301</v>
      </c>
      <c r="J3619" s="39" t="s">
        <v>286</v>
      </c>
      <c r="K3619" s="38"/>
      <c r="L3619" s="38"/>
    </row>
    <row r="3620" ht="22.5" customHeight="1">
      <c r="A3620" s="36" t="s">
        <v>7925</v>
      </c>
      <c r="B3620" s="36" t="s">
        <v>7926</v>
      </c>
      <c r="C3620" s="36" t="s">
        <v>1495</v>
      </c>
      <c r="D3620" s="36" t="s">
        <v>1496</v>
      </c>
      <c r="E3620" s="36" t="s">
        <v>1285</v>
      </c>
      <c r="F3620" s="36" t="s">
        <v>286</v>
      </c>
      <c r="G3620" s="36" t="s">
        <v>411</v>
      </c>
      <c r="H3620" s="37">
        <v>13.28</v>
      </c>
      <c r="I3620" s="36" t="s">
        <v>1301</v>
      </c>
      <c r="J3620" s="39" t="s">
        <v>286</v>
      </c>
      <c r="K3620" s="38"/>
      <c r="L3620" s="38"/>
    </row>
    <row r="3621" ht="22.5" customHeight="1">
      <c r="A3621" s="36" t="s">
        <v>7927</v>
      </c>
      <c r="B3621" s="36" t="s">
        <v>7928</v>
      </c>
      <c r="C3621" s="36" t="s">
        <v>1495</v>
      </c>
      <c r="D3621" s="36" t="s">
        <v>1496</v>
      </c>
      <c r="E3621" s="36" t="s">
        <v>1285</v>
      </c>
      <c r="F3621" s="36" t="s">
        <v>286</v>
      </c>
      <c r="G3621" s="36" t="s">
        <v>411</v>
      </c>
      <c r="H3621" s="37">
        <v>117.87</v>
      </c>
      <c r="I3621" s="36" t="s">
        <v>1301</v>
      </c>
      <c r="J3621" s="39" t="s">
        <v>286</v>
      </c>
      <c r="K3621" s="38"/>
      <c r="L3621" s="38"/>
    </row>
    <row r="3622" ht="22.5" customHeight="1">
      <c r="A3622" s="36" t="s">
        <v>7929</v>
      </c>
      <c r="B3622" s="36" t="s">
        <v>7930</v>
      </c>
      <c r="C3622" s="36" t="s">
        <v>1495</v>
      </c>
      <c r="D3622" s="36" t="s">
        <v>1496</v>
      </c>
      <c r="E3622" s="36" t="s">
        <v>1285</v>
      </c>
      <c r="F3622" s="36" t="s">
        <v>286</v>
      </c>
      <c r="G3622" s="36" t="s">
        <v>411</v>
      </c>
      <c r="H3622" s="37">
        <v>1.92</v>
      </c>
      <c r="I3622" s="36" t="s">
        <v>1301</v>
      </c>
      <c r="J3622" s="39" t="s">
        <v>286</v>
      </c>
      <c r="K3622" s="38"/>
      <c r="L3622" s="38"/>
    </row>
    <row r="3623" ht="22.5" customHeight="1">
      <c r="A3623" s="36" t="s">
        <v>7931</v>
      </c>
      <c r="B3623" s="36" t="s">
        <v>7932</v>
      </c>
      <c r="C3623" s="36" t="s">
        <v>1495</v>
      </c>
      <c r="D3623" s="36" t="s">
        <v>1496</v>
      </c>
      <c r="E3623" s="36" t="s">
        <v>1285</v>
      </c>
      <c r="F3623" s="36" t="s">
        <v>286</v>
      </c>
      <c r="G3623" s="36" t="s">
        <v>411</v>
      </c>
      <c r="H3623" s="37">
        <v>16.03</v>
      </c>
      <c r="I3623" s="36" t="s">
        <v>1301</v>
      </c>
      <c r="J3623" s="39" t="s">
        <v>286</v>
      </c>
      <c r="K3623" s="38"/>
      <c r="L3623" s="38"/>
    </row>
    <row r="3624" ht="22.5" customHeight="1">
      <c r="A3624" s="36" t="s">
        <v>7933</v>
      </c>
      <c r="B3624" s="36" t="s">
        <v>7934</v>
      </c>
      <c r="C3624" s="36" t="s">
        <v>1495</v>
      </c>
      <c r="D3624" s="36" t="s">
        <v>1496</v>
      </c>
      <c r="E3624" s="36" t="s">
        <v>1285</v>
      </c>
      <c r="F3624" s="36" t="s">
        <v>286</v>
      </c>
      <c r="G3624" s="36" t="s">
        <v>411</v>
      </c>
      <c r="H3624" s="37">
        <v>16.03</v>
      </c>
      <c r="I3624" s="36" t="s">
        <v>1301</v>
      </c>
      <c r="J3624" s="39" t="s">
        <v>286</v>
      </c>
      <c r="K3624" s="38"/>
      <c r="L3624" s="38"/>
    </row>
    <row r="3625" ht="22.5" customHeight="1">
      <c r="A3625" s="36" t="s">
        <v>7935</v>
      </c>
      <c r="B3625" s="36" t="s">
        <v>7936</v>
      </c>
      <c r="C3625" s="36" t="s">
        <v>1495</v>
      </c>
      <c r="D3625" s="36" t="s">
        <v>1496</v>
      </c>
      <c r="E3625" s="36" t="s">
        <v>1285</v>
      </c>
      <c r="F3625" s="36" t="s">
        <v>286</v>
      </c>
      <c r="G3625" s="36" t="s">
        <v>411</v>
      </c>
      <c r="H3625" s="37">
        <v>10.96</v>
      </c>
      <c r="I3625" s="36" t="s">
        <v>1301</v>
      </c>
      <c r="J3625" s="39" t="s">
        <v>286</v>
      </c>
      <c r="K3625" s="38"/>
      <c r="L3625" s="38"/>
    </row>
    <row r="3626" ht="22.5" customHeight="1">
      <c r="A3626" s="36" t="s">
        <v>7937</v>
      </c>
      <c r="B3626" s="36" t="s">
        <v>7938</v>
      </c>
      <c r="C3626" s="36" t="s">
        <v>1495</v>
      </c>
      <c r="D3626" s="36" t="s">
        <v>1496</v>
      </c>
      <c r="E3626" s="36" t="s">
        <v>1285</v>
      </c>
      <c r="F3626" s="36" t="s">
        <v>286</v>
      </c>
      <c r="G3626" s="36" t="s">
        <v>411</v>
      </c>
      <c r="H3626" s="37">
        <v>17.16</v>
      </c>
      <c r="I3626" s="36" t="s">
        <v>1301</v>
      </c>
      <c r="J3626" s="39" t="s">
        <v>286</v>
      </c>
      <c r="K3626" s="38"/>
      <c r="L3626" s="38"/>
    </row>
    <row r="3627" ht="22.5" customHeight="1">
      <c r="A3627" s="36" t="s">
        <v>7939</v>
      </c>
      <c r="B3627" s="36" t="s">
        <v>7940</v>
      </c>
      <c r="C3627" s="36" t="s">
        <v>1495</v>
      </c>
      <c r="D3627" s="36" t="s">
        <v>1496</v>
      </c>
      <c r="E3627" s="36" t="s">
        <v>1285</v>
      </c>
      <c r="F3627" s="36" t="s">
        <v>286</v>
      </c>
      <c r="G3627" s="36" t="s">
        <v>411</v>
      </c>
      <c r="H3627" s="37">
        <v>21.0</v>
      </c>
      <c r="I3627" s="36" t="s">
        <v>1301</v>
      </c>
      <c r="J3627" s="39" t="s">
        <v>286</v>
      </c>
      <c r="K3627" s="38"/>
      <c r="L3627" s="38"/>
    </row>
    <row r="3628" ht="22.5" customHeight="1">
      <c r="A3628" s="36" t="s">
        <v>7941</v>
      </c>
      <c r="B3628" s="36" t="s">
        <v>7942</v>
      </c>
      <c r="C3628" s="36" t="s">
        <v>1495</v>
      </c>
      <c r="D3628" s="36" t="s">
        <v>1496</v>
      </c>
      <c r="E3628" s="36" t="s">
        <v>1285</v>
      </c>
      <c r="F3628" s="36" t="s">
        <v>286</v>
      </c>
      <c r="G3628" s="36" t="s">
        <v>411</v>
      </c>
      <c r="H3628" s="37">
        <v>3.66</v>
      </c>
      <c r="I3628" s="36" t="s">
        <v>1301</v>
      </c>
      <c r="J3628" s="39" t="s">
        <v>286</v>
      </c>
      <c r="K3628" s="38"/>
      <c r="L3628" s="38"/>
    </row>
    <row r="3629" ht="22.5" customHeight="1">
      <c r="A3629" s="36" t="s">
        <v>7943</v>
      </c>
      <c r="B3629" s="36" t="s">
        <v>7944</v>
      </c>
      <c r="C3629" s="36" t="s">
        <v>1495</v>
      </c>
      <c r="D3629" s="36" t="s">
        <v>1496</v>
      </c>
      <c r="E3629" s="36" t="s">
        <v>1285</v>
      </c>
      <c r="F3629" s="36" t="s">
        <v>286</v>
      </c>
      <c r="G3629" s="36" t="s">
        <v>411</v>
      </c>
      <c r="H3629" s="37">
        <v>3.32</v>
      </c>
      <c r="I3629" s="36" t="s">
        <v>1301</v>
      </c>
      <c r="J3629" s="39" t="s">
        <v>286</v>
      </c>
      <c r="K3629" s="38"/>
      <c r="L3629" s="38"/>
    </row>
    <row r="3630" ht="22.5" customHeight="1">
      <c r="A3630" s="36" t="s">
        <v>7945</v>
      </c>
      <c r="B3630" s="36" t="s">
        <v>7946</v>
      </c>
      <c r="C3630" s="36" t="s">
        <v>1495</v>
      </c>
      <c r="D3630" s="36" t="s">
        <v>1496</v>
      </c>
      <c r="E3630" s="36" t="s">
        <v>1285</v>
      </c>
      <c r="F3630" s="36" t="s">
        <v>286</v>
      </c>
      <c r="G3630" s="36" t="s">
        <v>411</v>
      </c>
      <c r="H3630" s="37">
        <v>2.81</v>
      </c>
      <c r="I3630" s="36" t="s">
        <v>1301</v>
      </c>
      <c r="J3630" s="39" t="s">
        <v>286</v>
      </c>
      <c r="K3630" s="38"/>
      <c r="L3630" s="38"/>
    </row>
    <row r="3631" ht="22.5" customHeight="1">
      <c r="A3631" s="36" t="s">
        <v>7947</v>
      </c>
      <c r="B3631" s="36" t="s">
        <v>7948</v>
      </c>
      <c r="C3631" s="36" t="s">
        <v>1495</v>
      </c>
      <c r="D3631" s="36" t="s">
        <v>1496</v>
      </c>
      <c r="E3631" s="36" t="s">
        <v>1285</v>
      </c>
      <c r="F3631" s="36" t="s">
        <v>286</v>
      </c>
      <c r="G3631" s="36" t="s">
        <v>411</v>
      </c>
      <c r="H3631" s="37">
        <v>19.03</v>
      </c>
      <c r="I3631" s="36" t="s">
        <v>1301</v>
      </c>
      <c r="J3631" s="39" t="s">
        <v>286</v>
      </c>
      <c r="K3631" s="38"/>
      <c r="L3631" s="38"/>
    </row>
    <row r="3632" ht="22.5" customHeight="1">
      <c r="A3632" s="36" t="s">
        <v>7949</v>
      </c>
      <c r="B3632" s="36" t="s">
        <v>7950</v>
      </c>
      <c r="C3632" s="36" t="s">
        <v>1495</v>
      </c>
      <c r="D3632" s="36" t="s">
        <v>1496</v>
      </c>
      <c r="E3632" s="36" t="s">
        <v>1285</v>
      </c>
      <c r="F3632" s="36" t="s">
        <v>286</v>
      </c>
      <c r="G3632" s="36" t="s">
        <v>411</v>
      </c>
      <c r="H3632" s="37">
        <v>2.44</v>
      </c>
      <c r="I3632" s="36" t="s">
        <v>1301</v>
      </c>
      <c r="J3632" s="39" t="s">
        <v>286</v>
      </c>
      <c r="K3632" s="38"/>
      <c r="L3632" s="38"/>
    </row>
    <row r="3633" ht="22.5" customHeight="1">
      <c r="A3633" s="36" t="s">
        <v>7951</v>
      </c>
      <c r="B3633" s="36" t="s">
        <v>7952</v>
      </c>
      <c r="C3633" s="36" t="s">
        <v>1495</v>
      </c>
      <c r="D3633" s="36" t="s">
        <v>1496</v>
      </c>
      <c r="E3633" s="36" t="s">
        <v>1285</v>
      </c>
      <c r="F3633" s="36" t="s">
        <v>286</v>
      </c>
      <c r="G3633" s="36" t="s">
        <v>411</v>
      </c>
      <c r="H3633" s="37">
        <v>9.57</v>
      </c>
      <c r="I3633" s="36" t="s">
        <v>1301</v>
      </c>
      <c r="J3633" s="39" t="s">
        <v>286</v>
      </c>
      <c r="K3633" s="38"/>
      <c r="L3633" s="38"/>
    </row>
    <row r="3634" ht="22.5" customHeight="1">
      <c r="A3634" s="36" t="s">
        <v>7953</v>
      </c>
      <c r="B3634" s="36" t="s">
        <v>7954</v>
      </c>
      <c r="C3634" s="36" t="s">
        <v>1495</v>
      </c>
      <c r="D3634" s="36" t="s">
        <v>1496</v>
      </c>
      <c r="E3634" s="36" t="s">
        <v>1285</v>
      </c>
      <c r="F3634" s="36" t="s">
        <v>286</v>
      </c>
      <c r="G3634" s="36" t="s">
        <v>411</v>
      </c>
      <c r="H3634" s="37">
        <v>17.16</v>
      </c>
      <c r="I3634" s="36" t="s">
        <v>1301</v>
      </c>
      <c r="J3634" s="39" t="s">
        <v>286</v>
      </c>
      <c r="K3634" s="38"/>
      <c r="L3634" s="38"/>
    </row>
    <row r="3635" ht="22.5" customHeight="1">
      <c r="A3635" s="36" t="s">
        <v>7955</v>
      </c>
      <c r="B3635" s="36" t="s">
        <v>7956</v>
      </c>
      <c r="C3635" s="36" t="s">
        <v>1495</v>
      </c>
      <c r="D3635" s="36" t="s">
        <v>1496</v>
      </c>
      <c r="E3635" s="36" t="s">
        <v>1285</v>
      </c>
      <c r="F3635" s="36" t="s">
        <v>286</v>
      </c>
      <c r="G3635" s="36" t="s">
        <v>411</v>
      </c>
      <c r="H3635" s="37">
        <v>21.0</v>
      </c>
      <c r="I3635" s="36" t="s">
        <v>1301</v>
      </c>
      <c r="J3635" s="39" t="s">
        <v>286</v>
      </c>
      <c r="K3635" s="38"/>
      <c r="L3635" s="38"/>
    </row>
    <row r="3636" ht="22.5" customHeight="1">
      <c r="A3636" s="36" t="s">
        <v>7957</v>
      </c>
      <c r="B3636" s="36" t="s">
        <v>7958</v>
      </c>
      <c r="C3636" s="36" t="s">
        <v>1495</v>
      </c>
      <c r="D3636" s="36" t="s">
        <v>1496</v>
      </c>
      <c r="E3636" s="36" t="s">
        <v>1285</v>
      </c>
      <c r="F3636" s="36" t="s">
        <v>286</v>
      </c>
      <c r="G3636" s="36" t="s">
        <v>411</v>
      </c>
      <c r="H3636" s="37">
        <v>23.81</v>
      </c>
      <c r="I3636" s="36" t="s">
        <v>1301</v>
      </c>
      <c r="J3636" s="39" t="s">
        <v>286</v>
      </c>
      <c r="K3636" s="38"/>
      <c r="L3636" s="38"/>
    </row>
    <row r="3637" ht="22.5" customHeight="1">
      <c r="A3637" s="36" t="s">
        <v>7959</v>
      </c>
      <c r="B3637" s="36" t="s">
        <v>7960</v>
      </c>
      <c r="C3637" s="36" t="s">
        <v>1495</v>
      </c>
      <c r="D3637" s="36" t="s">
        <v>1496</v>
      </c>
      <c r="E3637" s="36" t="s">
        <v>1285</v>
      </c>
      <c r="F3637" s="36" t="s">
        <v>286</v>
      </c>
      <c r="G3637" s="36" t="s">
        <v>411</v>
      </c>
      <c r="H3637" s="37">
        <v>22.28</v>
      </c>
      <c r="I3637" s="36" t="s">
        <v>1301</v>
      </c>
      <c r="J3637" s="39" t="s">
        <v>286</v>
      </c>
      <c r="K3637" s="38"/>
      <c r="L3637" s="38"/>
    </row>
    <row r="3638" ht="22.5" customHeight="1">
      <c r="A3638" s="36" t="s">
        <v>7961</v>
      </c>
      <c r="B3638" s="36" t="s">
        <v>7962</v>
      </c>
      <c r="C3638" s="36" t="s">
        <v>1495</v>
      </c>
      <c r="D3638" s="36" t="s">
        <v>1496</v>
      </c>
      <c r="E3638" s="36" t="s">
        <v>1285</v>
      </c>
      <c r="F3638" s="36" t="s">
        <v>286</v>
      </c>
      <c r="G3638" s="36" t="s">
        <v>411</v>
      </c>
      <c r="H3638" s="37">
        <v>13.28</v>
      </c>
      <c r="I3638" s="36" t="s">
        <v>1301</v>
      </c>
      <c r="J3638" s="39" t="s">
        <v>286</v>
      </c>
      <c r="K3638" s="38"/>
      <c r="L3638" s="38"/>
    </row>
    <row r="3639" ht="22.5" customHeight="1">
      <c r="A3639" s="36" t="s">
        <v>7963</v>
      </c>
      <c r="B3639" s="36" t="s">
        <v>7964</v>
      </c>
      <c r="C3639" s="36" t="s">
        <v>1495</v>
      </c>
      <c r="D3639" s="36" t="s">
        <v>1496</v>
      </c>
      <c r="E3639" s="36" t="s">
        <v>1285</v>
      </c>
      <c r="F3639" s="36" t="s">
        <v>286</v>
      </c>
      <c r="G3639" s="36" t="s">
        <v>411</v>
      </c>
      <c r="H3639" s="37">
        <v>39.8</v>
      </c>
      <c r="I3639" s="36" t="s">
        <v>1301</v>
      </c>
      <c r="J3639" s="39" t="s">
        <v>286</v>
      </c>
      <c r="K3639" s="38"/>
      <c r="L3639" s="38"/>
    </row>
    <row r="3640" ht="22.5" customHeight="1">
      <c r="A3640" s="36" t="s">
        <v>7965</v>
      </c>
      <c r="B3640" s="36" t="s">
        <v>7966</v>
      </c>
      <c r="C3640" s="36" t="s">
        <v>1495</v>
      </c>
      <c r="D3640" s="36" t="s">
        <v>1496</v>
      </c>
      <c r="E3640" s="36" t="s">
        <v>1285</v>
      </c>
      <c r="F3640" s="36" t="s">
        <v>286</v>
      </c>
      <c r="G3640" s="36" t="s">
        <v>411</v>
      </c>
      <c r="H3640" s="37">
        <v>40.9</v>
      </c>
      <c r="I3640" s="36" t="s">
        <v>1301</v>
      </c>
      <c r="J3640" s="39" t="s">
        <v>286</v>
      </c>
      <c r="K3640" s="38"/>
      <c r="L3640" s="38"/>
    </row>
    <row r="3641" ht="22.5" customHeight="1">
      <c r="A3641" s="36" t="s">
        <v>7967</v>
      </c>
      <c r="B3641" s="36" t="s">
        <v>7968</v>
      </c>
      <c r="C3641" s="36" t="s">
        <v>1495</v>
      </c>
      <c r="D3641" s="36" t="s">
        <v>1496</v>
      </c>
      <c r="E3641" s="36" t="s">
        <v>1285</v>
      </c>
      <c r="F3641" s="36" t="s">
        <v>286</v>
      </c>
      <c r="G3641" s="36" t="s">
        <v>411</v>
      </c>
      <c r="H3641" s="37">
        <v>718.66</v>
      </c>
      <c r="I3641" s="36" t="s">
        <v>1301</v>
      </c>
      <c r="J3641" s="39" t="s">
        <v>286</v>
      </c>
      <c r="K3641" s="38"/>
      <c r="L3641" s="38"/>
    </row>
    <row r="3642" ht="22.5" customHeight="1">
      <c r="A3642" s="36" t="s">
        <v>7969</v>
      </c>
      <c r="B3642" s="36" t="s">
        <v>7970</v>
      </c>
      <c r="C3642" s="36" t="s">
        <v>1495</v>
      </c>
      <c r="D3642" s="36" t="s">
        <v>1496</v>
      </c>
      <c r="E3642" s="36" t="s">
        <v>1285</v>
      </c>
      <c r="F3642" s="36" t="s">
        <v>286</v>
      </c>
      <c r="G3642" s="36" t="s">
        <v>411</v>
      </c>
      <c r="H3642" s="37">
        <v>503.63</v>
      </c>
      <c r="I3642" s="36" t="s">
        <v>1301</v>
      </c>
      <c r="J3642" s="39" t="s">
        <v>286</v>
      </c>
      <c r="K3642" s="38"/>
      <c r="L3642" s="38"/>
    </row>
    <row r="3643" ht="22.5" customHeight="1">
      <c r="A3643" s="36" t="s">
        <v>7971</v>
      </c>
      <c r="B3643" s="36" t="s">
        <v>7972</v>
      </c>
      <c r="C3643" s="36" t="s">
        <v>1495</v>
      </c>
      <c r="D3643" s="36" t="s">
        <v>1496</v>
      </c>
      <c r="E3643" s="36" t="s">
        <v>1285</v>
      </c>
      <c r="F3643" s="36" t="s">
        <v>286</v>
      </c>
      <c r="G3643" s="36" t="s">
        <v>411</v>
      </c>
      <c r="H3643" s="37">
        <v>34.29</v>
      </c>
      <c r="I3643" s="36" t="s">
        <v>1301</v>
      </c>
      <c r="J3643" s="39" t="s">
        <v>286</v>
      </c>
      <c r="K3643" s="38"/>
      <c r="L3643" s="38"/>
    </row>
    <row r="3644" ht="22.5" customHeight="1">
      <c r="A3644" s="36" t="s">
        <v>7973</v>
      </c>
      <c r="B3644" s="36" t="s">
        <v>7974</v>
      </c>
      <c r="C3644" s="36" t="s">
        <v>1495</v>
      </c>
      <c r="D3644" s="36" t="s">
        <v>1496</v>
      </c>
      <c r="E3644" s="36" t="s">
        <v>1285</v>
      </c>
      <c r="F3644" s="36" t="s">
        <v>286</v>
      </c>
      <c r="G3644" s="36" t="s">
        <v>411</v>
      </c>
      <c r="H3644" s="37">
        <v>112.83</v>
      </c>
      <c r="I3644" s="36" t="s">
        <v>1301</v>
      </c>
      <c r="J3644" s="39" t="s">
        <v>286</v>
      </c>
      <c r="K3644" s="38"/>
      <c r="L3644" s="38"/>
    </row>
    <row r="3645" ht="22.5" customHeight="1">
      <c r="A3645" s="36" t="s">
        <v>7975</v>
      </c>
      <c r="B3645" s="36" t="s">
        <v>7976</v>
      </c>
      <c r="C3645" s="36" t="s">
        <v>1495</v>
      </c>
      <c r="D3645" s="36" t="s">
        <v>1496</v>
      </c>
      <c r="E3645" s="36" t="s">
        <v>1285</v>
      </c>
      <c r="F3645" s="36" t="s">
        <v>286</v>
      </c>
      <c r="G3645" s="36" t="s">
        <v>411</v>
      </c>
      <c r="H3645" s="37">
        <v>26.47</v>
      </c>
      <c r="I3645" s="36" t="s">
        <v>1301</v>
      </c>
      <c r="J3645" s="39" t="s">
        <v>286</v>
      </c>
      <c r="K3645" s="38"/>
      <c r="L3645" s="38"/>
    </row>
    <row r="3646" ht="22.5" customHeight="1">
      <c r="A3646" s="36" t="s">
        <v>7977</v>
      </c>
      <c r="B3646" s="36" t="s">
        <v>7978</v>
      </c>
      <c r="C3646" s="36" t="s">
        <v>1495</v>
      </c>
      <c r="D3646" s="36" t="s">
        <v>1496</v>
      </c>
      <c r="E3646" s="36" t="s">
        <v>1285</v>
      </c>
      <c r="F3646" s="36" t="s">
        <v>286</v>
      </c>
      <c r="G3646" s="36" t="s">
        <v>411</v>
      </c>
      <c r="H3646" s="37">
        <v>23.38</v>
      </c>
      <c r="I3646" s="36" t="s">
        <v>1301</v>
      </c>
      <c r="J3646" s="39" t="s">
        <v>286</v>
      </c>
      <c r="K3646" s="38"/>
      <c r="L3646" s="38"/>
    </row>
    <row r="3647" ht="22.5" customHeight="1">
      <c r="A3647" s="36" t="s">
        <v>7979</v>
      </c>
      <c r="B3647" s="36" t="s">
        <v>7980</v>
      </c>
      <c r="C3647" s="36" t="s">
        <v>1495</v>
      </c>
      <c r="D3647" s="36" t="s">
        <v>1496</v>
      </c>
      <c r="E3647" s="36" t="s">
        <v>1285</v>
      </c>
      <c r="F3647" s="36" t="s">
        <v>286</v>
      </c>
      <c r="G3647" s="36" t="s">
        <v>411</v>
      </c>
      <c r="H3647" s="37">
        <v>6.12</v>
      </c>
      <c r="I3647" s="36" t="s">
        <v>1301</v>
      </c>
      <c r="J3647" s="39" t="s">
        <v>286</v>
      </c>
      <c r="K3647" s="38"/>
      <c r="L3647" s="38"/>
    </row>
    <row r="3648" ht="22.5" customHeight="1">
      <c r="A3648" s="36" t="s">
        <v>7981</v>
      </c>
      <c r="B3648" s="36" t="s">
        <v>7982</v>
      </c>
      <c r="C3648" s="36" t="s">
        <v>1495</v>
      </c>
      <c r="D3648" s="36" t="s">
        <v>1496</v>
      </c>
      <c r="E3648" s="36" t="s">
        <v>1285</v>
      </c>
      <c r="F3648" s="36" t="s">
        <v>286</v>
      </c>
      <c r="G3648" s="36" t="s">
        <v>411</v>
      </c>
      <c r="H3648" s="37">
        <v>2.75</v>
      </c>
      <c r="I3648" s="36" t="s">
        <v>1301</v>
      </c>
      <c r="J3648" s="39" t="s">
        <v>286</v>
      </c>
      <c r="K3648" s="38"/>
      <c r="L3648" s="38"/>
    </row>
    <row r="3649" ht="22.5" customHeight="1">
      <c r="A3649" s="36" t="s">
        <v>7983</v>
      </c>
      <c r="B3649" s="36" t="s">
        <v>7984</v>
      </c>
      <c r="C3649" s="36" t="s">
        <v>1495</v>
      </c>
      <c r="D3649" s="36" t="s">
        <v>1496</v>
      </c>
      <c r="E3649" s="36" t="s">
        <v>1285</v>
      </c>
      <c r="F3649" s="36" t="s">
        <v>286</v>
      </c>
      <c r="G3649" s="36" t="s">
        <v>411</v>
      </c>
      <c r="H3649" s="37">
        <v>21.3</v>
      </c>
      <c r="I3649" s="36" t="s">
        <v>1301</v>
      </c>
      <c r="J3649" s="39" t="s">
        <v>286</v>
      </c>
      <c r="K3649" s="38"/>
      <c r="L3649" s="38"/>
    </row>
    <row r="3650" ht="22.5" customHeight="1">
      <c r="A3650" s="36" t="s">
        <v>7985</v>
      </c>
      <c r="B3650" s="36" t="s">
        <v>7986</v>
      </c>
      <c r="C3650" s="36" t="s">
        <v>1495</v>
      </c>
      <c r="D3650" s="36" t="s">
        <v>1496</v>
      </c>
      <c r="E3650" s="36" t="s">
        <v>1285</v>
      </c>
      <c r="F3650" s="36" t="s">
        <v>286</v>
      </c>
      <c r="G3650" s="36" t="s">
        <v>411</v>
      </c>
      <c r="H3650" s="37">
        <v>13.43</v>
      </c>
      <c r="I3650" s="36" t="s">
        <v>1301</v>
      </c>
      <c r="J3650" s="39" t="s">
        <v>286</v>
      </c>
      <c r="K3650" s="38"/>
      <c r="L3650" s="38"/>
    </row>
    <row r="3651" ht="22.5" customHeight="1">
      <c r="A3651" s="36" t="s">
        <v>7987</v>
      </c>
      <c r="B3651" s="36" t="s">
        <v>7988</v>
      </c>
      <c r="C3651" s="36" t="s">
        <v>1495</v>
      </c>
      <c r="D3651" s="36" t="s">
        <v>1496</v>
      </c>
      <c r="E3651" s="36" t="s">
        <v>1285</v>
      </c>
      <c r="F3651" s="36" t="s">
        <v>286</v>
      </c>
      <c r="G3651" s="36" t="s">
        <v>411</v>
      </c>
      <c r="H3651" s="37">
        <v>20.46</v>
      </c>
      <c r="I3651" s="36" t="s">
        <v>1301</v>
      </c>
      <c r="J3651" s="39" t="s">
        <v>286</v>
      </c>
      <c r="K3651" s="38"/>
      <c r="L3651" s="38"/>
    </row>
    <row r="3652" ht="22.5" customHeight="1">
      <c r="A3652" s="36" t="s">
        <v>7989</v>
      </c>
      <c r="B3652" s="36" t="s">
        <v>7990</v>
      </c>
      <c r="C3652" s="36" t="s">
        <v>1495</v>
      </c>
      <c r="D3652" s="36" t="s">
        <v>1496</v>
      </c>
      <c r="E3652" s="36" t="s">
        <v>1285</v>
      </c>
      <c r="F3652" s="36" t="s">
        <v>286</v>
      </c>
      <c r="G3652" s="36" t="s">
        <v>411</v>
      </c>
      <c r="H3652" s="37">
        <v>12.23</v>
      </c>
      <c r="I3652" s="36" t="s">
        <v>1301</v>
      </c>
      <c r="J3652" s="39" t="s">
        <v>286</v>
      </c>
      <c r="K3652" s="38"/>
      <c r="L3652" s="38"/>
    </row>
    <row r="3653" ht="22.5" customHeight="1">
      <c r="A3653" s="36" t="s">
        <v>7991</v>
      </c>
      <c r="B3653" s="36" t="s">
        <v>7992</v>
      </c>
      <c r="C3653" s="36" t="s">
        <v>1495</v>
      </c>
      <c r="D3653" s="36" t="s">
        <v>1496</v>
      </c>
      <c r="E3653" s="36" t="s">
        <v>1285</v>
      </c>
      <c r="F3653" s="36" t="s">
        <v>286</v>
      </c>
      <c r="G3653" s="36" t="s">
        <v>411</v>
      </c>
      <c r="H3653" s="37">
        <v>13.28</v>
      </c>
      <c r="I3653" s="36" t="s">
        <v>1301</v>
      </c>
      <c r="J3653" s="39" t="s">
        <v>286</v>
      </c>
      <c r="K3653" s="38"/>
      <c r="L3653" s="38"/>
    </row>
    <row r="3654" ht="22.5" customHeight="1">
      <c r="A3654" s="36" t="s">
        <v>7993</v>
      </c>
      <c r="B3654" s="36" t="s">
        <v>7994</v>
      </c>
      <c r="C3654" s="36" t="s">
        <v>1495</v>
      </c>
      <c r="D3654" s="36" t="s">
        <v>1496</v>
      </c>
      <c r="E3654" s="36" t="s">
        <v>1285</v>
      </c>
      <c r="F3654" s="36" t="s">
        <v>286</v>
      </c>
      <c r="G3654" s="36" t="s">
        <v>411</v>
      </c>
      <c r="H3654" s="37">
        <v>2.75</v>
      </c>
      <c r="I3654" s="36" t="s">
        <v>1301</v>
      </c>
      <c r="J3654" s="39" t="s">
        <v>286</v>
      </c>
      <c r="K3654" s="38"/>
      <c r="L3654" s="38"/>
    </row>
    <row r="3655" ht="22.5" customHeight="1">
      <c r="A3655" s="36" t="s">
        <v>7995</v>
      </c>
      <c r="B3655" s="36" t="s">
        <v>7996</v>
      </c>
      <c r="C3655" s="36" t="s">
        <v>1495</v>
      </c>
      <c r="D3655" s="36" t="s">
        <v>1496</v>
      </c>
      <c r="E3655" s="36" t="s">
        <v>1285</v>
      </c>
      <c r="F3655" s="36" t="s">
        <v>286</v>
      </c>
      <c r="G3655" s="36" t="s">
        <v>411</v>
      </c>
      <c r="H3655" s="37">
        <v>29.09</v>
      </c>
      <c r="I3655" s="36" t="s">
        <v>1301</v>
      </c>
      <c r="J3655" s="39" t="s">
        <v>286</v>
      </c>
      <c r="K3655" s="38"/>
      <c r="L3655" s="38"/>
    </row>
    <row r="3656" ht="22.5" customHeight="1">
      <c r="A3656" s="36" t="s">
        <v>7997</v>
      </c>
      <c r="B3656" s="36" t="s">
        <v>7998</v>
      </c>
      <c r="C3656" s="36" t="s">
        <v>1495</v>
      </c>
      <c r="D3656" s="36" t="s">
        <v>1496</v>
      </c>
      <c r="E3656" s="36" t="s">
        <v>1285</v>
      </c>
      <c r="F3656" s="36" t="s">
        <v>286</v>
      </c>
      <c r="G3656" s="36" t="s">
        <v>411</v>
      </c>
      <c r="H3656" s="37">
        <v>29.09</v>
      </c>
      <c r="I3656" s="36" t="s">
        <v>1301</v>
      </c>
      <c r="J3656" s="39" t="s">
        <v>286</v>
      </c>
      <c r="K3656" s="38"/>
      <c r="L3656" s="38"/>
    </row>
    <row r="3657" ht="22.5" customHeight="1">
      <c r="A3657" s="36" t="s">
        <v>7999</v>
      </c>
      <c r="B3657" s="36" t="s">
        <v>8000</v>
      </c>
      <c r="C3657" s="36" t="s">
        <v>1495</v>
      </c>
      <c r="D3657" s="36" t="s">
        <v>1496</v>
      </c>
      <c r="E3657" s="36" t="s">
        <v>1285</v>
      </c>
      <c r="F3657" s="36" t="s">
        <v>286</v>
      </c>
      <c r="G3657" s="36" t="s">
        <v>411</v>
      </c>
      <c r="H3657" s="37">
        <v>10.95</v>
      </c>
      <c r="I3657" s="36" t="s">
        <v>1301</v>
      </c>
      <c r="J3657" s="39" t="s">
        <v>286</v>
      </c>
      <c r="K3657" s="38"/>
      <c r="L3657" s="38"/>
    </row>
    <row r="3658" ht="22.5" customHeight="1">
      <c r="A3658" s="36" t="s">
        <v>8001</v>
      </c>
      <c r="B3658" s="36" t="s">
        <v>8002</v>
      </c>
      <c r="C3658" s="36" t="s">
        <v>1495</v>
      </c>
      <c r="D3658" s="36" t="s">
        <v>1496</v>
      </c>
      <c r="E3658" s="36" t="s">
        <v>1285</v>
      </c>
      <c r="F3658" s="36" t="s">
        <v>286</v>
      </c>
      <c r="G3658" s="36" t="s">
        <v>411</v>
      </c>
      <c r="H3658" s="37">
        <v>21.42</v>
      </c>
      <c r="I3658" s="36" t="s">
        <v>1301</v>
      </c>
      <c r="J3658" s="39" t="s">
        <v>286</v>
      </c>
      <c r="K3658" s="38"/>
      <c r="L3658" s="38"/>
    </row>
    <row r="3659" ht="22.5" customHeight="1">
      <c r="A3659" s="36" t="s">
        <v>8003</v>
      </c>
      <c r="B3659" s="36" t="s">
        <v>8004</v>
      </c>
      <c r="C3659" s="36" t="s">
        <v>1495</v>
      </c>
      <c r="D3659" s="36" t="s">
        <v>1496</v>
      </c>
      <c r="E3659" s="36" t="s">
        <v>1285</v>
      </c>
      <c r="F3659" s="36" t="s">
        <v>286</v>
      </c>
      <c r="G3659" s="36" t="s">
        <v>411</v>
      </c>
      <c r="H3659" s="37">
        <v>43.0</v>
      </c>
      <c r="I3659" s="36" t="s">
        <v>1301</v>
      </c>
      <c r="J3659" s="39" t="s">
        <v>286</v>
      </c>
      <c r="K3659" s="38"/>
      <c r="L3659" s="38"/>
    </row>
    <row r="3660" ht="22.5" customHeight="1">
      <c r="A3660" s="36" t="s">
        <v>8005</v>
      </c>
      <c r="B3660" s="36" t="s">
        <v>8006</v>
      </c>
      <c r="C3660" s="36" t="s">
        <v>1495</v>
      </c>
      <c r="D3660" s="36" t="s">
        <v>1496</v>
      </c>
      <c r="E3660" s="36" t="s">
        <v>1285</v>
      </c>
      <c r="F3660" s="36" t="s">
        <v>286</v>
      </c>
      <c r="G3660" s="36" t="s">
        <v>411</v>
      </c>
      <c r="H3660" s="37">
        <v>12.61</v>
      </c>
      <c r="I3660" s="36" t="s">
        <v>1301</v>
      </c>
      <c r="J3660" s="39" t="s">
        <v>286</v>
      </c>
      <c r="K3660" s="38"/>
      <c r="L3660" s="38"/>
    </row>
    <row r="3661" ht="22.5" customHeight="1">
      <c r="A3661" s="36" t="s">
        <v>8007</v>
      </c>
      <c r="B3661" s="36" t="s">
        <v>8008</v>
      </c>
      <c r="C3661" s="36" t="s">
        <v>1495</v>
      </c>
      <c r="D3661" s="36" t="s">
        <v>1496</v>
      </c>
      <c r="E3661" s="36" t="s">
        <v>1285</v>
      </c>
      <c r="F3661" s="36" t="s">
        <v>286</v>
      </c>
      <c r="G3661" s="36" t="s">
        <v>411</v>
      </c>
      <c r="H3661" s="37">
        <v>4.36</v>
      </c>
      <c r="I3661" s="36" t="s">
        <v>1301</v>
      </c>
      <c r="J3661" s="39" t="s">
        <v>286</v>
      </c>
      <c r="K3661" s="38"/>
      <c r="L3661" s="38"/>
    </row>
    <row r="3662" ht="22.5" customHeight="1">
      <c r="A3662" s="36" t="s">
        <v>8009</v>
      </c>
      <c r="B3662" s="36" t="s">
        <v>8010</v>
      </c>
      <c r="C3662" s="36" t="s">
        <v>1495</v>
      </c>
      <c r="D3662" s="36" t="s">
        <v>1496</v>
      </c>
      <c r="E3662" s="36" t="s">
        <v>1285</v>
      </c>
      <c r="F3662" s="36" t="s">
        <v>286</v>
      </c>
      <c r="G3662" s="36" t="s">
        <v>411</v>
      </c>
      <c r="H3662" s="37">
        <v>12.44</v>
      </c>
      <c r="I3662" s="36" t="s">
        <v>1301</v>
      </c>
      <c r="J3662" s="39" t="s">
        <v>286</v>
      </c>
      <c r="K3662" s="38"/>
      <c r="L3662" s="38"/>
    </row>
    <row r="3663" ht="22.5" customHeight="1">
      <c r="A3663" s="36" t="s">
        <v>8011</v>
      </c>
      <c r="B3663" s="36" t="s">
        <v>8012</v>
      </c>
      <c r="C3663" s="36" t="s">
        <v>1495</v>
      </c>
      <c r="D3663" s="36" t="s">
        <v>1496</v>
      </c>
      <c r="E3663" s="36" t="s">
        <v>1285</v>
      </c>
      <c r="F3663" s="36" t="s">
        <v>286</v>
      </c>
      <c r="G3663" s="36" t="s">
        <v>411</v>
      </c>
      <c r="H3663" s="37">
        <v>10.67</v>
      </c>
      <c r="I3663" s="36" t="s">
        <v>1301</v>
      </c>
      <c r="J3663" s="39" t="s">
        <v>286</v>
      </c>
      <c r="K3663" s="38"/>
      <c r="L3663" s="38"/>
    </row>
    <row r="3664" ht="22.5" customHeight="1">
      <c r="A3664" s="36" t="s">
        <v>8013</v>
      </c>
      <c r="B3664" s="36" t="s">
        <v>8014</v>
      </c>
      <c r="C3664" s="36" t="s">
        <v>1495</v>
      </c>
      <c r="D3664" s="36" t="s">
        <v>1496</v>
      </c>
      <c r="E3664" s="36" t="s">
        <v>1285</v>
      </c>
      <c r="F3664" s="36" t="s">
        <v>286</v>
      </c>
      <c r="G3664" s="36" t="s">
        <v>411</v>
      </c>
      <c r="H3664" s="37">
        <v>13.94</v>
      </c>
      <c r="I3664" s="36" t="s">
        <v>1301</v>
      </c>
      <c r="J3664" s="39" t="s">
        <v>286</v>
      </c>
      <c r="K3664" s="38"/>
      <c r="L3664" s="38"/>
    </row>
    <row r="3665" ht="22.5" customHeight="1">
      <c r="A3665" s="36" t="s">
        <v>8015</v>
      </c>
      <c r="B3665" s="36" t="s">
        <v>8016</v>
      </c>
      <c r="C3665" s="36" t="s">
        <v>1495</v>
      </c>
      <c r="D3665" s="36" t="s">
        <v>1496</v>
      </c>
      <c r="E3665" s="36" t="s">
        <v>1285</v>
      </c>
      <c r="F3665" s="36" t="s">
        <v>286</v>
      </c>
      <c r="G3665" s="36" t="s">
        <v>411</v>
      </c>
      <c r="H3665" s="37">
        <v>7.96</v>
      </c>
      <c r="I3665" s="36" t="s">
        <v>1301</v>
      </c>
      <c r="J3665" s="39" t="s">
        <v>286</v>
      </c>
      <c r="K3665" s="38"/>
      <c r="L3665" s="38"/>
    </row>
    <row r="3666" ht="22.5" customHeight="1">
      <c r="A3666" s="36" t="s">
        <v>8017</v>
      </c>
      <c r="B3666" s="36" t="s">
        <v>8018</v>
      </c>
      <c r="C3666" s="36" t="s">
        <v>1495</v>
      </c>
      <c r="D3666" s="36" t="s">
        <v>1496</v>
      </c>
      <c r="E3666" s="36" t="s">
        <v>1285</v>
      </c>
      <c r="F3666" s="36" t="s">
        <v>286</v>
      </c>
      <c r="G3666" s="36" t="s">
        <v>411</v>
      </c>
      <c r="H3666" s="37">
        <v>76.51</v>
      </c>
      <c r="I3666" s="36" t="s">
        <v>1301</v>
      </c>
      <c r="J3666" s="39" t="s">
        <v>286</v>
      </c>
      <c r="K3666" s="38"/>
      <c r="L3666" s="38"/>
    </row>
    <row r="3667" ht="22.5" customHeight="1">
      <c r="A3667" s="36" t="s">
        <v>8019</v>
      </c>
      <c r="B3667" s="36" t="s">
        <v>8020</v>
      </c>
      <c r="C3667" s="36" t="s">
        <v>1495</v>
      </c>
      <c r="D3667" s="36" t="s">
        <v>1496</v>
      </c>
      <c r="E3667" s="36" t="s">
        <v>1285</v>
      </c>
      <c r="F3667" s="36" t="s">
        <v>286</v>
      </c>
      <c r="G3667" s="36" t="s">
        <v>411</v>
      </c>
      <c r="H3667" s="37">
        <v>8.95</v>
      </c>
      <c r="I3667" s="36" t="s">
        <v>1301</v>
      </c>
      <c r="J3667" s="39" t="s">
        <v>286</v>
      </c>
      <c r="K3667" s="38"/>
      <c r="L3667" s="38"/>
    </row>
    <row r="3668" ht="22.5" customHeight="1">
      <c r="A3668" s="36" t="s">
        <v>8021</v>
      </c>
      <c r="B3668" s="36" t="s">
        <v>8022</v>
      </c>
      <c r="C3668" s="36" t="s">
        <v>1495</v>
      </c>
      <c r="D3668" s="36" t="s">
        <v>1496</v>
      </c>
      <c r="E3668" s="36" t="s">
        <v>1285</v>
      </c>
      <c r="F3668" s="36" t="s">
        <v>286</v>
      </c>
      <c r="G3668" s="36" t="s">
        <v>411</v>
      </c>
      <c r="H3668" s="37">
        <v>13.93</v>
      </c>
      <c r="I3668" s="36" t="s">
        <v>1301</v>
      </c>
      <c r="J3668" s="39" t="s">
        <v>286</v>
      </c>
      <c r="K3668" s="38"/>
      <c r="L3668" s="38"/>
    </row>
    <row r="3669" ht="22.5" customHeight="1">
      <c r="A3669" s="36" t="s">
        <v>8023</v>
      </c>
      <c r="B3669" s="36" t="s">
        <v>8024</v>
      </c>
      <c r="C3669" s="36" t="s">
        <v>1495</v>
      </c>
      <c r="D3669" s="36" t="s">
        <v>1496</v>
      </c>
      <c r="E3669" s="36" t="s">
        <v>1285</v>
      </c>
      <c r="F3669" s="36" t="s">
        <v>286</v>
      </c>
      <c r="G3669" s="36" t="s">
        <v>411</v>
      </c>
      <c r="H3669" s="37">
        <v>10.25</v>
      </c>
      <c r="I3669" s="36" t="s">
        <v>1301</v>
      </c>
      <c r="J3669" s="39" t="s">
        <v>286</v>
      </c>
      <c r="K3669" s="38"/>
      <c r="L3669" s="38"/>
    </row>
    <row r="3670" ht="22.5" customHeight="1">
      <c r="A3670" s="36" t="s">
        <v>8025</v>
      </c>
      <c r="B3670" s="36" t="s">
        <v>8026</v>
      </c>
      <c r="C3670" s="36" t="s">
        <v>1495</v>
      </c>
      <c r="D3670" s="36" t="s">
        <v>1496</v>
      </c>
      <c r="E3670" s="36" t="s">
        <v>1285</v>
      </c>
      <c r="F3670" s="36" t="s">
        <v>286</v>
      </c>
      <c r="G3670" s="36" t="s">
        <v>411</v>
      </c>
      <c r="H3670" s="37">
        <v>10.34</v>
      </c>
      <c r="I3670" s="36" t="s">
        <v>1301</v>
      </c>
      <c r="J3670" s="39" t="s">
        <v>286</v>
      </c>
      <c r="K3670" s="38"/>
      <c r="L3670" s="38"/>
    </row>
    <row r="3671" ht="22.5" customHeight="1">
      <c r="A3671" s="36" t="s">
        <v>8027</v>
      </c>
      <c r="B3671" s="36" t="s">
        <v>8028</v>
      </c>
      <c r="C3671" s="36" t="s">
        <v>1495</v>
      </c>
      <c r="D3671" s="36" t="s">
        <v>1496</v>
      </c>
      <c r="E3671" s="36" t="s">
        <v>1285</v>
      </c>
      <c r="F3671" s="36" t="s">
        <v>286</v>
      </c>
      <c r="G3671" s="36" t="s">
        <v>411</v>
      </c>
      <c r="H3671" s="37">
        <v>53.87</v>
      </c>
      <c r="I3671" s="36" t="s">
        <v>1301</v>
      </c>
      <c r="J3671" s="39" t="s">
        <v>286</v>
      </c>
      <c r="K3671" s="38"/>
      <c r="L3671" s="38"/>
    </row>
    <row r="3672" ht="22.5" customHeight="1">
      <c r="A3672" s="36" t="s">
        <v>8029</v>
      </c>
      <c r="B3672" s="36" t="s">
        <v>8030</v>
      </c>
      <c r="C3672" s="36" t="s">
        <v>1495</v>
      </c>
      <c r="D3672" s="36" t="s">
        <v>1496</v>
      </c>
      <c r="E3672" s="36" t="s">
        <v>1285</v>
      </c>
      <c r="F3672" s="36" t="s">
        <v>286</v>
      </c>
      <c r="G3672" s="36" t="s">
        <v>411</v>
      </c>
      <c r="H3672" s="37">
        <v>21.58</v>
      </c>
      <c r="I3672" s="36" t="s">
        <v>1301</v>
      </c>
      <c r="J3672" s="39" t="s">
        <v>286</v>
      </c>
      <c r="K3672" s="38"/>
      <c r="L3672" s="38"/>
    </row>
    <row r="3673" ht="22.5" customHeight="1">
      <c r="A3673" s="36" t="s">
        <v>8031</v>
      </c>
      <c r="B3673" s="36" t="s">
        <v>8032</v>
      </c>
      <c r="C3673" s="36" t="s">
        <v>1495</v>
      </c>
      <c r="D3673" s="36" t="s">
        <v>1496</v>
      </c>
      <c r="E3673" s="36" t="s">
        <v>1285</v>
      </c>
      <c r="F3673" s="36" t="s">
        <v>286</v>
      </c>
      <c r="G3673" s="36" t="s">
        <v>411</v>
      </c>
      <c r="H3673" s="37">
        <v>10.67</v>
      </c>
      <c r="I3673" s="36" t="s">
        <v>1301</v>
      </c>
      <c r="J3673" s="39" t="s">
        <v>286</v>
      </c>
      <c r="K3673" s="38"/>
      <c r="L3673" s="38"/>
    </row>
    <row r="3674" ht="22.5" customHeight="1">
      <c r="A3674" s="36" t="s">
        <v>8033</v>
      </c>
      <c r="B3674" s="36" t="s">
        <v>8034</v>
      </c>
      <c r="C3674" s="36" t="s">
        <v>1495</v>
      </c>
      <c r="D3674" s="36" t="s">
        <v>1496</v>
      </c>
      <c r="E3674" s="36" t="s">
        <v>1285</v>
      </c>
      <c r="F3674" s="36" t="s">
        <v>286</v>
      </c>
      <c r="G3674" s="36" t="s">
        <v>411</v>
      </c>
      <c r="H3674" s="37">
        <v>7.96</v>
      </c>
      <c r="I3674" s="36" t="s">
        <v>1301</v>
      </c>
      <c r="J3674" s="39" t="s">
        <v>286</v>
      </c>
      <c r="K3674" s="38"/>
      <c r="L3674" s="38"/>
    </row>
    <row r="3675" ht="22.5" customHeight="1">
      <c r="A3675" s="36" t="s">
        <v>8035</v>
      </c>
      <c r="B3675" s="36" t="s">
        <v>8036</v>
      </c>
      <c r="C3675" s="36" t="s">
        <v>1495</v>
      </c>
      <c r="D3675" s="36" t="s">
        <v>1496</v>
      </c>
      <c r="E3675" s="36" t="s">
        <v>1285</v>
      </c>
      <c r="F3675" s="36" t="s">
        <v>286</v>
      </c>
      <c r="G3675" s="36" t="s">
        <v>411</v>
      </c>
      <c r="H3675" s="37">
        <v>207.16</v>
      </c>
      <c r="I3675" s="36" t="s">
        <v>1301</v>
      </c>
      <c r="J3675" s="39" t="s">
        <v>286</v>
      </c>
      <c r="K3675" s="38"/>
      <c r="L3675" s="38"/>
    </row>
    <row r="3676" ht="22.5" customHeight="1">
      <c r="A3676" s="36" t="s">
        <v>8037</v>
      </c>
      <c r="B3676" s="36" t="s">
        <v>8038</v>
      </c>
      <c r="C3676" s="36" t="s">
        <v>1495</v>
      </c>
      <c r="D3676" s="36" t="s">
        <v>1496</v>
      </c>
      <c r="E3676" s="36" t="s">
        <v>1285</v>
      </c>
      <c r="F3676" s="36" t="s">
        <v>286</v>
      </c>
      <c r="G3676" s="36" t="s">
        <v>411</v>
      </c>
      <c r="H3676" s="37">
        <v>517.91</v>
      </c>
      <c r="I3676" s="36" t="s">
        <v>1301</v>
      </c>
      <c r="J3676" s="39" t="s">
        <v>286</v>
      </c>
      <c r="K3676" s="38"/>
      <c r="L3676" s="38"/>
    </row>
    <row r="3677" ht="22.5" customHeight="1">
      <c r="A3677" s="36" t="s">
        <v>8039</v>
      </c>
      <c r="B3677" s="36" t="s">
        <v>8040</v>
      </c>
      <c r="C3677" s="36" t="s">
        <v>1495</v>
      </c>
      <c r="D3677" s="36" t="s">
        <v>1496</v>
      </c>
      <c r="E3677" s="36" t="s">
        <v>1285</v>
      </c>
      <c r="F3677" s="36" t="s">
        <v>286</v>
      </c>
      <c r="G3677" s="36" t="s">
        <v>411</v>
      </c>
      <c r="H3677" s="37">
        <v>207.16</v>
      </c>
      <c r="I3677" s="36" t="s">
        <v>1301</v>
      </c>
      <c r="J3677" s="39" t="s">
        <v>286</v>
      </c>
      <c r="K3677" s="38"/>
      <c r="L3677" s="38"/>
    </row>
    <row r="3678" ht="22.5" customHeight="1">
      <c r="A3678" s="36" t="s">
        <v>8041</v>
      </c>
      <c r="B3678" s="36" t="s">
        <v>8042</v>
      </c>
      <c r="C3678" s="36" t="s">
        <v>1495</v>
      </c>
      <c r="D3678" s="36" t="s">
        <v>1496</v>
      </c>
      <c r="E3678" s="36" t="s">
        <v>1285</v>
      </c>
      <c r="F3678" s="36" t="s">
        <v>286</v>
      </c>
      <c r="G3678" s="36" t="s">
        <v>411</v>
      </c>
      <c r="H3678" s="37">
        <v>6.47</v>
      </c>
      <c r="I3678" s="36" t="s">
        <v>1301</v>
      </c>
      <c r="J3678" s="39" t="s">
        <v>286</v>
      </c>
      <c r="K3678" s="38"/>
      <c r="L3678" s="38"/>
    </row>
    <row r="3679" ht="22.5" customHeight="1">
      <c r="A3679" s="36" t="s">
        <v>8043</v>
      </c>
      <c r="B3679" s="36" t="s">
        <v>8044</v>
      </c>
      <c r="C3679" s="36" t="s">
        <v>1495</v>
      </c>
      <c r="D3679" s="36" t="s">
        <v>1496</v>
      </c>
      <c r="E3679" s="36" t="s">
        <v>1285</v>
      </c>
      <c r="F3679" s="36" t="s">
        <v>286</v>
      </c>
      <c r="G3679" s="36" t="s">
        <v>411</v>
      </c>
      <c r="H3679" s="37">
        <v>78.43</v>
      </c>
      <c r="I3679" s="36" t="s">
        <v>1301</v>
      </c>
      <c r="J3679" s="39" t="s">
        <v>286</v>
      </c>
      <c r="K3679" s="38"/>
      <c r="L3679" s="38"/>
    </row>
    <row r="3680" ht="22.5" customHeight="1">
      <c r="A3680" s="36" t="s">
        <v>8045</v>
      </c>
      <c r="B3680" s="36" t="s">
        <v>8046</v>
      </c>
      <c r="C3680" s="36" t="s">
        <v>1495</v>
      </c>
      <c r="D3680" s="36" t="s">
        <v>1496</v>
      </c>
      <c r="E3680" s="36" t="s">
        <v>1285</v>
      </c>
      <c r="F3680" s="36" t="s">
        <v>286</v>
      </c>
      <c r="G3680" s="36" t="s">
        <v>411</v>
      </c>
      <c r="H3680" s="37">
        <v>598.63</v>
      </c>
      <c r="I3680" s="36" t="s">
        <v>1301</v>
      </c>
      <c r="J3680" s="39" t="s">
        <v>286</v>
      </c>
      <c r="K3680" s="38"/>
      <c r="L3680" s="38"/>
    </row>
    <row r="3681" ht="22.5" customHeight="1">
      <c r="A3681" s="36" t="s">
        <v>8047</v>
      </c>
      <c r="B3681" s="36" t="s">
        <v>8048</v>
      </c>
      <c r="C3681" s="36" t="s">
        <v>1495</v>
      </c>
      <c r="D3681" s="36" t="s">
        <v>1496</v>
      </c>
      <c r="E3681" s="36" t="s">
        <v>1285</v>
      </c>
      <c r="F3681" s="36" t="s">
        <v>286</v>
      </c>
      <c r="G3681" s="36" t="s">
        <v>411</v>
      </c>
      <c r="H3681" s="37">
        <v>33.35</v>
      </c>
      <c r="I3681" s="36" t="s">
        <v>1301</v>
      </c>
      <c r="J3681" s="39" t="s">
        <v>286</v>
      </c>
      <c r="K3681" s="38"/>
      <c r="L3681" s="38"/>
    </row>
    <row r="3682" ht="22.5" customHeight="1">
      <c r="A3682" s="36" t="s">
        <v>8049</v>
      </c>
      <c r="B3682" s="36" t="s">
        <v>8050</v>
      </c>
      <c r="C3682" s="36" t="s">
        <v>1495</v>
      </c>
      <c r="D3682" s="36" t="s">
        <v>1496</v>
      </c>
      <c r="E3682" s="36" t="s">
        <v>1285</v>
      </c>
      <c r="F3682" s="36" t="s">
        <v>286</v>
      </c>
      <c r="G3682" s="36" t="s">
        <v>411</v>
      </c>
      <c r="H3682" s="37">
        <v>415.9</v>
      </c>
      <c r="I3682" s="36" t="s">
        <v>1301</v>
      </c>
      <c r="J3682" s="39" t="s">
        <v>286</v>
      </c>
      <c r="K3682" s="38"/>
      <c r="L3682" s="38"/>
    </row>
    <row r="3683" ht="22.5" customHeight="1">
      <c r="A3683" s="36" t="s">
        <v>8051</v>
      </c>
      <c r="B3683" s="36" t="s">
        <v>8052</v>
      </c>
      <c r="C3683" s="36" t="s">
        <v>1495</v>
      </c>
      <c r="D3683" s="36" t="s">
        <v>1496</v>
      </c>
      <c r="E3683" s="36" t="s">
        <v>1285</v>
      </c>
      <c r="F3683" s="36" t="s">
        <v>286</v>
      </c>
      <c r="G3683" s="36" t="s">
        <v>411</v>
      </c>
      <c r="H3683" s="37">
        <v>48.71</v>
      </c>
      <c r="I3683" s="36" t="s">
        <v>1301</v>
      </c>
      <c r="J3683" s="39" t="s">
        <v>286</v>
      </c>
      <c r="K3683" s="38"/>
      <c r="L3683" s="38"/>
    </row>
    <row r="3684" ht="22.5" customHeight="1">
      <c r="A3684" s="36" t="s">
        <v>8053</v>
      </c>
      <c r="B3684" s="36" t="s">
        <v>8054</v>
      </c>
      <c r="C3684" s="36" t="s">
        <v>1495</v>
      </c>
      <c r="D3684" s="36" t="s">
        <v>1496</v>
      </c>
      <c r="E3684" s="36" t="s">
        <v>1285</v>
      </c>
      <c r="F3684" s="36" t="s">
        <v>286</v>
      </c>
      <c r="G3684" s="36" t="s">
        <v>411</v>
      </c>
      <c r="H3684" s="37">
        <v>263.95</v>
      </c>
      <c r="I3684" s="36" t="s">
        <v>1301</v>
      </c>
      <c r="J3684" s="39" t="s">
        <v>286</v>
      </c>
      <c r="K3684" s="38"/>
      <c r="L3684" s="38"/>
    </row>
    <row r="3685" ht="22.5" customHeight="1">
      <c r="A3685" s="36" t="s">
        <v>8055</v>
      </c>
      <c r="B3685" s="36" t="s">
        <v>8056</v>
      </c>
      <c r="C3685" s="36" t="s">
        <v>1495</v>
      </c>
      <c r="D3685" s="36" t="s">
        <v>1496</v>
      </c>
      <c r="E3685" s="36" t="s">
        <v>1285</v>
      </c>
      <c r="F3685" s="36" t="s">
        <v>286</v>
      </c>
      <c r="G3685" s="36" t="s">
        <v>411</v>
      </c>
      <c r="H3685" s="37">
        <v>18.3</v>
      </c>
      <c r="I3685" s="36" t="s">
        <v>1301</v>
      </c>
      <c r="J3685" s="39" t="s">
        <v>286</v>
      </c>
      <c r="K3685" s="38"/>
      <c r="L3685" s="38"/>
    </row>
    <row r="3686" ht="22.5" customHeight="1">
      <c r="A3686" s="36" t="s">
        <v>8057</v>
      </c>
      <c r="B3686" s="36" t="s">
        <v>8058</v>
      </c>
      <c r="C3686" s="36" t="s">
        <v>1495</v>
      </c>
      <c r="D3686" s="36" t="s">
        <v>1496</v>
      </c>
      <c r="E3686" s="36" t="s">
        <v>1285</v>
      </c>
      <c r="F3686" s="36" t="s">
        <v>286</v>
      </c>
      <c r="G3686" s="36" t="s">
        <v>411</v>
      </c>
      <c r="H3686" s="37">
        <v>22.04</v>
      </c>
      <c r="I3686" s="36" t="s">
        <v>1301</v>
      </c>
      <c r="J3686" s="39" t="s">
        <v>286</v>
      </c>
      <c r="K3686" s="38"/>
      <c r="L3686" s="38"/>
    </row>
    <row r="3687" ht="22.5" customHeight="1">
      <c r="A3687" s="36" t="s">
        <v>8059</v>
      </c>
      <c r="B3687" s="36" t="s">
        <v>8060</v>
      </c>
      <c r="C3687" s="36" t="s">
        <v>1495</v>
      </c>
      <c r="D3687" s="36" t="s">
        <v>1496</v>
      </c>
      <c r="E3687" s="36" t="s">
        <v>1285</v>
      </c>
      <c r="F3687" s="36" t="s">
        <v>286</v>
      </c>
      <c r="G3687" s="36" t="s">
        <v>411</v>
      </c>
      <c r="H3687" s="37">
        <v>375.0</v>
      </c>
      <c r="I3687" s="36" t="s">
        <v>1301</v>
      </c>
      <c r="J3687" s="39" t="s">
        <v>286</v>
      </c>
      <c r="K3687" s="38"/>
      <c r="L3687" s="38"/>
    </row>
    <row r="3688" ht="22.5" customHeight="1">
      <c r="A3688" s="36" t="s">
        <v>8061</v>
      </c>
      <c r="B3688" s="36" t="s">
        <v>8062</v>
      </c>
      <c r="C3688" s="36" t="s">
        <v>1495</v>
      </c>
      <c r="D3688" s="36" t="s">
        <v>1496</v>
      </c>
      <c r="E3688" s="36" t="s">
        <v>1285</v>
      </c>
      <c r="F3688" s="36" t="s">
        <v>286</v>
      </c>
      <c r="G3688" s="36" t="s">
        <v>411</v>
      </c>
      <c r="H3688" s="37">
        <v>784.33</v>
      </c>
      <c r="I3688" s="36" t="s">
        <v>1301</v>
      </c>
      <c r="J3688" s="39" t="s">
        <v>286</v>
      </c>
      <c r="K3688" s="38"/>
      <c r="L3688" s="38"/>
    </row>
    <row r="3689" ht="22.5" customHeight="1">
      <c r="A3689" s="36" t="s">
        <v>8063</v>
      </c>
      <c r="B3689" s="36" t="s">
        <v>8064</v>
      </c>
      <c r="C3689" s="36" t="s">
        <v>1495</v>
      </c>
      <c r="D3689" s="36" t="s">
        <v>1496</v>
      </c>
      <c r="E3689" s="36" t="s">
        <v>1285</v>
      </c>
      <c r="F3689" s="36" t="s">
        <v>286</v>
      </c>
      <c r="G3689" s="36" t="s">
        <v>411</v>
      </c>
      <c r="H3689" s="37">
        <v>36.51</v>
      </c>
      <c r="I3689" s="36" t="s">
        <v>1301</v>
      </c>
      <c r="J3689" s="39" t="s">
        <v>286</v>
      </c>
      <c r="K3689" s="38"/>
      <c r="L3689" s="38"/>
    </row>
    <row r="3690" ht="22.5" customHeight="1">
      <c r="A3690" s="36" t="s">
        <v>8065</v>
      </c>
      <c r="B3690" s="36" t="s">
        <v>8066</v>
      </c>
      <c r="C3690" s="36" t="s">
        <v>1495</v>
      </c>
      <c r="D3690" s="36" t="s">
        <v>1496</v>
      </c>
      <c r="E3690" s="36" t="s">
        <v>1285</v>
      </c>
      <c r="F3690" s="36" t="s">
        <v>286</v>
      </c>
      <c r="G3690" s="36" t="s">
        <v>411</v>
      </c>
      <c r="H3690" s="37">
        <v>23.17</v>
      </c>
      <c r="I3690" s="36" t="s">
        <v>1301</v>
      </c>
      <c r="J3690" s="39" t="s">
        <v>286</v>
      </c>
      <c r="K3690" s="38"/>
      <c r="L3690" s="38"/>
    </row>
    <row r="3691" ht="22.5" customHeight="1">
      <c r="A3691" s="36" t="s">
        <v>8067</v>
      </c>
      <c r="B3691" s="36" t="s">
        <v>8068</v>
      </c>
      <c r="C3691" s="36" t="s">
        <v>1495</v>
      </c>
      <c r="D3691" s="36" t="s">
        <v>1496</v>
      </c>
      <c r="E3691" s="36" t="s">
        <v>1285</v>
      </c>
      <c r="F3691" s="36" t="s">
        <v>286</v>
      </c>
      <c r="G3691" s="36" t="s">
        <v>411</v>
      </c>
      <c r="H3691" s="37">
        <v>26.33</v>
      </c>
      <c r="I3691" s="36" t="s">
        <v>1301</v>
      </c>
      <c r="J3691" s="39" t="s">
        <v>286</v>
      </c>
      <c r="K3691" s="38"/>
      <c r="L3691" s="38"/>
    </row>
    <row r="3692" ht="22.5" customHeight="1">
      <c r="A3692" s="36" t="s">
        <v>8069</v>
      </c>
      <c r="B3692" s="36" t="s">
        <v>8070</v>
      </c>
      <c r="C3692" s="36" t="s">
        <v>1495</v>
      </c>
      <c r="D3692" s="36" t="s">
        <v>1496</v>
      </c>
      <c r="E3692" s="36" t="s">
        <v>1285</v>
      </c>
      <c r="F3692" s="36" t="s">
        <v>286</v>
      </c>
      <c r="G3692" s="36" t="s">
        <v>411</v>
      </c>
      <c r="H3692" s="37">
        <v>257.89</v>
      </c>
      <c r="I3692" s="36" t="s">
        <v>1301</v>
      </c>
      <c r="J3692" s="39" t="s">
        <v>286</v>
      </c>
      <c r="K3692" s="38"/>
      <c r="L3692" s="38"/>
    </row>
    <row r="3693" ht="22.5" customHeight="1">
      <c r="A3693" s="36" t="s">
        <v>8071</v>
      </c>
      <c r="B3693" s="36" t="s">
        <v>8072</v>
      </c>
      <c r="C3693" s="36" t="s">
        <v>1495</v>
      </c>
      <c r="D3693" s="36" t="s">
        <v>1496</v>
      </c>
      <c r="E3693" s="36" t="s">
        <v>1285</v>
      </c>
      <c r="F3693" s="36" t="s">
        <v>286</v>
      </c>
      <c r="G3693" s="36" t="s">
        <v>411</v>
      </c>
      <c r="H3693" s="37">
        <v>400.0</v>
      </c>
      <c r="I3693" s="36" t="s">
        <v>1301</v>
      </c>
      <c r="J3693" s="39" t="s">
        <v>286</v>
      </c>
      <c r="K3693" s="38"/>
      <c r="L3693" s="38"/>
    </row>
    <row r="3694" ht="22.5" customHeight="1">
      <c r="A3694" s="36" t="s">
        <v>8073</v>
      </c>
      <c r="B3694" s="36" t="s">
        <v>8074</v>
      </c>
      <c r="C3694" s="36" t="s">
        <v>1495</v>
      </c>
      <c r="D3694" s="36" t="s">
        <v>1496</v>
      </c>
      <c r="E3694" s="36" t="s">
        <v>1285</v>
      </c>
      <c r="F3694" s="36" t="s">
        <v>286</v>
      </c>
      <c r="G3694" s="36" t="s">
        <v>411</v>
      </c>
      <c r="H3694" s="37">
        <v>150.0</v>
      </c>
      <c r="I3694" s="36" t="s">
        <v>1301</v>
      </c>
      <c r="J3694" s="39" t="s">
        <v>286</v>
      </c>
      <c r="K3694" s="38"/>
      <c r="L3694" s="38"/>
    </row>
    <row r="3695" ht="22.5" customHeight="1">
      <c r="A3695" s="36" t="s">
        <v>8075</v>
      </c>
      <c r="B3695" s="36" t="s">
        <v>8076</v>
      </c>
      <c r="C3695" s="36" t="s">
        <v>1495</v>
      </c>
      <c r="D3695" s="36" t="s">
        <v>1496</v>
      </c>
      <c r="E3695" s="36" t="s">
        <v>1285</v>
      </c>
      <c r="F3695" s="36" t="s">
        <v>286</v>
      </c>
      <c r="G3695" s="36" t="s">
        <v>411</v>
      </c>
      <c r="H3695" s="37">
        <v>1.03</v>
      </c>
      <c r="I3695" s="36" t="s">
        <v>1301</v>
      </c>
      <c r="J3695" s="39" t="s">
        <v>286</v>
      </c>
      <c r="K3695" s="38"/>
      <c r="L3695" s="38"/>
    </row>
    <row r="3696" ht="22.5" customHeight="1">
      <c r="A3696" s="36" t="s">
        <v>8077</v>
      </c>
      <c r="B3696" s="36" t="s">
        <v>8078</v>
      </c>
      <c r="C3696" s="36" t="s">
        <v>1495</v>
      </c>
      <c r="D3696" s="36" t="s">
        <v>1496</v>
      </c>
      <c r="E3696" s="36" t="s">
        <v>1285</v>
      </c>
      <c r="F3696" s="36" t="s">
        <v>286</v>
      </c>
      <c r="G3696" s="36" t="s">
        <v>411</v>
      </c>
      <c r="H3696" s="37">
        <v>9.15</v>
      </c>
      <c r="I3696" s="36" t="s">
        <v>1301</v>
      </c>
      <c r="J3696" s="39" t="s">
        <v>286</v>
      </c>
      <c r="K3696" s="38"/>
      <c r="L3696" s="38"/>
    </row>
    <row r="3697" ht="22.5" customHeight="1">
      <c r="A3697" s="36" t="s">
        <v>8079</v>
      </c>
      <c r="B3697" s="36" t="s">
        <v>8080</v>
      </c>
      <c r="C3697" s="36" t="s">
        <v>1495</v>
      </c>
      <c r="D3697" s="36" t="s">
        <v>1496</v>
      </c>
      <c r="E3697" s="36" t="s">
        <v>1285</v>
      </c>
      <c r="F3697" s="36" t="s">
        <v>286</v>
      </c>
      <c r="G3697" s="36" t="s">
        <v>411</v>
      </c>
      <c r="H3697" s="37">
        <v>19.18</v>
      </c>
      <c r="I3697" s="36" t="s">
        <v>1301</v>
      </c>
      <c r="J3697" s="39" t="s">
        <v>286</v>
      </c>
      <c r="K3697" s="38"/>
      <c r="L3697" s="38"/>
    </row>
    <row r="3698" ht="22.5" customHeight="1">
      <c r="A3698" s="36" t="s">
        <v>8081</v>
      </c>
      <c r="B3698" s="36" t="s">
        <v>8082</v>
      </c>
      <c r="C3698" s="36" t="s">
        <v>1495</v>
      </c>
      <c r="D3698" s="36" t="s">
        <v>1496</v>
      </c>
      <c r="E3698" s="36" t="s">
        <v>1285</v>
      </c>
      <c r="F3698" s="36" t="s">
        <v>286</v>
      </c>
      <c r="G3698" s="36" t="s">
        <v>411</v>
      </c>
      <c r="H3698" s="37">
        <v>2.96</v>
      </c>
      <c r="I3698" s="36" t="s">
        <v>1301</v>
      </c>
      <c r="J3698" s="39" t="s">
        <v>286</v>
      </c>
      <c r="K3698" s="38"/>
      <c r="L3698" s="38"/>
    </row>
    <row r="3699" ht="22.5" customHeight="1">
      <c r="A3699" s="36" t="s">
        <v>8083</v>
      </c>
      <c r="B3699" s="36" t="s">
        <v>8084</v>
      </c>
      <c r="C3699" s="36" t="s">
        <v>1495</v>
      </c>
      <c r="D3699" s="36" t="s">
        <v>1496</v>
      </c>
      <c r="E3699" s="36" t="s">
        <v>1285</v>
      </c>
      <c r="F3699" s="36" t="s">
        <v>286</v>
      </c>
      <c r="G3699" s="36" t="s">
        <v>411</v>
      </c>
      <c r="H3699" s="37">
        <v>190.0</v>
      </c>
      <c r="I3699" s="36" t="s">
        <v>1301</v>
      </c>
      <c r="J3699" s="39" t="s">
        <v>286</v>
      </c>
      <c r="K3699" s="38"/>
      <c r="L3699" s="38"/>
    </row>
    <row r="3700" ht="22.5" customHeight="1">
      <c r="A3700" s="36" t="s">
        <v>8085</v>
      </c>
      <c r="B3700" s="36" t="s">
        <v>8086</v>
      </c>
      <c r="C3700" s="36" t="s">
        <v>1495</v>
      </c>
      <c r="D3700" s="36" t="s">
        <v>1496</v>
      </c>
      <c r="E3700" s="36" t="s">
        <v>1285</v>
      </c>
      <c r="F3700" s="36" t="s">
        <v>286</v>
      </c>
      <c r="G3700" s="36" t="s">
        <v>411</v>
      </c>
      <c r="H3700" s="37">
        <v>164.33</v>
      </c>
      <c r="I3700" s="36" t="s">
        <v>1301</v>
      </c>
      <c r="J3700" s="39" t="s">
        <v>286</v>
      </c>
      <c r="K3700" s="38"/>
      <c r="L3700" s="38"/>
    </row>
    <row r="3701" ht="22.5" customHeight="1">
      <c r="A3701" s="36" t="s">
        <v>8087</v>
      </c>
      <c r="B3701" s="36" t="s">
        <v>8088</v>
      </c>
      <c r="C3701" s="36" t="s">
        <v>1495</v>
      </c>
      <c r="D3701" s="36" t="s">
        <v>1496</v>
      </c>
      <c r="E3701" s="36" t="s">
        <v>1285</v>
      </c>
      <c r="F3701" s="36" t="s">
        <v>286</v>
      </c>
      <c r="G3701" s="36" t="s">
        <v>411</v>
      </c>
      <c r="H3701" s="37">
        <v>17.18</v>
      </c>
      <c r="I3701" s="36" t="s">
        <v>1301</v>
      </c>
      <c r="J3701" s="39" t="s">
        <v>286</v>
      </c>
      <c r="K3701" s="38"/>
      <c r="L3701" s="38"/>
    </row>
    <row r="3702" ht="22.5" customHeight="1">
      <c r="A3702" s="36" t="s">
        <v>8089</v>
      </c>
      <c r="B3702" s="36" t="s">
        <v>8090</v>
      </c>
      <c r="C3702" s="36" t="s">
        <v>1495</v>
      </c>
      <c r="D3702" s="36" t="s">
        <v>1496</v>
      </c>
      <c r="E3702" s="36" t="s">
        <v>1285</v>
      </c>
      <c r="F3702" s="36" t="s">
        <v>286</v>
      </c>
      <c r="G3702" s="36" t="s">
        <v>411</v>
      </c>
      <c r="H3702" s="37">
        <v>143.11</v>
      </c>
      <c r="I3702" s="36" t="s">
        <v>1301</v>
      </c>
      <c r="J3702" s="39" t="s">
        <v>286</v>
      </c>
      <c r="K3702" s="38"/>
      <c r="L3702" s="38"/>
    </row>
    <row r="3703" ht="22.5" customHeight="1">
      <c r="A3703" s="36" t="s">
        <v>8091</v>
      </c>
      <c r="B3703" s="36" t="s">
        <v>8092</v>
      </c>
      <c r="C3703" s="36" t="s">
        <v>1495</v>
      </c>
      <c r="D3703" s="36" t="s">
        <v>1496</v>
      </c>
      <c r="E3703" s="36" t="s">
        <v>1285</v>
      </c>
      <c r="F3703" s="36" t="s">
        <v>286</v>
      </c>
      <c r="G3703" s="36" t="s">
        <v>411</v>
      </c>
      <c r="H3703" s="37">
        <v>238.79</v>
      </c>
      <c r="I3703" s="36" t="s">
        <v>1301</v>
      </c>
      <c r="J3703" s="39" t="s">
        <v>286</v>
      </c>
      <c r="K3703" s="38"/>
      <c r="L3703" s="38"/>
    </row>
    <row r="3704" ht="22.5" customHeight="1">
      <c r="A3704" s="36" t="s">
        <v>8093</v>
      </c>
      <c r="B3704" s="36" t="s">
        <v>8094</v>
      </c>
      <c r="C3704" s="36" t="s">
        <v>1495</v>
      </c>
      <c r="D3704" s="36" t="s">
        <v>1496</v>
      </c>
      <c r="E3704" s="36" t="s">
        <v>1285</v>
      </c>
      <c r="F3704" s="36" t="s">
        <v>286</v>
      </c>
      <c r="G3704" s="36" t="s">
        <v>411</v>
      </c>
      <c r="H3704" s="37">
        <v>401.59</v>
      </c>
      <c r="I3704" s="36" t="s">
        <v>1301</v>
      </c>
      <c r="J3704" s="39" t="s">
        <v>286</v>
      </c>
      <c r="K3704" s="38"/>
      <c r="L3704" s="38"/>
    </row>
    <row r="3705" ht="22.5" customHeight="1">
      <c r="A3705" s="36" t="s">
        <v>8095</v>
      </c>
      <c r="B3705" s="36" t="s">
        <v>8096</v>
      </c>
      <c r="C3705" s="36" t="s">
        <v>1495</v>
      </c>
      <c r="D3705" s="36" t="s">
        <v>1496</v>
      </c>
      <c r="E3705" s="36" t="s">
        <v>1285</v>
      </c>
      <c r="F3705" s="36" t="s">
        <v>286</v>
      </c>
      <c r="G3705" s="36" t="s">
        <v>411</v>
      </c>
      <c r="H3705" s="37">
        <v>201.72</v>
      </c>
      <c r="I3705" s="36" t="s">
        <v>1301</v>
      </c>
      <c r="J3705" s="39" t="s">
        <v>286</v>
      </c>
      <c r="K3705" s="38"/>
      <c r="L3705" s="38"/>
    </row>
    <row r="3706" ht="22.5" customHeight="1">
      <c r="A3706" s="36" t="s">
        <v>8097</v>
      </c>
      <c r="B3706" s="36" t="s">
        <v>8098</v>
      </c>
      <c r="C3706" s="36" t="s">
        <v>1495</v>
      </c>
      <c r="D3706" s="36" t="s">
        <v>1496</v>
      </c>
      <c r="E3706" s="36" t="s">
        <v>1285</v>
      </c>
      <c r="F3706" s="36" t="s">
        <v>286</v>
      </c>
      <c r="G3706" s="36" t="s">
        <v>411</v>
      </c>
      <c r="H3706" s="37">
        <v>498.75</v>
      </c>
      <c r="I3706" s="36" t="s">
        <v>1301</v>
      </c>
      <c r="J3706" s="39" t="s">
        <v>286</v>
      </c>
      <c r="K3706" s="38"/>
      <c r="L3706" s="38"/>
    </row>
    <row r="3707" ht="22.5" customHeight="1">
      <c r="A3707" s="36" t="s">
        <v>8099</v>
      </c>
      <c r="B3707" s="36" t="s">
        <v>8100</v>
      </c>
      <c r="C3707" s="36" t="s">
        <v>1495</v>
      </c>
      <c r="D3707" s="36" t="s">
        <v>1496</v>
      </c>
      <c r="E3707" s="36" t="s">
        <v>1285</v>
      </c>
      <c r="F3707" s="36" t="s">
        <v>286</v>
      </c>
      <c r="G3707" s="36" t="s">
        <v>411</v>
      </c>
      <c r="H3707" s="37">
        <v>154.63</v>
      </c>
      <c r="I3707" s="36" t="s">
        <v>1301</v>
      </c>
      <c r="J3707" s="39" t="s">
        <v>286</v>
      </c>
      <c r="K3707" s="38"/>
      <c r="L3707" s="38"/>
    </row>
    <row r="3708" ht="22.5" customHeight="1">
      <c r="A3708" s="36" t="s">
        <v>8101</v>
      </c>
      <c r="B3708" s="36" t="s">
        <v>8102</v>
      </c>
      <c r="C3708" s="36" t="s">
        <v>1495</v>
      </c>
      <c r="D3708" s="36" t="s">
        <v>1496</v>
      </c>
      <c r="E3708" s="36" t="s">
        <v>1285</v>
      </c>
      <c r="F3708" s="36" t="s">
        <v>286</v>
      </c>
      <c r="G3708" s="36" t="s">
        <v>411</v>
      </c>
      <c r="H3708" s="37">
        <v>152.69</v>
      </c>
      <c r="I3708" s="36" t="s">
        <v>1301</v>
      </c>
      <c r="J3708" s="39" t="s">
        <v>286</v>
      </c>
      <c r="K3708" s="38"/>
      <c r="L3708" s="38"/>
    </row>
    <row r="3709" ht="22.5" customHeight="1">
      <c r="A3709" s="36" t="s">
        <v>8103</v>
      </c>
      <c r="B3709" s="36" t="s">
        <v>8104</v>
      </c>
      <c r="C3709" s="36" t="s">
        <v>1495</v>
      </c>
      <c r="D3709" s="36" t="s">
        <v>1496</v>
      </c>
      <c r="E3709" s="36" t="s">
        <v>1285</v>
      </c>
      <c r="F3709" s="36" t="s">
        <v>286</v>
      </c>
      <c r="G3709" s="36" t="s">
        <v>411</v>
      </c>
      <c r="H3709" s="37">
        <v>224.56</v>
      </c>
      <c r="I3709" s="36" t="s">
        <v>1301</v>
      </c>
      <c r="J3709" s="39" t="s">
        <v>286</v>
      </c>
      <c r="K3709" s="38"/>
      <c r="L3709" s="38"/>
    </row>
    <row r="3710" ht="22.5" customHeight="1">
      <c r="A3710" s="36" t="s">
        <v>8105</v>
      </c>
      <c r="B3710" s="36" t="s">
        <v>8106</v>
      </c>
      <c r="C3710" s="36" t="s">
        <v>1495</v>
      </c>
      <c r="D3710" s="36" t="s">
        <v>1496</v>
      </c>
      <c r="E3710" s="36" t="s">
        <v>1285</v>
      </c>
      <c r="F3710" s="36" t="s">
        <v>286</v>
      </c>
      <c r="G3710" s="36" t="s">
        <v>411</v>
      </c>
      <c r="H3710" s="37">
        <v>191.21</v>
      </c>
      <c r="I3710" s="36" t="s">
        <v>1301</v>
      </c>
      <c r="J3710" s="39" t="s">
        <v>286</v>
      </c>
      <c r="K3710" s="38"/>
      <c r="L3710" s="38"/>
    </row>
    <row r="3711" ht="22.5" customHeight="1">
      <c r="A3711" s="36" t="s">
        <v>8107</v>
      </c>
      <c r="B3711" s="36" t="s">
        <v>8108</v>
      </c>
      <c r="C3711" s="36" t="s">
        <v>1495</v>
      </c>
      <c r="D3711" s="36" t="s">
        <v>1496</v>
      </c>
      <c r="E3711" s="36" t="s">
        <v>1285</v>
      </c>
      <c r="F3711" s="36" t="s">
        <v>286</v>
      </c>
      <c r="G3711" s="36" t="s">
        <v>411</v>
      </c>
      <c r="H3711" s="37">
        <v>173.94</v>
      </c>
      <c r="I3711" s="36" t="s">
        <v>1301</v>
      </c>
      <c r="J3711" s="39" t="s">
        <v>286</v>
      </c>
      <c r="K3711" s="38"/>
      <c r="L3711" s="38"/>
    </row>
    <row r="3712" ht="22.5" customHeight="1">
      <c r="A3712" s="36" t="s">
        <v>8109</v>
      </c>
      <c r="B3712" s="36" t="s">
        <v>8110</v>
      </c>
      <c r="C3712" s="36" t="s">
        <v>1495</v>
      </c>
      <c r="D3712" s="36" t="s">
        <v>1496</v>
      </c>
      <c r="E3712" s="36" t="s">
        <v>1285</v>
      </c>
      <c r="F3712" s="36" t="s">
        <v>286</v>
      </c>
      <c r="G3712" s="36" t="s">
        <v>411</v>
      </c>
      <c r="H3712" s="37">
        <v>212.6</v>
      </c>
      <c r="I3712" s="36" t="s">
        <v>1301</v>
      </c>
      <c r="J3712" s="39" t="s">
        <v>286</v>
      </c>
      <c r="K3712" s="38"/>
      <c r="L3712" s="38"/>
    </row>
    <row r="3713" ht="22.5" customHeight="1">
      <c r="A3713" s="36" t="s">
        <v>8111</v>
      </c>
      <c r="B3713" s="36" t="s">
        <v>8112</v>
      </c>
      <c r="C3713" s="36" t="s">
        <v>1495</v>
      </c>
      <c r="D3713" s="36" t="s">
        <v>1496</v>
      </c>
      <c r="E3713" s="36" t="s">
        <v>1285</v>
      </c>
      <c r="F3713" s="36" t="s">
        <v>286</v>
      </c>
      <c r="G3713" s="36" t="s">
        <v>411</v>
      </c>
      <c r="H3713" s="37">
        <v>232.53</v>
      </c>
      <c r="I3713" s="36" t="s">
        <v>1301</v>
      </c>
      <c r="J3713" s="39" t="s">
        <v>286</v>
      </c>
      <c r="K3713" s="38"/>
      <c r="L3713" s="38"/>
    </row>
    <row r="3714" ht="22.5" customHeight="1">
      <c r="A3714" s="36" t="s">
        <v>8113</v>
      </c>
      <c r="B3714" s="36" t="s">
        <v>8114</v>
      </c>
      <c r="C3714" s="36" t="s">
        <v>1495</v>
      </c>
      <c r="D3714" s="36" t="s">
        <v>1496</v>
      </c>
      <c r="E3714" s="36" t="s">
        <v>1285</v>
      </c>
      <c r="F3714" s="36" t="s">
        <v>286</v>
      </c>
      <c r="G3714" s="36" t="s">
        <v>411</v>
      </c>
      <c r="H3714" s="37">
        <v>284.21</v>
      </c>
      <c r="I3714" s="36" t="s">
        <v>1301</v>
      </c>
      <c r="J3714" s="39" t="s">
        <v>286</v>
      </c>
      <c r="K3714" s="38"/>
      <c r="L3714" s="38"/>
    </row>
    <row r="3715" ht="22.5" customHeight="1">
      <c r="A3715" s="36" t="s">
        <v>8115</v>
      </c>
      <c r="B3715" s="36" t="s">
        <v>8116</v>
      </c>
      <c r="C3715" s="36" t="s">
        <v>1495</v>
      </c>
      <c r="D3715" s="36" t="s">
        <v>1496</v>
      </c>
      <c r="E3715" s="36" t="s">
        <v>1285</v>
      </c>
      <c r="F3715" s="36" t="s">
        <v>286</v>
      </c>
      <c r="G3715" s="36" t="s">
        <v>411</v>
      </c>
      <c r="H3715" s="37">
        <v>43.02</v>
      </c>
      <c r="I3715" s="36" t="s">
        <v>1301</v>
      </c>
      <c r="J3715" s="39" t="s">
        <v>286</v>
      </c>
      <c r="K3715" s="38"/>
      <c r="L3715" s="38"/>
    </row>
    <row r="3716" ht="22.5" customHeight="1">
      <c r="A3716" s="36" t="s">
        <v>8117</v>
      </c>
      <c r="B3716" s="36" t="s">
        <v>8118</v>
      </c>
      <c r="C3716" s="36" t="s">
        <v>1495</v>
      </c>
      <c r="D3716" s="36" t="s">
        <v>1496</v>
      </c>
      <c r="E3716" s="36" t="s">
        <v>1285</v>
      </c>
      <c r="F3716" s="36" t="s">
        <v>286</v>
      </c>
      <c r="G3716" s="36" t="s">
        <v>411</v>
      </c>
      <c r="H3716" s="37">
        <v>15.87</v>
      </c>
      <c r="I3716" s="36" t="s">
        <v>1301</v>
      </c>
      <c r="J3716" s="39" t="s">
        <v>286</v>
      </c>
      <c r="K3716" s="38"/>
      <c r="L3716" s="38"/>
    </row>
    <row r="3717" ht="22.5" customHeight="1">
      <c r="A3717" s="36" t="s">
        <v>8119</v>
      </c>
      <c r="B3717" s="36" t="s">
        <v>8120</v>
      </c>
      <c r="C3717" s="36" t="s">
        <v>1495</v>
      </c>
      <c r="D3717" s="36" t="s">
        <v>1496</v>
      </c>
      <c r="E3717" s="36" t="s">
        <v>1285</v>
      </c>
      <c r="F3717" s="36" t="s">
        <v>286</v>
      </c>
      <c r="G3717" s="36" t="s">
        <v>411</v>
      </c>
      <c r="H3717" s="37">
        <v>3.36</v>
      </c>
      <c r="I3717" s="36" t="s">
        <v>1301</v>
      </c>
      <c r="J3717" s="39" t="s">
        <v>286</v>
      </c>
      <c r="K3717" s="38"/>
      <c r="L3717" s="38"/>
    </row>
    <row r="3718" ht="22.5" customHeight="1">
      <c r="A3718" s="36" t="s">
        <v>8121</v>
      </c>
      <c r="B3718" s="36" t="s">
        <v>8122</v>
      </c>
      <c r="C3718" s="36" t="s">
        <v>1495</v>
      </c>
      <c r="D3718" s="36" t="s">
        <v>1496</v>
      </c>
      <c r="E3718" s="36" t="s">
        <v>1285</v>
      </c>
      <c r="F3718" s="36" t="s">
        <v>286</v>
      </c>
      <c r="G3718" s="36" t="s">
        <v>411</v>
      </c>
      <c r="H3718" s="37">
        <v>180.0</v>
      </c>
      <c r="I3718" s="36" t="s">
        <v>1301</v>
      </c>
      <c r="J3718" s="39" t="s">
        <v>286</v>
      </c>
      <c r="K3718" s="38"/>
      <c r="L3718" s="38"/>
    </row>
    <row r="3719" ht="22.5" customHeight="1">
      <c r="A3719" s="36" t="s">
        <v>8123</v>
      </c>
      <c r="B3719" s="36" t="s">
        <v>8124</v>
      </c>
      <c r="C3719" s="36" t="s">
        <v>286</v>
      </c>
      <c r="D3719" s="36" t="s">
        <v>286</v>
      </c>
      <c r="E3719" s="36" t="s">
        <v>287</v>
      </c>
      <c r="F3719" s="36" t="s">
        <v>286</v>
      </c>
      <c r="G3719" s="36" t="s">
        <v>411</v>
      </c>
      <c r="H3719" s="37">
        <v>30.78</v>
      </c>
      <c r="I3719" s="36" t="s">
        <v>1301</v>
      </c>
      <c r="J3719" s="39" t="s">
        <v>286</v>
      </c>
      <c r="K3719" s="38"/>
      <c r="L3719" s="38"/>
    </row>
    <row r="3720" ht="22.5" customHeight="1">
      <c r="A3720" s="36" t="s">
        <v>8125</v>
      </c>
      <c r="B3720" s="36" t="s">
        <v>8126</v>
      </c>
      <c r="C3720" s="36" t="s">
        <v>1495</v>
      </c>
      <c r="D3720" s="36" t="s">
        <v>1496</v>
      </c>
      <c r="E3720" s="36" t="s">
        <v>1285</v>
      </c>
      <c r="F3720" s="36" t="s">
        <v>286</v>
      </c>
      <c r="G3720" s="36" t="s">
        <v>411</v>
      </c>
      <c r="H3720" s="37">
        <v>13.45</v>
      </c>
      <c r="I3720" s="36" t="s">
        <v>1301</v>
      </c>
      <c r="J3720" s="39" t="s">
        <v>286</v>
      </c>
      <c r="K3720" s="38"/>
      <c r="L3720" s="38"/>
    </row>
    <row r="3721" ht="22.5" customHeight="1">
      <c r="A3721" s="36" t="s">
        <v>8127</v>
      </c>
      <c r="B3721" s="36" t="s">
        <v>8128</v>
      </c>
      <c r="C3721" s="36" t="s">
        <v>1495</v>
      </c>
      <c r="D3721" s="36" t="s">
        <v>1496</v>
      </c>
      <c r="E3721" s="36" t="s">
        <v>287</v>
      </c>
      <c r="F3721" s="36" t="s">
        <v>286</v>
      </c>
      <c r="G3721" s="36" t="s">
        <v>411</v>
      </c>
      <c r="H3721" s="37">
        <v>1998.66</v>
      </c>
      <c r="I3721" s="36" t="s">
        <v>1301</v>
      </c>
      <c r="J3721" s="39" t="s">
        <v>286</v>
      </c>
      <c r="K3721" s="38"/>
      <c r="L3721" s="38"/>
    </row>
    <row r="3722" ht="22.5" customHeight="1">
      <c r="A3722" s="36" t="s">
        <v>8129</v>
      </c>
      <c r="B3722" s="36" t="s">
        <v>8130</v>
      </c>
      <c r="C3722" s="36" t="s">
        <v>1495</v>
      </c>
      <c r="D3722" s="36" t="s">
        <v>1496</v>
      </c>
      <c r="E3722" s="36" t="s">
        <v>287</v>
      </c>
      <c r="F3722" s="36" t="s">
        <v>286</v>
      </c>
      <c r="G3722" s="36" t="s">
        <v>411</v>
      </c>
      <c r="H3722" s="37">
        <v>48.34</v>
      </c>
      <c r="I3722" s="36" t="s">
        <v>1301</v>
      </c>
      <c r="J3722" s="39" t="s">
        <v>286</v>
      </c>
      <c r="K3722" s="38"/>
      <c r="L3722" s="38"/>
    </row>
    <row r="3723" ht="22.5" customHeight="1">
      <c r="A3723" s="36" t="s">
        <v>8131</v>
      </c>
      <c r="B3723" s="36" t="s">
        <v>8132</v>
      </c>
      <c r="C3723" s="36" t="s">
        <v>1495</v>
      </c>
      <c r="D3723" s="36" t="s">
        <v>1496</v>
      </c>
      <c r="E3723" s="36" t="s">
        <v>287</v>
      </c>
      <c r="F3723" s="36" t="s">
        <v>286</v>
      </c>
      <c r="G3723" s="36" t="s">
        <v>411</v>
      </c>
      <c r="H3723" s="37">
        <v>84.36</v>
      </c>
      <c r="I3723" s="36" t="s">
        <v>1301</v>
      </c>
      <c r="J3723" s="39" t="s">
        <v>286</v>
      </c>
      <c r="K3723" s="38"/>
      <c r="L3723" s="38"/>
    </row>
    <row r="3724" ht="22.5" customHeight="1">
      <c r="A3724" s="36" t="s">
        <v>8133</v>
      </c>
      <c r="B3724" s="36" t="s">
        <v>8134</v>
      </c>
      <c r="C3724" s="36" t="s">
        <v>1495</v>
      </c>
      <c r="D3724" s="36" t="s">
        <v>1496</v>
      </c>
      <c r="E3724" s="36" t="s">
        <v>287</v>
      </c>
      <c r="F3724" s="36" t="s">
        <v>286</v>
      </c>
      <c r="G3724" s="36" t="s">
        <v>411</v>
      </c>
      <c r="H3724" s="37">
        <v>181.91</v>
      </c>
      <c r="I3724" s="36" t="s">
        <v>1301</v>
      </c>
      <c r="J3724" s="39" t="s">
        <v>286</v>
      </c>
      <c r="K3724" s="38"/>
      <c r="L3724" s="38"/>
    </row>
    <row r="3725" ht="22.5" customHeight="1">
      <c r="A3725" s="36" t="s">
        <v>8135</v>
      </c>
      <c r="B3725" s="36" t="s">
        <v>8136</v>
      </c>
      <c r="C3725" s="36" t="s">
        <v>1495</v>
      </c>
      <c r="D3725" s="36" t="s">
        <v>1496</v>
      </c>
      <c r="E3725" s="36" t="s">
        <v>287</v>
      </c>
      <c r="F3725" s="36" t="s">
        <v>286</v>
      </c>
      <c r="G3725" s="36" t="s">
        <v>411</v>
      </c>
      <c r="H3725" s="37">
        <v>59.87</v>
      </c>
      <c r="I3725" s="36" t="s">
        <v>1301</v>
      </c>
      <c r="J3725" s="39" t="s">
        <v>286</v>
      </c>
      <c r="K3725" s="38"/>
      <c r="L3725" s="38"/>
    </row>
    <row r="3726" ht="22.5" customHeight="1">
      <c r="A3726" s="36" t="s">
        <v>8137</v>
      </c>
      <c r="B3726" s="36" t="s">
        <v>8138</v>
      </c>
      <c r="C3726" s="36" t="s">
        <v>1495</v>
      </c>
      <c r="D3726" s="36" t="s">
        <v>1496</v>
      </c>
      <c r="E3726" s="36" t="s">
        <v>287</v>
      </c>
      <c r="F3726" s="36" t="s">
        <v>286</v>
      </c>
      <c r="G3726" s="36" t="s">
        <v>411</v>
      </c>
      <c r="H3726" s="37">
        <v>103.43</v>
      </c>
      <c r="I3726" s="36" t="s">
        <v>1301</v>
      </c>
      <c r="J3726" s="39" t="s">
        <v>286</v>
      </c>
      <c r="K3726" s="38"/>
      <c r="L3726" s="38"/>
    </row>
    <row r="3727" ht="22.5" customHeight="1">
      <c r="A3727" s="36" t="s">
        <v>8139</v>
      </c>
      <c r="B3727" s="36" t="s">
        <v>8140</v>
      </c>
      <c r="C3727" s="36" t="s">
        <v>1495</v>
      </c>
      <c r="D3727" s="36" t="s">
        <v>1496</v>
      </c>
      <c r="E3727" s="36" t="s">
        <v>287</v>
      </c>
      <c r="F3727" s="36" t="s">
        <v>286</v>
      </c>
      <c r="G3727" s="36" t="s">
        <v>411</v>
      </c>
      <c r="H3727" s="37">
        <v>112.7</v>
      </c>
      <c r="I3727" s="36" t="s">
        <v>1301</v>
      </c>
      <c r="J3727" s="39" t="s">
        <v>286</v>
      </c>
      <c r="K3727" s="38"/>
      <c r="L3727" s="38"/>
    </row>
    <row r="3728" ht="22.5" customHeight="1">
      <c r="A3728" s="36" t="s">
        <v>8141</v>
      </c>
      <c r="B3728" s="36" t="s">
        <v>8142</v>
      </c>
      <c r="C3728" s="36" t="s">
        <v>1495</v>
      </c>
      <c r="D3728" s="36" t="s">
        <v>1496</v>
      </c>
      <c r="E3728" s="36" t="s">
        <v>287</v>
      </c>
      <c r="F3728" s="36" t="s">
        <v>286</v>
      </c>
      <c r="G3728" s="36" t="s">
        <v>411</v>
      </c>
      <c r="H3728" s="37">
        <v>1052.65</v>
      </c>
      <c r="I3728" s="36" t="s">
        <v>1301</v>
      </c>
      <c r="J3728" s="39" t="s">
        <v>286</v>
      </c>
      <c r="K3728" s="38"/>
      <c r="L3728" s="38"/>
    </row>
    <row r="3729" ht="22.5" customHeight="1">
      <c r="A3729" s="36" t="s">
        <v>8143</v>
      </c>
      <c r="B3729" s="36" t="s">
        <v>8144</v>
      </c>
      <c r="C3729" s="36" t="s">
        <v>1495</v>
      </c>
      <c r="D3729" s="36" t="s">
        <v>1496</v>
      </c>
      <c r="E3729" s="36" t="s">
        <v>287</v>
      </c>
      <c r="F3729" s="36" t="s">
        <v>286</v>
      </c>
      <c r="G3729" s="36" t="s">
        <v>411</v>
      </c>
      <c r="H3729" s="37">
        <v>35.93</v>
      </c>
      <c r="I3729" s="36" t="s">
        <v>1301</v>
      </c>
      <c r="J3729" s="39" t="s">
        <v>286</v>
      </c>
      <c r="K3729" s="38"/>
      <c r="L3729" s="38"/>
    </row>
    <row r="3730" ht="22.5" customHeight="1">
      <c r="A3730" s="36" t="s">
        <v>8145</v>
      </c>
      <c r="B3730" s="36" t="s">
        <v>8146</v>
      </c>
      <c r="C3730" s="36" t="s">
        <v>1495</v>
      </c>
      <c r="D3730" s="36" t="s">
        <v>1496</v>
      </c>
      <c r="E3730" s="36" t="s">
        <v>287</v>
      </c>
      <c r="F3730" s="36" t="s">
        <v>286</v>
      </c>
      <c r="G3730" s="36" t="s">
        <v>411</v>
      </c>
      <c r="H3730" s="37">
        <v>25.8</v>
      </c>
      <c r="I3730" s="36" t="s">
        <v>1301</v>
      </c>
      <c r="J3730" s="39" t="s">
        <v>286</v>
      </c>
      <c r="K3730" s="38"/>
      <c r="L3730" s="38"/>
    </row>
    <row r="3731" ht="22.5" customHeight="1">
      <c r="A3731" s="36" t="s">
        <v>8147</v>
      </c>
      <c r="B3731" s="36" t="s">
        <v>8148</v>
      </c>
      <c r="C3731" s="36" t="s">
        <v>1495</v>
      </c>
      <c r="D3731" s="36" t="s">
        <v>1496</v>
      </c>
      <c r="E3731" s="36" t="s">
        <v>287</v>
      </c>
      <c r="F3731" s="36" t="s">
        <v>286</v>
      </c>
      <c r="G3731" s="36" t="s">
        <v>411</v>
      </c>
      <c r="H3731" s="37">
        <v>32.5</v>
      </c>
      <c r="I3731" s="36" t="s">
        <v>1301</v>
      </c>
      <c r="J3731" s="39" t="s">
        <v>286</v>
      </c>
      <c r="K3731" s="38"/>
      <c r="L3731" s="38"/>
    </row>
    <row r="3732" ht="22.5" customHeight="1">
      <c r="A3732" s="36" t="s">
        <v>8149</v>
      </c>
      <c r="B3732" s="36" t="s">
        <v>8150</v>
      </c>
      <c r="C3732" s="36" t="s">
        <v>1495</v>
      </c>
      <c r="D3732" s="36" t="s">
        <v>1496</v>
      </c>
      <c r="E3732" s="36" t="s">
        <v>287</v>
      </c>
      <c r="F3732" s="36" t="s">
        <v>286</v>
      </c>
      <c r="G3732" s="36" t="s">
        <v>411</v>
      </c>
      <c r="H3732" s="37">
        <v>21.99</v>
      </c>
      <c r="I3732" s="36" t="s">
        <v>1301</v>
      </c>
      <c r="J3732" s="39" t="s">
        <v>286</v>
      </c>
      <c r="K3732" s="38"/>
      <c r="L3732" s="38"/>
    </row>
    <row r="3733" ht="22.5" customHeight="1">
      <c r="A3733" s="36" t="s">
        <v>8151</v>
      </c>
      <c r="B3733" s="36" t="s">
        <v>8152</v>
      </c>
      <c r="C3733" s="36" t="s">
        <v>1495</v>
      </c>
      <c r="D3733" s="36" t="s">
        <v>1496</v>
      </c>
      <c r="E3733" s="36" t="s">
        <v>287</v>
      </c>
      <c r="F3733" s="36" t="s">
        <v>286</v>
      </c>
      <c r="G3733" s="36" t="s">
        <v>411</v>
      </c>
      <c r="H3733" s="37">
        <v>20.94</v>
      </c>
      <c r="I3733" s="36" t="s">
        <v>1301</v>
      </c>
      <c r="J3733" s="39" t="s">
        <v>286</v>
      </c>
      <c r="K3733" s="38"/>
      <c r="L3733" s="38"/>
    </row>
    <row r="3734" ht="22.5" customHeight="1">
      <c r="A3734" s="36" t="s">
        <v>8153</v>
      </c>
      <c r="B3734" s="36" t="s">
        <v>8154</v>
      </c>
      <c r="C3734" s="36" t="s">
        <v>286</v>
      </c>
      <c r="D3734" s="36" t="s">
        <v>286</v>
      </c>
      <c r="E3734" s="36" t="s">
        <v>287</v>
      </c>
      <c r="F3734" s="36" t="s">
        <v>286</v>
      </c>
      <c r="G3734" s="36" t="s">
        <v>411</v>
      </c>
      <c r="H3734" s="37">
        <v>20.31</v>
      </c>
      <c r="I3734" s="36" t="s">
        <v>1301</v>
      </c>
      <c r="J3734" s="39" t="s">
        <v>286</v>
      </c>
      <c r="K3734" s="38"/>
      <c r="L3734" s="38"/>
    </row>
    <row r="3735" ht="22.5" customHeight="1">
      <c r="A3735" s="36" t="s">
        <v>8155</v>
      </c>
      <c r="B3735" s="36" t="s">
        <v>8156</v>
      </c>
      <c r="C3735" s="36" t="s">
        <v>1495</v>
      </c>
      <c r="D3735" s="36" t="s">
        <v>1496</v>
      </c>
      <c r="E3735" s="36" t="s">
        <v>287</v>
      </c>
      <c r="F3735" s="36" t="s">
        <v>286</v>
      </c>
      <c r="G3735" s="36" t="s">
        <v>411</v>
      </c>
      <c r="H3735" s="37">
        <v>6.52</v>
      </c>
      <c r="I3735" s="36" t="s">
        <v>1301</v>
      </c>
      <c r="J3735" s="39" t="s">
        <v>286</v>
      </c>
      <c r="K3735" s="38"/>
      <c r="L3735" s="38"/>
    </row>
    <row r="3736" ht="22.5" customHeight="1">
      <c r="A3736" s="36" t="s">
        <v>8157</v>
      </c>
      <c r="B3736" s="36" t="s">
        <v>8158</v>
      </c>
      <c r="C3736" s="36" t="s">
        <v>1495</v>
      </c>
      <c r="D3736" s="36" t="s">
        <v>1496</v>
      </c>
      <c r="E3736" s="36" t="s">
        <v>287</v>
      </c>
      <c r="F3736" s="36" t="s">
        <v>286</v>
      </c>
      <c r="G3736" s="36" t="s">
        <v>411</v>
      </c>
      <c r="H3736" s="37">
        <v>40.27</v>
      </c>
      <c r="I3736" s="36" t="s">
        <v>1301</v>
      </c>
      <c r="J3736" s="39" t="s">
        <v>286</v>
      </c>
      <c r="K3736" s="38"/>
      <c r="L3736" s="38"/>
    </row>
    <row r="3737" ht="22.5" customHeight="1">
      <c r="A3737" s="36" t="s">
        <v>8159</v>
      </c>
      <c r="B3737" s="36" t="s">
        <v>8160</v>
      </c>
      <c r="C3737" s="36" t="s">
        <v>1495</v>
      </c>
      <c r="D3737" s="36" t="s">
        <v>1496</v>
      </c>
      <c r="E3737" s="36" t="s">
        <v>287</v>
      </c>
      <c r="F3737" s="36" t="s">
        <v>286</v>
      </c>
      <c r="G3737" s="36" t="s">
        <v>411</v>
      </c>
      <c r="H3737" s="37">
        <v>19.6</v>
      </c>
      <c r="I3737" s="36" t="s">
        <v>1301</v>
      </c>
      <c r="J3737" s="39" t="s">
        <v>286</v>
      </c>
      <c r="K3737" s="38"/>
      <c r="L3737" s="38"/>
    </row>
    <row r="3738" ht="22.5" customHeight="1">
      <c r="A3738" s="36" t="s">
        <v>8161</v>
      </c>
      <c r="B3738" s="36" t="s">
        <v>8162</v>
      </c>
      <c r="C3738" s="36" t="s">
        <v>1495</v>
      </c>
      <c r="D3738" s="36" t="s">
        <v>1496</v>
      </c>
      <c r="E3738" s="36" t="s">
        <v>287</v>
      </c>
      <c r="F3738" s="36" t="s">
        <v>286</v>
      </c>
      <c r="G3738" s="36" t="s">
        <v>411</v>
      </c>
      <c r="H3738" s="37">
        <v>36.51</v>
      </c>
      <c r="I3738" s="36" t="s">
        <v>1301</v>
      </c>
      <c r="J3738" s="39" t="s">
        <v>286</v>
      </c>
      <c r="K3738" s="38"/>
      <c r="L3738" s="38"/>
    </row>
    <row r="3739" ht="22.5" customHeight="1">
      <c r="A3739" s="36" t="s">
        <v>8163</v>
      </c>
      <c r="B3739" s="36" t="s">
        <v>8164</v>
      </c>
      <c r="C3739" s="36" t="s">
        <v>1495</v>
      </c>
      <c r="D3739" s="36" t="s">
        <v>1496</v>
      </c>
      <c r="E3739" s="36" t="s">
        <v>287</v>
      </c>
      <c r="F3739" s="36" t="s">
        <v>286</v>
      </c>
      <c r="G3739" s="36" t="s">
        <v>411</v>
      </c>
      <c r="H3739" s="37">
        <v>23.82</v>
      </c>
      <c r="I3739" s="36" t="s">
        <v>1301</v>
      </c>
      <c r="J3739" s="39" t="s">
        <v>286</v>
      </c>
      <c r="K3739" s="38"/>
      <c r="L3739" s="38"/>
    </row>
    <row r="3740" ht="22.5" customHeight="1">
      <c r="A3740" s="36" t="s">
        <v>8165</v>
      </c>
      <c r="B3740" s="36" t="s">
        <v>8166</v>
      </c>
      <c r="C3740" s="36" t="s">
        <v>1495</v>
      </c>
      <c r="D3740" s="36" t="s">
        <v>1496</v>
      </c>
      <c r="E3740" s="36" t="s">
        <v>287</v>
      </c>
      <c r="F3740" s="36" t="s">
        <v>286</v>
      </c>
      <c r="G3740" s="36" t="s">
        <v>411</v>
      </c>
      <c r="H3740" s="37">
        <v>24.74</v>
      </c>
      <c r="I3740" s="36" t="s">
        <v>1301</v>
      </c>
      <c r="J3740" s="39" t="s">
        <v>286</v>
      </c>
      <c r="K3740" s="38"/>
      <c r="L3740" s="38"/>
    </row>
    <row r="3741" ht="22.5" customHeight="1">
      <c r="A3741" s="36" t="s">
        <v>8167</v>
      </c>
      <c r="B3741" s="36" t="s">
        <v>8168</v>
      </c>
      <c r="C3741" s="36" t="s">
        <v>1495</v>
      </c>
      <c r="D3741" s="36" t="s">
        <v>1496</v>
      </c>
      <c r="E3741" s="36" t="s">
        <v>287</v>
      </c>
      <c r="F3741" s="36" t="s">
        <v>286</v>
      </c>
      <c r="G3741" s="36" t="s">
        <v>411</v>
      </c>
      <c r="H3741" s="37">
        <v>21.11</v>
      </c>
      <c r="I3741" s="36" t="s">
        <v>1301</v>
      </c>
      <c r="J3741" s="39" t="s">
        <v>286</v>
      </c>
      <c r="K3741" s="38"/>
      <c r="L3741" s="38"/>
    </row>
    <row r="3742" ht="22.5" customHeight="1">
      <c r="A3742" s="36" t="s">
        <v>8169</v>
      </c>
      <c r="B3742" s="36" t="s">
        <v>8170</v>
      </c>
      <c r="C3742" s="36" t="s">
        <v>1495</v>
      </c>
      <c r="D3742" s="36" t="s">
        <v>1496</v>
      </c>
      <c r="E3742" s="36" t="s">
        <v>287</v>
      </c>
      <c r="F3742" s="36" t="s">
        <v>286</v>
      </c>
      <c r="G3742" s="36" t="s">
        <v>411</v>
      </c>
      <c r="H3742" s="37">
        <v>27.94</v>
      </c>
      <c r="I3742" s="36" t="s">
        <v>1301</v>
      </c>
      <c r="J3742" s="39" t="s">
        <v>286</v>
      </c>
      <c r="K3742" s="38"/>
      <c r="L3742" s="38"/>
    </row>
    <row r="3743" ht="22.5" customHeight="1">
      <c r="A3743" s="36" t="s">
        <v>8171</v>
      </c>
      <c r="B3743" s="36" t="s">
        <v>8172</v>
      </c>
      <c r="C3743" s="36" t="s">
        <v>1495</v>
      </c>
      <c r="D3743" s="36" t="s">
        <v>1496</v>
      </c>
      <c r="E3743" s="36" t="s">
        <v>287</v>
      </c>
      <c r="F3743" s="36" t="s">
        <v>286</v>
      </c>
      <c r="G3743" s="36" t="s">
        <v>411</v>
      </c>
      <c r="H3743" s="37">
        <v>37.52</v>
      </c>
      <c r="I3743" s="36" t="s">
        <v>1301</v>
      </c>
      <c r="J3743" s="39" t="s">
        <v>286</v>
      </c>
      <c r="K3743" s="38"/>
      <c r="L3743" s="38"/>
    </row>
    <row r="3744" ht="22.5" customHeight="1">
      <c r="A3744" s="36" t="s">
        <v>8173</v>
      </c>
      <c r="B3744" s="36" t="s">
        <v>8174</v>
      </c>
      <c r="C3744" s="36" t="s">
        <v>1495</v>
      </c>
      <c r="D3744" s="36" t="s">
        <v>1496</v>
      </c>
      <c r="E3744" s="36" t="s">
        <v>287</v>
      </c>
      <c r="F3744" s="36" t="s">
        <v>286</v>
      </c>
      <c r="G3744" s="36" t="s">
        <v>411</v>
      </c>
      <c r="H3744" s="37">
        <v>20.06</v>
      </c>
      <c r="I3744" s="36" t="s">
        <v>1301</v>
      </c>
      <c r="J3744" s="39" t="s">
        <v>286</v>
      </c>
      <c r="K3744" s="38"/>
      <c r="L3744" s="38"/>
    </row>
    <row r="3745" ht="22.5" customHeight="1">
      <c r="A3745" s="36" t="s">
        <v>8175</v>
      </c>
      <c r="B3745" s="36" t="s">
        <v>8176</v>
      </c>
      <c r="C3745" s="36" t="s">
        <v>1495</v>
      </c>
      <c r="D3745" s="36" t="s">
        <v>1496</v>
      </c>
      <c r="E3745" s="36" t="s">
        <v>287</v>
      </c>
      <c r="F3745" s="36" t="s">
        <v>286</v>
      </c>
      <c r="G3745" s="36" t="s">
        <v>411</v>
      </c>
      <c r="H3745" s="37">
        <v>6.11</v>
      </c>
      <c r="I3745" s="36" t="s">
        <v>1301</v>
      </c>
      <c r="J3745" s="39" t="s">
        <v>286</v>
      </c>
      <c r="K3745" s="38"/>
      <c r="L3745" s="38"/>
    </row>
    <row r="3746" ht="22.5" customHeight="1">
      <c r="A3746" s="36" t="s">
        <v>8177</v>
      </c>
      <c r="B3746" s="36" t="s">
        <v>8178</v>
      </c>
      <c r="C3746" s="36" t="s">
        <v>1495</v>
      </c>
      <c r="D3746" s="36" t="s">
        <v>1496</v>
      </c>
      <c r="E3746" s="36" t="s">
        <v>287</v>
      </c>
      <c r="F3746" s="36" t="s">
        <v>286</v>
      </c>
      <c r="G3746" s="36" t="s">
        <v>411</v>
      </c>
      <c r="H3746" s="37">
        <v>38.53</v>
      </c>
      <c r="I3746" s="36" t="s">
        <v>1301</v>
      </c>
      <c r="J3746" s="39" t="s">
        <v>286</v>
      </c>
      <c r="K3746" s="38"/>
      <c r="L3746" s="38"/>
    </row>
    <row r="3747" ht="22.5" customHeight="1">
      <c r="A3747" s="36" t="s">
        <v>8179</v>
      </c>
      <c r="B3747" s="36" t="s">
        <v>8180</v>
      </c>
      <c r="C3747" s="36" t="s">
        <v>1495</v>
      </c>
      <c r="D3747" s="36" t="s">
        <v>1496</v>
      </c>
      <c r="E3747" s="36" t="s">
        <v>287</v>
      </c>
      <c r="F3747" s="36" t="s">
        <v>286</v>
      </c>
      <c r="G3747" s="36" t="s">
        <v>411</v>
      </c>
      <c r="H3747" s="37">
        <v>758.52</v>
      </c>
      <c r="I3747" s="36" t="s">
        <v>1301</v>
      </c>
      <c r="J3747" s="39" t="s">
        <v>286</v>
      </c>
      <c r="K3747" s="38"/>
      <c r="L3747" s="38"/>
    </row>
    <row r="3748" ht="22.5" customHeight="1">
      <c r="A3748" s="36" t="s">
        <v>8181</v>
      </c>
      <c r="B3748" s="36" t="s">
        <v>8182</v>
      </c>
      <c r="C3748" s="36" t="s">
        <v>1495</v>
      </c>
      <c r="D3748" s="36" t="s">
        <v>1496</v>
      </c>
      <c r="E3748" s="36" t="s">
        <v>287</v>
      </c>
      <c r="F3748" s="36" t="s">
        <v>286</v>
      </c>
      <c r="G3748" s="36" t="s">
        <v>411</v>
      </c>
      <c r="H3748" s="37">
        <v>76.35</v>
      </c>
      <c r="I3748" s="36" t="s">
        <v>1301</v>
      </c>
      <c r="J3748" s="39" t="s">
        <v>286</v>
      </c>
      <c r="K3748" s="38"/>
      <c r="L3748" s="38"/>
    </row>
    <row r="3749" ht="22.5" customHeight="1">
      <c r="A3749" s="36" t="s">
        <v>8183</v>
      </c>
      <c r="B3749" s="36" t="s">
        <v>8184</v>
      </c>
      <c r="C3749" s="36" t="s">
        <v>1495</v>
      </c>
      <c r="D3749" s="36" t="s">
        <v>1496</v>
      </c>
      <c r="E3749" s="36" t="s">
        <v>287</v>
      </c>
      <c r="F3749" s="36" t="s">
        <v>286</v>
      </c>
      <c r="G3749" s="36" t="s">
        <v>411</v>
      </c>
      <c r="H3749" s="37">
        <v>70.31</v>
      </c>
      <c r="I3749" s="36" t="s">
        <v>1301</v>
      </c>
      <c r="J3749" s="39" t="s">
        <v>286</v>
      </c>
      <c r="K3749" s="38"/>
      <c r="L3749" s="38"/>
    </row>
    <row r="3750" ht="22.5" customHeight="1">
      <c r="A3750" s="36" t="s">
        <v>8185</v>
      </c>
      <c r="B3750" s="36" t="s">
        <v>141</v>
      </c>
      <c r="C3750" s="36" t="s">
        <v>1495</v>
      </c>
      <c r="D3750" s="36" t="s">
        <v>1496</v>
      </c>
      <c r="E3750" s="36" t="s">
        <v>287</v>
      </c>
      <c r="F3750" s="36" t="s">
        <v>286</v>
      </c>
      <c r="G3750" s="36" t="s">
        <v>411</v>
      </c>
      <c r="H3750" s="37">
        <v>78.19</v>
      </c>
      <c r="I3750" s="36" t="s">
        <v>1301</v>
      </c>
      <c r="J3750" s="39" t="s">
        <v>286</v>
      </c>
      <c r="K3750" s="38"/>
      <c r="L3750" s="38"/>
    </row>
    <row r="3751" ht="22.5" customHeight="1">
      <c r="A3751" s="36" t="s">
        <v>8186</v>
      </c>
      <c r="B3751" s="36" t="s">
        <v>8187</v>
      </c>
      <c r="C3751" s="36" t="s">
        <v>1495</v>
      </c>
      <c r="D3751" s="36" t="s">
        <v>1496</v>
      </c>
      <c r="E3751" s="36" t="s">
        <v>287</v>
      </c>
      <c r="F3751" s="36" t="s">
        <v>286</v>
      </c>
      <c r="G3751" s="36" t="s">
        <v>411</v>
      </c>
      <c r="H3751" s="37">
        <v>26.7</v>
      </c>
      <c r="I3751" s="36" t="s">
        <v>1301</v>
      </c>
      <c r="J3751" s="39" t="s">
        <v>286</v>
      </c>
      <c r="K3751" s="38"/>
      <c r="L3751" s="38"/>
    </row>
    <row r="3752" ht="22.5" customHeight="1">
      <c r="A3752" s="36" t="s">
        <v>8188</v>
      </c>
      <c r="B3752" s="36" t="s">
        <v>8189</v>
      </c>
      <c r="C3752" s="36" t="s">
        <v>1495</v>
      </c>
      <c r="D3752" s="36" t="s">
        <v>1496</v>
      </c>
      <c r="E3752" s="36" t="s">
        <v>287</v>
      </c>
      <c r="F3752" s="36" t="s">
        <v>286</v>
      </c>
      <c r="G3752" s="36" t="s">
        <v>411</v>
      </c>
      <c r="H3752" s="37">
        <v>10.65</v>
      </c>
      <c r="I3752" s="36" t="s">
        <v>1301</v>
      </c>
      <c r="J3752" s="39" t="s">
        <v>286</v>
      </c>
      <c r="K3752" s="38"/>
      <c r="L3752" s="38"/>
    </row>
    <row r="3753" ht="22.5" customHeight="1">
      <c r="A3753" s="36" t="s">
        <v>8190</v>
      </c>
      <c r="B3753" s="36" t="s">
        <v>8191</v>
      </c>
      <c r="C3753" s="36" t="s">
        <v>1495</v>
      </c>
      <c r="D3753" s="36" t="s">
        <v>1496</v>
      </c>
      <c r="E3753" s="36" t="s">
        <v>287</v>
      </c>
      <c r="F3753" s="36" t="s">
        <v>286</v>
      </c>
      <c r="G3753" s="36" t="s">
        <v>411</v>
      </c>
      <c r="H3753" s="37">
        <v>10.45</v>
      </c>
      <c r="I3753" s="36" t="s">
        <v>1301</v>
      </c>
      <c r="J3753" s="39" t="s">
        <v>286</v>
      </c>
      <c r="K3753" s="38"/>
      <c r="L3753" s="38"/>
    </row>
    <row r="3754" ht="22.5" customHeight="1">
      <c r="A3754" s="36" t="s">
        <v>8192</v>
      </c>
      <c r="B3754" s="36" t="s">
        <v>8193</v>
      </c>
      <c r="C3754" s="36" t="s">
        <v>1495</v>
      </c>
      <c r="D3754" s="36" t="s">
        <v>1496</v>
      </c>
      <c r="E3754" s="36" t="s">
        <v>287</v>
      </c>
      <c r="F3754" s="36" t="s">
        <v>286</v>
      </c>
      <c r="G3754" s="36" t="s">
        <v>411</v>
      </c>
      <c r="H3754" s="37">
        <v>36.13</v>
      </c>
      <c r="I3754" s="36" t="s">
        <v>1301</v>
      </c>
      <c r="J3754" s="39" t="s">
        <v>286</v>
      </c>
      <c r="K3754" s="38"/>
      <c r="L3754" s="38"/>
    </row>
    <row r="3755" ht="22.5" customHeight="1">
      <c r="A3755" s="36" t="s">
        <v>8194</v>
      </c>
      <c r="B3755" s="36" t="s">
        <v>8195</v>
      </c>
      <c r="C3755" s="36" t="s">
        <v>1495</v>
      </c>
      <c r="D3755" s="36" t="s">
        <v>1496</v>
      </c>
      <c r="E3755" s="36" t="s">
        <v>287</v>
      </c>
      <c r="F3755" s="36" t="s">
        <v>286</v>
      </c>
      <c r="G3755" s="36" t="s">
        <v>411</v>
      </c>
      <c r="H3755" s="37">
        <v>33.89</v>
      </c>
      <c r="I3755" s="36" t="s">
        <v>1301</v>
      </c>
      <c r="J3755" s="39" t="s">
        <v>286</v>
      </c>
      <c r="K3755" s="38"/>
      <c r="L3755" s="38"/>
    </row>
    <row r="3756" ht="22.5" customHeight="1">
      <c r="A3756" s="36" t="s">
        <v>8196</v>
      </c>
      <c r="B3756" s="36" t="s">
        <v>8197</v>
      </c>
      <c r="C3756" s="36" t="s">
        <v>1495</v>
      </c>
      <c r="D3756" s="36" t="s">
        <v>1496</v>
      </c>
      <c r="E3756" s="36" t="s">
        <v>287</v>
      </c>
      <c r="F3756" s="36" t="s">
        <v>286</v>
      </c>
      <c r="G3756" s="36" t="s">
        <v>411</v>
      </c>
      <c r="H3756" s="37">
        <v>5.43</v>
      </c>
      <c r="I3756" s="36" t="s">
        <v>1301</v>
      </c>
      <c r="J3756" s="39" t="s">
        <v>286</v>
      </c>
      <c r="K3756" s="38"/>
      <c r="L3756" s="38"/>
    </row>
    <row r="3757" ht="22.5" customHeight="1">
      <c r="A3757" s="36" t="s">
        <v>8198</v>
      </c>
      <c r="B3757" s="36" t="s">
        <v>8199</v>
      </c>
      <c r="C3757" s="36" t="s">
        <v>1495</v>
      </c>
      <c r="D3757" s="36" t="s">
        <v>1496</v>
      </c>
      <c r="E3757" s="36" t="s">
        <v>287</v>
      </c>
      <c r="F3757" s="36" t="s">
        <v>286</v>
      </c>
      <c r="G3757" s="36" t="s">
        <v>411</v>
      </c>
      <c r="H3757" s="37">
        <v>95.63</v>
      </c>
      <c r="I3757" s="36" t="s">
        <v>1301</v>
      </c>
      <c r="J3757" s="39" t="s">
        <v>286</v>
      </c>
      <c r="K3757" s="38"/>
      <c r="L3757" s="38"/>
    </row>
    <row r="3758" ht="22.5" customHeight="1">
      <c r="A3758" s="36" t="s">
        <v>8200</v>
      </c>
      <c r="B3758" s="36" t="s">
        <v>8201</v>
      </c>
      <c r="C3758" s="36" t="s">
        <v>1495</v>
      </c>
      <c r="D3758" s="36" t="s">
        <v>1496</v>
      </c>
      <c r="E3758" s="36" t="s">
        <v>287</v>
      </c>
      <c r="F3758" s="36" t="s">
        <v>286</v>
      </c>
      <c r="G3758" s="36" t="s">
        <v>411</v>
      </c>
      <c r="H3758" s="37">
        <v>33.75</v>
      </c>
      <c r="I3758" s="36" t="s">
        <v>1301</v>
      </c>
      <c r="J3758" s="39" t="s">
        <v>286</v>
      </c>
      <c r="K3758" s="38"/>
      <c r="L3758" s="38"/>
    </row>
    <row r="3759" ht="22.5" customHeight="1">
      <c r="A3759" s="36" t="s">
        <v>8202</v>
      </c>
      <c r="B3759" s="36" t="s">
        <v>8203</v>
      </c>
      <c r="C3759" s="36" t="s">
        <v>1495</v>
      </c>
      <c r="D3759" s="36" t="s">
        <v>1496</v>
      </c>
      <c r="E3759" s="36" t="s">
        <v>287</v>
      </c>
      <c r="F3759" s="36" t="s">
        <v>286</v>
      </c>
      <c r="G3759" s="36" t="s">
        <v>411</v>
      </c>
      <c r="H3759" s="37">
        <v>31.25</v>
      </c>
      <c r="I3759" s="36" t="s">
        <v>1301</v>
      </c>
      <c r="J3759" s="39" t="s">
        <v>286</v>
      </c>
      <c r="K3759" s="38"/>
      <c r="L3759" s="38"/>
    </row>
    <row r="3760" ht="22.5" customHeight="1">
      <c r="A3760" s="36" t="s">
        <v>8204</v>
      </c>
      <c r="B3760" s="36" t="s">
        <v>8205</v>
      </c>
      <c r="C3760" s="36" t="s">
        <v>1495</v>
      </c>
      <c r="D3760" s="36" t="s">
        <v>1496</v>
      </c>
      <c r="E3760" s="36" t="s">
        <v>287</v>
      </c>
      <c r="F3760" s="36" t="s">
        <v>286</v>
      </c>
      <c r="G3760" s="36" t="s">
        <v>411</v>
      </c>
      <c r="H3760" s="37">
        <v>8.07</v>
      </c>
      <c r="I3760" s="36" t="s">
        <v>1301</v>
      </c>
      <c r="J3760" s="39" t="s">
        <v>286</v>
      </c>
      <c r="K3760" s="38"/>
      <c r="L3760" s="38"/>
    </row>
    <row r="3761" ht="22.5" customHeight="1">
      <c r="A3761" s="36" t="s">
        <v>8206</v>
      </c>
      <c r="B3761" s="36" t="s">
        <v>8207</v>
      </c>
      <c r="C3761" s="36" t="s">
        <v>1495</v>
      </c>
      <c r="D3761" s="36" t="s">
        <v>1496</v>
      </c>
      <c r="E3761" s="36" t="s">
        <v>287</v>
      </c>
      <c r="F3761" s="36" t="s">
        <v>286</v>
      </c>
      <c r="G3761" s="36" t="s">
        <v>411</v>
      </c>
      <c r="H3761" s="37">
        <v>7.22</v>
      </c>
      <c r="I3761" s="36" t="s">
        <v>1301</v>
      </c>
      <c r="J3761" s="39" t="s">
        <v>286</v>
      </c>
      <c r="K3761" s="38"/>
      <c r="L3761" s="38"/>
    </row>
    <row r="3762" ht="22.5" customHeight="1">
      <c r="A3762" s="36" t="s">
        <v>8208</v>
      </c>
      <c r="B3762" s="36" t="s">
        <v>8209</v>
      </c>
      <c r="C3762" s="36" t="s">
        <v>1495</v>
      </c>
      <c r="D3762" s="36" t="s">
        <v>1496</v>
      </c>
      <c r="E3762" s="36" t="s">
        <v>1285</v>
      </c>
      <c r="F3762" s="36" t="s">
        <v>286</v>
      </c>
      <c r="G3762" s="36" t="s">
        <v>411</v>
      </c>
      <c r="H3762" s="37">
        <v>146.74</v>
      </c>
      <c r="I3762" s="36" t="s">
        <v>1301</v>
      </c>
      <c r="J3762" s="39" t="s">
        <v>286</v>
      </c>
      <c r="K3762" s="38"/>
      <c r="L3762" s="38"/>
    </row>
    <row r="3763" ht="22.5" customHeight="1">
      <c r="A3763" s="36" t="s">
        <v>8210</v>
      </c>
      <c r="B3763" s="36" t="s">
        <v>8211</v>
      </c>
      <c r="C3763" s="36" t="s">
        <v>1495</v>
      </c>
      <c r="D3763" s="36" t="s">
        <v>1496</v>
      </c>
      <c r="E3763" s="36" t="s">
        <v>1285</v>
      </c>
      <c r="F3763" s="36" t="s">
        <v>286</v>
      </c>
      <c r="G3763" s="36" t="s">
        <v>411</v>
      </c>
      <c r="H3763" s="37">
        <v>690.54</v>
      </c>
      <c r="I3763" s="36" t="s">
        <v>1301</v>
      </c>
      <c r="J3763" s="39" t="s">
        <v>286</v>
      </c>
      <c r="K3763" s="38"/>
      <c r="L3763" s="38"/>
    </row>
    <row r="3764" ht="22.5" customHeight="1">
      <c r="A3764" s="36" t="s">
        <v>8212</v>
      </c>
      <c r="B3764" s="36" t="s">
        <v>8213</v>
      </c>
      <c r="C3764" s="36" t="s">
        <v>1495</v>
      </c>
      <c r="D3764" s="36" t="s">
        <v>1496</v>
      </c>
      <c r="E3764" s="36" t="s">
        <v>1285</v>
      </c>
      <c r="F3764" s="36" t="s">
        <v>286</v>
      </c>
      <c r="G3764" s="36" t="s">
        <v>411</v>
      </c>
      <c r="H3764" s="37">
        <v>489.13</v>
      </c>
      <c r="I3764" s="36" t="s">
        <v>1301</v>
      </c>
      <c r="J3764" s="39" t="s">
        <v>286</v>
      </c>
      <c r="K3764" s="38"/>
      <c r="L3764" s="38"/>
    </row>
    <row r="3765" ht="22.5" customHeight="1">
      <c r="A3765" s="36" t="s">
        <v>8214</v>
      </c>
      <c r="B3765" s="36" t="s">
        <v>8215</v>
      </c>
      <c r="C3765" s="36" t="s">
        <v>1495</v>
      </c>
      <c r="D3765" s="36" t="s">
        <v>1496</v>
      </c>
      <c r="E3765" s="36" t="s">
        <v>1285</v>
      </c>
      <c r="F3765" s="36" t="s">
        <v>286</v>
      </c>
      <c r="G3765" s="36" t="s">
        <v>411</v>
      </c>
      <c r="H3765" s="37">
        <v>34.64</v>
      </c>
      <c r="I3765" s="36" t="s">
        <v>1301</v>
      </c>
      <c r="J3765" s="39" t="s">
        <v>286</v>
      </c>
      <c r="K3765" s="38"/>
      <c r="L3765" s="38"/>
    </row>
    <row r="3766" ht="22.5" customHeight="1">
      <c r="A3766" s="36" t="s">
        <v>8216</v>
      </c>
      <c r="B3766" s="36" t="s">
        <v>8217</v>
      </c>
      <c r="C3766" s="36" t="s">
        <v>1495</v>
      </c>
      <c r="D3766" s="36" t="s">
        <v>1496</v>
      </c>
      <c r="E3766" s="36" t="s">
        <v>1285</v>
      </c>
      <c r="F3766" s="36" t="s">
        <v>286</v>
      </c>
      <c r="G3766" s="36" t="s">
        <v>411</v>
      </c>
      <c r="H3766" s="37">
        <v>256.32</v>
      </c>
      <c r="I3766" s="36" t="s">
        <v>1301</v>
      </c>
      <c r="J3766" s="39" t="s">
        <v>286</v>
      </c>
      <c r="K3766" s="38"/>
      <c r="L3766" s="38"/>
    </row>
    <row r="3767" ht="22.5" customHeight="1">
      <c r="A3767" s="36" t="s">
        <v>8218</v>
      </c>
      <c r="B3767" s="36" t="s">
        <v>8219</v>
      </c>
      <c r="C3767" s="36" t="s">
        <v>1495</v>
      </c>
      <c r="D3767" s="36" t="s">
        <v>1496</v>
      </c>
      <c r="E3767" s="36" t="s">
        <v>1285</v>
      </c>
      <c r="F3767" s="36" t="s">
        <v>286</v>
      </c>
      <c r="G3767" s="36" t="s">
        <v>411</v>
      </c>
      <c r="H3767" s="37">
        <v>586.67</v>
      </c>
      <c r="I3767" s="36" t="s">
        <v>1301</v>
      </c>
      <c r="J3767" s="39" t="s">
        <v>286</v>
      </c>
      <c r="K3767" s="38"/>
      <c r="L3767" s="38"/>
    </row>
    <row r="3768" ht="22.5" customHeight="1">
      <c r="A3768" s="36" t="s">
        <v>8220</v>
      </c>
      <c r="B3768" s="36" t="s">
        <v>8221</v>
      </c>
      <c r="C3768" s="36" t="s">
        <v>1495</v>
      </c>
      <c r="D3768" s="36" t="s">
        <v>1496</v>
      </c>
      <c r="E3768" s="36" t="s">
        <v>1285</v>
      </c>
      <c r="F3768" s="36" t="s">
        <v>286</v>
      </c>
      <c r="G3768" s="36" t="s">
        <v>411</v>
      </c>
      <c r="H3768" s="37">
        <v>250.67</v>
      </c>
      <c r="I3768" s="36" t="s">
        <v>1301</v>
      </c>
      <c r="J3768" s="39" t="s">
        <v>286</v>
      </c>
      <c r="K3768" s="38"/>
      <c r="L3768" s="38"/>
    </row>
    <row r="3769" ht="22.5" customHeight="1">
      <c r="A3769" s="36" t="s">
        <v>8222</v>
      </c>
      <c r="B3769" s="36" t="s">
        <v>8223</v>
      </c>
      <c r="C3769" s="36" t="s">
        <v>1495</v>
      </c>
      <c r="D3769" s="36" t="s">
        <v>1496</v>
      </c>
      <c r="E3769" s="36" t="s">
        <v>1285</v>
      </c>
      <c r="F3769" s="36" t="s">
        <v>286</v>
      </c>
      <c r="G3769" s="36" t="s">
        <v>411</v>
      </c>
      <c r="H3769" s="37">
        <v>176.22</v>
      </c>
      <c r="I3769" s="36" t="s">
        <v>1301</v>
      </c>
      <c r="J3769" s="39" t="s">
        <v>286</v>
      </c>
      <c r="K3769" s="38"/>
      <c r="L3769" s="38"/>
    </row>
    <row r="3770" ht="22.5" customHeight="1">
      <c r="A3770" s="36" t="s">
        <v>8224</v>
      </c>
      <c r="B3770" s="36" t="s">
        <v>8225</v>
      </c>
      <c r="C3770" s="36" t="s">
        <v>1495</v>
      </c>
      <c r="D3770" s="36" t="s">
        <v>1496</v>
      </c>
      <c r="E3770" s="36" t="s">
        <v>1285</v>
      </c>
      <c r="F3770" s="36" t="s">
        <v>286</v>
      </c>
      <c r="G3770" s="36" t="s">
        <v>411</v>
      </c>
      <c r="H3770" s="37">
        <v>69.33</v>
      </c>
      <c r="I3770" s="36" t="s">
        <v>1301</v>
      </c>
      <c r="J3770" s="39" t="s">
        <v>286</v>
      </c>
      <c r="K3770" s="38"/>
      <c r="L3770" s="38"/>
    </row>
    <row r="3771" ht="22.5" customHeight="1">
      <c r="A3771" s="36" t="s">
        <v>8226</v>
      </c>
      <c r="B3771" s="36" t="s">
        <v>8227</v>
      </c>
      <c r="C3771" s="36" t="s">
        <v>1495</v>
      </c>
      <c r="D3771" s="36" t="s">
        <v>1496</v>
      </c>
      <c r="E3771" s="36" t="s">
        <v>1285</v>
      </c>
      <c r="F3771" s="36" t="s">
        <v>286</v>
      </c>
      <c r="G3771" s="36" t="s">
        <v>411</v>
      </c>
      <c r="H3771" s="37">
        <v>378.67</v>
      </c>
      <c r="I3771" s="36" t="s">
        <v>1301</v>
      </c>
      <c r="J3771" s="39" t="s">
        <v>286</v>
      </c>
      <c r="K3771" s="38"/>
      <c r="L3771" s="38"/>
    </row>
    <row r="3772" ht="22.5" customHeight="1">
      <c r="A3772" s="36" t="s">
        <v>8228</v>
      </c>
      <c r="B3772" s="36" t="s">
        <v>8229</v>
      </c>
      <c r="C3772" s="36" t="s">
        <v>1495</v>
      </c>
      <c r="D3772" s="36" t="s">
        <v>1496</v>
      </c>
      <c r="E3772" s="36" t="s">
        <v>1285</v>
      </c>
      <c r="F3772" s="36" t="s">
        <v>286</v>
      </c>
      <c r="G3772" s="36" t="s">
        <v>411</v>
      </c>
      <c r="H3772" s="37">
        <v>128.64</v>
      </c>
      <c r="I3772" s="36" t="s">
        <v>1301</v>
      </c>
      <c r="J3772" s="39" t="s">
        <v>286</v>
      </c>
      <c r="K3772" s="38"/>
      <c r="L3772" s="38"/>
    </row>
    <row r="3773" ht="22.5" customHeight="1">
      <c r="A3773" s="36" t="s">
        <v>8230</v>
      </c>
      <c r="B3773" s="36" t="s">
        <v>8231</v>
      </c>
      <c r="C3773" s="36" t="s">
        <v>1495</v>
      </c>
      <c r="D3773" s="36" t="s">
        <v>1496</v>
      </c>
      <c r="E3773" s="36" t="s">
        <v>1285</v>
      </c>
      <c r="F3773" s="36" t="s">
        <v>286</v>
      </c>
      <c r="G3773" s="36" t="s">
        <v>411</v>
      </c>
      <c r="H3773" s="37">
        <v>405.33</v>
      </c>
      <c r="I3773" s="36" t="s">
        <v>1301</v>
      </c>
      <c r="J3773" s="39" t="s">
        <v>286</v>
      </c>
      <c r="K3773" s="38"/>
      <c r="L3773" s="38"/>
    </row>
    <row r="3774" ht="22.5" customHeight="1">
      <c r="A3774" s="36" t="s">
        <v>8232</v>
      </c>
      <c r="B3774" s="36" t="s">
        <v>8233</v>
      </c>
      <c r="C3774" s="36" t="s">
        <v>1495</v>
      </c>
      <c r="D3774" s="36" t="s">
        <v>1496</v>
      </c>
      <c r="E3774" s="36" t="s">
        <v>1285</v>
      </c>
      <c r="F3774" s="36" t="s">
        <v>286</v>
      </c>
      <c r="G3774" s="36" t="s">
        <v>411</v>
      </c>
      <c r="H3774" s="37">
        <v>474.67</v>
      </c>
      <c r="I3774" s="36" t="s">
        <v>1301</v>
      </c>
      <c r="J3774" s="39" t="s">
        <v>286</v>
      </c>
      <c r="K3774" s="38"/>
      <c r="L3774" s="38"/>
    </row>
    <row r="3775" ht="22.5" customHeight="1">
      <c r="A3775" s="36" t="s">
        <v>8234</v>
      </c>
      <c r="B3775" s="36" t="s">
        <v>8235</v>
      </c>
      <c r="C3775" s="36" t="s">
        <v>1495</v>
      </c>
      <c r="D3775" s="36" t="s">
        <v>1496</v>
      </c>
      <c r="E3775" s="36" t="s">
        <v>1285</v>
      </c>
      <c r="F3775" s="36" t="s">
        <v>286</v>
      </c>
      <c r="G3775" s="36" t="s">
        <v>411</v>
      </c>
      <c r="H3775" s="37">
        <v>560.0</v>
      </c>
      <c r="I3775" s="36" t="s">
        <v>1301</v>
      </c>
      <c r="J3775" s="39" t="s">
        <v>286</v>
      </c>
      <c r="K3775" s="38"/>
      <c r="L3775" s="38"/>
    </row>
    <row r="3776" ht="22.5" customHeight="1">
      <c r="A3776" s="36" t="s">
        <v>8236</v>
      </c>
      <c r="B3776" s="36" t="s">
        <v>8237</v>
      </c>
      <c r="C3776" s="36" t="s">
        <v>1495</v>
      </c>
      <c r="D3776" s="36" t="s">
        <v>1496</v>
      </c>
      <c r="E3776" s="36" t="s">
        <v>1285</v>
      </c>
      <c r="F3776" s="36" t="s">
        <v>286</v>
      </c>
      <c r="G3776" s="36" t="s">
        <v>411</v>
      </c>
      <c r="H3776" s="37">
        <v>503.65</v>
      </c>
      <c r="I3776" s="36" t="s">
        <v>1301</v>
      </c>
      <c r="J3776" s="39" t="s">
        <v>286</v>
      </c>
      <c r="K3776" s="38"/>
      <c r="L3776" s="38"/>
    </row>
    <row r="3777" ht="22.5" customHeight="1">
      <c r="A3777" s="36" t="s">
        <v>8238</v>
      </c>
      <c r="B3777" s="36" t="s">
        <v>8239</v>
      </c>
      <c r="C3777" s="36" t="s">
        <v>1495</v>
      </c>
      <c r="D3777" s="36" t="s">
        <v>1496</v>
      </c>
      <c r="E3777" s="36" t="s">
        <v>1285</v>
      </c>
      <c r="F3777" s="36" t="s">
        <v>286</v>
      </c>
      <c r="G3777" s="36" t="s">
        <v>411</v>
      </c>
      <c r="H3777" s="37">
        <v>503.36</v>
      </c>
      <c r="I3777" s="36" t="s">
        <v>1301</v>
      </c>
      <c r="J3777" s="39" t="s">
        <v>286</v>
      </c>
      <c r="K3777" s="38"/>
      <c r="L3777" s="38"/>
    </row>
    <row r="3778" ht="22.5" customHeight="1">
      <c r="A3778" s="36" t="s">
        <v>8240</v>
      </c>
      <c r="B3778" s="36" t="s">
        <v>8241</v>
      </c>
      <c r="C3778" s="36" t="s">
        <v>1495</v>
      </c>
      <c r="D3778" s="36" t="s">
        <v>1496</v>
      </c>
      <c r="E3778" s="36" t="s">
        <v>1285</v>
      </c>
      <c r="F3778" s="36" t="s">
        <v>286</v>
      </c>
      <c r="G3778" s="36" t="s">
        <v>411</v>
      </c>
      <c r="H3778" s="37">
        <v>455.68</v>
      </c>
      <c r="I3778" s="36" t="s">
        <v>1301</v>
      </c>
      <c r="J3778" s="39" t="s">
        <v>286</v>
      </c>
      <c r="K3778" s="38"/>
      <c r="L3778" s="38"/>
    </row>
    <row r="3779" ht="22.5" customHeight="1">
      <c r="A3779" s="36" t="s">
        <v>8242</v>
      </c>
      <c r="B3779" s="36" t="s">
        <v>8243</v>
      </c>
      <c r="C3779" s="36" t="s">
        <v>1495</v>
      </c>
      <c r="D3779" s="36" t="s">
        <v>1496</v>
      </c>
      <c r="E3779" s="36" t="s">
        <v>1285</v>
      </c>
      <c r="F3779" s="36" t="s">
        <v>286</v>
      </c>
      <c r="G3779" s="36" t="s">
        <v>411</v>
      </c>
      <c r="H3779" s="37">
        <v>302.63</v>
      </c>
      <c r="I3779" s="36" t="s">
        <v>1301</v>
      </c>
      <c r="J3779" s="39" t="s">
        <v>286</v>
      </c>
      <c r="K3779" s="38"/>
      <c r="L3779" s="38"/>
    </row>
    <row r="3780" ht="22.5" customHeight="1">
      <c r="A3780" s="36" t="s">
        <v>8244</v>
      </c>
      <c r="B3780" s="36" t="s">
        <v>8245</v>
      </c>
      <c r="C3780" s="36" t="s">
        <v>1495</v>
      </c>
      <c r="D3780" s="36" t="s">
        <v>1496</v>
      </c>
      <c r="E3780" s="36" t="s">
        <v>1285</v>
      </c>
      <c r="F3780" s="36" t="s">
        <v>286</v>
      </c>
      <c r="G3780" s="36" t="s">
        <v>411</v>
      </c>
      <c r="H3780" s="37">
        <v>112.03</v>
      </c>
      <c r="I3780" s="36" t="s">
        <v>1301</v>
      </c>
      <c r="J3780" s="39" t="s">
        <v>286</v>
      </c>
      <c r="K3780" s="38"/>
      <c r="L3780" s="38"/>
    </row>
    <row r="3781" ht="22.5" customHeight="1">
      <c r="A3781" s="36" t="s">
        <v>8246</v>
      </c>
      <c r="B3781" s="36" t="s">
        <v>8247</v>
      </c>
      <c r="C3781" s="36" t="s">
        <v>1495</v>
      </c>
      <c r="D3781" s="36" t="s">
        <v>1496</v>
      </c>
      <c r="E3781" s="36" t="s">
        <v>1285</v>
      </c>
      <c r="F3781" s="36" t="s">
        <v>286</v>
      </c>
      <c r="G3781" s="36" t="s">
        <v>411</v>
      </c>
      <c r="H3781" s="37">
        <v>272.57</v>
      </c>
      <c r="I3781" s="36" t="s">
        <v>1301</v>
      </c>
      <c r="J3781" s="39" t="s">
        <v>286</v>
      </c>
      <c r="K3781" s="38"/>
      <c r="L3781" s="38"/>
    </row>
    <row r="3782" ht="22.5" customHeight="1">
      <c r="A3782" s="36" t="s">
        <v>8248</v>
      </c>
      <c r="B3782" s="36" t="s">
        <v>8249</v>
      </c>
      <c r="C3782" s="36" t="s">
        <v>1495</v>
      </c>
      <c r="D3782" s="36" t="s">
        <v>1496</v>
      </c>
      <c r="E3782" s="36" t="s">
        <v>1285</v>
      </c>
      <c r="F3782" s="36" t="s">
        <v>286</v>
      </c>
      <c r="G3782" s="36" t="s">
        <v>411</v>
      </c>
      <c r="H3782" s="37">
        <v>400.0</v>
      </c>
      <c r="I3782" s="36" t="s">
        <v>1301</v>
      </c>
      <c r="J3782" s="39" t="s">
        <v>286</v>
      </c>
      <c r="K3782" s="38"/>
      <c r="L3782" s="38"/>
    </row>
    <row r="3783" ht="22.5" customHeight="1">
      <c r="A3783" s="36" t="s">
        <v>8250</v>
      </c>
      <c r="B3783" s="36" t="s">
        <v>8251</v>
      </c>
      <c r="C3783" s="36" t="s">
        <v>1495</v>
      </c>
      <c r="D3783" s="36" t="s">
        <v>1496</v>
      </c>
      <c r="E3783" s="36" t="s">
        <v>1285</v>
      </c>
      <c r="F3783" s="36" t="s">
        <v>286</v>
      </c>
      <c r="G3783" s="36" t="s">
        <v>411</v>
      </c>
      <c r="H3783" s="37">
        <v>129.42</v>
      </c>
      <c r="I3783" s="36" t="s">
        <v>1301</v>
      </c>
      <c r="J3783" s="39" t="s">
        <v>286</v>
      </c>
      <c r="K3783" s="38"/>
      <c r="L3783" s="38"/>
    </row>
    <row r="3784" ht="22.5" customHeight="1">
      <c r="A3784" s="36" t="s">
        <v>8252</v>
      </c>
      <c r="B3784" s="36" t="s">
        <v>8253</v>
      </c>
      <c r="C3784" s="36" t="s">
        <v>1495</v>
      </c>
      <c r="D3784" s="36" t="s">
        <v>1496</v>
      </c>
      <c r="E3784" s="36" t="s">
        <v>1285</v>
      </c>
      <c r="F3784" s="36" t="s">
        <v>286</v>
      </c>
      <c r="G3784" s="36" t="s">
        <v>411</v>
      </c>
      <c r="H3784" s="37">
        <v>14.76</v>
      </c>
      <c r="I3784" s="36" t="s">
        <v>1301</v>
      </c>
      <c r="J3784" s="39" t="s">
        <v>286</v>
      </c>
      <c r="K3784" s="38"/>
      <c r="L3784" s="38"/>
    </row>
    <row r="3785" ht="22.5" customHeight="1">
      <c r="A3785" s="36" t="s">
        <v>8254</v>
      </c>
      <c r="B3785" s="36" t="s">
        <v>8255</v>
      </c>
      <c r="C3785" s="36" t="s">
        <v>1495</v>
      </c>
      <c r="D3785" s="36" t="s">
        <v>1496</v>
      </c>
      <c r="E3785" s="36" t="s">
        <v>1285</v>
      </c>
      <c r="F3785" s="36" t="s">
        <v>286</v>
      </c>
      <c r="G3785" s="36" t="s">
        <v>411</v>
      </c>
      <c r="H3785" s="37">
        <v>13.24</v>
      </c>
      <c r="I3785" s="36" t="s">
        <v>1301</v>
      </c>
      <c r="J3785" s="39" t="s">
        <v>286</v>
      </c>
      <c r="K3785" s="38"/>
      <c r="L3785" s="38"/>
    </row>
    <row r="3786" ht="22.5" customHeight="1">
      <c r="A3786" s="36" t="s">
        <v>8256</v>
      </c>
      <c r="B3786" s="36" t="s">
        <v>8257</v>
      </c>
      <c r="C3786" s="36" t="s">
        <v>1495</v>
      </c>
      <c r="D3786" s="36" t="s">
        <v>1496</v>
      </c>
      <c r="E3786" s="36" t="s">
        <v>1285</v>
      </c>
      <c r="F3786" s="36" t="s">
        <v>286</v>
      </c>
      <c r="G3786" s="36" t="s">
        <v>411</v>
      </c>
      <c r="H3786" s="37">
        <v>22.45</v>
      </c>
      <c r="I3786" s="36" t="s">
        <v>1301</v>
      </c>
      <c r="J3786" s="39" t="s">
        <v>286</v>
      </c>
      <c r="K3786" s="38"/>
      <c r="L3786" s="38"/>
    </row>
    <row r="3787" ht="22.5" customHeight="1">
      <c r="A3787" s="36" t="s">
        <v>8258</v>
      </c>
      <c r="B3787" s="36" t="s">
        <v>8259</v>
      </c>
      <c r="C3787" s="36" t="s">
        <v>1495</v>
      </c>
      <c r="D3787" s="36" t="s">
        <v>1496</v>
      </c>
      <c r="E3787" s="36" t="s">
        <v>1285</v>
      </c>
      <c r="F3787" s="36" t="s">
        <v>286</v>
      </c>
      <c r="G3787" s="36" t="s">
        <v>411</v>
      </c>
      <c r="H3787" s="37">
        <v>48.94</v>
      </c>
      <c r="I3787" s="36" t="s">
        <v>1301</v>
      </c>
      <c r="J3787" s="39" t="s">
        <v>286</v>
      </c>
      <c r="K3787" s="38"/>
      <c r="L3787" s="38"/>
    </row>
    <row r="3788" ht="22.5" customHeight="1">
      <c r="A3788" s="36" t="s">
        <v>8260</v>
      </c>
      <c r="B3788" s="36" t="s">
        <v>8261</v>
      </c>
      <c r="C3788" s="36" t="s">
        <v>1495</v>
      </c>
      <c r="D3788" s="36" t="s">
        <v>1496</v>
      </c>
      <c r="E3788" s="36" t="s">
        <v>1285</v>
      </c>
      <c r="F3788" s="36" t="s">
        <v>286</v>
      </c>
      <c r="G3788" s="36" t="s">
        <v>411</v>
      </c>
      <c r="H3788" s="37">
        <v>20.95</v>
      </c>
      <c r="I3788" s="36" t="s">
        <v>1301</v>
      </c>
      <c r="J3788" s="39" t="s">
        <v>286</v>
      </c>
      <c r="K3788" s="38"/>
      <c r="L3788" s="38"/>
    </row>
    <row r="3789" ht="22.5" customHeight="1">
      <c r="A3789" s="36" t="s">
        <v>8262</v>
      </c>
      <c r="B3789" s="36" t="s">
        <v>8263</v>
      </c>
      <c r="C3789" s="36" t="s">
        <v>1495</v>
      </c>
      <c r="D3789" s="36" t="s">
        <v>1496</v>
      </c>
      <c r="E3789" s="36" t="s">
        <v>1285</v>
      </c>
      <c r="F3789" s="36" t="s">
        <v>286</v>
      </c>
      <c r="G3789" s="36" t="s">
        <v>411</v>
      </c>
      <c r="H3789" s="37">
        <v>37.24</v>
      </c>
      <c r="I3789" s="36" t="s">
        <v>1301</v>
      </c>
      <c r="J3789" s="39" t="s">
        <v>286</v>
      </c>
      <c r="K3789" s="38"/>
      <c r="L3789" s="38"/>
    </row>
    <row r="3790" ht="22.5" customHeight="1">
      <c r="A3790" s="36" t="s">
        <v>8264</v>
      </c>
      <c r="B3790" s="36" t="s">
        <v>8265</v>
      </c>
      <c r="C3790" s="36" t="s">
        <v>1495</v>
      </c>
      <c r="D3790" s="36" t="s">
        <v>1496</v>
      </c>
      <c r="E3790" s="36" t="s">
        <v>1285</v>
      </c>
      <c r="F3790" s="36" t="s">
        <v>286</v>
      </c>
      <c r="G3790" s="36" t="s">
        <v>411</v>
      </c>
      <c r="H3790" s="37">
        <v>38.18</v>
      </c>
      <c r="I3790" s="36" t="s">
        <v>1301</v>
      </c>
      <c r="J3790" s="39" t="s">
        <v>286</v>
      </c>
      <c r="K3790" s="38"/>
      <c r="L3790" s="38"/>
    </row>
    <row r="3791" ht="22.5" customHeight="1">
      <c r="A3791" s="36" t="s">
        <v>8266</v>
      </c>
      <c r="B3791" s="36" t="s">
        <v>8267</v>
      </c>
      <c r="C3791" s="36" t="s">
        <v>1495</v>
      </c>
      <c r="D3791" s="36" t="s">
        <v>1496</v>
      </c>
      <c r="E3791" s="36" t="s">
        <v>1285</v>
      </c>
      <c r="F3791" s="36" t="s">
        <v>286</v>
      </c>
      <c r="G3791" s="36" t="s">
        <v>411</v>
      </c>
      <c r="H3791" s="37">
        <v>56.45</v>
      </c>
      <c r="I3791" s="36" t="s">
        <v>1301</v>
      </c>
      <c r="J3791" s="39" t="s">
        <v>286</v>
      </c>
      <c r="K3791" s="38"/>
      <c r="L3791" s="38"/>
    </row>
    <row r="3792" ht="22.5" customHeight="1">
      <c r="A3792" s="36" t="s">
        <v>8268</v>
      </c>
      <c r="B3792" s="36" t="s">
        <v>8269</v>
      </c>
      <c r="C3792" s="36" t="s">
        <v>1495</v>
      </c>
      <c r="D3792" s="36" t="s">
        <v>1496</v>
      </c>
      <c r="E3792" s="36" t="s">
        <v>1285</v>
      </c>
      <c r="F3792" s="36" t="s">
        <v>286</v>
      </c>
      <c r="G3792" s="36" t="s">
        <v>411</v>
      </c>
      <c r="H3792" s="37">
        <v>38.24</v>
      </c>
      <c r="I3792" s="36" t="s">
        <v>1301</v>
      </c>
      <c r="J3792" s="39" t="s">
        <v>286</v>
      </c>
      <c r="K3792" s="38"/>
      <c r="L3792" s="38"/>
    </row>
    <row r="3793" ht="22.5" customHeight="1">
      <c r="A3793" s="36" t="s">
        <v>8270</v>
      </c>
      <c r="B3793" s="36" t="s">
        <v>8271</v>
      </c>
      <c r="C3793" s="36" t="s">
        <v>1495</v>
      </c>
      <c r="D3793" s="36" t="s">
        <v>1496</v>
      </c>
      <c r="E3793" s="36" t="s">
        <v>1285</v>
      </c>
      <c r="F3793" s="36" t="s">
        <v>286</v>
      </c>
      <c r="G3793" s="36" t="s">
        <v>411</v>
      </c>
      <c r="H3793" s="37">
        <v>20.9</v>
      </c>
      <c r="I3793" s="36" t="s">
        <v>1301</v>
      </c>
      <c r="J3793" s="39" t="s">
        <v>286</v>
      </c>
      <c r="K3793" s="38"/>
      <c r="L3793" s="38"/>
    </row>
    <row r="3794" ht="22.5" customHeight="1">
      <c r="A3794" s="36" t="s">
        <v>8272</v>
      </c>
      <c r="B3794" s="36" t="s">
        <v>8273</v>
      </c>
      <c r="C3794" s="36" t="s">
        <v>1495</v>
      </c>
      <c r="D3794" s="36" t="s">
        <v>1496</v>
      </c>
      <c r="E3794" s="36" t="s">
        <v>1285</v>
      </c>
      <c r="F3794" s="36" t="s">
        <v>286</v>
      </c>
      <c r="G3794" s="36" t="s">
        <v>411</v>
      </c>
      <c r="H3794" s="37">
        <v>36.78</v>
      </c>
      <c r="I3794" s="36" t="s">
        <v>1301</v>
      </c>
      <c r="J3794" s="39" t="s">
        <v>286</v>
      </c>
      <c r="K3794" s="38"/>
      <c r="L3794" s="38"/>
    </row>
    <row r="3795" ht="22.5" customHeight="1">
      <c r="A3795" s="36" t="s">
        <v>8274</v>
      </c>
      <c r="B3795" s="36" t="s">
        <v>8275</v>
      </c>
      <c r="C3795" s="36" t="s">
        <v>1495</v>
      </c>
      <c r="D3795" s="36" t="s">
        <v>1496</v>
      </c>
      <c r="E3795" s="36" t="s">
        <v>1285</v>
      </c>
      <c r="F3795" s="36" t="s">
        <v>286</v>
      </c>
      <c r="G3795" s="36" t="s">
        <v>411</v>
      </c>
      <c r="H3795" s="37">
        <v>38.98</v>
      </c>
      <c r="I3795" s="36" t="s">
        <v>1301</v>
      </c>
      <c r="J3795" s="39" t="s">
        <v>286</v>
      </c>
      <c r="K3795" s="38"/>
      <c r="L3795" s="38"/>
    </row>
    <row r="3796" ht="22.5" customHeight="1">
      <c r="A3796" s="40" t="s">
        <v>8276</v>
      </c>
      <c r="B3796" s="40" t="s">
        <v>175</v>
      </c>
      <c r="C3796" s="41"/>
      <c r="D3796" s="40" t="s">
        <v>8277</v>
      </c>
      <c r="E3796" s="40" t="s">
        <v>8278</v>
      </c>
      <c r="F3796" s="41"/>
      <c r="G3796" s="41"/>
      <c r="H3796" s="42">
        <v>0.0</v>
      </c>
      <c r="I3796" s="40" t="s">
        <v>333</v>
      </c>
      <c r="J3796" s="40" t="s">
        <v>8279</v>
      </c>
      <c r="K3796" s="38"/>
      <c r="L3796" s="38"/>
    </row>
  </sheetData>
  <dataValidations>
    <dataValidation type="custom" allowBlank="1" showDropDown="1" sqref="H2:H3796">
      <formula1>AND(ISNUMBER(H2),(NOT(OR(NOT(ISERROR(DATEVALUE(H2))), AND(ISNUMBER(H2), LEFT(CELL("format", H2))="D")))))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0"/>
    <col customWidth="1" min="2" max="3" width="22.63"/>
    <col customWidth="1" min="4" max="4" width="20.5"/>
    <col customWidth="1" min="5" max="5" width="32.13"/>
    <col customWidth="1" min="6" max="6" width="39.5"/>
    <col customWidth="1" min="7" max="7" width="35.25"/>
  </cols>
  <sheetData>
    <row r="1" ht="22.5" customHeight="1">
      <c r="A1" s="43" t="s">
        <v>8280</v>
      </c>
      <c r="B1" s="43" t="s">
        <v>8281</v>
      </c>
      <c r="C1" s="43" t="s">
        <v>8282</v>
      </c>
      <c r="D1" s="43" t="s">
        <v>8283</v>
      </c>
      <c r="E1" s="43" t="s">
        <v>8284</v>
      </c>
      <c r="F1" s="43" t="s">
        <v>8285</v>
      </c>
      <c r="G1" s="43" t="s">
        <v>8286</v>
      </c>
    </row>
    <row r="2" ht="22.5" customHeight="1">
      <c r="A2" s="44" t="s">
        <v>8287</v>
      </c>
      <c r="B2" s="45">
        <v>45947.5</v>
      </c>
      <c r="C2" s="44" t="s">
        <v>8288</v>
      </c>
      <c r="D2" s="44" t="s">
        <v>8289</v>
      </c>
      <c r="E2" s="44" t="s">
        <v>8290</v>
      </c>
      <c r="F2" s="44" t="s">
        <v>8291</v>
      </c>
      <c r="G2" s="44" t="s">
        <v>8292</v>
      </c>
    </row>
    <row r="3" ht="22.5" customHeight="1">
      <c r="A3" s="44" t="s">
        <v>8287</v>
      </c>
      <c r="B3" s="45">
        <v>45947.5</v>
      </c>
      <c r="C3" s="44" t="s">
        <v>8288</v>
      </c>
      <c r="D3" s="44" t="s">
        <v>8289</v>
      </c>
      <c r="E3" s="44" t="s">
        <v>8293</v>
      </c>
      <c r="F3" s="44" t="s">
        <v>8294</v>
      </c>
      <c r="G3" s="44" t="s">
        <v>8295</v>
      </c>
    </row>
    <row r="4" ht="22.5" customHeight="1">
      <c r="A4" s="44" t="s">
        <v>8287</v>
      </c>
      <c r="B4" s="45">
        <v>45954.39583333333</v>
      </c>
      <c r="C4" s="44" t="s">
        <v>8296</v>
      </c>
      <c r="D4" s="44" t="s">
        <v>8297</v>
      </c>
      <c r="E4" s="44" t="s">
        <v>8298</v>
      </c>
      <c r="F4" s="44" t="s">
        <v>8299</v>
      </c>
      <c r="G4" s="44" t="s">
        <v>8292</v>
      </c>
    </row>
    <row r="5" ht="22.5" customHeight="1">
      <c r="A5" s="44" t="s">
        <v>8287</v>
      </c>
      <c r="B5" s="45">
        <v>45954.39583333333</v>
      </c>
      <c r="C5" s="44" t="s">
        <v>8296</v>
      </c>
      <c r="D5" s="44" t="s">
        <v>8297</v>
      </c>
      <c r="E5" s="44" t="s">
        <v>8290</v>
      </c>
      <c r="F5" s="44" t="s">
        <v>8300</v>
      </c>
      <c r="G5" s="44" t="s">
        <v>8292</v>
      </c>
    </row>
    <row r="6" ht="22.5" customHeight="1">
      <c r="A6" s="44" t="s">
        <v>8287</v>
      </c>
      <c r="B6" s="45">
        <v>45961.375</v>
      </c>
      <c r="C6" s="44" t="s">
        <v>8301</v>
      </c>
      <c r="D6" s="44" t="s">
        <v>8297</v>
      </c>
      <c r="E6" s="44" t="s">
        <v>8302</v>
      </c>
      <c r="F6" s="44" t="s">
        <v>8303</v>
      </c>
      <c r="G6" s="44" t="s">
        <v>8292</v>
      </c>
    </row>
    <row r="7" ht="22.5" customHeight="1">
      <c r="A7" s="44" t="s">
        <v>8287</v>
      </c>
      <c r="B7" s="45">
        <v>45961.375</v>
      </c>
      <c r="C7" s="44" t="s">
        <v>8301</v>
      </c>
      <c r="D7" s="44" t="s">
        <v>8297</v>
      </c>
      <c r="E7" s="44" t="s">
        <v>8298</v>
      </c>
      <c r="F7" s="44" t="s">
        <v>8299</v>
      </c>
      <c r="G7" s="44" t="s">
        <v>8292</v>
      </c>
    </row>
    <row r="8" ht="22.5" customHeight="1">
      <c r="A8" s="44" t="s">
        <v>8287</v>
      </c>
      <c r="B8" s="45">
        <v>45961.375</v>
      </c>
      <c r="C8" s="44" t="s">
        <v>8301</v>
      </c>
      <c r="D8" s="44" t="s">
        <v>8297</v>
      </c>
      <c r="E8" s="44" t="s">
        <v>8290</v>
      </c>
      <c r="F8" s="44" t="s">
        <v>8300</v>
      </c>
      <c r="G8" s="44" t="s">
        <v>8292</v>
      </c>
    </row>
    <row r="9" ht="22.5" customHeight="1">
      <c r="A9" s="44" t="s">
        <v>8287</v>
      </c>
      <c r="B9" s="45">
        <v>45968.41875</v>
      </c>
      <c r="C9" s="44" t="s">
        <v>8296</v>
      </c>
      <c r="D9" s="44" t="s">
        <v>8297</v>
      </c>
      <c r="E9" s="44" t="s">
        <v>8302</v>
      </c>
      <c r="F9" s="44" t="s">
        <v>8303</v>
      </c>
      <c r="G9" s="44" t="s">
        <v>8292</v>
      </c>
    </row>
    <row r="10" ht="22.5" customHeight="1">
      <c r="A10" s="44" t="s">
        <v>8287</v>
      </c>
      <c r="B10" s="45">
        <v>45968.41875</v>
      </c>
      <c r="C10" s="44" t="s">
        <v>8296</v>
      </c>
      <c r="D10" s="44" t="s">
        <v>8297</v>
      </c>
      <c r="E10" s="44" t="s">
        <v>8298</v>
      </c>
      <c r="F10" s="44" t="s">
        <v>8299</v>
      </c>
      <c r="G10" s="44" t="s">
        <v>8292</v>
      </c>
    </row>
    <row r="11" ht="22.5" customHeight="1">
      <c r="A11" s="44" t="s">
        <v>8287</v>
      </c>
      <c r="B11" s="45">
        <v>45968.41875</v>
      </c>
      <c r="C11" s="44" t="s">
        <v>8296</v>
      </c>
      <c r="D11" s="44" t="s">
        <v>8297</v>
      </c>
      <c r="E11" s="44" t="s">
        <v>8290</v>
      </c>
      <c r="F11" s="44" t="s">
        <v>8300</v>
      </c>
      <c r="G11" s="44" t="s">
        <v>8292</v>
      </c>
    </row>
  </sheetData>
  <dataValidations>
    <dataValidation type="custom" allowBlank="1" showDropDown="1" sqref="B2:B11">
      <formula1>OR(NOT(ISERROR(DATEVALUE(B2))), AND(ISNUMBER(B2), LEFT(CELL("format", B2))="D"))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13"/>
    <col customWidth="1" min="3" max="3" width="16.13"/>
    <col customWidth="1" min="4" max="4" width="30.0"/>
    <col customWidth="1" min="5" max="5" width="11.38"/>
    <col customWidth="1" min="6" max="6" width="14.5"/>
    <col customWidth="1" min="7" max="7" width="19.25"/>
    <col customWidth="1" min="8" max="8" width="31.13"/>
    <col customWidth="1" min="9" max="9" width="12.13"/>
    <col customWidth="1" min="10" max="10" width="22.63"/>
    <col customWidth="1" min="11" max="11" width="10.13"/>
    <col customWidth="1" min="12" max="12" width="37.5"/>
    <col customWidth="1" min="13" max="13" width="32.0"/>
  </cols>
  <sheetData>
    <row r="1" ht="22.5" customHeight="1">
      <c r="A1" s="46" t="s">
        <v>8304</v>
      </c>
      <c r="B1" s="47" t="s">
        <v>5</v>
      </c>
      <c r="C1" s="48" t="s">
        <v>8305</v>
      </c>
      <c r="D1" s="47" t="s">
        <v>8306</v>
      </c>
      <c r="E1" s="47" t="s">
        <v>8307</v>
      </c>
      <c r="F1" s="49" t="s">
        <v>8308</v>
      </c>
      <c r="G1" s="47" t="s">
        <v>8309</v>
      </c>
      <c r="H1" s="47" t="s">
        <v>8310</v>
      </c>
      <c r="I1" s="47" t="s">
        <v>8311</v>
      </c>
      <c r="J1" s="47" t="s">
        <v>8312</v>
      </c>
      <c r="K1" s="47" t="s">
        <v>8313</v>
      </c>
      <c r="L1" s="47" t="s">
        <v>8314</v>
      </c>
      <c r="M1" s="50" t="s">
        <v>8315</v>
      </c>
    </row>
    <row r="2" ht="37.5" customHeight="1">
      <c r="A2" s="51">
        <v>16.0</v>
      </c>
      <c r="B2" s="52">
        <v>45918.0</v>
      </c>
      <c r="C2" s="53" t="s">
        <v>8296</v>
      </c>
      <c r="D2" s="47" t="s">
        <v>8316</v>
      </c>
      <c r="E2" s="47" t="s">
        <v>8317</v>
      </c>
      <c r="F2" s="47" t="s">
        <v>8318</v>
      </c>
      <c r="G2" s="47">
        <v>6.0</v>
      </c>
      <c r="H2" s="47" t="s">
        <v>8319</v>
      </c>
      <c r="I2" s="47">
        <v>8.0</v>
      </c>
      <c r="J2" s="47" t="s">
        <v>8320</v>
      </c>
      <c r="K2" s="47"/>
      <c r="L2" s="54" t="s">
        <v>8321</v>
      </c>
      <c r="M2" s="50">
        <f>IFERROR(__xludf.DUMMYFUNCTION("IF(OR(F2="""",G2="""",H2="""",I2=""""),"""", (VALUE(INDEX(SPLIT(REGEXREPLACE(F2,""[^\d]+"",""x""),""x""),1))/1000) * (VALUE(INDEX(SPLIT(REGEXREPLACE(F2,""[^\d]+"",""x""),""x""),2))/1000) * G2 * IF(REGEXMATCH(UPPER(H2),""AÇO|ACO""), 7.86, IF(REGEXMATCH(UPP"&amp;"ER(H2),""ALUM""), 2.7, IF(REGEXMATCH(UPPER(H2),""LAT""), 8.73, IF(REGEXMATCH(UPPER(H2),""COBRE""), 8.96, 0) ) ) ) * I2 )"),1697.76)</f>
        <v>1697.76</v>
      </c>
    </row>
    <row r="3" ht="37.5" customHeight="1">
      <c r="A3" s="51">
        <v>17.0</v>
      </c>
      <c r="B3" s="52">
        <v>45918.0</v>
      </c>
      <c r="C3" s="53" t="s">
        <v>8296</v>
      </c>
      <c r="D3" s="47" t="s">
        <v>8316</v>
      </c>
      <c r="E3" s="47" t="s">
        <v>8322</v>
      </c>
      <c r="F3" s="47" t="s">
        <v>8323</v>
      </c>
      <c r="G3" s="47">
        <v>6.3</v>
      </c>
      <c r="H3" s="47" t="s">
        <v>8319</v>
      </c>
      <c r="I3" s="47">
        <v>1.0</v>
      </c>
      <c r="J3" s="47" t="s">
        <v>8316</v>
      </c>
      <c r="K3" s="47">
        <v>14991.0</v>
      </c>
      <c r="L3" s="54" t="s">
        <v>8324</v>
      </c>
      <c r="M3" s="50">
        <f>IFERROR(__xludf.DUMMYFUNCTION("IF(OR(F3="""",G3="""",H3="""",I3=""""),"""", (VALUE(INDEX(SPLIT(REGEXREPLACE(F3,""[^\d]+"",""x""),""x""),1))/1000) * (VALUE(INDEX(SPLIT(REGEXREPLACE(F3,""[^\d]+"",""x""),""x""),2))/1000) * G3 * IF(REGEXMATCH(UPPER(H3),""AÇO|ACO""), 7.86, IF(REGEXMATCH(UPP"&amp;"ER(H3),""ALUM""), 2.7, IF(REGEXMATCH(UPPER(H3),""LAT""), 8.73, IF(REGEXMATCH(UPPER(H3),""COBRE""), 8.96, 0) ) ) ) * I3 )"),106.95888000000001)</f>
        <v>106.95888</v>
      </c>
    </row>
    <row r="4" ht="37.5" customHeight="1">
      <c r="A4" s="51">
        <v>18.0</v>
      </c>
      <c r="B4" s="52">
        <v>45918.0</v>
      </c>
      <c r="C4" s="53" t="s">
        <v>8296</v>
      </c>
      <c r="D4" s="47" t="s">
        <v>8316</v>
      </c>
      <c r="E4" s="47" t="s">
        <v>8317</v>
      </c>
      <c r="F4" s="47" t="s">
        <v>8325</v>
      </c>
      <c r="G4" s="47">
        <v>1.0</v>
      </c>
      <c r="H4" s="47" t="s">
        <v>8319</v>
      </c>
      <c r="I4" s="47">
        <v>1.0</v>
      </c>
      <c r="J4" s="47" t="s">
        <v>8316</v>
      </c>
      <c r="K4" s="47">
        <v>14527.0</v>
      </c>
      <c r="L4" s="54" t="s">
        <v>8326</v>
      </c>
      <c r="M4" s="50">
        <f>IFERROR(__xludf.DUMMYFUNCTION("IF(OR(F4="""",G4="""",H4="""",I4=""""),"""", (VALUE(INDEX(SPLIT(REGEXREPLACE(F4,""[^\d]+"",""x""),""x""),1))/1000) * (VALUE(INDEX(SPLIT(REGEXREPLACE(F4,""[^\d]+"",""x""),""x""),2))/1000) * G4 * IF(REGEXMATCH(UPPER(H4),""AÇO|ACO""), 7.86, IF(REGEXMATCH(UPP"&amp;"ER(H4),""ALUM""), 2.7, IF(REGEXMATCH(UPPER(H4),""LAT""), 8.73, IF(REGEXMATCH(UPPER(H4),""COBRE""), 8.96, 0) ) ) ) * I4 )"),28.296)</f>
        <v>28.296</v>
      </c>
    </row>
    <row r="5" ht="37.5" customHeight="1">
      <c r="A5" s="51">
        <v>19.0</v>
      </c>
      <c r="B5" s="52">
        <v>45918.0</v>
      </c>
      <c r="C5" s="53" t="s">
        <v>8296</v>
      </c>
      <c r="D5" s="47" t="s">
        <v>8316</v>
      </c>
      <c r="E5" s="47" t="s">
        <v>8327</v>
      </c>
      <c r="F5" s="47" t="s">
        <v>8328</v>
      </c>
      <c r="G5" s="47">
        <v>3.0</v>
      </c>
      <c r="H5" s="47" t="s">
        <v>8319</v>
      </c>
      <c r="I5" s="47">
        <v>1.0</v>
      </c>
      <c r="J5" s="47" t="s">
        <v>8316</v>
      </c>
      <c r="K5" s="47">
        <v>14527.0</v>
      </c>
      <c r="L5" s="54" t="s">
        <v>8329</v>
      </c>
      <c r="M5" s="50">
        <f>IFERROR(__xludf.DUMMYFUNCTION("IF(OR(F5="""",G5="""",H5="""",I5=""""),"""", (VALUE(INDEX(SPLIT(REGEXREPLACE(F5,""[^\d]+"",""x""),""x""),1))/1000) * (VALUE(INDEX(SPLIT(REGEXREPLACE(F5,""[^\d]+"",""x""),""x""),2))/1000) * G5 * IF(REGEXMATCH(UPPER(H5),""AÇO|ACO""), 7.86, IF(REGEXMATCH(UPP"&amp;"ER(H5),""ALUM""), 2.7, IF(REGEXMATCH(UPPER(H5),""LAT""), 8.73, IF(REGEXMATCH(UPPER(H5),""COBRE""), 8.96, 0) ) ) ) * I5 )"),27.16416)</f>
        <v>27.16416</v>
      </c>
    </row>
    <row r="6" ht="37.5" customHeight="1">
      <c r="A6" s="51">
        <v>20.0</v>
      </c>
      <c r="B6" s="52">
        <v>45918.0</v>
      </c>
      <c r="C6" s="53" t="s">
        <v>8296</v>
      </c>
      <c r="D6" s="47" t="s">
        <v>8316</v>
      </c>
      <c r="E6" s="47" t="s">
        <v>8322</v>
      </c>
      <c r="F6" s="47" t="s">
        <v>8330</v>
      </c>
      <c r="G6" s="47">
        <v>2.0</v>
      </c>
      <c r="H6" s="47" t="s">
        <v>8319</v>
      </c>
      <c r="I6" s="47">
        <v>1.0</v>
      </c>
      <c r="J6" s="47" t="s">
        <v>8316</v>
      </c>
      <c r="K6" s="47">
        <v>15567.0</v>
      </c>
      <c r="L6" s="54" t="s">
        <v>8331</v>
      </c>
      <c r="M6" s="50">
        <f>IFERROR(__xludf.DUMMYFUNCTION("IF(OR(F6="""",G6="""",H6="""",I6=""""),"""", (VALUE(INDEX(SPLIT(REGEXREPLACE(F6,""[^\d]+"",""x""),""x""),1))/1000) * (VALUE(INDEX(SPLIT(REGEXREPLACE(F6,""[^\d]+"",""x""),""x""),2))/1000) * G6 * IF(REGEXMATCH(UPPER(H6),""AÇO|ACO""), 7.86, IF(REGEXMATCH(UPP"&amp;"ER(H6),""ALUM""), 2.7, IF(REGEXMATCH(UPPER(H6),""LAT""), 8.73, IF(REGEXMATCH(UPPER(H6),""COBRE""), 8.96, 0) ) ) ) * I6 )"),7.48272)</f>
        <v>7.48272</v>
      </c>
    </row>
    <row r="7" ht="37.5" customHeight="1">
      <c r="A7" s="51">
        <v>21.0</v>
      </c>
      <c r="B7" s="52">
        <v>45918.0</v>
      </c>
      <c r="C7" s="53" t="s">
        <v>8296</v>
      </c>
      <c r="D7" s="47" t="s">
        <v>8316</v>
      </c>
      <c r="E7" s="47" t="s">
        <v>8317</v>
      </c>
      <c r="F7" s="47" t="s">
        <v>8332</v>
      </c>
      <c r="G7" s="47">
        <v>1.5</v>
      </c>
      <c r="H7" s="47" t="s">
        <v>8319</v>
      </c>
      <c r="I7" s="47">
        <v>1.0</v>
      </c>
      <c r="J7" s="47" t="s">
        <v>8316</v>
      </c>
      <c r="K7" s="47">
        <v>15623.0</v>
      </c>
      <c r="L7" s="54" t="s">
        <v>8333</v>
      </c>
      <c r="M7" s="50">
        <f>IFERROR(__xludf.DUMMYFUNCTION("IF(OR(F7="""",G7="""",H7="""",I7=""""),"""", (VALUE(INDEX(SPLIT(REGEXREPLACE(F7,""[^\d]+"",""x""),""x""),1))/1000) * (VALUE(INDEX(SPLIT(REGEXREPLACE(F7,""[^\d]+"",""x""),""x""),2))/1000) * G7 * IF(REGEXMATCH(UPPER(H7),""AÇO|ACO""), 7.86, IF(REGEXMATCH(UPP"&amp;"ER(H7),""ALUM""), 2.7, IF(REGEXMATCH(UPPER(H7),""LAT""), 8.73, IF(REGEXMATCH(UPPER(H7),""COBRE""), 8.96, 0) ) ) ) * I7 )"),41.0292)</f>
        <v>41.0292</v>
      </c>
    </row>
    <row r="8" ht="37.5" customHeight="1">
      <c r="A8" s="51">
        <v>27.0</v>
      </c>
      <c r="B8" s="52">
        <v>45918.0</v>
      </c>
      <c r="C8" s="53" t="s">
        <v>8296</v>
      </c>
      <c r="D8" s="47" t="s">
        <v>8334</v>
      </c>
      <c r="E8" s="47" t="s">
        <v>8317</v>
      </c>
      <c r="F8" s="47" t="s">
        <v>8335</v>
      </c>
      <c r="G8" s="47">
        <v>4.0</v>
      </c>
      <c r="H8" s="47" t="s">
        <v>8319</v>
      </c>
      <c r="I8" s="47">
        <v>2.0</v>
      </c>
      <c r="J8" s="47" t="s">
        <v>8334</v>
      </c>
      <c r="K8" s="47"/>
      <c r="L8" s="54" t="s">
        <v>8336</v>
      </c>
      <c r="M8" s="50">
        <f>IFERROR(__xludf.DUMMYFUNCTION("IF(OR(F8="""",G8="""",H8="""",I8=""""),"""", (VALUE(INDEX(SPLIT(REGEXREPLACE(F8,""[^\d]+"",""x""),""x""),1))/1000) * (VALUE(INDEX(SPLIT(REGEXREPLACE(F8,""[^\d]+"",""x""),""x""),2))/1000) * G8 * IF(REGEXMATCH(UPPER(H8),""AÇO|ACO""), 7.86, IF(REGEXMATCH(UPP"&amp;"ER(H8),""ALUM""), 2.7, IF(REGEXMATCH(UPPER(H8),""LAT""), 8.73, IF(REGEXMATCH(UPPER(H8),""COBRE""), 8.96, 0) ) ) ) * I8 )"),46.267104)</f>
        <v>46.267104</v>
      </c>
    </row>
    <row r="9" ht="37.5" customHeight="1">
      <c r="A9" s="51">
        <v>28.0</v>
      </c>
      <c r="B9" s="52">
        <v>45918.0</v>
      </c>
      <c r="C9" s="53" t="s">
        <v>8296</v>
      </c>
      <c r="D9" s="47" t="s">
        <v>8337</v>
      </c>
      <c r="E9" s="47" t="s">
        <v>8317</v>
      </c>
      <c r="F9" s="47" t="s">
        <v>8325</v>
      </c>
      <c r="G9" s="47">
        <v>2.0</v>
      </c>
      <c r="H9" s="47" t="s">
        <v>8338</v>
      </c>
      <c r="I9" s="47">
        <v>1.0</v>
      </c>
      <c r="J9" s="47" t="s">
        <v>8337</v>
      </c>
      <c r="K9" s="47"/>
      <c r="L9" s="54" t="s">
        <v>8339</v>
      </c>
      <c r="M9" s="50">
        <f>IFERROR(__xludf.DUMMYFUNCTION("IF(OR(F9="""",G9="""",H9="""",I9=""""),"""", (VALUE(INDEX(SPLIT(REGEXREPLACE(F9,""[^\d]+"",""x""),""x""),1))/1000) * (VALUE(INDEX(SPLIT(REGEXREPLACE(F9,""[^\d]+"",""x""),""x""),2))/1000) * G9 * IF(REGEXMATCH(UPPER(H9),""AÇO|ACO""), 7.86, IF(REGEXMATCH(UPP"&amp;"ER(H9),""ALUM""), 2.7, IF(REGEXMATCH(UPPER(H9),""LAT""), 8.73, IF(REGEXMATCH(UPPER(H9),""COBRE""), 8.96, 0) ) ) ) * I9 )"),56.592)</f>
        <v>56.592</v>
      </c>
    </row>
    <row r="10" ht="37.5" customHeight="1">
      <c r="A10" s="51">
        <v>41.0</v>
      </c>
      <c r="B10" s="52">
        <v>45931.0</v>
      </c>
      <c r="C10" s="53" t="s">
        <v>8288</v>
      </c>
      <c r="D10" s="47" t="s">
        <v>8340</v>
      </c>
      <c r="E10" s="47" t="s">
        <v>8317</v>
      </c>
      <c r="F10" s="47" t="s">
        <v>8341</v>
      </c>
      <c r="G10" s="47">
        <v>1.2</v>
      </c>
      <c r="H10" s="47" t="s">
        <v>8342</v>
      </c>
      <c r="I10" s="47">
        <v>3.0</v>
      </c>
      <c r="J10" s="47" t="s">
        <v>8340</v>
      </c>
      <c r="K10" s="47"/>
      <c r="L10" s="54" t="s">
        <v>8343</v>
      </c>
      <c r="M10" s="50">
        <f>IFERROR(__xludf.DUMMYFUNCTION("IF(OR(F10="""",G10="""",H10="""",I10=""""),"""",(VALUE(INDEX(SPLIT(REGEXREPLACE(F10,""[^\d]+"",""x""),""x""),1))/1000)*(VALUE(INDEX(SPLIT(REGEXREPLACE(F10,""[^\d]+"",""x""),""x""),2))/1000)*G10*IF(REGEXMATCH(UPPER(H10),""AÇO|ACO""),7.86,IF(REGEXMATCH(UPPE"&amp;"R(H10),""ALUM""),2.7,IF(REGEXMATCH(UPPER(H10),""LAT""),8.73,IF(REGEXMATCH(UPPER(H10),""COBRE""),8.96,0))))*I10)"),101.8656)</f>
        <v>101.8656</v>
      </c>
    </row>
    <row r="11" ht="37.5" customHeight="1">
      <c r="A11" s="51">
        <v>42.0</v>
      </c>
      <c r="B11" s="52">
        <v>45931.0</v>
      </c>
      <c r="C11" s="53" t="s">
        <v>8296</v>
      </c>
      <c r="D11" s="47" t="s">
        <v>8344</v>
      </c>
      <c r="E11" s="47" t="s">
        <v>8322</v>
      </c>
      <c r="F11" s="47" t="s">
        <v>8345</v>
      </c>
      <c r="G11" s="47">
        <v>1.7</v>
      </c>
      <c r="H11" s="47" t="s">
        <v>8346</v>
      </c>
      <c r="I11" s="47">
        <v>1.0</v>
      </c>
      <c r="J11" s="47" t="s">
        <v>8347</v>
      </c>
      <c r="K11" s="47"/>
      <c r="L11" s="54" t="s">
        <v>8348</v>
      </c>
      <c r="M11" s="50">
        <f>IFERROR(__xludf.DUMMYFUNCTION("IF(OR(F11="""",G11="""",H11="""",I11=""""),"""",(VALUE(INDEX(SPLIT(REGEXREPLACE(F11,""[^\d]+"",""x""),""x""),1))/1000)*(VALUE(INDEX(SPLIT(REGEXREPLACE(F11,""[^\d]+"",""x""),""x""),2))/1000)*G11*IF(REGEXMATCH(UPPER(H11),""AÇO|ACO""),7.86,IF(REGEXMATCH(UPPE"&amp;"R(H11),""ALUM""),2.7,IF(REGEXMATCH(UPPER(H11),""LAT""),8.73,IF(REGEXMATCH(UPPER(H11),""COBRE""),8.96,0))))*I11)"),14.197125)</f>
        <v>14.197125</v>
      </c>
    </row>
    <row r="12" ht="37.5" customHeight="1">
      <c r="A12" s="51">
        <v>43.0</v>
      </c>
      <c r="B12" s="52">
        <v>45931.0</v>
      </c>
      <c r="C12" s="53" t="s">
        <v>8296</v>
      </c>
      <c r="D12" s="47" t="s">
        <v>8344</v>
      </c>
      <c r="E12" s="47" t="s">
        <v>8322</v>
      </c>
      <c r="F12" s="47" t="s">
        <v>8349</v>
      </c>
      <c r="G12" s="47">
        <v>1.7</v>
      </c>
      <c r="H12" s="47" t="s">
        <v>8346</v>
      </c>
      <c r="I12" s="47">
        <v>1.0</v>
      </c>
      <c r="J12" s="47" t="s">
        <v>8347</v>
      </c>
      <c r="K12" s="47"/>
      <c r="L12" s="54" t="s">
        <v>8350</v>
      </c>
      <c r="M12" s="50">
        <f>IFERROR(__xludf.DUMMYFUNCTION("IF(OR(F12="""",G12="""",H12="""",I12=""""),"""",(VALUE(INDEX(SPLIT(REGEXREPLACE(F12,""[^\d]+"",""x""),""x""),1))/1000)*(VALUE(INDEX(SPLIT(REGEXREPLACE(F12,""[^\d]+"",""x""),""x""),2))/1000)*G12*IF(REGEXMATCH(UPPER(H12),""AÇO|ACO""),7.86,IF(REGEXMATCH(UPPE"&amp;"R(H12),""ALUM""),2.7,IF(REGEXMATCH(UPPER(H12),""LAT""),8.73,IF(REGEXMATCH(UPPER(H12),""COBRE""),8.96,0))))*I12)"),14.079539399999998)</f>
        <v>14.0795394</v>
      </c>
    </row>
    <row r="13" ht="37.5" customHeight="1">
      <c r="A13" s="51">
        <v>44.0</v>
      </c>
      <c r="B13" s="52">
        <v>45931.0</v>
      </c>
      <c r="C13" s="53" t="s">
        <v>8296</v>
      </c>
      <c r="D13" s="47" t="s">
        <v>8344</v>
      </c>
      <c r="E13" s="47" t="s">
        <v>8322</v>
      </c>
      <c r="F13" s="47" t="s">
        <v>8351</v>
      </c>
      <c r="G13" s="47">
        <v>1.7</v>
      </c>
      <c r="H13" s="47" t="s">
        <v>8346</v>
      </c>
      <c r="I13" s="47">
        <v>1.0</v>
      </c>
      <c r="J13" s="47" t="s">
        <v>8347</v>
      </c>
      <c r="K13" s="47"/>
      <c r="L13" s="54" t="s">
        <v>8352</v>
      </c>
      <c r="M13" s="50">
        <f>IFERROR(__xludf.DUMMYFUNCTION("IF(OR(F13="""",G13="""",H13="""",I13=""""),"""",(VALUE(INDEX(SPLIT(REGEXREPLACE(F13,""[^\d]+"",""x""),""x""),1))/1000)*(VALUE(INDEX(SPLIT(REGEXREPLACE(F13,""[^\d]+"",""x""),""x""),2))/1000)*G13*IF(REGEXMATCH(UPPER(H13),""AÇO|ACO""),7.86,IF(REGEXMATCH(UPPE"&amp;"R(H13),""ALUM""),2.7,IF(REGEXMATCH(UPPER(H13),""LAT""),8.73,IF(REGEXMATCH(UPPER(H13),""COBRE""),8.96,0))))*I13)"),15.3302226)</f>
        <v>15.3302226</v>
      </c>
    </row>
    <row r="14" ht="37.5" customHeight="1">
      <c r="A14" s="51">
        <v>46.0</v>
      </c>
      <c r="B14" s="52">
        <v>45931.0</v>
      </c>
      <c r="C14" s="53" t="s">
        <v>8296</v>
      </c>
      <c r="D14" s="47" t="s">
        <v>8316</v>
      </c>
      <c r="E14" s="47" t="s">
        <v>8322</v>
      </c>
      <c r="F14" s="47" t="s">
        <v>8353</v>
      </c>
      <c r="G14" s="47">
        <v>6.35</v>
      </c>
      <c r="H14" s="47" t="s">
        <v>8354</v>
      </c>
      <c r="I14" s="47">
        <v>1.0</v>
      </c>
      <c r="J14" s="47" t="s">
        <v>8316</v>
      </c>
      <c r="K14" s="47">
        <v>14991.0</v>
      </c>
      <c r="L14" s="54" t="s">
        <v>8355</v>
      </c>
      <c r="M14" s="50">
        <f>IFERROR(__xludf.DUMMYFUNCTION("IF(OR(F14="""",G14="""",H14="""",I14=""""),"""",(VALUE(INDEX(SPLIT(REGEXREPLACE(F14,""[^\d]+"",""x""),""x""),1))/1000)*(VALUE(INDEX(SPLIT(REGEXREPLACE(F14,""[^\d]+"",""x""),""x""),2))/1000)*G14*IF(REGEXMATCH(UPPER(H14),""AÇO|ACO""),7.86,IF(REGEXMATCH(UPPE"&amp;"R(H14),""ALUM""),2.7,IF(REGEXMATCH(UPPER(H14),""LAT""),8.73,IF(REGEXMATCH(UPPER(H14),""COBRE""),8.96,0))))*I14)"),58.5805407)</f>
        <v>58.5805407</v>
      </c>
    </row>
    <row r="15" ht="37.5" customHeight="1">
      <c r="A15" s="51">
        <v>47.0</v>
      </c>
      <c r="B15" s="52">
        <v>45931.0</v>
      </c>
      <c r="C15" s="53" t="s">
        <v>8296</v>
      </c>
      <c r="D15" s="47" t="s">
        <v>8316</v>
      </c>
      <c r="E15" s="47" t="s">
        <v>8322</v>
      </c>
      <c r="F15" s="47" t="s">
        <v>8356</v>
      </c>
      <c r="G15" s="47">
        <v>12.7</v>
      </c>
      <c r="H15" s="47" t="s">
        <v>8319</v>
      </c>
      <c r="I15" s="47">
        <v>1.0</v>
      </c>
      <c r="J15" s="47" t="s">
        <v>8316</v>
      </c>
      <c r="K15" s="47">
        <v>15567.0</v>
      </c>
      <c r="L15" s="54" t="s">
        <v>8357</v>
      </c>
      <c r="M15" s="50">
        <f>IFERROR(__xludf.DUMMYFUNCTION("IF(OR(F15="""",G15="""",H15="""",I15=""""),"""",(VALUE(INDEX(SPLIT(REGEXREPLACE(F15,""[^\d]+"",""x""),""x""),1))/1000)*(VALUE(INDEX(SPLIT(REGEXREPLACE(F15,""[^\d]+"",""x""),""x""),2))/1000)*G15*IF(REGEXMATCH(UPPER(H15),""AÇO|ACO""),7.86,IF(REGEXMATCH(UPPE"&amp;"R(H15),""ALUM""),2.7,IF(REGEXMATCH(UPPER(H15),""LAT""),8.73,IF(REGEXMATCH(UPPER(H15),""COBRE""),8.96,0))))*I15)"),211.37308499999995)</f>
        <v>211.373085</v>
      </c>
    </row>
    <row r="16" ht="37.5" customHeight="1">
      <c r="A16" s="51">
        <v>48.0</v>
      </c>
      <c r="B16" s="52">
        <v>45931.0</v>
      </c>
      <c r="C16" s="53" t="s">
        <v>8296</v>
      </c>
      <c r="D16" s="47" t="s">
        <v>8316</v>
      </c>
      <c r="E16" s="47" t="s">
        <v>8322</v>
      </c>
      <c r="F16" s="47" t="s">
        <v>8358</v>
      </c>
      <c r="G16" s="47">
        <v>1.5</v>
      </c>
      <c r="H16" s="47" t="s">
        <v>8319</v>
      </c>
      <c r="I16" s="47">
        <v>1.0</v>
      </c>
      <c r="J16" s="47" t="s">
        <v>8316</v>
      </c>
      <c r="K16" s="47"/>
      <c r="L16" s="54" t="s">
        <v>8359</v>
      </c>
      <c r="M16" s="50">
        <f>IFERROR(__xludf.DUMMYFUNCTION("IF(OR(F16="""",G16="""",H16="""",I16=""""),"""",(VALUE(INDEX(SPLIT(REGEXREPLACE(F16,""[^\d]+"",""x""),""x""),1))/1000)*(VALUE(INDEX(SPLIT(REGEXREPLACE(F16,""[^\d]+"",""x""),""x""),2))/1000)*G16*IF(REGEXMATCH(UPPER(H16),""AÇO|ACO""),7.86,IF(REGEXMATCH(UPPE"&amp;"R(H16),""ALUM""),2.7,IF(REGEXMATCH(UPPER(H16),""LAT""),8.73,IF(REGEXMATCH(UPPER(H16),""COBRE""),8.96,0))))*I16)"),13.4406)</f>
        <v>13.4406</v>
      </c>
    </row>
    <row r="17" ht="37.5" customHeight="1">
      <c r="A17" s="51">
        <v>50.0</v>
      </c>
      <c r="B17" s="52">
        <v>45931.0</v>
      </c>
      <c r="C17" s="53" t="s">
        <v>8296</v>
      </c>
      <c r="D17" s="47" t="s">
        <v>8360</v>
      </c>
      <c r="E17" s="47" t="s">
        <v>8322</v>
      </c>
      <c r="F17" s="47" t="s">
        <v>8361</v>
      </c>
      <c r="G17" s="47">
        <v>9.5</v>
      </c>
      <c r="H17" s="47" t="s">
        <v>8362</v>
      </c>
      <c r="I17" s="47">
        <v>1.0</v>
      </c>
      <c r="J17" s="47" t="s">
        <v>8363</v>
      </c>
      <c r="K17" s="47">
        <v>358716.0</v>
      </c>
      <c r="L17" s="54" t="s">
        <v>8364</v>
      </c>
      <c r="M17" s="50">
        <f>IFERROR(__xludf.DUMMYFUNCTION("IF(OR(F17="""",G17="""",H17="""",I17=""""),"""",(VALUE(INDEX(SPLIT(REGEXREPLACE(F17,""[^\d]+"",""x""),""x""),1))/1000)*(VALUE(INDEX(SPLIT(REGEXREPLACE(F17,""[^\d]+"",""x""),""x""),2))/1000)*G17*IF(REGEXMATCH(UPPER(H17),""AÇO|ACO""),7.86,IF(REGEXMATCH(UPPE"&amp;"R(H17),""ALUM""),2.7,IF(REGEXMATCH(UPPER(H17),""LAT""),8.73,IF(REGEXMATCH(UPPER(H17),""COBRE""),8.96,0))))*I17)"),20.646254999999996)</f>
        <v>20.646255</v>
      </c>
    </row>
    <row r="18" ht="37.5" customHeight="1">
      <c r="A18" s="51">
        <v>52.0</v>
      </c>
      <c r="B18" s="52">
        <v>45931.0</v>
      </c>
      <c r="C18" s="53" t="s">
        <v>8296</v>
      </c>
      <c r="D18" s="47" t="s">
        <v>8360</v>
      </c>
      <c r="E18" s="47" t="s">
        <v>8322</v>
      </c>
      <c r="F18" s="47" t="s">
        <v>8365</v>
      </c>
      <c r="G18" s="47">
        <v>0.8</v>
      </c>
      <c r="H18" s="47" t="s">
        <v>8366</v>
      </c>
      <c r="I18" s="47">
        <v>1.0</v>
      </c>
      <c r="J18" s="47"/>
      <c r="K18" s="47"/>
      <c r="L18" s="54" t="s">
        <v>8367</v>
      </c>
      <c r="M18" s="50">
        <f>IFERROR(__xludf.DUMMYFUNCTION("IF(OR(F18="""",G18="""",H18="""",I18=""""),"""",(VALUE(INDEX(SPLIT(REGEXREPLACE(F18,""[^\d]+"",""x""),""x""),1))/1000)*(VALUE(INDEX(SPLIT(REGEXREPLACE(F18,""[^\d]+"",""x""),""x""),2))/1000)*G18*IF(REGEXMATCH(UPPER(H18),""AÇO|ACO""),7.86,IF(REGEXMATCH(UPPE"&amp;"R(H18),""ALUM""),2.7,IF(REGEXMATCH(UPPER(H18),""LAT""),8.73,IF(REGEXMATCH(UPPER(H18),""COBRE""),8.96,0))))*I18)"),3.3054444000000003)</f>
        <v>3.3054444</v>
      </c>
    </row>
    <row r="19" ht="37.5" customHeight="1">
      <c r="A19" s="51">
        <v>53.0</v>
      </c>
      <c r="B19" s="52">
        <v>45931.0</v>
      </c>
      <c r="C19" s="53" t="s">
        <v>8296</v>
      </c>
      <c r="D19" s="47" t="s">
        <v>8360</v>
      </c>
      <c r="E19" s="47" t="s">
        <v>8322</v>
      </c>
      <c r="F19" s="47" t="s">
        <v>8368</v>
      </c>
      <c r="G19" s="47">
        <v>0.8</v>
      </c>
      <c r="H19" s="47" t="s">
        <v>8366</v>
      </c>
      <c r="I19" s="47">
        <v>1.0</v>
      </c>
      <c r="J19" s="47"/>
      <c r="K19" s="47"/>
      <c r="L19" s="54" t="s">
        <v>8369</v>
      </c>
      <c r="M19" s="50">
        <f>IFERROR(__xludf.DUMMYFUNCTION("IF(OR(F19="""",G19="""",H19="""",I19=""""),"""",(VALUE(INDEX(SPLIT(REGEXREPLACE(F19,""[^\d]+"",""x""),""x""),1))/1000)*(VALUE(INDEX(SPLIT(REGEXREPLACE(F19,""[^\d]+"",""x""),""x""),2))/1000)*G19*IF(REGEXMATCH(UPPER(H19),""AÇO|ACO""),7.86,IF(REGEXMATCH(UPPE"&amp;"R(H19),""ALUM""),2.7,IF(REGEXMATCH(UPPER(H19),""LAT""),8.73,IF(REGEXMATCH(UPPER(H19),""COBRE""),8.96,0))))*I19)"),4.281027600000001)</f>
        <v>4.2810276</v>
      </c>
    </row>
    <row r="20" ht="37.5" customHeight="1">
      <c r="A20" s="51">
        <v>54.0</v>
      </c>
      <c r="B20" s="52">
        <v>45931.0</v>
      </c>
      <c r="C20" s="53" t="s">
        <v>8296</v>
      </c>
      <c r="D20" s="47" t="s">
        <v>8360</v>
      </c>
      <c r="E20" s="47" t="s">
        <v>8322</v>
      </c>
      <c r="F20" s="47" t="s">
        <v>8370</v>
      </c>
      <c r="G20" s="47">
        <v>0.8</v>
      </c>
      <c r="H20" s="47" t="s">
        <v>8366</v>
      </c>
      <c r="I20" s="47">
        <v>3.0</v>
      </c>
      <c r="J20" s="47"/>
      <c r="K20" s="47"/>
      <c r="L20" s="54" t="s">
        <v>8371</v>
      </c>
      <c r="M20" s="50">
        <f>IFERROR(__xludf.DUMMYFUNCTION("IF(OR(F20="""",G20="""",H20="""",I20=""""),"""",(VALUE(INDEX(SPLIT(REGEXREPLACE(F20,""[^\d]+"",""x""),""x""),1))/1000)*(VALUE(INDEX(SPLIT(REGEXREPLACE(F20,""[^\d]+"",""x""),""x""),2))/1000)*G20*IF(REGEXMATCH(UPPER(H20),""AÇO|ACO""),7.86,IF(REGEXMATCH(UPPE"&amp;"R(H20),""ALUM""),2.7,IF(REGEXMATCH(UPPER(H20),""LAT""),8.73,IF(REGEXMATCH(UPPER(H20),""COBRE""),8.96,0))))*I20)"),13.010500799999999)</f>
        <v>13.0105008</v>
      </c>
    </row>
    <row r="21" ht="37.5" customHeight="1">
      <c r="A21" s="51">
        <v>55.0</v>
      </c>
      <c r="B21" s="52">
        <v>45931.0</v>
      </c>
      <c r="C21" s="53" t="s">
        <v>8296</v>
      </c>
      <c r="D21" s="47" t="s">
        <v>8360</v>
      </c>
      <c r="E21" s="47" t="s">
        <v>8322</v>
      </c>
      <c r="F21" s="47" t="s">
        <v>8372</v>
      </c>
      <c r="G21" s="47">
        <v>0.8</v>
      </c>
      <c r="H21" s="47" t="s">
        <v>8366</v>
      </c>
      <c r="I21" s="47">
        <v>1.0</v>
      </c>
      <c r="J21" s="47"/>
      <c r="K21" s="47"/>
      <c r="L21" s="54" t="s">
        <v>8373</v>
      </c>
      <c r="M21" s="50">
        <f>IFERROR(__xludf.DUMMYFUNCTION("IF(OR(F21="""",G21="""",H21="""",I21=""""),"""",(VALUE(INDEX(SPLIT(REGEXREPLACE(F21,""[^\d]+"",""x""),""x""),1))/1000)*(VALUE(INDEX(SPLIT(REGEXREPLACE(F21,""[^\d]+"",""x""),""x""),2))/1000)*G21*IF(REGEXMATCH(UPPER(H21),""AÇO|ACO""),7.86,IF(REGEXMATCH(UPPE"&amp;"R(H21),""ALUM""),2.7,IF(REGEXMATCH(UPPER(H21),""LAT""),8.73,IF(REGEXMATCH(UPPER(H21),""COBRE""),8.96,0))))*I21)"),2.7673487999999997)</f>
        <v>2.7673488</v>
      </c>
    </row>
    <row r="22" ht="37.5" customHeight="1">
      <c r="A22" s="51">
        <v>56.0</v>
      </c>
      <c r="B22" s="52">
        <v>45932.0</v>
      </c>
      <c r="C22" s="53" t="s">
        <v>8296</v>
      </c>
      <c r="D22" s="47" t="s">
        <v>8374</v>
      </c>
      <c r="E22" s="47" t="s">
        <v>8317</v>
      </c>
      <c r="F22" s="47" t="s">
        <v>8341</v>
      </c>
      <c r="G22" s="47">
        <v>0.8</v>
      </c>
      <c r="H22" s="47" t="s">
        <v>8342</v>
      </c>
      <c r="I22" s="47">
        <v>55.0</v>
      </c>
      <c r="J22" s="47" t="s">
        <v>8375</v>
      </c>
      <c r="K22" s="47"/>
      <c r="L22" s="54" t="s">
        <v>8376</v>
      </c>
      <c r="M22" s="50">
        <f>IFERROR(__xludf.DUMMYFUNCTION("IF(OR(F22="""",G22="""",H22="""",I22=""""),"""",(VALUE(INDEX(SPLIT(REGEXREPLACE(F22,""[^\d]+"",""x""),""x""),1))/1000)*(VALUE(INDEX(SPLIT(REGEXREPLACE(F22,""[^\d]+"",""x""),""x""),2))/1000)*G22*IF(REGEXMATCH(UPPER(H22),""AÇO|ACO""),7.86,IF(REGEXMATCH(UPPE"&amp;"R(H22),""ALUM""),2.7,IF(REGEXMATCH(UPPER(H22),""LAT""),8.73,IF(REGEXMATCH(UPPER(H22),""COBRE""),8.96,0))))*I22)"),1245.0240000000001)</f>
        <v>1245.024</v>
      </c>
    </row>
    <row r="23" ht="37.5" customHeight="1">
      <c r="A23" s="51">
        <v>57.0</v>
      </c>
      <c r="B23" s="52">
        <v>45932.0</v>
      </c>
      <c r="C23" s="53" t="s">
        <v>8296</v>
      </c>
      <c r="D23" s="47" t="s">
        <v>8360</v>
      </c>
      <c r="E23" s="47" t="s">
        <v>8322</v>
      </c>
      <c r="F23" s="47" t="s">
        <v>8377</v>
      </c>
      <c r="G23" s="47">
        <v>5.0</v>
      </c>
      <c r="H23" s="47" t="s">
        <v>8319</v>
      </c>
      <c r="I23" s="47">
        <v>1.0</v>
      </c>
      <c r="J23" s="47"/>
      <c r="K23" s="47"/>
      <c r="L23" s="54" t="s">
        <v>8378</v>
      </c>
      <c r="M23" s="50">
        <f>IFERROR(__xludf.DUMMYFUNCTION("IF(OR(F23="""",G23="""",H23="""",I23=""""),"""",(VALUE(INDEX(SPLIT(REGEXREPLACE(F23,""[^\d]+"",""x""),""x""),1))/1000)*(VALUE(INDEX(SPLIT(REGEXREPLACE(F23,""[^\d]+"",""x""),""x""),2))/1000)*G23*IF(REGEXMATCH(UPPER(H23),""AÇO|ACO""),7.86,IF(REGEXMATCH(UPPE"&amp;"R(H23),""ALUM""),2.7,IF(REGEXMATCH(UPPER(H23),""LAT""),8.73,IF(REGEXMATCH(UPPER(H23),""COBRE""),8.96,0))))*I23)"),4.2915600000000005)</f>
        <v>4.29156</v>
      </c>
    </row>
    <row r="24" ht="37.5" customHeight="1">
      <c r="A24" s="51">
        <v>58.0</v>
      </c>
      <c r="B24" s="52">
        <v>45932.0</v>
      </c>
      <c r="C24" s="53" t="s">
        <v>8296</v>
      </c>
      <c r="D24" s="47" t="s">
        <v>8360</v>
      </c>
      <c r="E24" s="47" t="s">
        <v>8322</v>
      </c>
      <c r="F24" s="47" t="s">
        <v>8379</v>
      </c>
      <c r="G24" s="47">
        <v>5.0</v>
      </c>
      <c r="H24" s="47" t="s">
        <v>8319</v>
      </c>
      <c r="I24" s="47">
        <v>1.0</v>
      </c>
      <c r="J24" s="47"/>
      <c r="K24" s="47"/>
      <c r="L24" s="54" t="s">
        <v>8380</v>
      </c>
      <c r="M24" s="50">
        <f>IFERROR(__xludf.DUMMYFUNCTION("IF(OR(F24="""",G24="""",H24="""",I24=""""),"""",(VALUE(INDEX(SPLIT(REGEXREPLACE(F24,""[^\d]+"",""x""),""x""),1))/1000)*(VALUE(INDEX(SPLIT(REGEXREPLACE(F24,""[^\d]+"",""x""),""x""),2))/1000)*G24*IF(REGEXMATCH(UPPER(H24),""AÇO|ACO""),7.86,IF(REGEXMATCH(UPPE"&amp;"R(H24),""ALUM""),2.7,IF(REGEXMATCH(UPPER(H24),""LAT""),8.73,IF(REGEXMATCH(UPPER(H24),""COBRE""),8.96,0))))*I24)"),24.759)</f>
        <v>24.759</v>
      </c>
    </row>
    <row r="25" ht="37.5" customHeight="1">
      <c r="A25" s="51">
        <v>59.0</v>
      </c>
      <c r="B25" s="52">
        <v>45932.0</v>
      </c>
      <c r="C25" s="53" t="s">
        <v>8296</v>
      </c>
      <c r="D25" s="47" t="s">
        <v>8360</v>
      </c>
      <c r="E25" s="47" t="s">
        <v>8322</v>
      </c>
      <c r="F25" s="47" t="s">
        <v>8381</v>
      </c>
      <c r="G25" s="47">
        <v>5.0</v>
      </c>
      <c r="H25" s="47" t="s">
        <v>8319</v>
      </c>
      <c r="I25" s="47">
        <v>1.0</v>
      </c>
      <c r="J25" s="47"/>
      <c r="K25" s="47"/>
      <c r="L25" s="54" t="s">
        <v>8382</v>
      </c>
      <c r="M25" s="50">
        <f>IFERROR(__xludf.DUMMYFUNCTION("IF(OR(F25="""",G25="""",H25="""",I25=""""),"""",(VALUE(INDEX(SPLIT(REGEXREPLACE(F25,""[^\d]+"",""x""),""x""),1))/1000)*(VALUE(INDEX(SPLIT(REGEXREPLACE(F25,""[^\d]+"",""x""),""x""),2))/1000)*G25*IF(REGEXMATCH(UPPER(H25),""AÇO|ACO""),7.86,IF(REGEXMATCH(UPPE"&amp;"R(H25),""ALUM""),2.7,IF(REGEXMATCH(UPPER(H25),""LAT""),8.73,IF(REGEXMATCH(UPPER(H25),""COBRE""),8.96,0))))*I25)"),14.148)</f>
        <v>14.148</v>
      </c>
    </row>
    <row r="26" ht="37.5" customHeight="1">
      <c r="A26" s="51">
        <v>60.0</v>
      </c>
      <c r="B26" s="52">
        <v>45932.0</v>
      </c>
      <c r="C26" s="53" t="s">
        <v>8296</v>
      </c>
      <c r="D26" s="47" t="s">
        <v>8360</v>
      </c>
      <c r="E26" s="47" t="s">
        <v>8322</v>
      </c>
      <c r="F26" s="47" t="s">
        <v>8383</v>
      </c>
      <c r="G26" s="47">
        <v>5.0</v>
      </c>
      <c r="H26" s="47" t="s">
        <v>8319</v>
      </c>
      <c r="I26" s="47">
        <v>1.0</v>
      </c>
      <c r="J26" s="47"/>
      <c r="K26" s="47"/>
      <c r="L26" s="54" t="s">
        <v>8384</v>
      </c>
      <c r="M26" s="50">
        <f>IFERROR(__xludf.DUMMYFUNCTION("IF(OR(F26="""",G26="""",H26="""",I26=""""),"""",(VALUE(INDEX(SPLIT(REGEXREPLACE(F26,""[^\d]+"",""x""),""x""),1))/1000)*(VALUE(INDEX(SPLIT(REGEXREPLACE(F26,""[^\d]+"",""x""),""x""),2))/1000)*G26*IF(REGEXMATCH(UPPER(H26),""AÇO|ACO""),7.86,IF(REGEXMATCH(UPPE"&amp;"R(H26),""ALUM""),2.7,IF(REGEXMATCH(UPPER(H26),""LAT""),8.73,IF(REGEXMATCH(UPPER(H26),""COBRE""),8.96,0))))*I26)"),15.327000000000002)</f>
        <v>15.327</v>
      </c>
    </row>
    <row r="27" ht="37.5" customHeight="1">
      <c r="A27" s="51">
        <v>61.0</v>
      </c>
      <c r="B27" s="52">
        <v>45932.0</v>
      </c>
      <c r="C27" s="53" t="s">
        <v>8296</v>
      </c>
      <c r="D27" s="47" t="s">
        <v>8360</v>
      </c>
      <c r="E27" s="47" t="s">
        <v>8322</v>
      </c>
      <c r="F27" s="47" t="s">
        <v>8385</v>
      </c>
      <c r="G27" s="47">
        <v>5.0</v>
      </c>
      <c r="H27" s="47" t="s">
        <v>8319</v>
      </c>
      <c r="I27" s="47">
        <v>1.0</v>
      </c>
      <c r="J27" s="47"/>
      <c r="K27" s="47"/>
      <c r="L27" s="54" t="s">
        <v>8386</v>
      </c>
      <c r="M27" s="50">
        <f>IFERROR(__xludf.DUMMYFUNCTION("IF(OR(F27="""",G27="""",H27="""",I27=""""),"""",(VALUE(INDEX(SPLIT(REGEXREPLACE(F27,""[^\d]+"",""x""),""x""),1))/1000)*(VALUE(INDEX(SPLIT(REGEXREPLACE(F27,""[^\d]+"",""x""),""x""),2))/1000)*G27*IF(REGEXMATCH(UPPER(H27),""AÇO|ACO""),7.86,IF(REGEXMATCH(UPPE"&amp;"R(H27),""ALUM""),2.7,IF(REGEXMATCH(UPPER(H27),""LAT""),8.73,IF(REGEXMATCH(UPPER(H27),""COBRE""),8.96,0))))*I27)"),10.611)</f>
        <v>10.611</v>
      </c>
    </row>
    <row r="28" ht="37.5" customHeight="1">
      <c r="A28" s="51">
        <v>64.0</v>
      </c>
      <c r="B28" s="52">
        <v>45932.0</v>
      </c>
      <c r="C28" s="53" t="s">
        <v>8296</v>
      </c>
      <c r="D28" s="47" t="s">
        <v>8316</v>
      </c>
      <c r="E28" s="47" t="s">
        <v>8322</v>
      </c>
      <c r="F28" s="47" t="s">
        <v>8387</v>
      </c>
      <c r="G28" s="47">
        <v>2.65</v>
      </c>
      <c r="H28" s="47" t="s">
        <v>8388</v>
      </c>
      <c r="I28" s="47">
        <v>1.0</v>
      </c>
      <c r="J28" s="47" t="s">
        <v>8316</v>
      </c>
      <c r="K28" s="51">
        <v>14584.0</v>
      </c>
      <c r="L28" s="54" t="s">
        <v>8389</v>
      </c>
      <c r="M28" s="50">
        <f>IFERROR(__xludf.DUMMYFUNCTION("IF(OR(F28="""",G28="""",H28="""",I28=""""),"""",(VALUE(INDEX(SPLIT(REGEXREPLACE(F28,""[^\d]+"",""x""),""x""),1))/1000)*(VALUE(INDEX(SPLIT(REGEXREPLACE(F28,""[^\d]+"",""x""),""x""),2))/1000)*G28*IF(REGEXMATCH(UPPER(H28),""AÇO|ACO""),7.86,IF(REGEXMATCH(UPPE"&amp;"R(H28),""ALUM""),2.7,IF(REGEXMATCH(UPPER(H28),""LAT""),8.73,IF(REGEXMATCH(UPPER(H28),""COBRE""),8.96,0))))*I28)"),10.585297800000001)</f>
        <v>10.5852978</v>
      </c>
    </row>
    <row r="29" ht="37.5" customHeight="1">
      <c r="A29" s="51">
        <v>65.0</v>
      </c>
      <c r="B29" s="52">
        <v>45932.0</v>
      </c>
      <c r="C29" s="53" t="s">
        <v>8296</v>
      </c>
      <c r="D29" s="47" t="s">
        <v>8340</v>
      </c>
      <c r="E29" s="47" t="s">
        <v>8322</v>
      </c>
      <c r="F29" s="47" t="s">
        <v>8390</v>
      </c>
      <c r="G29" s="47">
        <v>2.6</v>
      </c>
      <c r="H29" s="47" t="s">
        <v>8319</v>
      </c>
      <c r="I29" s="47">
        <v>1.0</v>
      </c>
      <c r="J29" s="47" t="s">
        <v>8316</v>
      </c>
      <c r="K29" s="47">
        <v>8150.0</v>
      </c>
      <c r="L29" s="54" t="s">
        <v>8391</v>
      </c>
      <c r="M29" s="50">
        <f>IFERROR(__xludf.DUMMYFUNCTION("IF(OR(F29="""",G29="""",H29="""",I29=""""),"""",(VALUE(INDEX(SPLIT(REGEXREPLACE(F29,""[^\d]+"",""x""),""x""),1))/1000)*(VALUE(INDEX(SPLIT(REGEXREPLACE(F29,""[^\d]+"",""x""),""x""),2))/1000)*G29*IF(REGEXMATCH(UPPER(H29),""AÇO|ACO""),7.86,IF(REGEXMATCH(UPPE"&amp;"R(H29),""ALUM""),2.7,IF(REGEXMATCH(UPPER(H29),""LAT""),8.73,IF(REGEXMATCH(UPPER(H29),""COBRE""),8.96,0))))*I29)"),17.166240000000002)</f>
        <v>17.16624</v>
      </c>
    </row>
    <row r="30" ht="37.5" customHeight="1">
      <c r="A30" s="51">
        <v>69.0</v>
      </c>
      <c r="B30" s="52">
        <v>45933.0</v>
      </c>
      <c r="C30" s="53" t="s">
        <v>8296</v>
      </c>
      <c r="D30" s="47" t="s">
        <v>8360</v>
      </c>
      <c r="E30" s="47" t="s">
        <v>8322</v>
      </c>
      <c r="F30" s="47" t="s">
        <v>8392</v>
      </c>
      <c r="G30" s="47">
        <v>1.5</v>
      </c>
      <c r="H30" s="47" t="s">
        <v>8319</v>
      </c>
      <c r="I30" s="47">
        <v>1.0</v>
      </c>
      <c r="J30" s="47"/>
      <c r="K30" s="51"/>
      <c r="L30" s="54" t="s">
        <v>8393</v>
      </c>
      <c r="M30" s="50">
        <f>IFERROR(__xludf.DUMMYFUNCTION("IF(OR(F30="""",G30="""",H30="""",I30=""""),"""",(VALUE(INDEX(SPLIT(REGEXREPLACE(F30,""[^\d]+"",""x""),""x""),1))/1000)*(VALUE(INDEX(SPLIT(REGEXREPLACE(F30,""[^\d]+"",""x""),""x""),2))/1000)*G30*IF(REGEXMATCH(UPPER(H30),""AÇO|ACO""),7.86,IF(REGEXMATCH(UPPE"&amp;"R(H30),""ALUM""),2.7,IF(REGEXMATCH(UPPER(H30),""LAT""),8.73,IF(REGEXMATCH(UPPER(H30),""COBRE""),8.96,0))))*I30)"),13.789584)</f>
        <v>13.789584</v>
      </c>
    </row>
    <row r="31" ht="37.5" customHeight="1">
      <c r="A31" s="51">
        <v>74.0</v>
      </c>
      <c r="B31" s="52">
        <v>45933.0</v>
      </c>
      <c r="C31" s="53" t="s">
        <v>8296</v>
      </c>
      <c r="D31" s="47" t="s">
        <v>8360</v>
      </c>
      <c r="E31" s="47" t="s">
        <v>8322</v>
      </c>
      <c r="F31" s="47" t="s">
        <v>8394</v>
      </c>
      <c r="G31" s="47">
        <v>3.0</v>
      </c>
      <c r="H31" s="47" t="s">
        <v>8319</v>
      </c>
      <c r="I31" s="47">
        <v>1.0</v>
      </c>
      <c r="J31" s="47" t="s">
        <v>8320</v>
      </c>
      <c r="K31" s="47"/>
      <c r="L31" s="54" t="s">
        <v>8395</v>
      </c>
      <c r="M31" s="50">
        <f>IFERROR(__xludf.DUMMYFUNCTION("IF(OR(F31="""",G31="""",H31="""",I31=""""),"""",(VALUE(INDEX(SPLIT(REGEXREPLACE(F31,""[^\d]+"",""x""),""x""),1))/1000)*(VALUE(INDEX(SPLIT(REGEXREPLACE(F31,""[^\d]+"",""x""),""x""),2))/1000)*G31*IF(REGEXMATCH(UPPER(H31),""AÇO|ACO""),7.86,IF(REGEXMATCH(UPPE"&amp;"R(H31),""ALUM""),2.7,IF(REGEXMATCH(UPPER(H31),""LAT""),8.73,IF(REGEXMATCH(UPPER(H31),""COBRE""),8.96,0))))*I31)"),34.521119999999996)</f>
        <v>34.52112</v>
      </c>
    </row>
    <row r="32" ht="37.5" customHeight="1">
      <c r="A32" s="51">
        <v>95.0</v>
      </c>
      <c r="B32" s="52">
        <v>45940.0</v>
      </c>
      <c r="C32" s="53" t="s">
        <v>8288</v>
      </c>
      <c r="D32" s="47" t="s">
        <v>8360</v>
      </c>
      <c r="E32" s="47" t="s">
        <v>8317</v>
      </c>
      <c r="F32" s="47" t="s">
        <v>8341</v>
      </c>
      <c r="G32" s="47">
        <v>4.0</v>
      </c>
      <c r="H32" s="47" t="s">
        <v>8346</v>
      </c>
      <c r="I32" s="47">
        <v>1.0</v>
      </c>
      <c r="J32" s="47" t="s">
        <v>8396</v>
      </c>
      <c r="K32" s="51">
        <v>178179.0</v>
      </c>
      <c r="L32" s="54" t="s">
        <v>8397</v>
      </c>
      <c r="M32" s="50">
        <f>IFERROR(__xludf.DUMMYFUNCTION("IF(OR(F32="""",G32="""",H32="""",I32=""""),"""",(VALUE(INDEX(SPLIT(REGEXREPLACE(F32,""[^\d]+"",""x""),""x""),1))/1000)*(VALUE(INDEX(SPLIT(REGEXREPLACE(F32,""[^\d]+"",""x""),""x""),2))/1000)*G32*IF(REGEXMATCH(UPPER(H32),""AÇO|ACO""),7.86,IF(REGEXMATCH(UPPE"&amp;"R(H32),""ALUM""),2.7,IF(REGEXMATCH(UPPER(H32),""LAT""),8.73,IF(REGEXMATCH(UPPER(H32),""COBRE""),8.96,0))))*I32)"),113.184)</f>
        <v>113.184</v>
      </c>
    </row>
    <row r="33" ht="37.5" customHeight="1">
      <c r="A33" s="51">
        <v>96.0</v>
      </c>
      <c r="B33" s="52">
        <v>45944.0</v>
      </c>
      <c r="C33" s="53" t="s">
        <v>8296</v>
      </c>
      <c r="D33" s="47" t="s">
        <v>8360</v>
      </c>
      <c r="E33" s="47" t="s">
        <v>8317</v>
      </c>
      <c r="F33" s="47" t="s">
        <v>8341</v>
      </c>
      <c r="G33" s="47">
        <v>3.75</v>
      </c>
      <c r="H33" s="47" t="s">
        <v>8362</v>
      </c>
      <c r="I33" s="47">
        <v>2.0</v>
      </c>
      <c r="J33" s="47" t="s">
        <v>8398</v>
      </c>
      <c r="K33" s="47">
        <v>286893.0</v>
      </c>
      <c r="L33" s="54" t="s">
        <v>8399</v>
      </c>
      <c r="M33" s="50">
        <f>IFERROR(__xludf.DUMMYFUNCTION("IF(OR(F33="""",G33="""",H33="""",I33=""""),"""",(VALUE(INDEX(SPLIT(REGEXREPLACE(F33,""[^\d]+"",""x""),""x""),1))/1000)*(VALUE(INDEX(SPLIT(REGEXREPLACE(F33,""[^\d]+"",""x""),""x""),2))/1000)*G33*IF(REGEXMATCH(UPPER(H33),""AÇO|ACO""),7.86,IF(REGEXMATCH(UPPE"&amp;"R(H33),""ALUM""),2.7,IF(REGEXMATCH(UPPER(H33),""LAT""),8.73,IF(REGEXMATCH(UPPER(H33),""COBRE""),8.96,0))))*I33)"),212.21999999999997)</f>
        <v>212.22</v>
      </c>
    </row>
    <row r="34" ht="37.5" customHeight="1">
      <c r="A34" s="51">
        <v>104.0</v>
      </c>
      <c r="B34" s="55">
        <v>45947.0</v>
      </c>
      <c r="C34" s="53" t="s">
        <v>8296</v>
      </c>
      <c r="D34" s="47" t="s">
        <v>8360</v>
      </c>
      <c r="E34" s="47" t="s">
        <v>8317</v>
      </c>
      <c r="F34" s="47" t="s">
        <v>8341</v>
      </c>
      <c r="G34" s="47">
        <v>9.5</v>
      </c>
      <c r="H34" s="47" t="s">
        <v>8362</v>
      </c>
      <c r="I34" s="47">
        <v>1.0</v>
      </c>
      <c r="J34" s="47" t="s">
        <v>8400</v>
      </c>
      <c r="K34" s="51">
        <v>3042.0</v>
      </c>
      <c r="L34" s="54" t="s">
        <v>8401</v>
      </c>
      <c r="M34" s="50">
        <f>IFERROR(__xludf.DUMMYFUNCTION("IF(OR(F34="""",G34="""",H34="""",I34=""""),"""",(VALUE(INDEX(SPLIT(REGEXREPLACE(F34,""[^\d]+"",""x""),""x""),1))/1000)*(VALUE(INDEX(SPLIT(REGEXREPLACE(F34,""[^\d]+"",""x""),""x""),2))/1000)*G34*IF(REGEXMATCH(UPPER(H34),""AÇO|ACO""),7.86,IF(REGEXMATCH(UPPE"&amp;"R(H34),""ALUM""),2.7,IF(REGEXMATCH(UPPER(H34),""LAT""),8.73,IF(REGEXMATCH(UPPER(H34),""COBRE""),8.96,0))))*I34)"),268.81199999999995)</f>
        <v>268.812</v>
      </c>
    </row>
    <row r="35" ht="37.5" customHeight="1">
      <c r="A35" s="51">
        <v>105.0</v>
      </c>
      <c r="B35" s="55">
        <v>45947.0</v>
      </c>
      <c r="C35" s="53" t="s">
        <v>8296</v>
      </c>
      <c r="D35" s="47" t="s">
        <v>8360</v>
      </c>
      <c r="E35" s="47" t="s">
        <v>8402</v>
      </c>
      <c r="F35" s="47" t="s">
        <v>8341</v>
      </c>
      <c r="G35" s="47">
        <v>12.7</v>
      </c>
      <c r="H35" s="47" t="s">
        <v>8362</v>
      </c>
      <c r="I35" s="47">
        <v>2.0</v>
      </c>
      <c r="J35" s="47" t="s">
        <v>8400</v>
      </c>
      <c r="K35" s="51">
        <v>3042.0</v>
      </c>
      <c r="L35" s="54" t="s">
        <v>8403</v>
      </c>
      <c r="M35" s="50">
        <f>IFERROR(__xludf.DUMMYFUNCTION("IF(OR(F35="""",G35="""",H35="""",I35=""""),"""",(VALUE(INDEX(SPLIT(REGEXREPLACE(F35,""[^\d]+"",""x""),""x""),1))/1000)*(VALUE(INDEX(SPLIT(REGEXREPLACE(F35,""[^\d]+"",""x""),""x""),2))/1000)*G35*IF(REGEXMATCH(UPPER(H35),""AÇO|ACO""),7.86,IF(REGEXMATCH(UPPE"&amp;"R(H35),""ALUM""),2.7,IF(REGEXMATCH(UPPER(H35),""LAT""),8.73,IF(REGEXMATCH(UPPER(H35),""COBRE""),8.96,0))))*I35)"),718.7183999999999)</f>
        <v>718.7184</v>
      </c>
    </row>
    <row r="36" ht="37.5" customHeight="1">
      <c r="A36" s="51">
        <v>112.0</v>
      </c>
      <c r="B36" s="56">
        <v>45957.0</v>
      </c>
      <c r="C36" s="53" t="s">
        <v>8296</v>
      </c>
      <c r="D36" s="47" t="s">
        <v>8360</v>
      </c>
      <c r="E36" s="47" t="s">
        <v>8317</v>
      </c>
      <c r="F36" s="47" t="s">
        <v>8341</v>
      </c>
      <c r="G36" s="47">
        <v>4.25</v>
      </c>
      <c r="H36" s="47" t="s">
        <v>8404</v>
      </c>
      <c r="I36" s="47">
        <v>2.0</v>
      </c>
      <c r="J36" s="47" t="s">
        <v>8400</v>
      </c>
      <c r="K36" s="51">
        <v>3086.0</v>
      </c>
      <c r="L36" s="54" t="s">
        <v>8405</v>
      </c>
      <c r="M36" s="50">
        <f>IFERROR(__xludf.DUMMYFUNCTION("IF(OR(F36="""",G36="""",H36="""",I36=""""),"""",(VALUE(INDEX(SPLIT(REGEXREPLACE(F36,""[^\d]+"",""x""),""x""),1))/1000)*(VALUE(INDEX(SPLIT(REGEXREPLACE(F36,""[^\d]+"",""x""),""x""),2))/1000)*G36*IF(REGEXMATCH(UPPER(H36),""AÇO|ACO""),7.86,IF(REGEXMATCH(UPPE"&amp;"R(H36),""ALUM""),2.7,IF(REGEXMATCH(UPPER(H36),""LAT""),8.73,IF(REGEXMATCH(UPPER(H36),""COBRE""),8.96,0))))*I36)"),240.516)</f>
        <v>240.516</v>
      </c>
    </row>
    <row r="37" ht="37.5" customHeight="1">
      <c r="A37" s="51">
        <v>114.0</v>
      </c>
      <c r="B37" s="56">
        <v>45958.0</v>
      </c>
      <c r="C37" s="53" t="s">
        <v>8301</v>
      </c>
      <c r="D37" s="47" t="s">
        <v>8406</v>
      </c>
      <c r="E37" s="47" t="s">
        <v>8317</v>
      </c>
      <c r="F37" s="47" t="s">
        <v>8407</v>
      </c>
      <c r="G37" s="47">
        <v>2.0</v>
      </c>
      <c r="H37" s="47" t="s">
        <v>8408</v>
      </c>
      <c r="I37" s="47">
        <v>46.0</v>
      </c>
      <c r="J37" s="47" t="s">
        <v>8409</v>
      </c>
      <c r="K37" s="47">
        <v>258796.0</v>
      </c>
      <c r="L37" s="54" t="s">
        <v>8410</v>
      </c>
      <c r="M37" s="50">
        <f>IFERROR(__xludf.DUMMYFUNCTION("IF(OR(F37="""",G37="""",H37="""",I37=""""),"""",(VALUE(INDEX(SPLIT(REGEXREPLACE(F37,""[^\d]+"",""x""),""x""),1))/1000)*(VALUE(INDEX(SPLIT(REGEXREPLACE(F37,""[^\d]+"",""x""),""x""),2))/1000)*G37*IF(REGEXMATCH(UPPER(H37),""AÇO|ACO""),7.86,IF(REGEXMATCH(UPPE"&amp;"R(H37),""ALUM""),2.7,IF(REGEXMATCH(UPPER(H37),""LAT""),8.73,IF(REGEXMATCH(UPPER(H37),""COBRE""),8.96,0))))*I37)"),321.06528000000003)</f>
        <v>321.06528</v>
      </c>
    </row>
    <row r="38" ht="37.5" customHeight="1">
      <c r="A38" s="51">
        <v>117.0</v>
      </c>
      <c r="B38" s="56">
        <v>45958.0</v>
      </c>
      <c r="C38" s="53" t="s">
        <v>8301</v>
      </c>
      <c r="D38" s="47" t="s">
        <v>8411</v>
      </c>
      <c r="E38" s="47" t="s">
        <v>8317</v>
      </c>
      <c r="F38" s="47" t="s">
        <v>8412</v>
      </c>
      <c r="G38" s="47">
        <v>2.0</v>
      </c>
      <c r="H38" s="47" t="s">
        <v>8319</v>
      </c>
      <c r="I38" s="47">
        <v>10.0</v>
      </c>
      <c r="J38" s="47"/>
      <c r="K38" s="47"/>
      <c r="L38" s="54" t="s">
        <v>8413</v>
      </c>
      <c r="M38" s="50">
        <f>IFERROR(__xludf.DUMMYFUNCTION("IF(OR(F38="""",G38="""",H38="""",I38=""""),"""",(VALUE(INDEX(SPLIT(REGEXREPLACE(F38,""[^\d]+"",""x""),""x""),1))/1000)*(VALUE(INDEX(SPLIT(REGEXREPLACE(F38,""[^\d]+"",""x""),""x""),2))/1000)*G38*IF(REGEXMATCH(UPPER(H38),""AÇO|ACO""),7.86,IF(REGEXMATCH(UPPE"&amp;"R(H38),""ALUM""),2.7,IF(REGEXMATCH(UPPER(H38),""LAT""),8.73,IF(REGEXMATCH(UPPER(H38),""COBRE""),8.96,0))))*I38)"),49.29792)</f>
        <v>49.29792</v>
      </c>
    </row>
    <row r="39" ht="37.5" customHeight="1">
      <c r="A39" s="51">
        <v>118.0</v>
      </c>
      <c r="B39" s="56">
        <v>45958.0</v>
      </c>
      <c r="C39" s="53" t="s">
        <v>8301</v>
      </c>
      <c r="D39" s="47" t="s">
        <v>8411</v>
      </c>
      <c r="E39" s="47" t="s">
        <v>8317</v>
      </c>
      <c r="F39" s="47" t="s">
        <v>8414</v>
      </c>
      <c r="G39" s="47">
        <v>2.3</v>
      </c>
      <c r="H39" s="47" t="s">
        <v>8319</v>
      </c>
      <c r="I39" s="47">
        <v>24.0</v>
      </c>
      <c r="J39" s="47" t="s">
        <v>8411</v>
      </c>
      <c r="K39" s="47">
        <v>259142.0</v>
      </c>
      <c r="L39" s="54" t="s">
        <v>8415</v>
      </c>
      <c r="M39" s="50">
        <f>IFERROR(__xludf.DUMMYFUNCTION("IF(OR(F39="""",G39="""",H39="""",I39=""""),"""",(VALUE(INDEX(SPLIT(REGEXREPLACE(F39,""[^\d]+"",""x""),""x""),1))/1000)*(VALUE(INDEX(SPLIT(REGEXREPLACE(F39,""[^\d]+"",""x""),""x""),2))/1000)*G39*IF(REGEXMATCH(UPPER(H39),""AÇO|ACO""),7.86,IF(REGEXMATCH(UPPE"&amp;"R(H39),""ALUM""),2.7,IF(REGEXMATCH(UPPER(H39),""LAT""),8.73,IF(REGEXMATCH(UPPER(H39),""COBRE""),8.96,0))))*I39)"),520.6464)</f>
        <v>520.6464</v>
      </c>
    </row>
    <row r="40" ht="37.5" customHeight="1">
      <c r="A40" s="51">
        <v>119.0</v>
      </c>
      <c r="B40" s="56">
        <v>45959.0</v>
      </c>
      <c r="C40" s="53" t="s">
        <v>8288</v>
      </c>
      <c r="D40" s="47" t="s">
        <v>8360</v>
      </c>
      <c r="E40" s="47" t="s">
        <v>8322</v>
      </c>
      <c r="F40" s="47" t="s">
        <v>8416</v>
      </c>
      <c r="G40" s="47">
        <v>1.2</v>
      </c>
      <c r="H40" s="47" t="s">
        <v>8417</v>
      </c>
      <c r="I40" s="47">
        <v>1.0</v>
      </c>
      <c r="J40" s="47" t="s">
        <v>8400</v>
      </c>
      <c r="K40" s="47">
        <v>3086.0</v>
      </c>
      <c r="L40" s="54" t="s">
        <v>8418</v>
      </c>
      <c r="M40" s="50">
        <f>IFERROR(__xludf.DUMMYFUNCTION("IF(OR(F40="""",G40="""",H40="""",I40=""""),"""",(VALUE(INDEX(SPLIT(REGEXREPLACE(F40,""[^\d]+"",""x""),""x""),1))/1000)*(VALUE(INDEX(SPLIT(REGEXREPLACE(F40,""[^\d]+"",""x""),""x""),2))/1000)*G40*IF(REGEXMATCH(UPPER(H40),""AÇO|ACO""),7.86,IF(REGEXMATCH(UPPE"&amp;"R(H40),""ALUM""),2.7,IF(REGEXMATCH(UPPER(H40),""LAT""),8.73,IF(REGEXMATCH(UPPER(H40),""COBRE""),8.96,0))))*I40)"),23.202719999999996)</f>
        <v>23.20272</v>
      </c>
    </row>
    <row r="41" ht="37.5" customHeight="1">
      <c r="A41" s="51">
        <v>121.0</v>
      </c>
      <c r="B41" s="56">
        <v>45959.0</v>
      </c>
      <c r="C41" s="53" t="s">
        <v>8288</v>
      </c>
      <c r="D41" s="47" t="s">
        <v>8360</v>
      </c>
      <c r="E41" s="47" t="s">
        <v>8317</v>
      </c>
      <c r="F41" s="47" t="s">
        <v>8341</v>
      </c>
      <c r="G41" s="47">
        <v>1.5</v>
      </c>
      <c r="H41" s="47" t="s">
        <v>8417</v>
      </c>
      <c r="I41" s="47">
        <v>6.0</v>
      </c>
      <c r="J41" s="47" t="s">
        <v>8400</v>
      </c>
      <c r="K41" s="47">
        <v>3086.0</v>
      </c>
      <c r="L41" s="54" t="s">
        <v>8419</v>
      </c>
      <c r="M41" s="50">
        <f>IFERROR(__xludf.DUMMYFUNCTION("IF(OR(F41="""",G41="""",H41="""",I41=""""),"""",(VALUE(INDEX(SPLIT(REGEXREPLACE(F41,""[^\d]+"",""x""),""x""),1))/1000)*(VALUE(INDEX(SPLIT(REGEXREPLACE(F41,""[^\d]+"",""x""),""x""),2))/1000)*G41*IF(REGEXMATCH(UPPER(H41),""AÇO|ACO""),7.86,IF(REGEXMATCH(UPPE"&amp;"R(H41),""ALUM""),2.7,IF(REGEXMATCH(UPPER(H41),""LAT""),8.73,IF(REGEXMATCH(UPPER(H41),""COBRE""),8.96,0))))*I41)"),254.664)</f>
        <v>254.664</v>
      </c>
    </row>
    <row r="42" ht="37.5" customHeight="1">
      <c r="A42" s="51">
        <v>125.0</v>
      </c>
      <c r="B42" s="57">
        <v>45877.0</v>
      </c>
      <c r="C42" s="53" t="s">
        <v>8301</v>
      </c>
      <c r="D42" s="47" t="s">
        <v>8360</v>
      </c>
      <c r="E42" s="47" t="s">
        <v>8317</v>
      </c>
      <c r="F42" s="47" t="s">
        <v>8420</v>
      </c>
      <c r="G42" s="47">
        <v>8.0</v>
      </c>
      <c r="H42" s="47" t="s">
        <v>8362</v>
      </c>
      <c r="I42" s="47">
        <v>1.0</v>
      </c>
      <c r="J42" s="47" t="s">
        <v>8363</v>
      </c>
      <c r="K42" s="47">
        <v>342459.0</v>
      </c>
      <c r="L42" s="54" t="s">
        <v>8421</v>
      </c>
      <c r="M42" s="50">
        <f>IFERROR(__xludf.DUMMYFUNCTION("IF(OR(F42="""",G42="""",H42="""",I42=""""),"""",(VALUE(INDEX(SPLIT(REGEXREPLACE(F42,""[^\d]+"",""x""),""x""),1))/1000)*(VALUE(INDEX(SPLIT(REGEXREPLACE(F42,""[^\d]+"",""x""),""x""),2))/1000)*G42*IF(REGEXMATCH(UPPER(H42),""AÇO|ACO""),7.86,IF(REGEXMATCH(UPPE"&amp;"R(H42),""ALUM""),2.7,IF(REGEXMATCH(UPPER(H42),""LAT""),8.73,IF(REGEXMATCH(UPPER(H42),""COBRE""),8.96,0))))*I42)"),171.66240000000002)</f>
        <v>171.6624</v>
      </c>
    </row>
    <row r="43" ht="37.5" customHeight="1">
      <c r="A43" s="51">
        <v>131.0</v>
      </c>
      <c r="B43" s="57">
        <v>45926.0</v>
      </c>
      <c r="C43" s="53" t="s">
        <v>8301</v>
      </c>
      <c r="D43" s="47" t="s">
        <v>8360</v>
      </c>
      <c r="E43" s="47" t="s">
        <v>8317</v>
      </c>
      <c r="F43" s="47" t="s">
        <v>8422</v>
      </c>
      <c r="G43" s="47">
        <v>4.75</v>
      </c>
      <c r="H43" s="47" t="s">
        <v>8319</v>
      </c>
      <c r="I43" s="47">
        <v>1.0</v>
      </c>
      <c r="J43" s="47" t="s">
        <v>8398</v>
      </c>
      <c r="K43" s="47">
        <v>285189.0</v>
      </c>
      <c r="L43" s="54" t="s">
        <v>8423</v>
      </c>
      <c r="M43" s="50">
        <f>IFERROR(__xludf.DUMMYFUNCTION("IF(OR(F43="""",G43="""",H43="""",I43=""""),"""",(VALUE(INDEX(SPLIT(REGEXREPLACE(F43,""[^\d]+"",""x""),""x""),1))/1000)*(VALUE(INDEX(SPLIT(REGEXREPLACE(F43,""[^\d]+"",""x""),""x""),2))/1000)*G43*IF(REGEXMATCH(UPPER(H43),""AÇO|ACO""),7.86,IF(REGEXMATCH(UPPE"&amp;"R(H43),""ALUM""),2.7,IF(REGEXMATCH(UPPER(H43),""LAT""),8.73,IF(REGEXMATCH(UPPER(H43),""COBRE""),8.96,0))))*I43)"),58.018589999999996)</f>
        <v>58.01859</v>
      </c>
    </row>
    <row r="44" ht="37.5" customHeight="1">
      <c r="A44" s="51">
        <v>134.0</v>
      </c>
      <c r="B44" s="57">
        <v>45938.0</v>
      </c>
      <c r="C44" s="53" t="s">
        <v>8301</v>
      </c>
      <c r="D44" s="47" t="s">
        <v>8360</v>
      </c>
      <c r="E44" s="47" t="s">
        <v>8322</v>
      </c>
      <c r="F44" s="47" t="s">
        <v>8424</v>
      </c>
      <c r="G44" s="47">
        <v>3.75</v>
      </c>
      <c r="H44" s="47" t="s">
        <v>8362</v>
      </c>
      <c r="I44" s="47">
        <v>1.0</v>
      </c>
      <c r="J44" s="47" t="s">
        <v>8398</v>
      </c>
      <c r="K44" s="47">
        <v>286893.0</v>
      </c>
      <c r="L44" s="54" t="s">
        <v>8425</v>
      </c>
      <c r="M44" s="50">
        <f>IFERROR(__xludf.DUMMYFUNCTION("IF(OR(F44="""",G44="""",H44="""",I44=""""),"""",(VALUE(INDEX(SPLIT(REGEXREPLACE(F44,""[^\d]+"",""x""),""x""),1))/1000)*(VALUE(INDEX(SPLIT(REGEXREPLACE(F44,""[^\d]+"",""x""),""x""),2))/1000)*G44*IF(REGEXMATCH(UPPER(H44),""AÇO|ACO""),7.86,IF(REGEXMATCH(UPPE"&amp;"R(H44),""ALUM""),2.7,IF(REGEXMATCH(UPPER(H44),""LAT""),8.73,IF(REGEXMATCH(UPPER(H44),""COBRE""),8.96,0))))*I44)"),45.98100000000001)</f>
        <v>45.981</v>
      </c>
    </row>
    <row r="45" ht="37.5" customHeight="1">
      <c r="A45" s="51">
        <v>137.0</v>
      </c>
      <c r="B45" s="57">
        <v>45968.0</v>
      </c>
      <c r="C45" s="53" t="s">
        <v>8296</v>
      </c>
      <c r="D45" s="47" t="s">
        <v>8360</v>
      </c>
      <c r="E45" s="47" t="s">
        <v>8317</v>
      </c>
      <c r="F45" s="47" t="s">
        <v>8426</v>
      </c>
      <c r="G45" s="47">
        <v>2.0</v>
      </c>
      <c r="H45" s="47" t="s">
        <v>8362</v>
      </c>
      <c r="I45" s="47">
        <v>1.0</v>
      </c>
      <c r="J45" s="47" t="s">
        <v>8427</v>
      </c>
      <c r="K45" s="51">
        <v>3168.0</v>
      </c>
      <c r="L45" s="58" t="s">
        <v>8428</v>
      </c>
      <c r="M45" s="50">
        <f>IFERROR(__xludf.DUMMYFUNCTION("IF(OR(F45="""",G45="""",H45="""",I45=""""),"""",(VALUE(INDEX(SPLIT(REGEXREPLACE(F45,""[^\d]+"",""x""),""x""),1))/1000)*(VALUE(INDEX(SPLIT(REGEXREPLACE(F45,""[^\d]+"",""x""),""x""),2))/1000)*G45*IF(REGEXMATCH(UPPER(H45),""AÇO|ACO""),7.86,IF(REGEXMATCH(UPPE"&amp;"R(H45),""ALUM""),2.7,IF(REGEXMATCH(UPPER(H45),""LAT""),8.73,IF(REGEXMATCH(UPPER(H45),""COBRE""),8.96,0))))*I45)"),29.2392)</f>
        <v>29.2392</v>
      </c>
    </row>
    <row r="46" ht="37.5" customHeight="1">
      <c r="A46" s="51">
        <v>144.0</v>
      </c>
      <c r="B46" s="57">
        <v>45968.0</v>
      </c>
      <c r="C46" s="53" t="s">
        <v>8296</v>
      </c>
      <c r="D46" s="47" t="s">
        <v>8360</v>
      </c>
      <c r="E46" s="47" t="s">
        <v>8317</v>
      </c>
      <c r="F46" s="47" t="s">
        <v>8429</v>
      </c>
      <c r="G46" s="47">
        <v>6.35</v>
      </c>
      <c r="H46" s="47" t="s">
        <v>8362</v>
      </c>
      <c r="I46" s="47">
        <v>1.0</v>
      </c>
      <c r="J46" s="47" t="s">
        <v>8427</v>
      </c>
      <c r="K46" s="51">
        <v>3168.0</v>
      </c>
      <c r="L46" s="58" t="s">
        <v>8430</v>
      </c>
      <c r="M46" s="50">
        <f>IFERROR(__xludf.DUMMYFUNCTION("IF(OR(F46="""",G46="""",H46="""",I46=""""),"""",(VALUE(INDEX(SPLIT(REGEXREPLACE(F46,""[^\d]+"",""x""),""x""),1))/1000)*(VALUE(INDEX(SPLIT(REGEXREPLACE(F46,""[^\d]+"",""x""),""x""),2))/1000)*G46*IF(REGEXMATCH(UPPER(H46),""AÇO|ACO""),7.86,IF(REGEXMATCH(UPPE"&amp;"R(H46),""ALUM""),2.7,IF(REGEXMATCH(UPPER(H46),""LAT""),8.73,IF(REGEXMATCH(UPPER(H46),""COBRE""),8.96,0))))*I46)"),77.112495)</f>
        <v>77.112495</v>
      </c>
    </row>
    <row r="47" ht="37.5" customHeight="1">
      <c r="A47" s="51">
        <v>148.0</v>
      </c>
      <c r="B47" s="56">
        <v>45972.0</v>
      </c>
      <c r="C47" s="53" t="s">
        <v>8296</v>
      </c>
      <c r="D47" s="47" t="s">
        <v>8360</v>
      </c>
      <c r="E47" s="47" t="s">
        <v>8317</v>
      </c>
      <c r="F47" s="47" t="s">
        <v>8341</v>
      </c>
      <c r="G47" s="47">
        <v>2.0</v>
      </c>
      <c r="H47" s="47" t="s">
        <v>8431</v>
      </c>
      <c r="I47" s="47">
        <v>1.0</v>
      </c>
      <c r="J47" s="47"/>
      <c r="K47" s="51"/>
      <c r="L47" s="54" t="s">
        <v>8432</v>
      </c>
      <c r="M47" s="50">
        <f>IFERROR(__xludf.DUMMYFUNCTION("IF(OR(F47="""",G47="""",H47="""",I47=""""),"""",(VALUE(INDEX(SPLIT(REGEXREPLACE(F47,""[^\d]+"",""x""),""x""),1))/1000)*(VALUE(INDEX(SPLIT(REGEXREPLACE(F47,""[^\d]+"",""x""),""x""),2))/1000)*G47*IF(REGEXMATCH(UPPER(H47),""AÇO|ACO""),7.86,IF(REGEXMATCH(UPPE"&amp;"R(H47),""ALUM""),2.7,IF(REGEXMATCH(UPPER(H47),""LAT""),8.73,IF(REGEXMATCH(UPPER(H47),""COBRE""),8.96,0))))*I47)"),56.592)</f>
        <v>56.592</v>
      </c>
    </row>
    <row r="48" ht="37.5" customHeight="1">
      <c r="A48" s="51">
        <v>149.0</v>
      </c>
      <c r="B48" s="56">
        <v>45972.0</v>
      </c>
      <c r="C48" s="53" t="s">
        <v>8296</v>
      </c>
      <c r="D48" s="47" t="s">
        <v>8360</v>
      </c>
      <c r="E48" s="47" t="s">
        <v>8317</v>
      </c>
      <c r="F48" s="47" t="s">
        <v>8341</v>
      </c>
      <c r="G48" s="47">
        <v>2.0</v>
      </c>
      <c r="H48" s="47" t="s">
        <v>8431</v>
      </c>
      <c r="I48" s="47">
        <v>1.0</v>
      </c>
      <c r="J48" s="47"/>
      <c r="K48" s="51"/>
      <c r="L48" s="54" t="s">
        <v>8433</v>
      </c>
      <c r="M48" s="50">
        <f>IFERROR(__xludf.DUMMYFUNCTION("IF(OR(F48="""",G48="""",H48="""",I48=""""),"""",(VALUE(INDEX(SPLIT(REGEXREPLACE(F48,""[^\d]+"",""x""),""x""),1))/1000)*(VALUE(INDEX(SPLIT(REGEXREPLACE(F48,""[^\d]+"",""x""),""x""),2))/1000)*G48*IF(REGEXMATCH(UPPER(H48),""AÇO|ACO""),7.86,IF(REGEXMATCH(UPPE"&amp;"R(H48),""ALUM""),2.7,IF(REGEXMATCH(UPPER(H48),""LAT""),8.73,IF(REGEXMATCH(UPPER(H48),""COBRE""),8.96,0))))*I48)"),56.592)</f>
        <v>56.592</v>
      </c>
    </row>
    <row r="49" ht="37.5" customHeight="1">
      <c r="A49" s="51">
        <v>152.0</v>
      </c>
      <c r="B49" s="57">
        <v>45968.0</v>
      </c>
      <c r="C49" s="53" t="s">
        <v>8301</v>
      </c>
      <c r="D49" s="47" t="s">
        <v>8360</v>
      </c>
      <c r="E49" s="47" t="s">
        <v>8322</v>
      </c>
      <c r="F49" s="47" t="s">
        <v>8434</v>
      </c>
      <c r="G49" s="47">
        <v>2.0</v>
      </c>
      <c r="H49" s="47" t="s">
        <v>8362</v>
      </c>
      <c r="I49" s="47">
        <v>1.0</v>
      </c>
      <c r="J49" s="47" t="s">
        <v>8400</v>
      </c>
      <c r="K49" s="51">
        <v>3168.0</v>
      </c>
      <c r="L49" s="54" t="s">
        <v>8435</v>
      </c>
      <c r="M49" s="50">
        <f>IFERROR(__xludf.DUMMYFUNCTION("IF(OR(F49="""",G49="""",H49="""",I49=""""),"""",(VALUE(INDEX(SPLIT(REGEXREPLACE(F49,""[^\d]+"",""x""),""x""),1))/1000)*(VALUE(INDEX(SPLIT(REGEXREPLACE(F49,""[^\d]+"",""x""),""x""),2))/1000)*G49*IF(REGEXMATCH(UPPER(H49),""AÇO|ACO""),7.86,IF(REGEXMATCH(UPPE"&amp;"R(H49),""ALUM""),2.7,IF(REGEXMATCH(UPPER(H49),""LAT""),8.73,IF(REGEXMATCH(UPPER(H49),""COBRE""),8.96,0))))*I49)"),16.876991999999998)</f>
        <v>16.876992</v>
      </c>
    </row>
    <row r="50" ht="37.5" customHeight="1">
      <c r="A50" s="51">
        <v>153.0</v>
      </c>
      <c r="B50" s="57">
        <v>45968.0</v>
      </c>
      <c r="C50" s="53" t="s">
        <v>8301</v>
      </c>
      <c r="D50" s="47" t="s">
        <v>8360</v>
      </c>
      <c r="E50" s="47" t="s">
        <v>8322</v>
      </c>
      <c r="F50" s="47" t="s">
        <v>8434</v>
      </c>
      <c r="G50" s="47">
        <v>2.0</v>
      </c>
      <c r="H50" s="47" t="s">
        <v>8362</v>
      </c>
      <c r="I50" s="47">
        <v>1.0</v>
      </c>
      <c r="J50" s="47" t="s">
        <v>8400</v>
      </c>
      <c r="K50" s="51">
        <v>3168.0</v>
      </c>
      <c r="L50" s="54" t="s">
        <v>8436</v>
      </c>
      <c r="M50" s="50">
        <f>IFERROR(__xludf.DUMMYFUNCTION("IF(OR(F50="""",G50="""",H50="""",I50=""""),"""",(VALUE(INDEX(SPLIT(REGEXREPLACE(F50,""[^\d]+"",""x""),""x""),1))/1000)*(VALUE(INDEX(SPLIT(REGEXREPLACE(F50,""[^\d]+"",""x""),""x""),2))/1000)*G50*IF(REGEXMATCH(UPPER(H50),""AÇO|ACO""),7.86,IF(REGEXMATCH(UPPE"&amp;"R(H50),""ALUM""),2.7,IF(REGEXMATCH(UPPER(H50),""LAT""),8.73,IF(REGEXMATCH(UPPER(H50),""COBRE""),8.96,0))))*I50)"),16.876991999999998)</f>
        <v>16.876992</v>
      </c>
    </row>
    <row r="51" ht="37.5" customHeight="1">
      <c r="A51" s="51">
        <v>157.0</v>
      </c>
      <c r="B51" s="56">
        <v>45974.0</v>
      </c>
      <c r="C51" s="53" t="s">
        <v>8296</v>
      </c>
      <c r="D51" s="47" t="s">
        <v>8360</v>
      </c>
      <c r="E51" s="47" t="s">
        <v>8317</v>
      </c>
      <c r="F51" s="47" t="s">
        <v>8437</v>
      </c>
      <c r="G51" s="47">
        <v>4.25</v>
      </c>
      <c r="H51" s="47" t="s">
        <v>8319</v>
      </c>
      <c r="I51" s="47">
        <v>1.0</v>
      </c>
      <c r="J51" s="47" t="s">
        <v>8438</v>
      </c>
      <c r="K51" s="51">
        <v>1026.0</v>
      </c>
      <c r="L51" s="54" t="s">
        <v>8439</v>
      </c>
      <c r="M51" s="50">
        <f>IFERROR(__xludf.DUMMYFUNCTION("IF(OR(F51="""",G51="""",H51="""",I51=""""),"""",(VALUE(INDEX(SPLIT(REGEXREPLACE(F51,""[^\d]+"",""x""),""x""),1))/1000)*(VALUE(INDEX(SPLIT(REGEXREPLACE(F51,""[^\d]+"",""x""),""x""),2))/1000)*G51*IF(REGEXMATCH(UPPER(H51),""AÇO|ACO""),7.86,IF(REGEXMATCH(UPPE"&amp;"R(H51),""ALUM""),2.7,IF(REGEXMATCH(UPPER(H51),""LAT""),8.73,IF(REGEXMATCH(UPPER(H51),""COBRE""),8.96,0))))*I51)"),80.172)</f>
        <v>80.172</v>
      </c>
    </row>
    <row r="52" ht="37.5" customHeight="1">
      <c r="A52" s="51">
        <v>158.0</v>
      </c>
      <c r="B52" s="56">
        <v>45974.0</v>
      </c>
      <c r="C52" s="53" t="s">
        <v>8296</v>
      </c>
      <c r="D52" s="47" t="s">
        <v>8360</v>
      </c>
      <c r="E52" s="47" t="s">
        <v>8317</v>
      </c>
      <c r="F52" s="47" t="s">
        <v>8440</v>
      </c>
      <c r="G52" s="47">
        <v>4.75</v>
      </c>
      <c r="H52" s="47" t="s">
        <v>8319</v>
      </c>
      <c r="I52" s="47">
        <v>1.0</v>
      </c>
      <c r="J52" s="47" t="s">
        <v>8438</v>
      </c>
      <c r="K52" s="51">
        <v>1026.0</v>
      </c>
      <c r="L52" s="58" t="s">
        <v>8441</v>
      </c>
      <c r="M52" s="50">
        <f>IFERROR(__xludf.DUMMYFUNCTION("IF(OR(F52="""",G52="""",H52="""",I52=""""),"""",(VALUE(INDEX(SPLIT(REGEXREPLACE(F52,""[^\d]+"",""x""),""x""),1))/1000)*(VALUE(INDEX(SPLIT(REGEXREPLACE(F52,""[^\d]+"",""x""),""x""),2))/1000)*G52*IF(REGEXMATCH(UPPER(H52),""AÇO|ACO""),7.86,IF(REGEXMATCH(UPPE"&amp;"R(H52),""ALUM""),2.7,IF(REGEXMATCH(UPPER(H52),""LAT""),8.73,IF(REGEXMATCH(UPPER(H52),""COBRE""),8.96,0))))*I52)"),71.30985)</f>
        <v>71.30985</v>
      </c>
    </row>
    <row r="53" ht="37.5" customHeight="1">
      <c r="A53" s="59">
        <v>170.0</v>
      </c>
      <c r="B53" s="60">
        <v>45968.0</v>
      </c>
      <c r="C53" s="61" t="s">
        <v>8301</v>
      </c>
      <c r="D53" s="62" t="s">
        <v>8360</v>
      </c>
      <c r="E53" s="62" t="s">
        <v>8322</v>
      </c>
      <c r="F53" s="62" t="s">
        <v>8442</v>
      </c>
      <c r="G53" s="62">
        <v>2.0</v>
      </c>
      <c r="H53" s="62" t="s">
        <v>8362</v>
      </c>
      <c r="I53" s="62">
        <v>2.0</v>
      </c>
      <c r="J53" s="62" t="s">
        <v>8400</v>
      </c>
      <c r="K53" s="62">
        <v>3168.0</v>
      </c>
      <c r="L53" s="63" t="s">
        <v>8443</v>
      </c>
      <c r="M53" s="50">
        <f>IFERROR(__xludf.DUMMYFUNCTION("IF(OR(F53="""",G53="""",H53="""",I53=""""),"""",(VALUE(INDEX(SPLIT(REGEXREPLACE(F53,""[^\d]+"",""x""),""x""),1))/1000)*(VALUE(INDEX(SPLIT(REGEXREPLACE(F53,""[^\d]+"",""x""),""x""),2))/1000)*G53*IF(REGEXMATCH(UPPER(H53),""AÇO|ACO""),7.86,IF(REGEXMATCH(UPPE"&amp;"R(H53),""ALUM""),2.7,IF(REGEXMATCH(UPPER(H53),""LAT""),8.73,IF(REGEXMATCH(UPPER(H53),""COBRE""),8.96,0))))*I53)"),18.29808)</f>
        <v>18.29808</v>
      </c>
    </row>
    <row r="54" ht="37.5" customHeight="1">
      <c r="A54" s="59">
        <v>174.0</v>
      </c>
      <c r="B54" s="60">
        <v>45994.0</v>
      </c>
      <c r="C54" s="61" t="s">
        <v>8296</v>
      </c>
      <c r="D54" s="62" t="s">
        <v>8360</v>
      </c>
      <c r="E54" s="62" t="s">
        <v>8317</v>
      </c>
      <c r="F54" s="62" t="s">
        <v>8416</v>
      </c>
      <c r="G54" s="62">
        <v>1.2</v>
      </c>
      <c r="H54" s="62" t="s">
        <v>8444</v>
      </c>
      <c r="I54" s="62">
        <v>1.0</v>
      </c>
      <c r="J54" s="62" t="s">
        <v>8400</v>
      </c>
      <c r="K54" s="59">
        <v>3323.0</v>
      </c>
      <c r="L54" s="64" t="s">
        <v>8445</v>
      </c>
      <c r="M54" s="50">
        <f>IFERROR(__xludf.DUMMYFUNCTION("IF(OR(F54="""",G54="""",H54="""",I54=""""),"""",(VALUE(INDEX(SPLIT(REGEXREPLACE(F54,""[^\d]+"",""x""),""x""),1))/1000)*(VALUE(INDEX(SPLIT(REGEXREPLACE(F54,""[^\d]+"",""x""),""x""),2))/1000)*G54*IF(REGEXMATCH(UPPER(H54),""AÇO|ACO""),7.86,IF(REGEXMATCH(UPPE"&amp;"R(H54),""ALUM""),2.7,IF(REGEXMATCH(UPPER(H54),""LAT""),8.73,IF(REGEXMATCH(UPPER(H54),""COBRE""),8.96,0))))*I54)"),23.202719999999996)</f>
        <v>23.20272</v>
      </c>
    </row>
    <row r="55" ht="37.5" customHeight="1">
      <c r="A55" s="59">
        <v>175.0</v>
      </c>
      <c r="B55" s="60">
        <v>45994.0</v>
      </c>
      <c r="C55" s="61" t="s">
        <v>8296</v>
      </c>
      <c r="D55" s="62" t="s">
        <v>8360</v>
      </c>
      <c r="E55" s="62" t="s">
        <v>8317</v>
      </c>
      <c r="F55" s="62" t="s">
        <v>8446</v>
      </c>
      <c r="G55" s="62">
        <v>1.2</v>
      </c>
      <c r="H55" s="62" t="s">
        <v>8444</v>
      </c>
      <c r="I55" s="62">
        <v>1.0</v>
      </c>
      <c r="J55" s="62" t="s">
        <v>8400</v>
      </c>
      <c r="K55" s="59">
        <v>3323.0</v>
      </c>
      <c r="L55" s="64" t="s">
        <v>8447</v>
      </c>
      <c r="M55" s="50">
        <f>IFERROR(__xludf.DUMMYFUNCTION("IF(OR(F55="""",G55="""",H55="""",I55=""""),"""",(VALUE(INDEX(SPLIT(REGEXREPLACE(F55,""[^\d]+"",""x""),""x""),1))/1000)*(VALUE(INDEX(SPLIT(REGEXREPLACE(F55,""[^\d]+"",""x""),""x""),2))/1000)*G55*IF(REGEXMATCH(UPPER(H55),""AÇO|ACO""),7.86,IF(REGEXMATCH(UPPE"&amp;"R(H55),""ALUM""),2.7,IF(REGEXMATCH(UPPER(H55),""LAT""),8.73,IF(REGEXMATCH(UPPER(H55),""COBRE""),8.96,0))))*I55)"),26.032320000000002)</f>
        <v>26.03232</v>
      </c>
    </row>
    <row r="56" ht="37.5" customHeight="1">
      <c r="A56" s="59">
        <v>176.0</v>
      </c>
      <c r="B56" s="60">
        <v>45994.0</v>
      </c>
      <c r="C56" s="61" t="s">
        <v>8296</v>
      </c>
      <c r="D56" s="62" t="s">
        <v>8360</v>
      </c>
      <c r="E56" s="62" t="s">
        <v>8317</v>
      </c>
      <c r="F56" s="62" t="s">
        <v>8341</v>
      </c>
      <c r="G56" s="62">
        <v>2.0</v>
      </c>
      <c r="H56" s="62" t="s">
        <v>8362</v>
      </c>
      <c r="I56" s="62">
        <v>1.0</v>
      </c>
      <c r="J56" s="62" t="s">
        <v>8400</v>
      </c>
      <c r="K56" s="59">
        <v>3302.0</v>
      </c>
      <c r="L56" s="64" t="s">
        <v>8448</v>
      </c>
      <c r="M56" s="50">
        <f>IFERROR(__xludf.DUMMYFUNCTION("IF(OR(F56="""",G56="""",H56="""",I56=""""),"""",(VALUE(INDEX(SPLIT(REGEXREPLACE(F56,""[^\d]+"",""x""),""x""),1))/1000)*(VALUE(INDEX(SPLIT(REGEXREPLACE(F56,""[^\d]+"",""x""),""x""),2))/1000)*G56*IF(REGEXMATCH(UPPER(H56),""AÇO|ACO""),7.86,IF(REGEXMATCH(UPPE"&amp;"R(H56),""ALUM""),2.7,IF(REGEXMATCH(UPPER(H56),""LAT""),8.73,IF(REGEXMATCH(UPPER(H56),""COBRE""),8.96,0))))*I56)"),56.592)</f>
        <v>56.592</v>
      </c>
    </row>
    <row r="57" ht="37.5" customHeight="1">
      <c r="A57" s="59">
        <v>177.0</v>
      </c>
      <c r="B57" s="60">
        <v>45994.0</v>
      </c>
      <c r="C57" s="61" t="s">
        <v>8296</v>
      </c>
      <c r="D57" s="62" t="s">
        <v>8360</v>
      </c>
      <c r="E57" s="62" t="s">
        <v>8317</v>
      </c>
      <c r="F57" s="62" t="s">
        <v>8341</v>
      </c>
      <c r="G57" s="62">
        <v>3.0</v>
      </c>
      <c r="H57" s="62" t="s">
        <v>8362</v>
      </c>
      <c r="I57" s="62">
        <v>2.0</v>
      </c>
      <c r="J57" s="62" t="s">
        <v>8400</v>
      </c>
      <c r="K57" s="59">
        <v>3302.0</v>
      </c>
      <c r="L57" s="64" t="s">
        <v>8449</v>
      </c>
      <c r="M57" s="50">
        <f>IFERROR(__xludf.DUMMYFUNCTION("IF(OR(F57="""",G57="""",H57="""",I57=""""),"""",(VALUE(INDEX(SPLIT(REGEXREPLACE(F57,""[^\d]+"",""x""),""x""),1))/1000)*(VALUE(INDEX(SPLIT(REGEXREPLACE(F57,""[^\d]+"",""x""),""x""),2))/1000)*G57*IF(REGEXMATCH(UPPER(H57),""AÇO|ACO""),7.86,IF(REGEXMATCH(UPPE"&amp;"R(H57),""ALUM""),2.7,IF(REGEXMATCH(UPPER(H57),""LAT""),8.73,IF(REGEXMATCH(UPPER(H57),""COBRE""),8.96,0))))*I57)"),169.77599999999998)</f>
        <v>169.776</v>
      </c>
    </row>
    <row r="58" ht="37.5" customHeight="1">
      <c r="A58" s="59">
        <v>178.0</v>
      </c>
      <c r="B58" s="60">
        <v>45994.0</v>
      </c>
      <c r="C58" s="61" t="s">
        <v>8296</v>
      </c>
      <c r="D58" s="62" t="s">
        <v>8360</v>
      </c>
      <c r="E58" s="62" t="s">
        <v>8317</v>
      </c>
      <c r="F58" s="62" t="s">
        <v>8341</v>
      </c>
      <c r="G58" s="62">
        <v>6.35</v>
      </c>
      <c r="H58" s="62" t="s">
        <v>8362</v>
      </c>
      <c r="I58" s="62">
        <v>2.0</v>
      </c>
      <c r="J58" s="62" t="s">
        <v>8400</v>
      </c>
      <c r="K58" s="59">
        <v>3302.0</v>
      </c>
      <c r="L58" s="64" t="s">
        <v>8450</v>
      </c>
      <c r="M58" s="50">
        <f>IFERROR(__xludf.DUMMYFUNCTION("IF(OR(F58="""",G58="""",H58="""",I58=""""),"""",(VALUE(INDEX(SPLIT(REGEXREPLACE(F58,""[^\d]+"",""x""),""x""),1))/1000)*(VALUE(INDEX(SPLIT(REGEXREPLACE(F58,""[^\d]+"",""x""),""x""),2))/1000)*G58*IF(REGEXMATCH(UPPER(H58),""AÇO|ACO""),7.86,IF(REGEXMATCH(UPPE"&amp;"R(H58),""ALUM""),2.7,IF(REGEXMATCH(UPPER(H58),""LAT""),8.73,IF(REGEXMATCH(UPPER(H58),""COBRE""),8.96,0))))*I58)"),359.35919999999993)</f>
        <v>359.3592</v>
      </c>
    </row>
    <row r="59" ht="37.5" customHeight="1">
      <c r="A59" s="59">
        <v>179.0</v>
      </c>
      <c r="B59" s="60">
        <v>45994.0</v>
      </c>
      <c r="C59" s="61" t="s">
        <v>8296</v>
      </c>
      <c r="D59" s="62" t="s">
        <v>8360</v>
      </c>
      <c r="E59" s="62" t="s">
        <v>8317</v>
      </c>
      <c r="F59" s="62" t="s">
        <v>8341</v>
      </c>
      <c r="G59" s="62">
        <v>8.0</v>
      </c>
      <c r="H59" s="62" t="s">
        <v>8362</v>
      </c>
      <c r="I59" s="62">
        <v>1.0</v>
      </c>
      <c r="J59" s="62" t="s">
        <v>8400</v>
      </c>
      <c r="K59" s="59">
        <v>3302.0</v>
      </c>
      <c r="L59" s="64" t="s">
        <v>8451</v>
      </c>
      <c r="M59" s="50">
        <f>IFERROR(__xludf.DUMMYFUNCTION("IF(OR(F59="""",G59="""",H59="""",I59=""""),"""",(VALUE(INDEX(SPLIT(REGEXREPLACE(F59,""[^\d]+"",""x""),""x""),1))/1000)*(VALUE(INDEX(SPLIT(REGEXREPLACE(F59,""[^\d]+"",""x""),""x""),2))/1000)*G59*IF(REGEXMATCH(UPPER(H59),""AÇO|ACO""),7.86,IF(REGEXMATCH(UPPE"&amp;"R(H59),""ALUM""),2.7,IF(REGEXMATCH(UPPER(H59),""LAT""),8.73,IF(REGEXMATCH(UPPER(H59),""COBRE""),8.96,0))))*I59)"),226.368)</f>
        <v>226.368</v>
      </c>
    </row>
    <row r="60" ht="37.5" customHeight="1">
      <c r="A60" s="59">
        <v>180.0</v>
      </c>
      <c r="B60" s="60">
        <v>45994.0</v>
      </c>
      <c r="C60" s="61" t="s">
        <v>8301</v>
      </c>
      <c r="D60" s="62" t="s">
        <v>8360</v>
      </c>
      <c r="E60" s="62" t="s">
        <v>8322</v>
      </c>
      <c r="F60" s="62" t="s">
        <v>8452</v>
      </c>
      <c r="G60" s="62">
        <v>2.0</v>
      </c>
      <c r="H60" s="62" t="s">
        <v>8362</v>
      </c>
      <c r="I60" s="62">
        <v>1.0</v>
      </c>
      <c r="J60" s="62" t="s">
        <v>8400</v>
      </c>
      <c r="K60" s="62">
        <v>3302.0</v>
      </c>
      <c r="L60" s="64" t="s">
        <v>8453</v>
      </c>
      <c r="M60" s="50">
        <f>IFERROR(__xludf.DUMMYFUNCTION("IF(OR(F60="""",G60="""",H60="""",I60=""""),"""",(VALUE(INDEX(SPLIT(REGEXREPLACE(F60,""[^\d]+"",""x""),""x""),1))/1000)*(VALUE(INDEX(SPLIT(REGEXREPLACE(F60,""[^\d]+"",""x""),""x""),2))/1000)*G60*IF(REGEXMATCH(UPPER(H60),""AÇO|ACO""),7.86,IF(REGEXMATCH(UPPE"&amp;"R(H60),""ALUM""),2.7,IF(REGEXMATCH(UPPER(H60),""LAT""),8.73,IF(REGEXMATCH(UPPER(H60),""COBRE""),8.96,0))))*I60)"),34.4268)</f>
        <v>34.4268</v>
      </c>
    </row>
  </sheetData>
  <dataValidations>
    <dataValidation type="custom" allowBlank="1" showDropDown="1" sqref="A2:A60 M2:M60">
      <formula1>AND(ISNUMBER(A2),(NOT(OR(NOT(ISERROR(DATEVALUE(A2))), AND(ISNUMBER(A2), LEFT(CELL("format", A2))="D")))))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  <hyperlink r:id="rId19" ref="L20"/>
    <hyperlink r:id="rId20" ref="L21"/>
    <hyperlink r:id="rId21" ref="L22"/>
    <hyperlink r:id="rId22" ref="L23"/>
    <hyperlink r:id="rId23" ref="L24"/>
    <hyperlink r:id="rId24" ref="L25"/>
    <hyperlink r:id="rId25" ref="L26"/>
    <hyperlink r:id="rId26" ref="L27"/>
    <hyperlink r:id="rId27" ref="L28"/>
    <hyperlink r:id="rId28" ref="L29"/>
    <hyperlink r:id="rId29" ref="L30"/>
    <hyperlink r:id="rId30" ref="L31"/>
    <hyperlink r:id="rId31" ref="L32"/>
    <hyperlink r:id="rId32" ref="L33"/>
    <hyperlink r:id="rId33" ref="L34"/>
    <hyperlink r:id="rId34" ref="L35"/>
    <hyperlink r:id="rId35" ref="L36"/>
    <hyperlink r:id="rId36" ref="L37"/>
    <hyperlink r:id="rId37" ref="L38"/>
    <hyperlink r:id="rId38" ref="L39"/>
    <hyperlink r:id="rId39" ref="L40"/>
    <hyperlink r:id="rId40" ref="L41"/>
    <hyperlink r:id="rId41" ref="L42"/>
    <hyperlink r:id="rId42" ref="L43"/>
    <hyperlink r:id="rId43" ref="L44"/>
    <hyperlink r:id="rId44" ref="L45"/>
    <hyperlink r:id="rId45" ref="L46"/>
    <hyperlink r:id="rId46" ref="L47"/>
    <hyperlink r:id="rId47" ref="L48"/>
    <hyperlink r:id="rId48" ref="L49"/>
    <hyperlink r:id="rId49" ref="L50"/>
    <hyperlink r:id="rId50" ref="L51"/>
    <hyperlink r:id="rId51" ref="L52"/>
    <hyperlink r:id="rId52" ref="L53"/>
    <hyperlink r:id="rId53" ref="L54"/>
    <hyperlink r:id="rId54" ref="L55"/>
    <hyperlink r:id="rId55" ref="L56"/>
    <hyperlink r:id="rId56" ref="L57"/>
    <hyperlink r:id="rId57" ref="L58"/>
    <hyperlink r:id="rId58" ref="L59"/>
    <hyperlink r:id="rId59" ref="L60"/>
  </hyperlinks>
  <drawing r:id="rId60"/>
  <tableParts count="1">
    <tablePart r:id="rId6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13"/>
    <col customWidth="1" min="2" max="2" width="30.0"/>
    <col customWidth="1" min="3" max="3" width="23.0"/>
    <col customWidth="1" min="4" max="4" width="29.38"/>
    <col customWidth="1" min="5" max="5" width="36.75"/>
    <col customWidth="1" min="6" max="6" width="44.25"/>
    <col customWidth="1" min="7" max="7" width="26.0"/>
    <col customWidth="1" min="8" max="8" width="31.13"/>
  </cols>
  <sheetData>
    <row r="1" ht="22.5" customHeight="1">
      <c r="A1" s="65" t="s">
        <v>5</v>
      </c>
      <c r="B1" s="65" t="s">
        <v>8454</v>
      </c>
      <c r="C1" s="65" t="s">
        <v>8455</v>
      </c>
      <c r="D1" s="65" t="s">
        <v>8456</v>
      </c>
      <c r="E1" s="65" t="s">
        <v>8457</v>
      </c>
      <c r="F1" s="65" t="s">
        <v>8458</v>
      </c>
      <c r="G1" s="65" t="s">
        <v>9</v>
      </c>
      <c r="H1" s="65" t="s">
        <v>8459</v>
      </c>
    </row>
    <row r="2" ht="22.5" customHeight="1">
      <c r="A2" s="66">
        <v>45967.0</v>
      </c>
      <c r="B2" s="67" t="s">
        <v>8460</v>
      </c>
      <c r="C2" s="67" t="s">
        <v>8461</v>
      </c>
      <c r="D2" s="68">
        <v>0.6611111111111111</v>
      </c>
      <c r="E2" s="69">
        <v>45967.74444444444</v>
      </c>
      <c r="F2" s="67" t="s">
        <v>8462</v>
      </c>
      <c r="G2" s="67" t="s">
        <v>189</v>
      </c>
      <c r="H2" s="69">
        <v>45968.333333333336</v>
      </c>
    </row>
    <row r="3" ht="22.5" customHeight="1">
      <c r="A3" s="66">
        <v>45968.0</v>
      </c>
      <c r="B3" s="67" t="s">
        <v>8460</v>
      </c>
      <c r="C3" s="67" t="s">
        <v>8461</v>
      </c>
      <c r="D3" s="68">
        <v>0.34444444444444444</v>
      </c>
      <c r="E3" s="69">
        <v>45968.427777777775</v>
      </c>
      <c r="F3" s="67" t="s">
        <v>8463</v>
      </c>
      <c r="G3" s="67" t="s">
        <v>189</v>
      </c>
      <c r="H3" s="69">
        <v>45968.43819444445</v>
      </c>
    </row>
    <row r="4" ht="22.5" customHeight="1">
      <c r="A4" s="66">
        <v>45968.0</v>
      </c>
      <c r="B4" s="67" t="s">
        <v>8464</v>
      </c>
      <c r="C4" s="67" t="s">
        <v>8461</v>
      </c>
      <c r="D4" s="68">
        <v>0.5722222222222222</v>
      </c>
      <c r="E4" s="69">
        <v>45968.666666666664</v>
      </c>
      <c r="F4" s="67" t="s">
        <v>8465</v>
      </c>
      <c r="G4" s="67" t="s">
        <v>189</v>
      </c>
      <c r="H4" s="69">
        <v>45968.60486111111</v>
      </c>
    </row>
    <row r="5" ht="22.5" customHeight="1">
      <c r="A5" s="66">
        <v>45971.0</v>
      </c>
      <c r="B5" s="67" t="s">
        <v>8466</v>
      </c>
      <c r="C5" s="67" t="s">
        <v>8461</v>
      </c>
      <c r="D5" s="68">
        <v>0.6333333333333333</v>
      </c>
      <c r="E5" s="70">
        <v>45971.717361111114</v>
      </c>
      <c r="F5" s="67" t="s">
        <v>8467</v>
      </c>
      <c r="G5" s="67" t="s">
        <v>189</v>
      </c>
      <c r="H5" s="70">
        <v>45971.70486111111</v>
      </c>
    </row>
    <row r="6" ht="22.5" customHeight="1">
      <c r="A6" s="66">
        <v>45973.0</v>
      </c>
      <c r="B6" s="67" t="s">
        <v>8460</v>
      </c>
      <c r="C6" s="67" t="s">
        <v>8461</v>
      </c>
      <c r="D6" s="68">
        <v>0.39375</v>
      </c>
      <c r="E6" s="70">
        <v>45973.51875</v>
      </c>
      <c r="F6" s="67" t="s">
        <v>8468</v>
      </c>
      <c r="G6" s="67" t="s">
        <v>189</v>
      </c>
      <c r="H6" s="70">
        <v>45973.84097222222</v>
      </c>
    </row>
    <row r="7" ht="22.5" customHeight="1">
      <c r="A7" s="66">
        <v>45973.0</v>
      </c>
      <c r="B7" s="67" t="s">
        <v>8296</v>
      </c>
      <c r="C7" s="67" t="s">
        <v>8461</v>
      </c>
      <c r="D7" s="68">
        <v>0.6256944444444444</v>
      </c>
      <c r="E7" s="70">
        <v>45973.709027777775</v>
      </c>
      <c r="F7" s="67" t="s">
        <v>8469</v>
      </c>
      <c r="G7" s="67" t="s">
        <v>189</v>
      </c>
      <c r="H7" s="70">
        <v>45973.84097222222</v>
      </c>
    </row>
    <row r="8" ht="22.5" customHeight="1">
      <c r="A8" s="66">
        <v>45988.0</v>
      </c>
      <c r="B8" s="67" t="s">
        <v>8470</v>
      </c>
      <c r="C8" s="67" t="s">
        <v>8461</v>
      </c>
      <c r="D8" s="68">
        <v>0.5833333333333334</v>
      </c>
      <c r="E8" s="70">
        <v>45988.708333333336</v>
      </c>
      <c r="F8" s="67" t="s">
        <v>8471</v>
      </c>
      <c r="G8" s="67" t="s">
        <v>189</v>
      </c>
      <c r="H8" s="70">
        <v>45988.666666666664</v>
      </c>
    </row>
    <row r="9" ht="22.5" customHeight="1">
      <c r="A9" s="66">
        <v>45989.0</v>
      </c>
      <c r="B9" s="67" t="s">
        <v>8470</v>
      </c>
      <c r="C9" s="67" t="s">
        <v>8461</v>
      </c>
      <c r="D9" s="68">
        <v>0.47638888888888886</v>
      </c>
      <c r="E9" s="70">
        <v>45989.5</v>
      </c>
      <c r="F9" s="67" t="s">
        <v>8472</v>
      </c>
      <c r="G9" s="67" t="s">
        <v>189</v>
      </c>
      <c r="H9" s="70">
        <v>45989.506944444445</v>
      </c>
    </row>
    <row r="10" ht="22.5" customHeight="1">
      <c r="A10" s="66">
        <v>45992.0</v>
      </c>
      <c r="B10" s="67" t="s">
        <v>8470</v>
      </c>
      <c r="C10" s="67" t="s">
        <v>8461</v>
      </c>
      <c r="D10" s="68">
        <v>0.46319444444444446</v>
      </c>
      <c r="E10" s="69">
        <v>45992.46875</v>
      </c>
      <c r="F10" s="67" t="s">
        <v>8473</v>
      </c>
      <c r="G10" s="67" t="s">
        <v>189</v>
      </c>
      <c r="H10" s="69">
        <v>45992.49791666667</v>
      </c>
    </row>
    <row r="11" ht="22.5" customHeight="1">
      <c r="A11" s="66">
        <v>45994.0</v>
      </c>
      <c r="B11" s="67" t="s">
        <v>8470</v>
      </c>
      <c r="C11" s="67" t="s">
        <v>8461</v>
      </c>
      <c r="D11" s="68">
        <v>0.45416666666666666</v>
      </c>
      <c r="E11" s="69">
        <v>45994.510416666664</v>
      </c>
      <c r="F11" s="67" t="s">
        <v>8474</v>
      </c>
      <c r="G11" s="67" t="s">
        <v>189</v>
      </c>
      <c r="H11" s="69">
        <v>45994.489583333336</v>
      </c>
    </row>
    <row r="12" ht="22.5" customHeight="1">
      <c r="A12" s="71"/>
      <c r="B12" s="72"/>
      <c r="C12" s="72"/>
      <c r="D12" s="72"/>
      <c r="E12" s="72"/>
      <c r="F12" s="72"/>
      <c r="G12" s="72"/>
      <c r="H12" s="72"/>
    </row>
    <row r="13" ht="22.5" customHeight="1">
      <c r="A13" s="71"/>
      <c r="B13" s="72"/>
      <c r="C13" s="72"/>
      <c r="D13" s="72"/>
      <c r="E13" s="72"/>
      <c r="F13" s="72"/>
      <c r="G13" s="72"/>
      <c r="H13" s="72"/>
    </row>
    <row r="14" ht="22.5" customHeight="1">
      <c r="A14" s="71"/>
      <c r="B14" s="72"/>
      <c r="C14" s="72"/>
      <c r="D14" s="72"/>
      <c r="E14" s="72"/>
      <c r="F14" s="72"/>
      <c r="G14" s="72"/>
      <c r="H14" s="72"/>
    </row>
    <row r="15" ht="22.5" customHeight="1">
      <c r="A15" s="71"/>
      <c r="B15" s="72"/>
      <c r="C15" s="72"/>
      <c r="D15" s="72"/>
      <c r="E15" s="72"/>
      <c r="F15" s="72"/>
      <c r="G15" s="72"/>
      <c r="H15" s="72"/>
    </row>
    <row r="16" ht="22.5" customHeight="1">
      <c r="A16" s="71"/>
      <c r="B16" s="72"/>
      <c r="C16" s="72"/>
      <c r="D16" s="72"/>
      <c r="E16" s="72"/>
      <c r="F16" s="72"/>
      <c r="G16" s="72"/>
      <c r="H16" s="72"/>
    </row>
    <row r="17" ht="22.5" customHeight="1">
      <c r="A17" s="71"/>
      <c r="B17" s="72"/>
      <c r="C17" s="72"/>
      <c r="D17" s="72"/>
      <c r="E17" s="72"/>
      <c r="F17" s="72"/>
      <c r="G17" s="72"/>
      <c r="H17" s="72"/>
    </row>
    <row r="18" ht="22.5" customHeight="1">
      <c r="A18" s="71"/>
      <c r="B18" s="72"/>
      <c r="C18" s="72"/>
      <c r="D18" s="72"/>
      <c r="E18" s="72"/>
      <c r="F18" s="72"/>
      <c r="G18" s="72"/>
      <c r="H18" s="72"/>
    </row>
    <row r="19" ht="22.5" customHeight="1">
      <c r="A19" s="71"/>
      <c r="B19" s="72"/>
      <c r="C19" s="72"/>
      <c r="D19" s="72"/>
      <c r="E19" s="72"/>
      <c r="F19" s="72"/>
      <c r="G19" s="72"/>
      <c r="H19" s="72"/>
    </row>
    <row r="20" ht="22.5" customHeight="1">
      <c r="A20" s="71"/>
      <c r="B20" s="72"/>
      <c r="C20" s="72"/>
      <c r="D20" s="72"/>
      <c r="E20" s="72"/>
      <c r="F20" s="72"/>
      <c r="G20" s="72"/>
      <c r="H20" s="72"/>
    </row>
    <row r="21" ht="22.5" customHeight="1">
      <c r="A21" s="71"/>
      <c r="B21" s="72"/>
      <c r="C21" s="72"/>
      <c r="D21" s="72"/>
      <c r="E21" s="72"/>
      <c r="F21" s="72"/>
      <c r="G21" s="72"/>
      <c r="H21" s="72"/>
    </row>
    <row r="22" ht="22.5" customHeight="1">
      <c r="A22" s="71"/>
      <c r="B22" s="72"/>
      <c r="C22" s="72"/>
      <c r="D22" s="72"/>
      <c r="E22" s="72"/>
      <c r="F22" s="72"/>
      <c r="G22" s="72"/>
      <c r="H22" s="72"/>
    </row>
    <row r="23" ht="22.5" customHeight="1">
      <c r="A23" s="71"/>
      <c r="B23" s="72"/>
      <c r="C23" s="72"/>
      <c r="D23" s="72"/>
      <c r="E23" s="72"/>
      <c r="F23" s="72"/>
      <c r="G23" s="72"/>
      <c r="H23" s="72"/>
    </row>
    <row r="24" ht="22.5" customHeight="1">
      <c r="A24" s="71"/>
      <c r="B24" s="72"/>
      <c r="C24" s="72"/>
      <c r="D24" s="72"/>
      <c r="E24" s="72"/>
      <c r="F24" s="72"/>
      <c r="G24" s="72"/>
      <c r="H24" s="72"/>
    </row>
    <row r="25" ht="22.5" customHeight="1">
      <c r="A25" s="71"/>
      <c r="B25" s="72"/>
      <c r="C25" s="72"/>
      <c r="D25" s="72"/>
      <c r="E25" s="72"/>
      <c r="F25" s="72"/>
      <c r="G25" s="72"/>
      <c r="H25" s="72"/>
    </row>
    <row r="26" ht="22.5" customHeight="1">
      <c r="A26" s="71"/>
      <c r="B26" s="72"/>
      <c r="C26" s="72"/>
      <c r="D26" s="72"/>
      <c r="E26" s="72"/>
      <c r="F26" s="72"/>
      <c r="G26" s="72"/>
      <c r="H26" s="72"/>
    </row>
    <row r="27" ht="22.5" customHeight="1">
      <c r="A27" s="71"/>
      <c r="B27" s="72"/>
      <c r="C27" s="72"/>
      <c r="D27" s="72"/>
      <c r="E27" s="72"/>
      <c r="F27" s="72"/>
      <c r="G27" s="72"/>
      <c r="H27" s="72"/>
    </row>
    <row r="28" ht="22.5" customHeight="1">
      <c r="A28" s="71"/>
      <c r="B28" s="72"/>
      <c r="C28" s="72"/>
      <c r="D28" s="72"/>
      <c r="E28" s="72"/>
      <c r="F28" s="72"/>
      <c r="G28" s="72"/>
      <c r="H28" s="72"/>
    </row>
    <row r="29" ht="22.5" customHeight="1">
      <c r="A29" s="71"/>
      <c r="B29" s="72"/>
      <c r="C29" s="72"/>
      <c r="D29" s="72"/>
      <c r="E29" s="72"/>
      <c r="F29" s="72"/>
      <c r="G29" s="72"/>
      <c r="H29" s="72"/>
    </row>
    <row r="30" ht="22.5" customHeight="1">
      <c r="A30" s="71"/>
      <c r="B30" s="72"/>
      <c r="C30" s="72"/>
      <c r="D30" s="72"/>
      <c r="E30" s="72"/>
      <c r="F30" s="72"/>
      <c r="G30" s="72"/>
      <c r="H30" s="72"/>
    </row>
    <row r="31" ht="22.5" customHeight="1">
      <c r="A31" s="71"/>
      <c r="B31" s="72"/>
      <c r="C31" s="72"/>
      <c r="D31" s="72"/>
      <c r="E31" s="72"/>
      <c r="F31" s="72"/>
      <c r="G31" s="72"/>
      <c r="H31" s="72"/>
    </row>
    <row r="32" ht="22.5" customHeight="1">
      <c r="A32" s="71"/>
      <c r="B32" s="72"/>
      <c r="C32" s="72"/>
      <c r="D32" s="72"/>
      <c r="E32" s="72"/>
      <c r="F32" s="72"/>
      <c r="G32" s="72"/>
      <c r="H32" s="72"/>
    </row>
    <row r="33" ht="22.5" customHeight="1">
      <c r="A33" s="71"/>
      <c r="B33" s="72"/>
      <c r="C33" s="72"/>
      <c r="D33" s="72"/>
      <c r="E33" s="72"/>
      <c r="F33" s="72"/>
      <c r="G33" s="72"/>
      <c r="H33" s="72"/>
    </row>
    <row r="34" ht="22.5" customHeight="1">
      <c r="A34" s="71"/>
      <c r="B34" s="72"/>
      <c r="C34" s="72"/>
      <c r="D34" s="72"/>
      <c r="E34" s="72"/>
      <c r="F34" s="72"/>
      <c r="G34" s="72"/>
      <c r="H34" s="72"/>
    </row>
    <row r="35" ht="22.5" customHeight="1">
      <c r="A35" s="71"/>
      <c r="B35" s="72"/>
      <c r="C35" s="72"/>
      <c r="D35" s="72"/>
      <c r="E35" s="72"/>
      <c r="F35" s="72"/>
      <c r="G35" s="72"/>
      <c r="H35" s="72"/>
    </row>
    <row r="36" ht="22.5" customHeight="1">
      <c r="A36" s="71"/>
      <c r="B36" s="72"/>
      <c r="C36" s="72"/>
      <c r="D36" s="72"/>
      <c r="E36" s="72"/>
      <c r="F36" s="72"/>
      <c r="G36" s="72"/>
      <c r="H36" s="72"/>
    </row>
    <row r="37" ht="22.5" customHeight="1">
      <c r="A37" s="71"/>
      <c r="B37" s="72"/>
      <c r="C37" s="72"/>
      <c r="D37" s="72"/>
      <c r="E37" s="72"/>
      <c r="F37" s="72"/>
      <c r="G37" s="72"/>
      <c r="H37" s="72"/>
    </row>
    <row r="38" ht="22.5" customHeight="1">
      <c r="A38" s="71"/>
      <c r="B38" s="72"/>
      <c r="C38" s="72"/>
      <c r="D38" s="72"/>
      <c r="E38" s="72"/>
      <c r="F38" s="72"/>
      <c r="G38" s="72"/>
      <c r="H38" s="72"/>
    </row>
    <row r="39" ht="22.5" customHeight="1">
      <c r="A39" s="71"/>
      <c r="B39" s="72"/>
      <c r="C39" s="72"/>
      <c r="D39" s="72"/>
      <c r="E39" s="72"/>
      <c r="F39" s="72"/>
      <c r="G39" s="72"/>
      <c r="H39" s="72"/>
    </row>
    <row r="40" ht="22.5" customHeight="1">
      <c r="A40" s="71"/>
      <c r="B40" s="72"/>
      <c r="C40" s="72"/>
      <c r="D40" s="72"/>
      <c r="E40" s="72"/>
      <c r="F40" s="72"/>
      <c r="G40" s="72"/>
      <c r="H40" s="72"/>
    </row>
    <row r="41" ht="22.5" customHeight="1">
      <c r="A41" s="71"/>
      <c r="B41" s="72"/>
      <c r="C41" s="72"/>
      <c r="D41" s="72"/>
      <c r="E41" s="72"/>
      <c r="F41" s="72"/>
      <c r="G41" s="72"/>
      <c r="H41" s="72"/>
    </row>
    <row r="42" ht="22.5" customHeight="1">
      <c r="A42" s="71"/>
      <c r="B42" s="72"/>
      <c r="C42" s="72"/>
      <c r="D42" s="72"/>
      <c r="E42" s="72"/>
      <c r="F42" s="72"/>
      <c r="G42" s="72"/>
      <c r="H42" s="72"/>
    </row>
    <row r="43" ht="22.5" customHeight="1">
      <c r="A43" s="71"/>
      <c r="B43" s="72"/>
      <c r="C43" s="72"/>
      <c r="D43" s="72"/>
      <c r="E43" s="72"/>
      <c r="F43" s="72"/>
      <c r="G43" s="72"/>
      <c r="H43" s="72"/>
    </row>
    <row r="44" ht="22.5" customHeight="1">
      <c r="A44" s="71"/>
      <c r="B44" s="72"/>
      <c r="C44" s="72"/>
      <c r="D44" s="72"/>
      <c r="E44" s="72"/>
      <c r="F44" s="72"/>
      <c r="G44" s="72"/>
      <c r="H44" s="72"/>
    </row>
    <row r="45" ht="22.5" customHeight="1">
      <c r="A45" s="71"/>
      <c r="B45" s="72"/>
      <c r="C45" s="72"/>
      <c r="D45" s="72"/>
      <c r="E45" s="72"/>
      <c r="F45" s="72"/>
      <c r="G45" s="72"/>
      <c r="H45" s="72"/>
    </row>
    <row r="46" ht="22.5" customHeight="1">
      <c r="A46" s="71"/>
      <c r="B46" s="72"/>
      <c r="C46" s="72"/>
      <c r="D46" s="72"/>
      <c r="E46" s="72"/>
      <c r="F46" s="72"/>
      <c r="G46" s="72"/>
      <c r="H46" s="72"/>
    </row>
    <row r="47" ht="22.5" customHeight="1">
      <c r="A47" s="71"/>
      <c r="B47" s="72"/>
      <c r="C47" s="72"/>
      <c r="D47" s="72"/>
      <c r="E47" s="72"/>
      <c r="F47" s="72"/>
      <c r="G47" s="72"/>
      <c r="H47" s="72"/>
    </row>
    <row r="48" ht="22.5" customHeight="1">
      <c r="A48" s="71"/>
      <c r="B48" s="72"/>
      <c r="C48" s="72"/>
      <c r="D48" s="72"/>
      <c r="E48" s="72"/>
      <c r="F48" s="72"/>
      <c r="G48" s="72"/>
      <c r="H48" s="72"/>
    </row>
    <row r="49" ht="22.5" customHeight="1">
      <c r="A49" s="71"/>
      <c r="B49" s="72"/>
      <c r="C49" s="72"/>
      <c r="D49" s="72"/>
      <c r="E49" s="72"/>
      <c r="F49" s="72"/>
      <c r="G49" s="72"/>
      <c r="H49" s="72"/>
    </row>
    <row r="50" ht="22.5" customHeight="1">
      <c r="A50" s="71"/>
      <c r="B50" s="72"/>
      <c r="C50" s="72"/>
      <c r="D50" s="72"/>
      <c r="E50" s="72"/>
      <c r="F50" s="72"/>
      <c r="G50" s="72"/>
      <c r="H50" s="72"/>
    </row>
    <row r="51" ht="22.5" customHeight="1">
      <c r="A51" s="71"/>
      <c r="B51" s="72"/>
      <c r="C51" s="72"/>
      <c r="D51" s="72"/>
      <c r="E51" s="72"/>
      <c r="F51" s="72"/>
      <c r="G51" s="72"/>
      <c r="H51" s="72"/>
    </row>
    <row r="52" ht="22.5" customHeight="1">
      <c r="A52" s="71"/>
      <c r="B52" s="72"/>
      <c r="C52" s="72"/>
      <c r="D52" s="72"/>
      <c r="E52" s="72"/>
      <c r="F52" s="72"/>
      <c r="G52" s="72"/>
      <c r="H52" s="72"/>
    </row>
    <row r="53" ht="22.5" customHeight="1">
      <c r="A53" s="71"/>
      <c r="B53" s="72"/>
      <c r="C53" s="72"/>
      <c r="D53" s="72"/>
      <c r="E53" s="72"/>
      <c r="F53" s="72"/>
      <c r="G53" s="72"/>
      <c r="H53" s="72"/>
    </row>
    <row r="54" ht="22.5" customHeight="1">
      <c r="A54" s="71"/>
      <c r="B54" s="72"/>
      <c r="C54" s="72"/>
      <c r="D54" s="72"/>
      <c r="E54" s="72"/>
      <c r="F54" s="72"/>
      <c r="G54" s="72"/>
      <c r="H54" s="72"/>
    </row>
    <row r="55" ht="22.5" customHeight="1">
      <c r="A55" s="71"/>
      <c r="B55" s="72"/>
      <c r="C55" s="72"/>
      <c r="D55" s="72"/>
      <c r="E55" s="72"/>
      <c r="F55" s="72"/>
      <c r="G55" s="72"/>
      <c r="H55" s="72"/>
    </row>
    <row r="56" ht="22.5" customHeight="1">
      <c r="A56" s="71"/>
      <c r="B56" s="72"/>
      <c r="C56" s="72"/>
      <c r="D56" s="72"/>
      <c r="E56" s="72"/>
      <c r="F56" s="72"/>
      <c r="G56" s="72"/>
      <c r="H56" s="72"/>
    </row>
    <row r="57" ht="22.5" customHeight="1">
      <c r="A57" s="71"/>
      <c r="B57" s="72"/>
      <c r="C57" s="72"/>
      <c r="D57" s="72"/>
      <c r="E57" s="72"/>
      <c r="F57" s="72"/>
      <c r="G57" s="72"/>
      <c r="H57" s="72"/>
    </row>
    <row r="58" ht="22.5" customHeight="1">
      <c r="A58" s="71"/>
      <c r="B58" s="72"/>
      <c r="C58" s="72"/>
      <c r="D58" s="72"/>
      <c r="E58" s="72"/>
      <c r="F58" s="72"/>
      <c r="G58" s="72"/>
      <c r="H58" s="72"/>
    </row>
    <row r="59" ht="22.5" customHeight="1">
      <c r="A59" s="71"/>
      <c r="B59" s="72"/>
      <c r="C59" s="72"/>
      <c r="D59" s="72"/>
      <c r="E59" s="72"/>
      <c r="F59" s="72"/>
      <c r="G59" s="72"/>
      <c r="H59" s="72"/>
    </row>
    <row r="60" ht="22.5" customHeight="1">
      <c r="A60" s="71"/>
      <c r="B60" s="72"/>
      <c r="C60" s="72"/>
      <c r="D60" s="72"/>
      <c r="E60" s="72"/>
      <c r="F60" s="72"/>
      <c r="G60" s="72"/>
      <c r="H60" s="72"/>
    </row>
    <row r="61" ht="22.5" customHeight="1">
      <c r="A61" s="71"/>
      <c r="B61" s="72"/>
      <c r="C61" s="72"/>
      <c r="D61" s="72"/>
      <c r="E61" s="72"/>
      <c r="F61" s="72"/>
      <c r="G61" s="72"/>
      <c r="H61" s="72"/>
    </row>
    <row r="62" ht="22.5" customHeight="1">
      <c r="A62" s="71"/>
      <c r="B62" s="72"/>
      <c r="C62" s="72"/>
      <c r="D62" s="72"/>
      <c r="E62" s="72"/>
      <c r="F62" s="72"/>
      <c r="G62" s="72"/>
      <c r="H62" s="72"/>
    </row>
    <row r="63" ht="22.5" customHeight="1">
      <c r="A63" s="71"/>
      <c r="B63" s="72"/>
      <c r="C63" s="72"/>
      <c r="D63" s="72"/>
      <c r="E63" s="72"/>
      <c r="F63" s="72"/>
      <c r="G63" s="72"/>
      <c r="H63" s="72"/>
    </row>
    <row r="64" ht="22.5" customHeight="1">
      <c r="A64" s="71"/>
      <c r="B64" s="72"/>
      <c r="C64" s="72"/>
      <c r="D64" s="72"/>
      <c r="E64" s="72"/>
      <c r="F64" s="72"/>
      <c r="G64" s="72"/>
      <c r="H64" s="72"/>
    </row>
    <row r="65" ht="22.5" customHeight="1">
      <c r="A65" s="71"/>
      <c r="B65" s="72"/>
      <c r="C65" s="72"/>
      <c r="D65" s="72"/>
      <c r="E65" s="72"/>
      <c r="F65" s="72"/>
      <c r="G65" s="72"/>
      <c r="H65" s="72"/>
    </row>
    <row r="66" ht="22.5" customHeight="1">
      <c r="A66" s="71"/>
      <c r="B66" s="72"/>
      <c r="C66" s="72"/>
      <c r="D66" s="72"/>
      <c r="E66" s="72"/>
      <c r="F66" s="72"/>
      <c r="G66" s="72"/>
      <c r="H66" s="72"/>
    </row>
    <row r="67" ht="22.5" customHeight="1">
      <c r="A67" s="71"/>
      <c r="B67" s="72"/>
      <c r="C67" s="72"/>
      <c r="D67" s="72"/>
      <c r="E67" s="72"/>
      <c r="F67" s="72"/>
      <c r="G67" s="72"/>
      <c r="H67" s="72"/>
    </row>
    <row r="68" ht="22.5" customHeight="1">
      <c r="A68" s="71"/>
      <c r="B68" s="72"/>
      <c r="C68" s="72"/>
      <c r="D68" s="72"/>
      <c r="E68" s="72"/>
      <c r="F68" s="72"/>
      <c r="G68" s="72"/>
      <c r="H68" s="72"/>
    </row>
    <row r="69" ht="22.5" customHeight="1">
      <c r="A69" s="71"/>
      <c r="B69" s="72"/>
      <c r="C69" s="72"/>
      <c r="D69" s="72"/>
      <c r="E69" s="72"/>
      <c r="F69" s="72"/>
      <c r="G69" s="72"/>
      <c r="H69" s="72"/>
    </row>
    <row r="70" ht="22.5" customHeight="1">
      <c r="A70" s="71"/>
      <c r="B70" s="72"/>
      <c r="C70" s="72"/>
      <c r="D70" s="72"/>
      <c r="E70" s="72"/>
      <c r="F70" s="72"/>
      <c r="G70" s="72"/>
      <c r="H70" s="72"/>
    </row>
    <row r="71" ht="22.5" customHeight="1">
      <c r="A71" s="71"/>
      <c r="B71" s="72"/>
      <c r="C71" s="72"/>
      <c r="D71" s="72"/>
      <c r="E71" s="72"/>
      <c r="F71" s="72"/>
      <c r="G71" s="72"/>
      <c r="H71" s="72"/>
    </row>
    <row r="72" ht="22.5" customHeight="1">
      <c r="A72" s="71"/>
      <c r="B72" s="72"/>
      <c r="C72" s="72"/>
      <c r="D72" s="72"/>
      <c r="E72" s="72"/>
      <c r="F72" s="72"/>
      <c r="G72" s="72"/>
      <c r="H72" s="72"/>
    </row>
    <row r="73" ht="22.5" customHeight="1">
      <c r="A73" s="71"/>
      <c r="B73" s="72"/>
      <c r="C73" s="72"/>
      <c r="D73" s="72"/>
      <c r="E73" s="72"/>
      <c r="F73" s="72"/>
      <c r="G73" s="72"/>
      <c r="H73" s="72"/>
    </row>
    <row r="74" ht="22.5" customHeight="1">
      <c r="A74" s="71"/>
      <c r="B74" s="72"/>
      <c r="C74" s="72"/>
      <c r="D74" s="72"/>
      <c r="E74" s="72"/>
      <c r="F74" s="72"/>
      <c r="G74" s="72"/>
      <c r="H74" s="72"/>
    </row>
    <row r="75" ht="22.5" customHeight="1">
      <c r="A75" s="71"/>
      <c r="B75" s="72"/>
      <c r="C75" s="72"/>
      <c r="D75" s="72"/>
      <c r="E75" s="72"/>
      <c r="F75" s="72"/>
      <c r="G75" s="72"/>
      <c r="H75" s="72"/>
    </row>
    <row r="76" ht="22.5" customHeight="1">
      <c r="A76" s="71"/>
      <c r="B76" s="72"/>
      <c r="C76" s="72"/>
      <c r="D76" s="72"/>
      <c r="E76" s="72"/>
      <c r="F76" s="72"/>
      <c r="G76" s="72"/>
      <c r="H76" s="72"/>
    </row>
    <row r="77" ht="22.5" customHeight="1">
      <c r="A77" s="71"/>
      <c r="B77" s="72"/>
      <c r="C77" s="72"/>
      <c r="D77" s="72"/>
      <c r="E77" s="72"/>
      <c r="F77" s="72"/>
      <c r="G77" s="72"/>
      <c r="H77" s="72"/>
    </row>
    <row r="78" ht="22.5" customHeight="1">
      <c r="A78" s="71"/>
      <c r="B78" s="72"/>
      <c r="C78" s="72"/>
      <c r="D78" s="72"/>
      <c r="E78" s="72"/>
      <c r="F78" s="72"/>
      <c r="G78" s="72"/>
      <c r="H78" s="72"/>
    </row>
    <row r="79" ht="22.5" customHeight="1">
      <c r="A79" s="71"/>
      <c r="B79" s="72"/>
      <c r="C79" s="72"/>
      <c r="D79" s="72"/>
      <c r="E79" s="72"/>
      <c r="F79" s="72"/>
      <c r="G79" s="72"/>
      <c r="H79" s="72"/>
    </row>
    <row r="80" ht="22.5" customHeight="1">
      <c r="A80" s="71"/>
      <c r="B80" s="72"/>
      <c r="C80" s="72"/>
      <c r="D80" s="72"/>
      <c r="E80" s="72"/>
      <c r="F80" s="72"/>
      <c r="G80" s="72"/>
      <c r="H80" s="72"/>
    </row>
    <row r="81" ht="22.5" customHeight="1">
      <c r="A81" s="71"/>
      <c r="B81" s="72"/>
      <c r="C81" s="72"/>
      <c r="D81" s="72"/>
      <c r="E81" s="72"/>
      <c r="F81" s="72"/>
      <c r="G81" s="72"/>
      <c r="H81" s="72"/>
    </row>
    <row r="82" ht="22.5" customHeight="1">
      <c r="A82" s="71"/>
      <c r="B82" s="72"/>
      <c r="C82" s="72"/>
      <c r="D82" s="72"/>
      <c r="E82" s="72"/>
      <c r="F82" s="72"/>
      <c r="G82" s="72"/>
      <c r="H82" s="72"/>
    </row>
    <row r="83" ht="22.5" customHeight="1">
      <c r="A83" s="71"/>
      <c r="B83" s="72"/>
      <c r="C83" s="72"/>
      <c r="D83" s="72"/>
      <c r="E83" s="72"/>
      <c r="F83" s="72"/>
      <c r="G83" s="72"/>
      <c r="H83" s="72"/>
    </row>
    <row r="84" ht="22.5" customHeight="1">
      <c r="A84" s="71"/>
      <c r="B84" s="72"/>
      <c r="C84" s="72"/>
      <c r="D84" s="72"/>
      <c r="E84" s="72"/>
      <c r="F84" s="72"/>
      <c r="G84" s="72"/>
      <c r="H84" s="72"/>
    </row>
    <row r="85" ht="22.5" customHeight="1">
      <c r="A85" s="71"/>
      <c r="B85" s="72"/>
      <c r="C85" s="72"/>
      <c r="D85" s="72"/>
      <c r="E85" s="72"/>
      <c r="F85" s="72"/>
      <c r="G85" s="72"/>
      <c r="H85" s="72"/>
    </row>
    <row r="86" ht="22.5" customHeight="1">
      <c r="A86" s="71"/>
      <c r="B86" s="72"/>
      <c r="C86" s="72"/>
      <c r="D86" s="72"/>
      <c r="E86" s="72"/>
      <c r="F86" s="72"/>
      <c r="G86" s="72"/>
      <c r="H86" s="72"/>
    </row>
    <row r="87" ht="22.5" customHeight="1">
      <c r="A87" s="71"/>
      <c r="B87" s="72"/>
      <c r="C87" s="72"/>
      <c r="D87" s="72"/>
      <c r="E87" s="72"/>
      <c r="F87" s="72"/>
      <c r="G87" s="72"/>
      <c r="H87" s="72"/>
    </row>
    <row r="88" ht="22.5" customHeight="1">
      <c r="A88" s="71"/>
      <c r="B88" s="72"/>
      <c r="C88" s="72"/>
      <c r="D88" s="72"/>
      <c r="E88" s="72"/>
      <c r="F88" s="72"/>
      <c r="G88" s="72"/>
      <c r="H88" s="72"/>
    </row>
    <row r="89" ht="22.5" customHeight="1">
      <c r="A89" s="71"/>
      <c r="B89" s="72"/>
      <c r="C89" s="72"/>
      <c r="D89" s="72"/>
      <c r="E89" s="72"/>
      <c r="F89" s="72"/>
      <c r="G89" s="72"/>
      <c r="H89" s="72"/>
    </row>
    <row r="90" ht="22.5" customHeight="1">
      <c r="A90" s="71"/>
      <c r="B90" s="72"/>
      <c r="C90" s="72"/>
      <c r="D90" s="72"/>
      <c r="E90" s="72"/>
      <c r="F90" s="72"/>
      <c r="G90" s="72"/>
      <c r="H90" s="72"/>
    </row>
    <row r="91" ht="22.5" customHeight="1">
      <c r="A91" s="71"/>
      <c r="B91" s="72"/>
      <c r="C91" s="72"/>
      <c r="D91" s="72"/>
      <c r="E91" s="72"/>
      <c r="F91" s="72"/>
      <c r="G91" s="72"/>
      <c r="H91" s="72"/>
    </row>
    <row r="92" ht="22.5" customHeight="1">
      <c r="A92" s="71"/>
      <c r="B92" s="72"/>
      <c r="C92" s="72"/>
      <c r="D92" s="72"/>
      <c r="E92" s="72"/>
      <c r="F92" s="72"/>
      <c r="G92" s="72"/>
      <c r="H92" s="72"/>
    </row>
    <row r="93" ht="22.5" customHeight="1">
      <c r="A93" s="71"/>
      <c r="B93" s="72"/>
      <c r="C93" s="72"/>
      <c r="D93" s="72"/>
      <c r="E93" s="72"/>
      <c r="F93" s="72"/>
      <c r="G93" s="72"/>
      <c r="H93" s="72"/>
    </row>
    <row r="94" ht="22.5" customHeight="1">
      <c r="A94" s="71"/>
      <c r="B94" s="72"/>
      <c r="C94" s="72"/>
      <c r="D94" s="72"/>
      <c r="E94" s="72"/>
      <c r="F94" s="72"/>
      <c r="G94" s="72"/>
      <c r="H94" s="72"/>
    </row>
    <row r="95" ht="22.5" customHeight="1">
      <c r="A95" s="71"/>
      <c r="B95" s="72"/>
      <c r="C95" s="72"/>
      <c r="D95" s="72"/>
      <c r="E95" s="72"/>
      <c r="F95" s="72"/>
      <c r="G95" s="72"/>
      <c r="H95" s="72"/>
    </row>
    <row r="96" ht="22.5" customHeight="1">
      <c r="A96" s="71"/>
      <c r="B96" s="72"/>
      <c r="C96" s="72"/>
      <c r="D96" s="72"/>
      <c r="E96" s="72"/>
      <c r="F96" s="72"/>
      <c r="G96" s="72"/>
      <c r="H96" s="72"/>
    </row>
    <row r="97" ht="22.5" customHeight="1">
      <c r="A97" s="71"/>
      <c r="B97" s="72"/>
      <c r="C97" s="72"/>
      <c r="D97" s="72"/>
      <c r="E97" s="72"/>
      <c r="F97" s="72"/>
      <c r="G97" s="72"/>
      <c r="H97" s="72"/>
    </row>
    <row r="98" ht="22.5" customHeight="1">
      <c r="A98" s="71"/>
      <c r="B98" s="72"/>
      <c r="C98" s="72"/>
      <c r="D98" s="72"/>
      <c r="E98" s="72"/>
      <c r="F98" s="72"/>
      <c r="G98" s="72"/>
      <c r="H98" s="72"/>
    </row>
    <row r="99" ht="22.5" customHeight="1">
      <c r="A99" s="71"/>
      <c r="B99" s="72"/>
      <c r="C99" s="72"/>
      <c r="D99" s="72"/>
      <c r="E99" s="72"/>
      <c r="F99" s="72"/>
      <c r="G99" s="72"/>
      <c r="H99" s="72"/>
    </row>
    <row r="100" ht="22.5" customHeight="1">
      <c r="A100" s="71"/>
      <c r="B100" s="72"/>
      <c r="C100" s="72"/>
      <c r="D100" s="72"/>
      <c r="E100" s="72"/>
      <c r="F100" s="72"/>
      <c r="G100" s="72"/>
      <c r="H100" s="72"/>
    </row>
    <row r="101" ht="22.5" customHeight="1">
      <c r="A101" s="71"/>
      <c r="B101" s="72"/>
      <c r="C101" s="72"/>
      <c r="D101" s="72"/>
      <c r="E101" s="72"/>
      <c r="F101" s="72"/>
      <c r="G101" s="72"/>
      <c r="H101" s="72"/>
    </row>
    <row r="102" ht="22.5" customHeight="1">
      <c r="A102" s="71"/>
      <c r="B102" s="72"/>
      <c r="C102" s="72"/>
      <c r="D102" s="72"/>
      <c r="E102" s="72"/>
      <c r="F102" s="72"/>
      <c r="G102" s="72"/>
      <c r="H102" s="72"/>
    </row>
    <row r="103" ht="22.5" customHeight="1">
      <c r="A103" s="71"/>
      <c r="B103" s="72"/>
      <c r="C103" s="72"/>
      <c r="D103" s="72"/>
      <c r="E103" s="72"/>
      <c r="F103" s="72"/>
      <c r="G103" s="72"/>
      <c r="H103" s="72"/>
    </row>
    <row r="104" ht="22.5" customHeight="1">
      <c r="A104" s="71"/>
      <c r="B104" s="72"/>
      <c r="C104" s="72"/>
      <c r="D104" s="72"/>
      <c r="E104" s="72"/>
      <c r="F104" s="72"/>
      <c r="G104" s="72"/>
      <c r="H104" s="72"/>
    </row>
    <row r="105" ht="22.5" customHeight="1">
      <c r="A105" s="71"/>
      <c r="B105" s="72"/>
      <c r="C105" s="72"/>
      <c r="D105" s="72"/>
      <c r="E105" s="72"/>
      <c r="F105" s="72"/>
      <c r="G105" s="72"/>
      <c r="H105" s="72"/>
    </row>
    <row r="106" ht="22.5" customHeight="1">
      <c r="A106" s="71"/>
      <c r="B106" s="72"/>
      <c r="C106" s="72"/>
      <c r="D106" s="72"/>
      <c r="E106" s="72"/>
      <c r="F106" s="72"/>
      <c r="G106" s="72"/>
      <c r="H106" s="72"/>
    </row>
    <row r="107" ht="22.5" customHeight="1">
      <c r="A107" s="71"/>
      <c r="B107" s="72"/>
      <c r="C107" s="72"/>
      <c r="D107" s="72"/>
      <c r="E107" s="72"/>
      <c r="F107" s="72"/>
      <c r="G107" s="72"/>
      <c r="H107" s="72"/>
    </row>
    <row r="108" ht="22.5" customHeight="1">
      <c r="A108" s="71"/>
      <c r="B108" s="72"/>
      <c r="C108" s="72"/>
      <c r="D108" s="72"/>
      <c r="E108" s="72"/>
      <c r="F108" s="72"/>
      <c r="G108" s="72"/>
      <c r="H108" s="72"/>
    </row>
    <row r="109" ht="22.5" customHeight="1">
      <c r="A109" s="71"/>
      <c r="B109" s="72"/>
      <c r="C109" s="72"/>
      <c r="D109" s="72"/>
      <c r="E109" s="72"/>
      <c r="F109" s="72"/>
      <c r="G109" s="72"/>
      <c r="H109" s="72"/>
    </row>
    <row r="110" ht="22.5" customHeight="1">
      <c r="A110" s="71"/>
      <c r="B110" s="72"/>
      <c r="C110" s="72"/>
      <c r="D110" s="72"/>
      <c r="E110" s="72"/>
      <c r="F110" s="72"/>
      <c r="G110" s="72"/>
      <c r="H110" s="72"/>
    </row>
    <row r="111" ht="22.5" customHeight="1">
      <c r="A111" s="71"/>
      <c r="B111" s="72"/>
      <c r="C111" s="72"/>
      <c r="D111" s="72"/>
      <c r="E111" s="72"/>
      <c r="F111" s="72"/>
      <c r="G111" s="72"/>
      <c r="H111" s="72"/>
    </row>
    <row r="112" ht="22.5" customHeight="1">
      <c r="A112" s="71"/>
      <c r="B112" s="72"/>
      <c r="C112" s="72"/>
      <c r="D112" s="72"/>
      <c r="E112" s="72"/>
      <c r="F112" s="72"/>
      <c r="G112" s="72"/>
      <c r="H112" s="72"/>
    </row>
    <row r="113" ht="22.5" customHeight="1">
      <c r="A113" s="71"/>
      <c r="B113" s="72"/>
      <c r="C113" s="72"/>
      <c r="D113" s="72"/>
      <c r="E113" s="72"/>
      <c r="F113" s="72"/>
      <c r="G113" s="72"/>
      <c r="H113" s="72"/>
    </row>
    <row r="114" ht="22.5" customHeight="1">
      <c r="A114" s="71"/>
      <c r="B114" s="72"/>
      <c r="C114" s="72"/>
      <c r="D114" s="72"/>
      <c r="E114" s="72"/>
      <c r="F114" s="72"/>
      <c r="G114" s="72"/>
      <c r="H114" s="72"/>
    </row>
    <row r="115" ht="22.5" customHeight="1">
      <c r="A115" s="71"/>
      <c r="B115" s="72"/>
      <c r="C115" s="72"/>
      <c r="D115" s="72"/>
      <c r="E115" s="72"/>
      <c r="F115" s="72"/>
      <c r="G115" s="72"/>
      <c r="H115" s="72"/>
    </row>
    <row r="116" ht="22.5" customHeight="1">
      <c r="A116" s="71"/>
      <c r="B116" s="72"/>
      <c r="C116" s="72"/>
      <c r="D116" s="72"/>
      <c r="E116" s="72"/>
      <c r="F116" s="72"/>
      <c r="G116" s="72"/>
      <c r="H116" s="72"/>
    </row>
    <row r="117" ht="22.5" customHeight="1">
      <c r="A117" s="71"/>
      <c r="B117" s="72"/>
      <c r="C117" s="72"/>
      <c r="D117" s="72"/>
      <c r="E117" s="72"/>
      <c r="F117" s="72"/>
      <c r="G117" s="72"/>
      <c r="H117" s="72"/>
    </row>
    <row r="118" ht="22.5" customHeight="1">
      <c r="A118" s="71"/>
      <c r="B118" s="72"/>
      <c r="C118" s="72"/>
      <c r="D118" s="72"/>
      <c r="E118" s="72"/>
      <c r="F118" s="72"/>
      <c r="G118" s="72"/>
      <c r="H118" s="72"/>
    </row>
    <row r="119" ht="22.5" customHeight="1">
      <c r="A119" s="71"/>
      <c r="B119" s="72"/>
      <c r="C119" s="72"/>
      <c r="D119" s="72"/>
      <c r="E119" s="72"/>
      <c r="F119" s="72"/>
      <c r="G119" s="72"/>
      <c r="H119" s="72"/>
    </row>
    <row r="120" ht="22.5" customHeight="1">
      <c r="A120" s="71"/>
      <c r="B120" s="72"/>
      <c r="C120" s="72"/>
      <c r="D120" s="72"/>
      <c r="E120" s="72"/>
      <c r="F120" s="72"/>
      <c r="G120" s="72"/>
      <c r="H120" s="72"/>
    </row>
    <row r="121" ht="22.5" customHeight="1">
      <c r="A121" s="71"/>
      <c r="B121" s="72"/>
      <c r="C121" s="72"/>
      <c r="D121" s="72"/>
      <c r="E121" s="72"/>
      <c r="F121" s="72"/>
      <c r="G121" s="72"/>
      <c r="H121" s="72"/>
    </row>
    <row r="122" ht="22.5" customHeight="1">
      <c r="A122" s="71"/>
      <c r="B122" s="72"/>
      <c r="C122" s="72"/>
      <c r="D122" s="72"/>
      <c r="E122" s="72"/>
      <c r="F122" s="72"/>
      <c r="G122" s="72"/>
      <c r="H122" s="72"/>
    </row>
    <row r="123" ht="22.5" customHeight="1">
      <c r="A123" s="71"/>
      <c r="B123" s="72"/>
      <c r="C123" s="72"/>
      <c r="D123" s="72"/>
      <c r="E123" s="72"/>
      <c r="F123" s="72"/>
      <c r="G123" s="72"/>
      <c r="H123" s="72"/>
    </row>
    <row r="124" ht="22.5" customHeight="1">
      <c r="A124" s="71"/>
      <c r="B124" s="72"/>
      <c r="C124" s="72"/>
      <c r="D124" s="72"/>
      <c r="E124" s="72"/>
      <c r="F124" s="72"/>
      <c r="G124" s="72"/>
      <c r="H124" s="72"/>
    </row>
    <row r="125" ht="22.5" customHeight="1">
      <c r="A125" s="71"/>
      <c r="B125" s="72"/>
      <c r="C125" s="72"/>
      <c r="D125" s="72"/>
      <c r="E125" s="72"/>
      <c r="F125" s="72"/>
      <c r="G125" s="72"/>
      <c r="H125" s="72"/>
    </row>
    <row r="126" ht="22.5" customHeight="1">
      <c r="A126" s="71"/>
      <c r="B126" s="72"/>
      <c r="C126" s="72"/>
      <c r="D126" s="72"/>
      <c r="E126" s="72"/>
      <c r="F126" s="72"/>
      <c r="G126" s="72"/>
      <c r="H126" s="72"/>
    </row>
    <row r="127" ht="22.5" customHeight="1">
      <c r="A127" s="71"/>
      <c r="B127" s="72"/>
      <c r="C127" s="72"/>
      <c r="D127" s="72"/>
      <c r="E127" s="72"/>
      <c r="F127" s="72"/>
      <c r="G127" s="72"/>
      <c r="H127" s="72"/>
    </row>
    <row r="128" ht="22.5" customHeight="1">
      <c r="A128" s="71"/>
      <c r="B128" s="72"/>
      <c r="C128" s="72"/>
      <c r="D128" s="72"/>
      <c r="E128" s="72"/>
      <c r="F128" s="72"/>
      <c r="G128" s="72"/>
      <c r="H128" s="72"/>
    </row>
    <row r="129" ht="22.5" customHeight="1">
      <c r="A129" s="71"/>
      <c r="B129" s="72"/>
      <c r="C129" s="72"/>
      <c r="D129" s="72"/>
      <c r="E129" s="72"/>
      <c r="F129" s="72"/>
      <c r="G129" s="72"/>
      <c r="H129" s="72"/>
    </row>
    <row r="130" ht="22.5" customHeight="1">
      <c r="A130" s="71"/>
      <c r="B130" s="72"/>
      <c r="C130" s="72"/>
      <c r="D130" s="72"/>
      <c r="E130" s="72"/>
      <c r="F130" s="72"/>
      <c r="G130" s="72"/>
      <c r="H130" s="72"/>
    </row>
    <row r="131" ht="22.5" customHeight="1">
      <c r="A131" s="71"/>
      <c r="B131" s="72"/>
      <c r="C131" s="72"/>
      <c r="D131" s="72"/>
      <c r="E131" s="72"/>
      <c r="F131" s="72"/>
      <c r="G131" s="72"/>
      <c r="H131" s="72"/>
    </row>
    <row r="132" ht="22.5" customHeight="1">
      <c r="A132" s="71"/>
      <c r="B132" s="72"/>
      <c r="C132" s="72"/>
      <c r="D132" s="72"/>
      <c r="E132" s="72"/>
      <c r="F132" s="72"/>
      <c r="G132" s="72"/>
      <c r="H132" s="72"/>
    </row>
    <row r="133" ht="22.5" customHeight="1">
      <c r="A133" s="71"/>
      <c r="B133" s="72"/>
      <c r="C133" s="72"/>
      <c r="D133" s="72"/>
      <c r="E133" s="72"/>
      <c r="F133" s="72"/>
      <c r="G133" s="72"/>
      <c r="H133" s="72"/>
    </row>
    <row r="134" ht="22.5" customHeight="1">
      <c r="A134" s="71"/>
      <c r="B134" s="72"/>
      <c r="C134" s="72"/>
      <c r="D134" s="72"/>
      <c r="E134" s="72"/>
      <c r="F134" s="72"/>
      <c r="G134" s="72"/>
      <c r="H134" s="72"/>
    </row>
    <row r="135" ht="22.5" customHeight="1">
      <c r="A135" s="71"/>
      <c r="B135" s="72"/>
      <c r="C135" s="72"/>
      <c r="D135" s="72"/>
      <c r="E135" s="72"/>
      <c r="F135" s="72"/>
      <c r="G135" s="72"/>
      <c r="H135" s="72"/>
    </row>
    <row r="136" ht="22.5" customHeight="1">
      <c r="A136" s="71"/>
      <c r="B136" s="72"/>
      <c r="C136" s="72"/>
      <c r="D136" s="72"/>
      <c r="E136" s="72"/>
      <c r="F136" s="72"/>
      <c r="G136" s="72"/>
      <c r="H136" s="72"/>
    </row>
    <row r="137" ht="22.5" customHeight="1">
      <c r="A137" s="71"/>
      <c r="B137" s="72"/>
      <c r="C137" s="72"/>
      <c r="D137" s="72"/>
      <c r="E137" s="72"/>
      <c r="F137" s="72"/>
      <c r="G137" s="72"/>
      <c r="H137" s="72"/>
    </row>
    <row r="138" ht="22.5" customHeight="1">
      <c r="A138" s="71"/>
      <c r="B138" s="72"/>
      <c r="C138" s="72"/>
      <c r="D138" s="72"/>
      <c r="E138" s="72"/>
      <c r="F138" s="72"/>
      <c r="G138" s="72"/>
      <c r="H138" s="72"/>
    </row>
    <row r="139" ht="22.5" customHeight="1">
      <c r="A139" s="71"/>
      <c r="B139" s="72"/>
      <c r="C139" s="72"/>
      <c r="D139" s="72"/>
      <c r="E139" s="72"/>
      <c r="F139" s="72"/>
      <c r="G139" s="72"/>
      <c r="H139" s="72"/>
    </row>
    <row r="140" ht="22.5" customHeight="1">
      <c r="A140" s="71"/>
      <c r="B140" s="72"/>
      <c r="C140" s="72"/>
      <c r="D140" s="72"/>
      <c r="E140" s="72"/>
      <c r="F140" s="72"/>
      <c r="G140" s="72"/>
      <c r="H140" s="72"/>
    </row>
    <row r="141" ht="22.5" customHeight="1">
      <c r="A141" s="71"/>
      <c r="B141" s="72"/>
      <c r="C141" s="72"/>
      <c r="D141" s="72"/>
      <c r="E141" s="72"/>
      <c r="F141" s="72"/>
      <c r="G141" s="72"/>
      <c r="H141" s="72"/>
    </row>
    <row r="142" ht="22.5" customHeight="1">
      <c r="A142" s="71"/>
      <c r="B142" s="72"/>
      <c r="C142" s="72"/>
      <c r="D142" s="72"/>
      <c r="E142" s="72"/>
      <c r="F142" s="72"/>
      <c r="G142" s="72"/>
      <c r="H142" s="72"/>
    </row>
    <row r="143" ht="22.5" customHeight="1">
      <c r="A143" s="71"/>
      <c r="B143" s="72"/>
      <c r="C143" s="72"/>
      <c r="D143" s="72"/>
      <c r="E143" s="72"/>
      <c r="F143" s="72"/>
      <c r="G143" s="72"/>
      <c r="H143" s="72"/>
    </row>
    <row r="144" ht="22.5" customHeight="1">
      <c r="A144" s="71"/>
      <c r="B144" s="72"/>
      <c r="C144" s="72"/>
      <c r="D144" s="72"/>
      <c r="E144" s="72"/>
      <c r="F144" s="72"/>
      <c r="G144" s="72"/>
      <c r="H144" s="72"/>
    </row>
    <row r="145" ht="22.5" customHeight="1">
      <c r="A145" s="71"/>
      <c r="B145" s="72"/>
      <c r="C145" s="72"/>
      <c r="D145" s="72"/>
      <c r="E145" s="72"/>
      <c r="F145" s="72"/>
      <c r="G145" s="72"/>
      <c r="H145" s="72"/>
    </row>
    <row r="146" ht="22.5" customHeight="1">
      <c r="A146" s="71"/>
      <c r="B146" s="72"/>
      <c r="C146" s="72"/>
      <c r="D146" s="72"/>
      <c r="E146" s="72"/>
      <c r="F146" s="72"/>
      <c r="G146" s="72"/>
      <c r="H146" s="72"/>
    </row>
    <row r="147" ht="22.5" customHeight="1">
      <c r="A147" s="71"/>
      <c r="B147" s="72"/>
      <c r="C147" s="72"/>
      <c r="D147" s="72"/>
      <c r="E147" s="72"/>
      <c r="F147" s="72"/>
      <c r="G147" s="72"/>
      <c r="H147" s="72"/>
    </row>
    <row r="148" ht="22.5" customHeight="1">
      <c r="A148" s="71"/>
      <c r="B148" s="72"/>
      <c r="C148" s="72"/>
      <c r="D148" s="72"/>
      <c r="E148" s="72"/>
      <c r="F148" s="72"/>
      <c r="G148" s="72"/>
      <c r="H148" s="72"/>
    </row>
    <row r="149" ht="22.5" customHeight="1">
      <c r="A149" s="71"/>
      <c r="B149" s="72"/>
      <c r="C149" s="72"/>
      <c r="D149" s="72"/>
      <c r="E149" s="72"/>
      <c r="F149" s="72"/>
      <c r="G149" s="72"/>
      <c r="H149" s="72"/>
    </row>
    <row r="150" ht="22.5" customHeight="1">
      <c r="A150" s="71"/>
      <c r="B150" s="72"/>
      <c r="C150" s="72"/>
      <c r="D150" s="72"/>
      <c r="E150" s="72"/>
      <c r="F150" s="72"/>
      <c r="G150" s="72"/>
      <c r="H150" s="72"/>
    </row>
    <row r="151" ht="22.5" customHeight="1">
      <c r="A151" s="71"/>
      <c r="B151" s="72"/>
      <c r="C151" s="72"/>
      <c r="D151" s="72"/>
      <c r="E151" s="72"/>
      <c r="F151" s="72"/>
      <c r="G151" s="72"/>
      <c r="H151" s="72"/>
    </row>
    <row r="152" ht="22.5" customHeight="1">
      <c r="A152" s="71"/>
      <c r="B152" s="72"/>
      <c r="C152" s="72"/>
      <c r="D152" s="72"/>
      <c r="E152" s="72"/>
      <c r="F152" s="72"/>
      <c r="G152" s="72"/>
      <c r="H152" s="72"/>
    </row>
    <row r="153" ht="22.5" customHeight="1">
      <c r="A153" s="71"/>
      <c r="B153" s="72"/>
      <c r="C153" s="72"/>
      <c r="D153" s="72"/>
      <c r="E153" s="72"/>
      <c r="F153" s="72"/>
      <c r="G153" s="72"/>
      <c r="H153" s="72"/>
    </row>
    <row r="154" ht="22.5" customHeight="1">
      <c r="A154" s="71"/>
      <c r="B154" s="72"/>
      <c r="C154" s="72"/>
      <c r="D154" s="72"/>
      <c r="E154" s="72"/>
      <c r="F154" s="72"/>
      <c r="G154" s="72"/>
      <c r="H154" s="72"/>
    </row>
    <row r="155" ht="22.5" customHeight="1">
      <c r="A155" s="71"/>
      <c r="B155" s="72"/>
      <c r="C155" s="72"/>
      <c r="D155" s="72"/>
      <c r="E155" s="72"/>
      <c r="F155" s="72"/>
      <c r="G155" s="72"/>
      <c r="H155" s="72"/>
    </row>
    <row r="156" ht="22.5" customHeight="1">
      <c r="A156" s="71"/>
      <c r="B156" s="72"/>
      <c r="C156" s="72"/>
      <c r="D156" s="72"/>
      <c r="E156" s="72"/>
      <c r="F156" s="72"/>
      <c r="G156" s="72"/>
      <c r="H156" s="72"/>
    </row>
    <row r="157" ht="22.5" customHeight="1">
      <c r="A157" s="71"/>
      <c r="B157" s="72"/>
      <c r="C157" s="72"/>
      <c r="D157" s="72"/>
      <c r="E157" s="72"/>
      <c r="F157" s="72"/>
      <c r="G157" s="72"/>
      <c r="H157" s="72"/>
    </row>
    <row r="158" ht="22.5" customHeight="1">
      <c r="A158" s="71"/>
      <c r="B158" s="72"/>
      <c r="C158" s="72"/>
      <c r="D158" s="72"/>
      <c r="E158" s="72"/>
      <c r="F158" s="72"/>
      <c r="G158" s="72"/>
      <c r="H158" s="72"/>
    </row>
    <row r="159" ht="22.5" customHeight="1">
      <c r="A159" s="71"/>
      <c r="B159" s="72"/>
      <c r="C159" s="72"/>
      <c r="D159" s="72"/>
      <c r="E159" s="72"/>
      <c r="F159" s="72"/>
      <c r="G159" s="72"/>
      <c r="H159" s="72"/>
    </row>
    <row r="160" ht="22.5" customHeight="1">
      <c r="A160" s="71"/>
      <c r="B160" s="72"/>
      <c r="C160" s="72"/>
      <c r="D160" s="72"/>
      <c r="E160" s="72"/>
      <c r="F160" s="72"/>
      <c r="G160" s="72"/>
      <c r="H160" s="72"/>
    </row>
    <row r="161" ht="22.5" customHeight="1">
      <c r="A161" s="71"/>
      <c r="B161" s="72"/>
      <c r="C161" s="72"/>
      <c r="D161" s="72"/>
      <c r="E161" s="72"/>
      <c r="F161" s="72"/>
      <c r="G161" s="72"/>
      <c r="H161" s="72"/>
    </row>
    <row r="162" ht="22.5" customHeight="1">
      <c r="A162" s="71"/>
      <c r="B162" s="72"/>
      <c r="C162" s="72"/>
      <c r="D162" s="72"/>
      <c r="E162" s="72"/>
      <c r="F162" s="72"/>
      <c r="G162" s="72"/>
      <c r="H162" s="72"/>
    </row>
    <row r="163" ht="22.5" customHeight="1">
      <c r="A163" s="71"/>
      <c r="B163" s="72"/>
      <c r="C163" s="72"/>
      <c r="D163" s="72"/>
      <c r="E163" s="72"/>
      <c r="F163" s="72"/>
      <c r="G163" s="72"/>
      <c r="H163" s="72"/>
    </row>
    <row r="164" ht="22.5" customHeight="1">
      <c r="A164" s="71"/>
      <c r="B164" s="72"/>
      <c r="C164" s="72"/>
      <c r="D164" s="72"/>
      <c r="E164" s="72"/>
      <c r="F164" s="72"/>
      <c r="G164" s="72"/>
      <c r="H164" s="72"/>
    </row>
    <row r="165" ht="22.5" customHeight="1">
      <c r="A165" s="71"/>
      <c r="B165" s="72"/>
      <c r="C165" s="72"/>
      <c r="D165" s="72"/>
      <c r="E165" s="72"/>
      <c r="F165" s="72"/>
      <c r="G165" s="72"/>
      <c r="H165" s="72"/>
    </row>
    <row r="166" ht="22.5" customHeight="1">
      <c r="A166" s="71"/>
      <c r="B166" s="72"/>
      <c r="C166" s="72"/>
      <c r="D166" s="72"/>
      <c r="E166" s="72"/>
      <c r="F166" s="72"/>
      <c r="G166" s="72"/>
      <c r="H166" s="72"/>
    </row>
    <row r="167" ht="22.5" customHeight="1">
      <c r="A167" s="71"/>
      <c r="B167" s="72"/>
      <c r="C167" s="72"/>
      <c r="D167" s="72"/>
      <c r="E167" s="72"/>
      <c r="F167" s="72"/>
      <c r="G167" s="72"/>
      <c r="H167" s="72"/>
    </row>
    <row r="168" ht="22.5" customHeight="1">
      <c r="A168" s="71"/>
      <c r="B168" s="72"/>
      <c r="C168" s="72"/>
      <c r="D168" s="72"/>
      <c r="E168" s="72"/>
      <c r="F168" s="72"/>
      <c r="G168" s="72"/>
      <c r="H168" s="72"/>
    </row>
    <row r="169" ht="22.5" customHeight="1">
      <c r="A169" s="71"/>
      <c r="B169" s="72"/>
      <c r="C169" s="72"/>
      <c r="D169" s="72"/>
      <c r="E169" s="72"/>
      <c r="F169" s="72"/>
      <c r="G169" s="72"/>
      <c r="H169" s="72"/>
    </row>
    <row r="170" ht="22.5" customHeight="1">
      <c r="A170" s="71"/>
      <c r="B170" s="72"/>
      <c r="C170" s="72"/>
      <c r="D170" s="72"/>
      <c r="E170" s="72"/>
      <c r="F170" s="72"/>
      <c r="G170" s="72"/>
      <c r="H170" s="72"/>
    </row>
    <row r="171" ht="22.5" customHeight="1">
      <c r="A171" s="71"/>
      <c r="B171" s="72"/>
      <c r="C171" s="72"/>
      <c r="D171" s="72"/>
      <c r="E171" s="72"/>
      <c r="F171" s="72"/>
      <c r="G171" s="72"/>
      <c r="H171" s="72"/>
    </row>
    <row r="172" ht="22.5" customHeight="1">
      <c r="A172" s="71"/>
      <c r="B172" s="72"/>
      <c r="C172" s="72"/>
      <c r="D172" s="72"/>
      <c r="E172" s="72"/>
      <c r="F172" s="72"/>
      <c r="G172" s="72"/>
      <c r="H172" s="72"/>
    </row>
    <row r="173" ht="22.5" customHeight="1">
      <c r="A173" s="71"/>
      <c r="B173" s="72"/>
      <c r="C173" s="72"/>
      <c r="D173" s="72"/>
      <c r="E173" s="72"/>
      <c r="F173" s="72"/>
      <c r="G173" s="72"/>
      <c r="H173" s="72"/>
    </row>
    <row r="174" ht="22.5" customHeight="1">
      <c r="A174" s="71"/>
      <c r="B174" s="72"/>
      <c r="C174" s="72"/>
      <c r="D174" s="72"/>
      <c r="E174" s="72"/>
      <c r="F174" s="72"/>
      <c r="G174" s="72"/>
      <c r="H174" s="72"/>
    </row>
    <row r="175" ht="22.5" customHeight="1">
      <c r="A175" s="71"/>
      <c r="B175" s="72"/>
      <c r="C175" s="72"/>
      <c r="D175" s="72"/>
      <c r="E175" s="72"/>
      <c r="F175" s="72"/>
      <c r="G175" s="72"/>
      <c r="H175" s="72"/>
    </row>
    <row r="176" ht="22.5" customHeight="1">
      <c r="A176" s="71"/>
      <c r="B176" s="72"/>
      <c r="C176" s="72"/>
      <c r="D176" s="72"/>
      <c r="E176" s="72"/>
      <c r="F176" s="72"/>
      <c r="G176" s="72"/>
      <c r="H176" s="72"/>
    </row>
    <row r="177" ht="22.5" customHeight="1">
      <c r="A177" s="71"/>
      <c r="B177" s="72"/>
      <c r="C177" s="72"/>
      <c r="D177" s="72"/>
      <c r="E177" s="72"/>
      <c r="F177" s="72"/>
      <c r="G177" s="72"/>
      <c r="H177" s="72"/>
    </row>
    <row r="178" ht="22.5" customHeight="1">
      <c r="A178" s="71"/>
      <c r="B178" s="72"/>
      <c r="C178" s="72"/>
      <c r="D178" s="72"/>
      <c r="E178" s="72"/>
      <c r="F178" s="72"/>
      <c r="G178" s="72"/>
      <c r="H178" s="72"/>
    </row>
    <row r="179" ht="22.5" customHeight="1">
      <c r="A179" s="71"/>
      <c r="B179" s="72"/>
      <c r="C179" s="72"/>
      <c r="D179" s="72"/>
      <c r="E179" s="72"/>
      <c r="F179" s="72"/>
      <c r="G179" s="72"/>
      <c r="H179" s="72"/>
    </row>
    <row r="180" ht="22.5" customHeight="1">
      <c r="A180" s="71"/>
      <c r="B180" s="72"/>
      <c r="C180" s="72"/>
      <c r="D180" s="72"/>
      <c r="E180" s="72"/>
      <c r="F180" s="72"/>
      <c r="G180" s="72"/>
      <c r="H180" s="72"/>
    </row>
    <row r="181" ht="22.5" customHeight="1">
      <c r="A181" s="71"/>
      <c r="B181" s="72"/>
      <c r="C181" s="72"/>
      <c r="D181" s="72"/>
      <c r="E181" s="72"/>
      <c r="F181" s="72"/>
      <c r="G181" s="72"/>
      <c r="H181" s="72"/>
    </row>
    <row r="182" ht="22.5" customHeight="1">
      <c r="A182" s="71"/>
      <c r="B182" s="72"/>
      <c r="C182" s="72"/>
      <c r="D182" s="72"/>
      <c r="E182" s="72"/>
      <c r="F182" s="72"/>
      <c r="G182" s="72"/>
      <c r="H182" s="72"/>
    </row>
    <row r="183" ht="22.5" customHeight="1">
      <c r="A183" s="71"/>
      <c r="B183" s="72"/>
      <c r="C183" s="72"/>
      <c r="D183" s="72"/>
      <c r="E183" s="72"/>
      <c r="F183" s="72"/>
      <c r="G183" s="72"/>
      <c r="H183" s="72"/>
    </row>
    <row r="184" ht="22.5" customHeight="1">
      <c r="A184" s="71"/>
      <c r="B184" s="72"/>
      <c r="C184" s="72"/>
      <c r="D184" s="72"/>
      <c r="E184" s="72"/>
      <c r="F184" s="72"/>
      <c r="G184" s="72"/>
      <c r="H184" s="72"/>
    </row>
    <row r="185" ht="22.5" customHeight="1">
      <c r="A185" s="71"/>
      <c r="B185" s="72"/>
      <c r="C185" s="72"/>
      <c r="D185" s="72"/>
      <c r="E185" s="72"/>
      <c r="F185" s="72"/>
      <c r="G185" s="72"/>
      <c r="H185" s="72"/>
    </row>
    <row r="186" ht="22.5" customHeight="1">
      <c r="A186" s="71"/>
      <c r="B186" s="72"/>
      <c r="C186" s="72"/>
      <c r="D186" s="72"/>
      <c r="E186" s="72"/>
      <c r="F186" s="72"/>
      <c r="G186" s="72"/>
      <c r="H186" s="72"/>
    </row>
    <row r="187" ht="22.5" customHeight="1">
      <c r="A187" s="71"/>
      <c r="B187" s="72"/>
      <c r="C187" s="72"/>
      <c r="D187" s="72"/>
      <c r="E187" s="72"/>
      <c r="F187" s="72"/>
      <c r="G187" s="72"/>
      <c r="H187" s="72"/>
    </row>
    <row r="188" ht="22.5" customHeight="1">
      <c r="A188" s="71"/>
      <c r="B188" s="72"/>
      <c r="C188" s="72"/>
      <c r="D188" s="72"/>
      <c r="E188" s="72"/>
      <c r="F188" s="72"/>
      <c r="G188" s="72"/>
      <c r="H188" s="72"/>
    </row>
    <row r="189" ht="22.5" customHeight="1">
      <c r="A189" s="71"/>
      <c r="B189" s="72"/>
      <c r="C189" s="72"/>
      <c r="D189" s="72"/>
      <c r="E189" s="72"/>
      <c r="F189" s="72"/>
      <c r="G189" s="72"/>
      <c r="H189" s="72"/>
    </row>
    <row r="190" ht="22.5" customHeight="1">
      <c r="A190" s="71"/>
      <c r="B190" s="72"/>
      <c r="C190" s="72"/>
      <c r="D190" s="72"/>
      <c r="E190" s="72"/>
      <c r="F190" s="72"/>
      <c r="G190" s="72"/>
      <c r="H190" s="72"/>
    </row>
    <row r="191" ht="22.5" customHeight="1">
      <c r="A191" s="71"/>
      <c r="B191" s="72"/>
      <c r="C191" s="72"/>
      <c r="D191" s="72"/>
      <c r="E191" s="72"/>
      <c r="F191" s="72"/>
      <c r="G191" s="72"/>
      <c r="H191" s="72"/>
    </row>
    <row r="192" ht="22.5" customHeight="1">
      <c r="A192" s="71"/>
      <c r="B192" s="72"/>
      <c r="C192" s="72"/>
      <c r="D192" s="72"/>
      <c r="E192" s="72"/>
      <c r="F192" s="72"/>
      <c r="G192" s="72"/>
      <c r="H192" s="72"/>
    </row>
    <row r="193" ht="22.5" customHeight="1">
      <c r="A193" s="71"/>
      <c r="B193" s="72"/>
      <c r="C193" s="72"/>
      <c r="D193" s="72"/>
      <c r="E193" s="72"/>
      <c r="F193" s="72"/>
      <c r="G193" s="72"/>
      <c r="H193" s="72"/>
    </row>
    <row r="194" ht="22.5" customHeight="1">
      <c r="A194" s="71"/>
      <c r="B194" s="72"/>
      <c r="C194" s="72"/>
      <c r="D194" s="72"/>
      <c r="E194" s="72"/>
      <c r="F194" s="72"/>
      <c r="G194" s="72"/>
      <c r="H194" s="72"/>
    </row>
    <row r="195" ht="22.5" customHeight="1">
      <c r="A195" s="71"/>
      <c r="B195" s="72"/>
      <c r="C195" s="72"/>
      <c r="D195" s="72"/>
      <c r="E195" s="72"/>
      <c r="F195" s="72"/>
      <c r="G195" s="72"/>
      <c r="H195" s="72"/>
    </row>
    <row r="196" ht="22.5" customHeight="1">
      <c r="A196" s="71"/>
      <c r="B196" s="72"/>
      <c r="C196" s="72"/>
      <c r="D196" s="72"/>
      <c r="E196" s="72"/>
      <c r="F196" s="72"/>
      <c r="G196" s="72"/>
      <c r="H196" s="72"/>
    </row>
    <row r="197" ht="22.5" customHeight="1">
      <c r="A197" s="71"/>
      <c r="B197" s="72"/>
      <c r="C197" s="72"/>
      <c r="D197" s="72"/>
      <c r="E197" s="72"/>
      <c r="F197" s="72"/>
      <c r="G197" s="72"/>
      <c r="H197" s="72"/>
    </row>
    <row r="198" ht="22.5" customHeight="1">
      <c r="A198" s="71"/>
      <c r="B198" s="72"/>
      <c r="C198" s="72"/>
      <c r="D198" s="72"/>
      <c r="E198" s="72"/>
      <c r="F198" s="72"/>
      <c r="G198" s="72"/>
      <c r="H198" s="72"/>
    </row>
    <row r="199" ht="22.5" customHeight="1">
      <c r="A199" s="71"/>
      <c r="B199" s="72"/>
      <c r="C199" s="72"/>
      <c r="D199" s="72"/>
      <c r="E199" s="72"/>
      <c r="F199" s="72"/>
      <c r="G199" s="72"/>
      <c r="H199" s="72"/>
    </row>
    <row r="200" ht="22.5" customHeight="1">
      <c r="A200" s="71"/>
      <c r="B200" s="72"/>
      <c r="C200" s="72"/>
      <c r="D200" s="72"/>
      <c r="E200" s="72"/>
      <c r="F200" s="72"/>
      <c r="G200" s="72"/>
      <c r="H200" s="72"/>
    </row>
    <row r="201" ht="22.5" customHeight="1">
      <c r="A201" s="71"/>
      <c r="B201" s="72"/>
      <c r="C201" s="72"/>
      <c r="D201" s="72"/>
      <c r="E201" s="72"/>
      <c r="F201" s="72"/>
      <c r="G201" s="72"/>
      <c r="H201" s="72"/>
    </row>
    <row r="202" ht="22.5" customHeight="1">
      <c r="A202" s="71"/>
      <c r="B202" s="72"/>
      <c r="C202" s="72"/>
      <c r="D202" s="72"/>
      <c r="E202" s="72"/>
      <c r="F202" s="72"/>
      <c r="G202" s="72"/>
      <c r="H202" s="72"/>
    </row>
    <row r="203" ht="22.5" customHeight="1">
      <c r="A203" s="71"/>
      <c r="B203" s="72"/>
      <c r="C203" s="72"/>
      <c r="D203" s="72"/>
      <c r="E203" s="72"/>
      <c r="F203" s="72"/>
      <c r="G203" s="72"/>
      <c r="H203" s="72"/>
    </row>
    <row r="204" ht="22.5" customHeight="1">
      <c r="A204" s="71"/>
      <c r="B204" s="72"/>
      <c r="C204" s="72"/>
      <c r="D204" s="72"/>
      <c r="E204" s="72"/>
      <c r="F204" s="72"/>
      <c r="G204" s="72"/>
      <c r="H204" s="72"/>
    </row>
    <row r="205" ht="22.5" customHeight="1">
      <c r="A205" s="71"/>
      <c r="B205" s="72"/>
      <c r="C205" s="72"/>
      <c r="D205" s="72"/>
      <c r="E205" s="72"/>
      <c r="F205" s="72"/>
      <c r="G205" s="72"/>
      <c r="H205" s="72"/>
    </row>
    <row r="206" ht="22.5" customHeight="1">
      <c r="A206" s="71"/>
      <c r="B206" s="72"/>
      <c r="C206" s="72"/>
      <c r="D206" s="72"/>
      <c r="E206" s="72"/>
      <c r="F206" s="72"/>
      <c r="G206" s="72"/>
      <c r="H206" s="72"/>
    </row>
    <row r="207" ht="22.5" customHeight="1">
      <c r="A207" s="71"/>
      <c r="B207" s="72"/>
      <c r="C207" s="72"/>
      <c r="D207" s="72"/>
      <c r="E207" s="72"/>
      <c r="F207" s="72"/>
      <c r="G207" s="72"/>
      <c r="H207" s="72"/>
    </row>
    <row r="208" ht="22.5" customHeight="1">
      <c r="A208" s="71"/>
      <c r="B208" s="72"/>
      <c r="C208" s="72"/>
      <c r="D208" s="72"/>
      <c r="E208" s="72"/>
      <c r="F208" s="72"/>
      <c r="G208" s="72"/>
      <c r="H208" s="72"/>
    </row>
    <row r="209" ht="22.5" customHeight="1">
      <c r="A209" s="71"/>
      <c r="B209" s="72"/>
      <c r="C209" s="72"/>
      <c r="D209" s="72"/>
      <c r="E209" s="72"/>
      <c r="F209" s="72"/>
      <c r="G209" s="72"/>
      <c r="H209" s="72"/>
    </row>
    <row r="210" ht="22.5" customHeight="1">
      <c r="A210" s="71"/>
      <c r="B210" s="72"/>
      <c r="C210" s="72"/>
      <c r="D210" s="72"/>
      <c r="E210" s="72"/>
      <c r="F210" s="72"/>
      <c r="G210" s="72"/>
      <c r="H210" s="72"/>
    </row>
    <row r="211" ht="22.5" customHeight="1">
      <c r="A211" s="71"/>
      <c r="B211" s="72"/>
      <c r="C211" s="72"/>
      <c r="D211" s="72"/>
      <c r="E211" s="72"/>
      <c r="F211" s="72"/>
      <c r="G211" s="72"/>
      <c r="H211" s="72"/>
    </row>
    <row r="212" ht="22.5" customHeight="1">
      <c r="A212" s="71"/>
      <c r="B212" s="72"/>
      <c r="C212" s="72"/>
      <c r="D212" s="72"/>
      <c r="E212" s="72"/>
      <c r="F212" s="72"/>
      <c r="G212" s="72"/>
      <c r="H212" s="72"/>
    </row>
    <row r="213" ht="22.5" customHeight="1">
      <c r="A213" s="71"/>
      <c r="B213" s="72"/>
      <c r="C213" s="72"/>
      <c r="D213" s="72"/>
      <c r="E213" s="72"/>
      <c r="F213" s="72"/>
      <c r="G213" s="72"/>
      <c r="H213" s="72"/>
    </row>
    <row r="214" ht="22.5" customHeight="1">
      <c r="A214" s="71"/>
      <c r="B214" s="72"/>
      <c r="C214" s="72"/>
      <c r="D214" s="72"/>
      <c r="E214" s="72"/>
      <c r="F214" s="72"/>
      <c r="G214" s="72"/>
      <c r="H214" s="72"/>
    </row>
    <row r="215" ht="22.5" customHeight="1">
      <c r="A215" s="71"/>
      <c r="B215" s="72"/>
      <c r="C215" s="72"/>
      <c r="D215" s="72"/>
      <c r="E215" s="72"/>
      <c r="F215" s="72"/>
      <c r="G215" s="72"/>
      <c r="H215" s="72"/>
    </row>
    <row r="216" ht="22.5" customHeight="1">
      <c r="A216" s="71"/>
      <c r="B216" s="72"/>
      <c r="C216" s="72"/>
      <c r="D216" s="72"/>
      <c r="E216" s="72"/>
      <c r="F216" s="72"/>
      <c r="G216" s="72"/>
      <c r="H216" s="72"/>
    </row>
    <row r="217" ht="22.5" customHeight="1">
      <c r="A217" s="71"/>
      <c r="B217" s="72"/>
      <c r="C217" s="72"/>
      <c r="D217" s="72"/>
      <c r="E217" s="72"/>
      <c r="F217" s="72"/>
      <c r="G217" s="72"/>
      <c r="H217" s="72"/>
    </row>
    <row r="218" ht="22.5" customHeight="1">
      <c r="A218" s="71"/>
      <c r="B218" s="72"/>
      <c r="C218" s="72"/>
      <c r="D218" s="72"/>
      <c r="E218" s="72"/>
      <c r="F218" s="72"/>
      <c r="G218" s="72"/>
      <c r="H218" s="72"/>
    </row>
    <row r="219" ht="22.5" customHeight="1">
      <c r="A219" s="71"/>
      <c r="B219" s="72"/>
      <c r="C219" s="72"/>
      <c r="D219" s="72"/>
      <c r="E219" s="72"/>
      <c r="F219" s="72"/>
      <c r="G219" s="72"/>
      <c r="H219" s="72"/>
    </row>
    <row r="220" ht="22.5" customHeight="1">
      <c r="A220" s="71"/>
      <c r="B220" s="72"/>
      <c r="C220" s="72"/>
      <c r="D220" s="72"/>
      <c r="E220" s="72"/>
      <c r="F220" s="72"/>
      <c r="G220" s="72"/>
      <c r="H220" s="72"/>
    </row>
    <row r="221" ht="22.5" customHeight="1">
      <c r="A221" s="71"/>
      <c r="B221" s="72"/>
      <c r="C221" s="72"/>
      <c r="D221" s="72"/>
      <c r="E221" s="72"/>
      <c r="F221" s="72"/>
      <c r="G221" s="72"/>
      <c r="H221" s="72"/>
    </row>
    <row r="222" ht="22.5" customHeight="1">
      <c r="A222" s="71"/>
      <c r="B222" s="72"/>
      <c r="C222" s="72"/>
      <c r="D222" s="72"/>
      <c r="E222" s="72"/>
      <c r="F222" s="72"/>
      <c r="G222" s="72"/>
      <c r="H222" s="72"/>
    </row>
    <row r="223" ht="22.5" customHeight="1">
      <c r="A223" s="71"/>
      <c r="B223" s="72"/>
      <c r="C223" s="72"/>
      <c r="D223" s="72"/>
      <c r="E223" s="72"/>
      <c r="F223" s="72"/>
      <c r="G223" s="72"/>
      <c r="H223" s="72"/>
    </row>
    <row r="224" ht="22.5" customHeight="1">
      <c r="A224" s="71"/>
      <c r="B224" s="72"/>
      <c r="C224" s="72"/>
      <c r="D224" s="72"/>
      <c r="E224" s="72"/>
      <c r="F224" s="72"/>
      <c r="G224" s="72"/>
      <c r="H224" s="72"/>
    </row>
    <row r="225" ht="22.5" customHeight="1">
      <c r="A225" s="71"/>
      <c r="B225" s="72"/>
      <c r="C225" s="72"/>
      <c r="D225" s="72"/>
      <c r="E225" s="72"/>
      <c r="F225" s="72"/>
      <c r="G225" s="72"/>
      <c r="H225" s="72"/>
    </row>
    <row r="226" ht="22.5" customHeight="1">
      <c r="A226" s="71"/>
      <c r="B226" s="72"/>
      <c r="C226" s="72"/>
      <c r="D226" s="72"/>
      <c r="E226" s="72"/>
      <c r="F226" s="72"/>
      <c r="G226" s="72"/>
      <c r="H226" s="72"/>
    </row>
    <row r="227" ht="22.5" customHeight="1">
      <c r="A227" s="71"/>
      <c r="B227" s="72"/>
      <c r="C227" s="72"/>
      <c r="D227" s="72"/>
      <c r="E227" s="72"/>
      <c r="F227" s="72"/>
      <c r="G227" s="72"/>
      <c r="H227" s="72"/>
    </row>
    <row r="228" ht="22.5" customHeight="1">
      <c r="A228" s="71"/>
      <c r="B228" s="72"/>
      <c r="C228" s="72"/>
      <c r="D228" s="72"/>
      <c r="E228" s="72"/>
      <c r="F228" s="72"/>
      <c r="G228" s="72"/>
      <c r="H228" s="72"/>
    </row>
    <row r="229" ht="22.5" customHeight="1">
      <c r="A229" s="71"/>
      <c r="B229" s="72"/>
      <c r="C229" s="72"/>
      <c r="D229" s="72"/>
      <c r="E229" s="72"/>
      <c r="F229" s="72"/>
      <c r="G229" s="72"/>
      <c r="H229" s="72"/>
    </row>
    <row r="230" ht="22.5" customHeight="1">
      <c r="A230" s="71"/>
      <c r="B230" s="72"/>
      <c r="C230" s="72"/>
      <c r="D230" s="72"/>
      <c r="E230" s="72"/>
      <c r="F230" s="72"/>
      <c r="G230" s="72"/>
      <c r="H230" s="72"/>
    </row>
    <row r="231" ht="22.5" customHeight="1">
      <c r="A231" s="71"/>
      <c r="B231" s="72"/>
      <c r="C231" s="72"/>
      <c r="D231" s="72"/>
      <c r="E231" s="72"/>
      <c r="F231" s="72"/>
      <c r="G231" s="72"/>
      <c r="H231" s="72"/>
    </row>
    <row r="232" ht="22.5" customHeight="1">
      <c r="A232" s="71"/>
      <c r="B232" s="72"/>
      <c r="C232" s="72"/>
      <c r="D232" s="72"/>
      <c r="E232" s="72"/>
      <c r="F232" s="72"/>
      <c r="G232" s="72"/>
      <c r="H232" s="72"/>
    </row>
    <row r="233" ht="22.5" customHeight="1">
      <c r="A233" s="71"/>
      <c r="B233" s="72"/>
      <c r="C233" s="72"/>
      <c r="D233" s="72"/>
      <c r="E233" s="72"/>
      <c r="F233" s="72"/>
      <c r="G233" s="72"/>
      <c r="H233" s="72"/>
    </row>
    <row r="234" ht="22.5" customHeight="1">
      <c r="A234" s="71"/>
      <c r="B234" s="72"/>
      <c r="C234" s="72"/>
      <c r="D234" s="72"/>
      <c r="E234" s="72"/>
      <c r="F234" s="72"/>
      <c r="G234" s="72"/>
      <c r="H234" s="72"/>
    </row>
    <row r="235" ht="22.5" customHeight="1">
      <c r="A235" s="71"/>
      <c r="B235" s="72"/>
      <c r="C235" s="72"/>
      <c r="D235" s="72"/>
      <c r="E235" s="72"/>
      <c r="F235" s="72"/>
      <c r="G235" s="72"/>
      <c r="H235" s="72"/>
    </row>
    <row r="236" ht="22.5" customHeight="1">
      <c r="A236" s="71"/>
      <c r="B236" s="72"/>
      <c r="C236" s="72"/>
      <c r="D236" s="72"/>
      <c r="E236" s="72"/>
      <c r="F236" s="72"/>
      <c r="G236" s="72"/>
      <c r="H236" s="72"/>
    </row>
    <row r="237" ht="22.5" customHeight="1">
      <c r="A237" s="71"/>
      <c r="B237" s="72"/>
      <c r="C237" s="72"/>
      <c r="D237" s="72"/>
      <c r="E237" s="72"/>
      <c r="F237" s="72"/>
      <c r="G237" s="72"/>
      <c r="H237" s="72"/>
    </row>
    <row r="238" ht="22.5" customHeight="1">
      <c r="A238" s="71"/>
      <c r="B238" s="72"/>
      <c r="C238" s="72"/>
      <c r="D238" s="72"/>
      <c r="E238" s="72"/>
      <c r="F238" s="72"/>
      <c r="G238" s="72"/>
      <c r="H238" s="72"/>
    </row>
    <row r="239" ht="22.5" customHeight="1">
      <c r="A239" s="71"/>
      <c r="B239" s="72"/>
      <c r="C239" s="72"/>
      <c r="D239" s="72"/>
      <c r="E239" s="72"/>
      <c r="F239" s="72"/>
      <c r="G239" s="72"/>
      <c r="H239" s="72"/>
    </row>
    <row r="240" ht="22.5" customHeight="1">
      <c r="A240" s="71"/>
      <c r="B240" s="72"/>
      <c r="C240" s="72"/>
      <c r="D240" s="72"/>
      <c r="E240" s="72"/>
      <c r="F240" s="72"/>
      <c r="G240" s="72"/>
      <c r="H240" s="72"/>
    </row>
    <row r="241" ht="22.5" customHeight="1">
      <c r="A241" s="71"/>
      <c r="B241" s="72"/>
      <c r="C241" s="72"/>
      <c r="D241" s="72"/>
      <c r="E241" s="72"/>
      <c r="F241" s="72"/>
      <c r="G241" s="72"/>
      <c r="H241" s="72"/>
    </row>
    <row r="242" ht="22.5" customHeight="1">
      <c r="A242" s="71"/>
      <c r="B242" s="72"/>
      <c r="C242" s="72"/>
      <c r="D242" s="72"/>
      <c r="E242" s="72"/>
      <c r="F242" s="72"/>
      <c r="G242" s="72"/>
      <c r="H242" s="72"/>
    </row>
    <row r="243" ht="22.5" customHeight="1">
      <c r="A243" s="71"/>
      <c r="B243" s="72"/>
      <c r="C243" s="72"/>
      <c r="D243" s="72"/>
      <c r="E243" s="72"/>
      <c r="F243" s="72"/>
      <c r="G243" s="72"/>
      <c r="H243" s="72"/>
    </row>
    <row r="244" ht="22.5" customHeight="1">
      <c r="A244" s="71"/>
      <c r="B244" s="72"/>
      <c r="C244" s="72"/>
      <c r="D244" s="72"/>
      <c r="E244" s="72"/>
      <c r="F244" s="72"/>
      <c r="G244" s="72"/>
      <c r="H244" s="72"/>
    </row>
    <row r="245" ht="22.5" customHeight="1">
      <c r="A245" s="71"/>
      <c r="B245" s="72"/>
      <c r="C245" s="72"/>
      <c r="D245" s="72"/>
      <c r="E245" s="72"/>
      <c r="F245" s="72"/>
      <c r="G245" s="72"/>
      <c r="H245" s="72"/>
    </row>
    <row r="246" ht="22.5" customHeight="1">
      <c r="A246" s="71"/>
      <c r="B246" s="72"/>
      <c r="C246" s="72"/>
      <c r="D246" s="72"/>
      <c r="E246" s="72"/>
      <c r="F246" s="72"/>
      <c r="G246" s="72"/>
      <c r="H246" s="72"/>
    </row>
    <row r="247" ht="22.5" customHeight="1">
      <c r="A247" s="71"/>
      <c r="B247" s="72"/>
      <c r="C247" s="72"/>
      <c r="D247" s="72"/>
      <c r="E247" s="72"/>
      <c r="F247" s="72"/>
      <c r="G247" s="72"/>
      <c r="H247" s="72"/>
    </row>
    <row r="248" ht="22.5" customHeight="1">
      <c r="A248" s="71"/>
      <c r="B248" s="72"/>
      <c r="C248" s="72"/>
      <c r="D248" s="72"/>
      <c r="E248" s="72"/>
      <c r="F248" s="72"/>
      <c r="G248" s="72"/>
      <c r="H248" s="72"/>
    </row>
    <row r="249" ht="22.5" customHeight="1">
      <c r="A249" s="71"/>
      <c r="B249" s="72"/>
      <c r="C249" s="72"/>
      <c r="D249" s="72"/>
      <c r="E249" s="72"/>
      <c r="F249" s="72"/>
      <c r="G249" s="72"/>
      <c r="H249" s="72"/>
    </row>
    <row r="250" ht="22.5" customHeight="1">
      <c r="A250" s="71"/>
      <c r="B250" s="72"/>
      <c r="C250" s="72"/>
      <c r="D250" s="72"/>
      <c r="E250" s="72"/>
      <c r="F250" s="72"/>
      <c r="G250" s="72"/>
      <c r="H250" s="72"/>
    </row>
    <row r="251" ht="22.5" customHeight="1">
      <c r="A251" s="71"/>
      <c r="B251" s="72"/>
      <c r="C251" s="72"/>
      <c r="D251" s="72"/>
      <c r="E251" s="72"/>
      <c r="F251" s="72"/>
      <c r="G251" s="72"/>
      <c r="H251" s="72"/>
    </row>
    <row r="252" ht="22.5" customHeight="1">
      <c r="A252" s="71"/>
      <c r="B252" s="72"/>
      <c r="C252" s="72"/>
      <c r="D252" s="72"/>
      <c r="E252" s="72"/>
      <c r="F252" s="72"/>
      <c r="G252" s="72"/>
      <c r="H252" s="72"/>
    </row>
    <row r="253" ht="22.5" customHeight="1">
      <c r="A253" s="71"/>
      <c r="B253" s="72"/>
      <c r="C253" s="72"/>
      <c r="D253" s="72"/>
      <c r="E253" s="72"/>
      <c r="F253" s="72"/>
      <c r="G253" s="72"/>
      <c r="H253" s="72"/>
    </row>
    <row r="254" ht="22.5" customHeight="1">
      <c r="A254" s="71"/>
      <c r="B254" s="72"/>
      <c r="C254" s="72"/>
      <c r="D254" s="72"/>
      <c r="E254" s="72"/>
      <c r="F254" s="72"/>
      <c r="G254" s="72"/>
      <c r="H254" s="72"/>
    </row>
    <row r="255" ht="22.5" customHeight="1">
      <c r="A255" s="71"/>
      <c r="B255" s="72"/>
      <c r="C255" s="72"/>
      <c r="D255" s="72"/>
      <c r="E255" s="72"/>
      <c r="F255" s="72"/>
      <c r="G255" s="72"/>
      <c r="H255" s="72"/>
    </row>
    <row r="256" ht="22.5" customHeight="1">
      <c r="A256" s="71"/>
      <c r="B256" s="72"/>
      <c r="C256" s="72"/>
      <c r="D256" s="72"/>
      <c r="E256" s="72"/>
      <c r="F256" s="72"/>
      <c r="G256" s="72"/>
      <c r="H256" s="72"/>
    </row>
    <row r="257" ht="22.5" customHeight="1">
      <c r="A257" s="71"/>
      <c r="B257" s="72"/>
      <c r="C257" s="72"/>
      <c r="D257" s="72"/>
      <c r="E257" s="72"/>
      <c r="F257" s="72"/>
      <c r="G257" s="72"/>
      <c r="H257" s="72"/>
    </row>
    <row r="258" ht="22.5" customHeight="1">
      <c r="A258" s="71"/>
      <c r="B258" s="72"/>
      <c r="C258" s="72"/>
      <c r="D258" s="72"/>
      <c r="E258" s="72"/>
      <c r="F258" s="72"/>
      <c r="G258" s="72"/>
      <c r="H258" s="72"/>
    </row>
    <row r="259" ht="22.5" customHeight="1">
      <c r="A259" s="71"/>
      <c r="B259" s="72"/>
      <c r="C259" s="72"/>
      <c r="D259" s="72"/>
      <c r="E259" s="72"/>
      <c r="F259" s="72"/>
      <c r="G259" s="72"/>
      <c r="H259" s="72"/>
    </row>
    <row r="260" ht="22.5" customHeight="1">
      <c r="A260" s="71"/>
      <c r="B260" s="72"/>
      <c r="C260" s="72"/>
      <c r="D260" s="72"/>
      <c r="E260" s="72"/>
      <c r="F260" s="72"/>
      <c r="G260" s="72"/>
      <c r="H260" s="72"/>
    </row>
    <row r="261" ht="22.5" customHeight="1">
      <c r="A261" s="71"/>
      <c r="B261" s="72"/>
      <c r="C261" s="72"/>
      <c r="D261" s="72"/>
      <c r="E261" s="72"/>
      <c r="F261" s="72"/>
      <c r="G261" s="72"/>
      <c r="H261" s="72"/>
    </row>
    <row r="262" ht="22.5" customHeight="1">
      <c r="A262" s="71"/>
      <c r="B262" s="72"/>
      <c r="C262" s="72"/>
      <c r="D262" s="72"/>
      <c r="E262" s="72"/>
      <c r="F262" s="72"/>
      <c r="G262" s="72"/>
      <c r="H262" s="72"/>
    </row>
    <row r="263" ht="22.5" customHeight="1">
      <c r="A263" s="71"/>
      <c r="B263" s="72"/>
      <c r="C263" s="72"/>
      <c r="D263" s="72"/>
      <c r="E263" s="72"/>
      <c r="F263" s="72"/>
      <c r="G263" s="72"/>
      <c r="H263" s="72"/>
    </row>
    <row r="264" ht="22.5" customHeight="1">
      <c r="A264" s="71"/>
      <c r="B264" s="72"/>
      <c r="C264" s="72"/>
      <c r="D264" s="72"/>
      <c r="E264" s="72"/>
      <c r="F264" s="72"/>
      <c r="G264" s="72"/>
      <c r="H264" s="72"/>
    </row>
    <row r="265" ht="22.5" customHeight="1">
      <c r="A265" s="71"/>
      <c r="B265" s="72"/>
      <c r="C265" s="72"/>
      <c r="D265" s="72"/>
      <c r="E265" s="72"/>
      <c r="F265" s="72"/>
      <c r="G265" s="72"/>
      <c r="H265" s="72"/>
    </row>
    <row r="266" ht="22.5" customHeight="1">
      <c r="A266" s="71"/>
      <c r="B266" s="72"/>
      <c r="C266" s="72"/>
      <c r="D266" s="72"/>
      <c r="E266" s="72"/>
      <c r="F266" s="72"/>
      <c r="G266" s="72"/>
      <c r="H266" s="72"/>
    </row>
    <row r="267" ht="22.5" customHeight="1">
      <c r="A267" s="71"/>
      <c r="B267" s="72"/>
      <c r="C267" s="72"/>
      <c r="D267" s="72"/>
      <c r="E267" s="72"/>
      <c r="F267" s="72"/>
      <c r="G267" s="72"/>
      <c r="H267" s="72"/>
    </row>
    <row r="268" ht="22.5" customHeight="1">
      <c r="A268" s="71"/>
      <c r="B268" s="72"/>
      <c r="C268" s="72"/>
      <c r="D268" s="72"/>
      <c r="E268" s="72"/>
      <c r="F268" s="72"/>
      <c r="G268" s="72"/>
      <c r="H268" s="72"/>
    </row>
    <row r="269" ht="22.5" customHeight="1">
      <c r="A269" s="71"/>
      <c r="B269" s="72"/>
      <c r="C269" s="72"/>
      <c r="D269" s="72"/>
      <c r="E269" s="72"/>
      <c r="F269" s="72"/>
      <c r="G269" s="72"/>
      <c r="H269" s="72"/>
    </row>
    <row r="270" ht="22.5" customHeight="1">
      <c r="A270" s="71"/>
      <c r="B270" s="72"/>
      <c r="C270" s="72"/>
      <c r="D270" s="72"/>
      <c r="E270" s="72"/>
      <c r="F270" s="72"/>
      <c r="G270" s="72"/>
      <c r="H270" s="72"/>
    </row>
    <row r="271" ht="22.5" customHeight="1">
      <c r="A271" s="71"/>
      <c r="B271" s="72"/>
      <c r="C271" s="72"/>
      <c r="D271" s="72"/>
      <c r="E271" s="72"/>
      <c r="F271" s="72"/>
      <c r="G271" s="72"/>
      <c r="H271" s="72"/>
    </row>
    <row r="272" ht="22.5" customHeight="1">
      <c r="A272" s="71"/>
      <c r="B272" s="72"/>
      <c r="C272" s="72"/>
      <c r="D272" s="72"/>
      <c r="E272" s="72"/>
      <c r="F272" s="72"/>
      <c r="G272" s="72"/>
      <c r="H272" s="72"/>
    </row>
    <row r="273" ht="22.5" customHeight="1">
      <c r="A273" s="71"/>
      <c r="B273" s="72"/>
      <c r="C273" s="72"/>
      <c r="D273" s="72"/>
      <c r="E273" s="72"/>
      <c r="F273" s="72"/>
      <c r="G273" s="72"/>
      <c r="H273" s="72"/>
    </row>
    <row r="274" ht="22.5" customHeight="1">
      <c r="A274" s="71"/>
      <c r="B274" s="72"/>
      <c r="C274" s="72"/>
      <c r="D274" s="72"/>
      <c r="E274" s="72"/>
      <c r="F274" s="72"/>
      <c r="G274" s="72"/>
      <c r="H274" s="72"/>
    </row>
    <row r="275" ht="22.5" customHeight="1">
      <c r="A275" s="71"/>
      <c r="B275" s="72"/>
      <c r="C275" s="72"/>
      <c r="D275" s="72"/>
      <c r="E275" s="72"/>
      <c r="F275" s="72"/>
      <c r="G275" s="72"/>
      <c r="H275" s="72"/>
    </row>
    <row r="276" ht="22.5" customHeight="1">
      <c r="A276" s="71"/>
      <c r="B276" s="72"/>
      <c r="C276" s="72"/>
      <c r="D276" s="72"/>
      <c r="E276" s="72"/>
      <c r="F276" s="72"/>
      <c r="G276" s="72"/>
      <c r="H276" s="72"/>
    </row>
    <row r="277" ht="22.5" customHeight="1">
      <c r="A277" s="71"/>
      <c r="B277" s="72"/>
      <c r="C277" s="72"/>
      <c r="D277" s="72"/>
      <c r="E277" s="72"/>
      <c r="F277" s="72"/>
      <c r="G277" s="72"/>
      <c r="H277" s="72"/>
    </row>
    <row r="278" ht="22.5" customHeight="1">
      <c r="A278" s="71"/>
      <c r="B278" s="72"/>
      <c r="C278" s="72"/>
      <c r="D278" s="72"/>
      <c r="E278" s="72"/>
      <c r="F278" s="72"/>
      <c r="G278" s="72"/>
      <c r="H278" s="72"/>
    </row>
    <row r="279" ht="22.5" customHeight="1">
      <c r="A279" s="71"/>
      <c r="B279" s="72"/>
      <c r="C279" s="72"/>
      <c r="D279" s="72"/>
      <c r="E279" s="72"/>
      <c r="F279" s="72"/>
      <c r="G279" s="72"/>
      <c r="H279" s="72"/>
    </row>
    <row r="280" ht="22.5" customHeight="1">
      <c r="A280" s="71"/>
      <c r="B280" s="72"/>
      <c r="C280" s="72"/>
      <c r="D280" s="72"/>
      <c r="E280" s="72"/>
      <c r="F280" s="72"/>
      <c r="G280" s="72"/>
      <c r="H280" s="72"/>
    </row>
    <row r="281" ht="22.5" customHeight="1">
      <c r="A281" s="71"/>
      <c r="B281" s="72"/>
      <c r="C281" s="72"/>
      <c r="D281" s="72"/>
      <c r="E281" s="72"/>
      <c r="F281" s="72"/>
      <c r="G281" s="72"/>
      <c r="H281" s="72"/>
    </row>
    <row r="282" ht="22.5" customHeight="1">
      <c r="A282" s="71"/>
      <c r="B282" s="72"/>
      <c r="C282" s="72"/>
      <c r="D282" s="72"/>
      <c r="E282" s="72"/>
      <c r="F282" s="72"/>
      <c r="G282" s="72"/>
      <c r="H282" s="72"/>
    </row>
    <row r="283" ht="22.5" customHeight="1">
      <c r="A283" s="71"/>
      <c r="B283" s="72"/>
      <c r="C283" s="72"/>
      <c r="D283" s="72"/>
      <c r="E283" s="72"/>
      <c r="F283" s="72"/>
      <c r="G283" s="72"/>
      <c r="H283" s="72"/>
    </row>
    <row r="284" ht="22.5" customHeight="1">
      <c r="A284" s="71"/>
      <c r="B284" s="72"/>
      <c r="C284" s="72"/>
      <c r="D284" s="72"/>
      <c r="E284" s="72"/>
      <c r="F284" s="72"/>
      <c r="G284" s="72"/>
      <c r="H284" s="72"/>
    </row>
    <row r="285" ht="22.5" customHeight="1">
      <c r="A285" s="71"/>
      <c r="B285" s="72"/>
      <c r="C285" s="72"/>
      <c r="D285" s="72"/>
      <c r="E285" s="72"/>
      <c r="F285" s="72"/>
      <c r="G285" s="72"/>
      <c r="H285" s="72"/>
    </row>
    <row r="286" ht="22.5" customHeight="1">
      <c r="A286" s="71"/>
      <c r="B286" s="72"/>
      <c r="C286" s="72"/>
      <c r="D286" s="72"/>
      <c r="E286" s="72"/>
      <c r="F286" s="72"/>
      <c r="G286" s="72"/>
      <c r="H286" s="72"/>
    </row>
    <row r="287" ht="22.5" customHeight="1">
      <c r="A287" s="71"/>
      <c r="B287" s="72"/>
      <c r="C287" s="72"/>
      <c r="D287" s="72"/>
      <c r="E287" s="72"/>
      <c r="F287" s="72"/>
      <c r="G287" s="72"/>
      <c r="H287" s="72"/>
    </row>
    <row r="288" ht="22.5" customHeight="1">
      <c r="A288" s="71"/>
      <c r="B288" s="72"/>
      <c r="C288" s="72"/>
      <c r="D288" s="72"/>
      <c r="E288" s="72"/>
      <c r="F288" s="72"/>
      <c r="G288" s="72"/>
      <c r="H288" s="72"/>
    </row>
    <row r="289" ht="22.5" customHeight="1">
      <c r="A289" s="71"/>
      <c r="B289" s="72"/>
      <c r="C289" s="72"/>
      <c r="D289" s="72"/>
      <c r="E289" s="72"/>
      <c r="F289" s="72"/>
      <c r="G289" s="72"/>
      <c r="H289" s="72"/>
    </row>
    <row r="290" ht="22.5" customHeight="1">
      <c r="A290" s="71"/>
      <c r="B290" s="72"/>
      <c r="C290" s="72"/>
      <c r="D290" s="72"/>
      <c r="E290" s="72"/>
      <c r="F290" s="72"/>
      <c r="G290" s="72"/>
      <c r="H290" s="72"/>
    </row>
    <row r="291" ht="22.5" customHeight="1">
      <c r="A291" s="71"/>
      <c r="B291" s="72"/>
      <c r="C291" s="72"/>
      <c r="D291" s="72"/>
      <c r="E291" s="72"/>
      <c r="F291" s="72"/>
      <c r="G291" s="72"/>
      <c r="H291" s="72"/>
    </row>
    <row r="292" ht="22.5" customHeight="1">
      <c r="A292" s="71"/>
      <c r="B292" s="72"/>
      <c r="C292" s="72"/>
      <c r="D292" s="72"/>
      <c r="E292" s="72"/>
      <c r="F292" s="72"/>
      <c r="G292" s="72"/>
      <c r="H292" s="72"/>
    </row>
    <row r="293" ht="22.5" customHeight="1">
      <c r="A293" s="71"/>
      <c r="B293" s="72"/>
      <c r="C293" s="72"/>
      <c r="D293" s="72"/>
      <c r="E293" s="72"/>
      <c r="F293" s="72"/>
      <c r="G293" s="72"/>
      <c r="H293" s="72"/>
    </row>
    <row r="294" ht="22.5" customHeight="1">
      <c r="A294" s="71"/>
      <c r="B294" s="72"/>
      <c r="C294" s="72"/>
      <c r="D294" s="72"/>
      <c r="E294" s="72"/>
      <c r="F294" s="72"/>
      <c r="G294" s="72"/>
      <c r="H294" s="72"/>
    </row>
    <row r="295" ht="22.5" customHeight="1">
      <c r="A295" s="71"/>
      <c r="B295" s="72"/>
      <c r="C295" s="72"/>
      <c r="D295" s="72"/>
      <c r="E295" s="72"/>
      <c r="F295" s="72"/>
      <c r="G295" s="72"/>
      <c r="H295" s="72"/>
    </row>
    <row r="296" ht="22.5" customHeight="1">
      <c r="A296" s="71"/>
      <c r="B296" s="72"/>
      <c r="C296" s="72"/>
      <c r="D296" s="72"/>
      <c r="E296" s="72"/>
      <c r="F296" s="72"/>
      <c r="G296" s="72"/>
      <c r="H296" s="72"/>
    </row>
    <row r="297" ht="22.5" customHeight="1">
      <c r="A297" s="71"/>
      <c r="B297" s="72"/>
      <c r="C297" s="72"/>
      <c r="D297" s="72"/>
      <c r="E297" s="72"/>
      <c r="F297" s="72"/>
      <c r="G297" s="72"/>
      <c r="H297" s="72"/>
    </row>
    <row r="298" ht="22.5" customHeight="1">
      <c r="A298" s="71"/>
      <c r="B298" s="72"/>
      <c r="C298" s="72"/>
      <c r="D298" s="72"/>
      <c r="E298" s="72"/>
      <c r="F298" s="72"/>
      <c r="G298" s="72"/>
      <c r="H298" s="72"/>
    </row>
    <row r="299" ht="22.5" customHeight="1">
      <c r="A299" s="71"/>
      <c r="B299" s="72"/>
      <c r="C299" s="72"/>
      <c r="D299" s="72"/>
      <c r="E299" s="72"/>
      <c r="F299" s="72"/>
      <c r="G299" s="72"/>
      <c r="H299" s="72"/>
    </row>
    <row r="300" ht="22.5" customHeight="1">
      <c r="A300" s="71"/>
      <c r="B300" s="72"/>
      <c r="C300" s="72"/>
      <c r="D300" s="72"/>
      <c r="E300" s="72"/>
      <c r="F300" s="72"/>
      <c r="G300" s="72"/>
      <c r="H300" s="72"/>
    </row>
    <row r="301" ht="22.5" customHeight="1">
      <c r="A301" s="71"/>
      <c r="B301" s="72"/>
      <c r="C301" s="72"/>
      <c r="D301" s="72"/>
      <c r="E301" s="72"/>
      <c r="F301" s="72"/>
      <c r="G301" s="72"/>
      <c r="H301" s="72"/>
    </row>
    <row r="302" ht="22.5" customHeight="1">
      <c r="A302" s="71"/>
      <c r="B302" s="72"/>
      <c r="C302" s="72"/>
      <c r="D302" s="72"/>
      <c r="E302" s="72"/>
      <c r="F302" s="72"/>
      <c r="G302" s="72"/>
      <c r="H302" s="72"/>
    </row>
    <row r="303" ht="22.5" customHeight="1">
      <c r="A303" s="71"/>
      <c r="B303" s="72"/>
      <c r="C303" s="72"/>
      <c r="D303" s="72"/>
      <c r="E303" s="72"/>
      <c r="F303" s="72"/>
      <c r="G303" s="72"/>
      <c r="H303" s="72"/>
    </row>
    <row r="304" ht="22.5" customHeight="1">
      <c r="A304" s="71"/>
      <c r="B304" s="72"/>
      <c r="C304" s="72"/>
      <c r="D304" s="72"/>
      <c r="E304" s="72"/>
      <c r="F304" s="72"/>
      <c r="G304" s="72"/>
      <c r="H304" s="72"/>
    </row>
    <row r="305" ht="22.5" customHeight="1">
      <c r="A305" s="71"/>
      <c r="B305" s="72"/>
      <c r="C305" s="72"/>
      <c r="D305" s="72"/>
      <c r="E305" s="72"/>
      <c r="F305" s="72"/>
      <c r="G305" s="72"/>
      <c r="H305" s="72"/>
    </row>
    <row r="306" ht="22.5" customHeight="1">
      <c r="A306" s="71"/>
      <c r="B306" s="72"/>
      <c r="C306" s="72"/>
      <c r="D306" s="72"/>
      <c r="E306" s="72"/>
      <c r="F306" s="72"/>
      <c r="G306" s="72"/>
      <c r="H306" s="72"/>
    </row>
    <row r="307" ht="22.5" customHeight="1">
      <c r="A307" s="71"/>
      <c r="B307" s="72"/>
      <c r="C307" s="72"/>
      <c r="D307" s="72"/>
      <c r="E307" s="72"/>
      <c r="F307" s="72"/>
      <c r="G307" s="72"/>
      <c r="H307" s="72"/>
    </row>
    <row r="308" ht="22.5" customHeight="1">
      <c r="A308" s="71"/>
      <c r="B308" s="72"/>
      <c r="C308" s="72"/>
      <c r="D308" s="72"/>
      <c r="E308" s="72"/>
      <c r="F308" s="72"/>
      <c r="G308" s="72"/>
      <c r="H308" s="72"/>
    </row>
    <row r="309" ht="22.5" customHeight="1">
      <c r="A309" s="71"/>
      <c r="B309" s="72"/>
      <c r="C309" s="72"/>
      <c r="D309" s="72"/>
      <c r="E309" s="72"/>
      <c r="F309" s="72"/>
      <c r="G309" s="72"/>
      <c r="H309" s="72"/>
    </row>
    <row r="310" ht="22.5" customHeight="1">
      <c r="A310" s="71"/>
      <c r="B310" s="72"/>
      <c r="C310" s="72"/>
      <c r="D310" s="72"/>
      <c r="E310" s="72"/>
      <c r="F310" s="72"/>
      <c r="G310" s="72"/>
      <c r="H310" s="72"/>
    </row>
    <row r="311" ht="22.5" customHeight="1">
      <c r="A311" s="71"/>
      <c r="B311" s="72"/>
      <c r="C311" s="72"/>
      <c r="D311" s="72"/>
      <c r="E311" s="72"/>
      <c r="F311" s="72"/>
      <c r="G311" s="72"/>
      <c r="H311" s="72"/>
    </row>
    <row r="312" ht="22.5" customHeight="1">
      <c r="A312" s="71"/>
      <c r="B312" s="72"/>
      <c r="C312" s="72"/>
      <c r="D312" s="72"/>
      <c r="E312" s="72"/>
      <c r="F312" s="72"/>
      <c r="G312" s="72"/>
      <c r="H312" s="72"/>
    </row>
    <row r="313" ht="22.5" customHeight="1">
      <c r="A313" s="71"/>
      <c r="B313" s="72"/>
      <c r="C313" s="72"/>
      <c r="D313" s="72"/>
      <c r="E313" s="72"/>
      <c r="F313" s="72"/>
      <c r="G313" s="72"/>
      <c r="H313" s="72"/>
    </row>
    <row r="314" ht="22.5" customHeight="1">
      <c r="A314" s="71"/>
      <c r="B314" s="72"/>
      <c r="C314" s="72"/>
      <c r="D314" s="72"/>
      <c r="E314" s="72"/>
      <c r="F314" s="72"/>
      <c r="G314" s="72"/>
      <c r="H314" s="72"/>
    </row>
    <row r="315" ht="22.5" customHeight="1">
      <c r="A315" s="71"/>
      <c r="B315" s="72"/>
      <c r="C315" s="72"/>
      <c r="D315" s="72"/>
      <c r="E315" s="72"/>
      <c r="F315" s="72"/>
      <c r="G315" s="72"/>
      <c r="H315" s="72"/>
    </row>
    <row r="316" ht="22.5" customHeight="1">
      <c r="A316" s="71"/>
      <c r="B316" s="72"/>
      <c r="C316" s="72"/>
      <c r="D316" s="72"/>
      <c r="E316" s="72"/>
      <c r="F316" s="72"/>
      <c r="G316" s="72"/>
      <c r="H316" s="72"/>
    </row>
    <row r="317" ht="22.5" customHeight="1">
      <c r="A317" s="71"/>
      <c r="B317" s="72"/>
      <c r="C317" s="72"/>
      <c r="D317" s="72"/>
      <c r="E317" s="72"/>
      <c r="F317" s="72"/>
      <c r="G317" s="72"/>
      <c r="H317" s="72"/>
    </row>
    <row r="318" ht="22.5" customHeight="1">
      <c r="A318" s="71"/>
      <c r="B318" s="72"/>
      <c r="C318" s="72"/>
      <c r="D318" s="72"/>
      <c r="E318" s="72"/>
      <c r="F318" s="72"/>
      <c r="G318" s="72"/>
      <c r="H318" s="72"/>
    </row>
    <row r="319" ht="22.5" customHeight="1">
      <c r="A319" s="71"/>
      <c r="B319" s="72"/>
      <c r="C319" s="72"/>
      <c r="D319" s="72"/>
      <c r="E319" s="72"/>
      <c r="F319" s="72"/>
      <c r="G319" s="72"/>
      <c r="H319" s="72"/>
    </row>
    <row r="320" ht="22.5" customHeight="1">
      <c r="A320" s="71"/>
      <c r="B320" s="72"/>
      <c r="C320" s="72"/>
      <c r="D320" s="72"/>
      <c r="E320" s="72"/>
      <c r="F320" s="72"/>
      <c r="G320" s="72"/>
      <c r="H320" s="72"/>
    </row>
    <row r="321" ht="22.5" customHeight="1">
      <c r="A321" s="71"/>
      <c r="B321" s="72"/>
      <c r="C321" s="72"/>
      <c r="D321" s="72"/>
      <c r="E321" s="72"/>
      <c r="F321" s="72"/>
      <c r="G321" s="72"/>
      <c r="H321" s="72"/>
    </row>
    <row r="322" ht="22.5" customHeight="1">
      <c r="A322" s="71"/>
      <c r="B322" s="72"/>
      <c r="C322" s="72"/>
      <c r="D322" s="72"/>
      <c r="E322" s="72"/>
      <c r="F322" s="72"/>
      <c r="G322" s="72"/>
      <c r="H322" s="72"/>
    </row>
    <row r="323" ht="22.5" customHeight="1">
      <c r="A323" s="71"/>
      <c r="B323" s="72"/>
      <c r="C323" s="72"/>
      <c r="D323" s="72"/>
      <c r="E323" s="72"/>
      <c r="F323" s="72"/>
      <c r="G323" s="72"/>
      <c r="H323" s="72"/>
    </row>
    <row r="324" ht="22.5" customHeight="1">
      <c r="A324" s="71"/>
      <c r="B324" s="72"/>
      <c r="C324" s="72"/>
      <c r="D324" s="72"/>
      <c r="E324" s="72"/>
      <c r="F324" s="72"/>
      <c r="G324" s="72"/>
      <c r="H324" s="72"/>
    </row>
    <row r="325" ht="22.5" customHeight="1">
      <c r="A325" s="71"/>
      <c r="B325" s="72"/>
      <c r="C325" s="72"/>
      <c r="D325" s="72"/>
      <c r="E325" s="72"/>
      <c r="F325" s="72"/>
      <c r="G325" s="72"/>
      <c r="H325" s="72"/>
    </row>
    <row r="326" ht="22.5" customHeight="1">
      <c r="A326" s="71"/>
      <c r="B326" s="72"/>
      <c r="C326" s="72"/>
      <c r="D326" s="72"/>
      <c r="E326" s="72"/>
      <c r="F326" s="72"/>
      <c r="G326" s="72"/>
      <c r="H326" s="72"/>
    </row>
    <row r="327" ht="22.5" customHeight="1">
      <c r="A327" s="71"/>
      <c r="B327" s="72"/>
      <c r="C327" s="72"/>
      <c r="D327" s="72"/>
      <c r="E327" s="72"/>
      <c r="F327" s="72"/>
      <c r="G327" s="72"/>
      <c r="H327" s="72"/>
    </row>
    <row r="328" ht="22.5" customHeight="1">
      <c r="A328" s="71"/>
      <c r="B328" s="72"/>
      <c r="C328" s="72"/>
      <c r="D328" s="72"/>
      <c r="E328" s="72"/>
      <c r="F328" s="72"/>
      <c r="G328" s="72"/>
      <c r="H328" s="72"/>
    </row>
    <row r="329" ht="22.5" customHeight="1">
      <c r="A329" s="71"/>
      <c r="B329" s="72"/>
      <c r="C329" s="72"/>
      <c r="D329" s="72"/>
      <c r="E329" s="72"/>
      <c r="F329" s="72"/>
      <c r="G329" s="72"/>
      <c r="H329" s="72"/>
    </row>
    <row r="330" ht="22.5" customHeight="1">
      <c r="A330" s="71"/>
      <c r="B330" s="72"/>
      <c r="C330" s="72"/>
      <c r="D330" s="72"/>
      <c r="E330" s="72"/>
      <c r="F330" s="72"/>
      <c r="G330" s="72"/>
      <c r="H330" s="72"/>
    </row>
    <row r="331" ht="22.5" customHeight="1">
      <c r="A331" s="71"/>
      <c r="B331" s="72"/>
      <c r="C331" s="72"/>
      <c r="D331" s="72"/>
      <c r="E331" s="72"/>
      <c r="F331" s="72"/>
      <c r="G331" s="72"/>
      <c r="H331" s="72"/>
    </row>
    <row r="332" ht="22.5" customHeight="1">
      <c r="A332" s="71"/>
      <c r="B332" s="72"/>
      <c r="C332" s="72"/>
      <c r="D332" s="72"/>
      <c r="E332" s="72"/>
      <c r="F332" s="72"/>
      <c r="G332" s="72"/>
      <c r="H332" s="72"/>
    </row>
    <row r="333" ht="22.5" customHeight="1">
      <c r="A333" s="71"/>
      <c r="B333" s="72"/>
      <c r="C333" s="72"/>
      <c r="D333" s="72"/>
      <c r="E333" s="72"/>
      <c r="F333" s="72"/>
      <c r="G333" s="72"/>
      <c r="H333" s="72"/>
    </row>
    <row r="334" ht="22.5" customHeight="1">
      <c r="A334" s="71"/>
      <c r="B334" s="72"/>
      <c r="C334" s="72"/>
      <c r="D334" s="72"/>
      <c r="E334" s="72"/>
      <c r="F334" s="72"/>
      <c r="G334" s="72"/>
      <c r="H334" s="72"/>
    </row>
    <row r="335" ht="22.5" customHeight="1">
      <c r="A335" s="71"/>
      <c r="B335" s="72"/>
      <c r="C335" s="72"/>
      <c r="D335" s="72"/>
      <c r="E335" s="72"/>
      <c r="F335" s="72"/>
      <c r="G335" s="72"/>
      <c r="H335" s="72"/>
    </row>
    <row r="336" ht="22.5" customHeight="1">
      <c r="A336" s="71"/>
      <c r="B336" s="72"/>
      <c r="C336" s="72"/>
      <c r="D336" s="72"/>
      <c r="E336" s="72"/>
      <c r="F336" s="72"/>
      <c r="G336" s="72"/>
      <c r="H336" s="72"/>
    </row>
    <row r="337" ht="22.5" customHeight="1">
      <c r="A337" s="71"/>
      <c r="B337" s="72"/>
      <c r="C337" s="72"/>
      <c r="D337" s="72"/>
      <c r="E337" s="72"/>
      <c r="F337" s="72"/>
      <c r="G337" s="72"/>
      <c r="H337" s="72"/>
    </row>
    <row r="338" ht="22.5" customHeight="1">
      <c r="A338" s="71"/>
      <c r="B338" s="72"/>
      <c r="C338" s="72"/>
      <c r="D338" s="72"/>
      <c r="E338" s="72"/>
      <c r="F338" s="72"/>
      <c r="G338" s="72"/>
      <c r="H338" s="72"/>
    </row>
    <row r="339" ht="22.5" customHeight="1">
      <c r="A339" s="71"/>
      <c r="B339" s="72"/>
      <c r="C339" s="72"/>
      <c r="D339" s="72"/>
      <c r="E339" s="72"/>
      <c r="F339" s="72"/>
      <c r="G339" s="72"/>
      <c r="H339" s="72"/>
    </row>
    <row r="340" ht="22.5" customHeight="1">
      <c r="A340" s="71"/>
      <c r="B340" s="72"/>
      <c r="C340" s="72"/>
      <c r="D340" s="72"/>
      <c r="E340" s="72"/>
      <c r="F340" s="72"/>
      <c r="G340" s="72"/>
      <c r="H340" s="72"/>
    </row>
    <row r="341" ht="22.5" customHeight="1">
      <c r="A341" s="71"/>
      <c r="B341" s="72"/>
      <c r="C341" s="72"/>
      <c r="D341" s="72"/>
      <c r="E341" s="72"/>
      <c r="F341" s="72"/>
      <c r="G341" s="72"/>
      <c r="H341" s="72"/>
    </row>
    <row r="342" ht="22.5" customHeight="1">
      <c r="A342" s="71"/>
      <c r="B342" s="72"/>
      <c r="C342" s="72"/>
      <c r="D342" s="72"/>
      <c r="E342" s="72"/>
      <c r="F342" s="72"/>
      <c r="G342" s="72"/>
      <c r="H342" s="72"/>
    </row>
    <row r="343" ht="22.5" customHeight="1">
      <c r="A343" s="71"/>
      <c r="B343" s="72"/>
      <c r="C343" s="72"/>
      <c r="D343" s="72"/>
      <c r="E343" s="72"/>
      <c r="F343" s="72"/>
      <c r="G343" s="72"/>
      <c r="H343" s="72"/>
    </row>
    <row r="344" ht="22.5" customHeight="1">
      <c r="A344" s="71"/>
      <c r="B344" s="72"/>
      <c r="C344" s="72"/>
      <c r="D344" s="72"/>
      <c r="E344" s="72"/>
      <c r="F344" s="72"/>
      <c r="G344" s="72"/>
      <c r="H344" s="72"/>
    </row>
    <row r="345" ht="22.5" customHeight="1">
      <c r="A345" s="71"/>
      <c r="B345" s="72"/>
      <c r="C345" s="72"/>
      <c r="D345" s="72"/>
      <c r="E345" s="72"/>
      <c r="F345" s="72"/>
      <c r="G345" s="72"/>
      <c r="H345" s="72"/>
    </row>
    <row r="346" ht="22.5" customHeight="1">
      <c r="A346" s="71"/>
      <c r="B346" s="72"/>
      <c r="C346" s="72"/>
      <c r="D346" s="72"/>
      <c r="E346" s="72"/>
      <c r="F346" s="72"/>
      <c r="G346" s="72"/>
      <c r="H346" s="72"/>
    </row>
    <row r="347" ht="22.5" customHeight="1">
      <c r="A347" s="71"/>
      <c r="B347" s="72"/>
      <c r="C347" s="72"/>
      <c r="D347" s="72"/>
      <c r="E347" s="72"/>
      <c r="F347" s="72"/>
      <c r="G347" s="72"/>
      <c r="H347" s="72"/>
    </row>
    <row r="348" ht="22.5" customHeight="1">
      <c r="A348" s="71"/>
      <c r="B348" s="72"/>
      <c r="C348" s="72"/>
      <c r="D348" s="72"/>
      <c r="E348" s="72"/>
      <c r="F348" s="72"/>
      <c r="G348" s="72"/>
      <c r="H348" s="72"/>
    </row>
    <row r="349" ht="22.5" customHeight="1">
      <c r="A349" s="71"/>
      <c r="B349" s="72"/>
      <c r="C349" s="72"/>
      <c r="D349" s="72"/>
      <c r="E349" s="72"/>
      <c r="F349" s="72"/>
      <c r="G349" s="72"/>
      <c r="H349" s="72"/>
    </row>
    <row r="350" ht="22.5" customHeight="1">
      <c r="A350" s="71"/>
      <c r="B350" s="72"/>
      <c r="C350" s="72"/>
      <c r="D350" s="72"/>
      <c r="E350" s="72"/>
      <c r="F350" s="72"/>
      <c r="G350" s="72"/>
      <c r="H350" s="72"/>
    </row>
    <row r="351" ht="22.5" customHeight="1">
      <c r="A351" s="71"/>
      <c r="B351" s="72"/>
      <c r="C351" s="72"/>
      <c r="D351" s="72"/>
      <c r="E351" s="72"/>
      <c r="F351" s="72"/>
      <c r="G351" s="72"/>
      <c r="H351" s="72"/>
    </row>
    <row r="352" ht="22.5" customHeight="1">
      <c r="A352" s="71"/>
      <c r="B352" s="72"/>
      <c r="C352" s="72"/>
      <c r="D352" s="72"/>
      <c r="E352" s="72"/>
      <c r="F352" s="72"/>
      <c r="G352" s="72"/>
      <c r="H352" s="72"/>
    </row>
    <row r="353" ht="22.5" customHeight="1">
      <c r="A353" s="71"/>
      <c r="B353" s="72"/>
      <c r="C353" s="72"/>
      <c r="D353" s="72"/>
      <c r="E353" s="72"/>
      <c r="F353" s="72"/>
      <c r="G353" s="72"/>
      <c r="H353" s="72"/>
    </row>
    <row r="354" ht="22.5" customHeight="1">
      <c r="A354" s="71"/>
      <c r="B354" s="72"/>
      <c r="C354" s="72"/>
      <c r="D354" s="72"/>
      <c r="E354" s="72"/>
      <c r="F354" s="72"/>
      <c r="G354" s="72"/>
      <c r="H354" s="72"/>
    </row>
    <row r="355" ht="22.5" customHeight="1">
      <c r="A355" s="71"/>
      <c r="B355" s="72"/>
      <c r="C355" s="72"/>
      <c r="D355" s="72"/>
      <c r="E355" s="72"/>
      <c r="F355" s="72"/>
      <c r="G355" s="72"/>
      <c r="H355" s="72"/>
    </row>
    <row r="356" ht="22.5" customHeight="1">
      <c r="A356" s="71"/>
      <c r="B356" s="72"/>
      <c r="C356" s="72"/>
      <c r="D356" s="72"/>
      <c r="E356" s="72"/>
      <c r="F356" s="72"/>
      <c r="G356" s="72"/>
      <c r="H356" s="72"/>
    </row>
    <row r="357" ht="22.5" customHeight="1">
      <c r="A357" s="71"/>
      <c r="B357" s="72"/>
      <c r="C357" s="72"/>
      <c r="D357" s="72"/>
      <c r="E357" s="72"/>
      <c r="F357" s="72"/>
      <c r="G357" s="72"/>
      <c r="H357" s="72"/>
    </row>
    <row r="358" ht="22.5" customHeight="1">
      <c r="A358" s="71"/>
      <c r="B358" s="72"/>
      <c r="C358" s="72"/>
      <c r="D358" s="72"/>
      <c r="E358" s="72"/>
      <c r="F358" s="72"/>
      <c r="G358" s="72"/>
      <c r="H358" s="72"/>
    </row>
    <row r="359" ht="22.5" customHeight="1">
      <c r="A359" s="71"/>
      <c r="B359" s="72"/>
      <c r="C359" s="72"/>
      <c r="D359" s="72"/>
      <c r="E359" s="72"/>
      <c r="F359" s="72"/>
      <c r="G359" s="72"/>
      <c r="H359" s="72"/>
    </row>
    <row r="360" ht="22.5" customHeight="1">
      <c r="A360" s="71"/>
      <c r="B360" s="72"/>
      <c r="C360" s="72"/>
      <c r="D360" s="72"/>
      <c r="E360" s="72"/>
      <c r="F360" s="72"/>
      <c r="G360" s="72"/>
      <c r="H360" s="72"/>
    </row>
    <row r="361" ht="22.5" customHeight="1">
      <c r="A361" s="71"/>
      <c r="B361" s="72"/>
      <c r="C361" s="72"/>
      <c r="D361" s="72"/>
      <c r="E361" s="72"/>
      <c r="F361" s="72"/>
      <c r="G361" s="72"/>
      <c r="H361" s="72"/>
    </row>
    <row r="362" ht="22.5" customHeight="1">
      <c r="A362" s="71"/>
      <c r="B362" s="72"/>
      <c r="C362" s="72"/>
      <c r="D362" s="72"/>
      <c r="E362" s="72"/>
      <c r="F362" s="72"/>
      <c r="G362" s="72"/>
      <c r="H362" s="72"/>
    </row>
    <row r="363" ht="22.5" customHeight="1">
      <c r="A363" s="71"/>
      <c r="B363" s="72"/>
      <c r="C363" s="72"/>
      <c r="D363" s="72"/>
      <c r="E363" s="72"/>
      <c r="F363" s="72"/>
      <c r="G363" s="72"/>
      <c r="H363" s="72"/>
    </row>
    <row r="364" ht="22.5" customHeight="1">
      <c r="A364" s="71"/>
      <c r="B364" s="72"/>
      <c r="C364" s="72"/>
      <c r="D364" s="72"/>
      <c r="E364" s="72"/>
      <c r="F364" s="72"/>
      <c r="G364" s="72"/>
      <c r="H364" s="72"/>
    </row>
    <row r="365" ht="22.5" customHeight="1">
      <c r="A365" s="71"/>
      <c r="B365" s="72"/>
      <c r="C365" s="72"/>
      <c r="D365" s="72"/>
      <c r="E365" s="72"/>
      <c r="F365" s="72"/>
      <c r="G365" s="72"/>
      <c r="H365" s="72"/>
    </row>
    <row r="366" ht="22.5" customHeight="1">
      <c r="A366" s="71"/>
      <c r="B366" s="72"/>
      <c r="C366" s="72"/>
      <c r="D366" s="72"/>
      <c r="E366" s="72"/>
      <c r="F366" s="72"/>
      <c r="G366" s="72"/>
      <c r="H366" s="72"/>
    </row>
    <row r="367" ht="22.5" customHeight="1">
      <c r="A367" s="71"/>
      <c r="B367" s="72"/>
      <c r="C367" s="72"/>
      <c r="D367" s="72"/>
      <c r="E367" s="72"/>
      <c r="F367" s="72"/>
      <c r="G367" s="72"/>
      <c r="H367" s="72"/>
    </row>
    <row r="368" ht="22.5" customHeight="1">
      <c r="A368" s="71"/>
      <c r="B368" s="72"/>
      <c r="C368" s="72"/>
      <c r="D368" s="72"/>
      <c r="E368" s="72"/>
      <c r="F368" s="72"/>
      <c r="G368" s="72"/>
      <c r="H368" s="72"/>
    </row>
    <row r="369" ht="22.5" customHeight="1">
      <c r="A369" s="71"/>
      <c r="B369" s="72"/>
      <c r="C369" s="72"/>
      <c r="D369" s="72"/>
      <c r="E369" s="72"/>
      <c r="F369" s="72"/>
      <c r="G369" s="72"/>
      <c r="H369" s="72"/>
    </row>
    <row r="370" ht="22.5" customHeight="1">
      <c r="A370" s="71"/>
      <c r="B370" s="72"/>
      <c r="C370" s="72"/>
      <c r="D370" s="72"/>
      <c r="E370" s="72"/>
      <c r="F370" s="72"/>
      <c r="G370" s="72"/>
      <c r="H370" s="72"/>
    </row>
    <row r="371" ht="22.5" customHeight="1">
      <c r="A371" s="71"/>
      <c r="B371" s="72"/>
      <c r="C371" s="72"/>
      <c r="D371" s="72"/>
      <c r="E371" s="72"/>
      <c r="F371" s="72"/>
      <c r="G371" s="72"/>
      <c r="H371" s="72"/>
    </row>
    <row r="372" ht="22.5" customHeight="1">
      <c r="A372" s="71"/>
      <c r="B372" s="72"/>
      <c r="C372" s="72"/>
      <c r="D372" s="72"/>
      <c r="E372" s="72"/>
      <c r="F372" s="72"/>
      <c r="G372" s="72"/>
      <c r="H372" s="72"/>
    </row>
    <row r="373" ht="22.5" customHeight="1">
      <c r="A373" s="71"/>
      <c r="B373" s="72"/>
      <c r="C373" s="72"/>
      <c r="D373" s="72"/>
      <c r="E373" s="72"/>
      <c r="F373" s="72"/>
      <c r="G373" s="72"/>
      <c r="H373" s="72"/>
    </row>
    <row r="374" ht="22.5" customHeight="1">
      <c r="A374" s="71"/>
      <c r="B374" s="72"/>
      <c r="C374" s="72"/>
      <c r="D374" s="72"/>
      <c r="E374" s="72"/>
      <c r="F374" s="72"/>
      <c r="G374" s="72"/>
      <c r="H374" s="72"/>
    </row>
    <row r="375" ht="22.5" customHeight="1">
      <c r="A375" s="71"/>
      <c r="B375" s="72"/>
      <c r="C375" s="72"/>
      <c r="D375" s="72"/>
      <c r="E375" s="72"/>
      <c r="F375" s="72"/>
      <c r="G375" s="72"/>
      <c r="H375" s="72"/>
    </row>
    <row r="376" ht="22.5" customHeight="1">
      <c r="A376" s="71"/>
      <c r="B376" s="72"/>
      <c r="C376" s="72"/>
      <c r="D376" s="72"/>
      <c r="E376" s="72"/>
      <c r="F376" s="72"/>
      <c r="G376" s="72"/>
      <c r="H376" s="72"/>
    </row>
    <row r="377" ht="22.5" customHeight="1">
      <c r="A377" s="71"/>
      <c r="B377" s="72"/>
      <c r="C377" s="72"/>
      <c r="D377" s="72"/>
      <c r="E377" s="72"/>
      <c r="F377" s="72"/>
      <c r="G377" s="72"/>
      <c r="H377" s="72"/>
    </row>
    <row r="378" ht="22.5" customHeight="1">
      <c r="A378" s="71"/>
      <c r="B378" s="72"/>
      <c r="C378" s="72"/>
      <c r="D378" s="72"/>
      <c r="E378" s="72"/>
      <c r="F378" s="72"/>
      <c r="G378" s="72"/>
      <c r="H378" s="72"/>
    </row>
    <row r="379" ht="22.5" customHeight="1">
      <c r="A379" s="71"/>
      <c r="B379" s="72"/>
      <c r="C379" s="72"/>
      <c r="D379" s="72"/>
      <c r="E379" s="72"/>
      <c r="F379" s="72"/>
      <c r="G379" s="72"/>
      <c r="H379" s="72"/>
    </row>
    <row r="380" ht="22.5" customHeight="1">
      <c r="A380" s="71"/>
      <c r="B380" s="72"/>
      <c r="C380" s="72"/>
      <c r="D380" s="72"/>
      <c r="E380" s="72"/>
      <c r="F380" s="72"/>
      <c r="G380" s="72"/>
      <c r="H380" s="72"/>
    </row>
    <row r="381" ht="22.5" customHeight="1">
      <c r="A381" s="71"/>
      <c r="B381" s="72"/>
      <c r="C381" s="72"/>
      <c r="D381" s="72"/>
      <c r="E381" s="72"/>
      <c r="F381" s="72"/>
      <c r="G381" s="72"/>
      <c r="H381" s="72"/>
    </row>
    <row r="382" ht="22.5" customHeight="1">
      <c r="A382" s="71"/>
      <c r="B382" s="72"/>
      <c r="C382" s="72"/>
      <c r="D382" s="72"/>
      <c r="E382" s="72"/>
      <c r="F382" s="72"/>
      <c r="G382" s="72"/>
      <c r="H382" s="72"/>
    </row>
    <row r="383" ht="22.5" customHeight="1">
      <c r="A383" s="71"/>
      <c r="B383" s="72"/>
      <c r="C383" s="72"/>
      <c r="D383" s="72"/>
      <c r="E383" s="72"/>
      <c r="F383" s="72"/>
      <c r="G383" s="72"/>
      <c r="H383" s="72"/>
    </row>
    <row r="384" ht="22.5" customHeight="1">
      <c r="A384" s="71"/>
      <c r="B384" s="72"/>
      <c r="C384" s="72"/>
      <c r="D384" s="72"/>
      <c r="E384" s="72"/>
      <c r="F384" s="72"/>
      <c r="G384" s="72"/>
      <c r="H384" s="72"/>
    </row>
    <row r="385" ht="22.5" customHeight="1">
      <c r="A385" s="71"/>
      <c r="B385" s="72"/>
      <c r="C385" s="72"/>
      <c r="D385" s="72"/>
      <c r="E385" s="72"/>
      <c r="F385" s="72"/>
      <c r="G385" s="72"/>
      <c r="H385" s="72"/>
    </row>
    <row r="386" ht="22.5" customHeight="1">
      <c r="A386" s="71"/>
      <c r="B386" s="72"/>
      <c r="C386" s="72"/>
      <c r="D386" s="72"/>
      <c r="E386" s="72"/>
      <c r="F386" s="72"/>
      <c r="G386" s="72"/>
      <c r="H386" s="72"/>
    </row>
    <row r="387" ht="22.5" customHeight="1">
      <c r="A387" s="71"/>
      <c r="B387" s="72"/>
      <c r="C387" s="72"/>
      <c r="D387" s="72"/>
      <c r="E387" s="72"/>
      <c r="F387" s="72"/>
      <c r="G387" s="72"/>
      <c r="H387" s="72"/>
    </row>
    <row r="388" ht="22.5" customHeight="1">
      <c r="A388" s="71"/>
      <c r="B388" s="72"/>
      <c r="C388" s="72"/>
      <c r="D388" s="72"/>
      <c r="E388" s="72"/>
      <c r="F388" s="72"/>
      <c r="G388" s="72"/>
      <c r="H388" s="72"/>
    </row>
    <row r="389" ht="22.5" customHeight="1">
      <c r="A389" s="71"/>
      <c r="B389" s="72"/>
      <c r="C389" s="72"/>
      <c r="D389" s="72"/>
      <c r="E389" s="72"/>
      <c r="F389" s="72"/>
      <c r="G389" s="72"/>
      <c r="H389" s="72"/>
    </row>
    <row r="390" ht="22.5" customHeight="1">
      <c r="A390" s="71"/>
      <c r="B390" s="72"/>
      <c r="C390" s="72"/>
      <c r="D390" s="72"/>
      <c r="E390" s="72"/>
      <c r="F390" s="72"/>
      <c r="G390" s="72"/>
      <c r="H390" s="72"/>
    </row>
    <row r="391" ht="22.5" customHeight="1">
      <c r="A391" s="71"/>
      <c r="B391" s="72"/>
      <c r="C391" s="72"/>
      <c r="D391" s="72"/>
      <c r="E391" s="72"/>
      <c r="F391" s="72"/>
      <c r="G391" s="72"/>
      <c r="H391" s="72"/>
    </row>
    <row r="392" ht="22.5" customHeight="1">
      <c r="A392" s="71"/>
      <c r="B392" s="72"/>
      <c r="C392" s="72"/>
      <c r="D392" s="72"/>
      <c r="E392" s="72"/>
      <c r="F392" s="72"/>
      <c r="G392" s="72"/>
      <c r="H392" s="72"/>
    </row>
    <row r="393" ht="22.5" customHeight="1">
      <c r="A393" s="71"/>
      <c r="B393" s="72"/>
      <c r="C393" s="72"/>
      <c r="D393" s="72"/>
      <c r="E393" s="72"/>
      <c r="F393" s="72"/>
      <c r="G393" s="72"/>
      <c r="H393" s="72"/>
    </row>
    <row r="394" ht="22.5" customHeight="1">
      <c r="A394" s="71"/>
      <c r="B394" s="72"/>
      <c r="C394" s="72"/>
      <c r="D394" s="72"/>
      <c r="E394" s="72"/>
      <c r="F394" s="72"/>
      <c r="G394" s="72"/>
      <c r="H394" s="72"/>
    </row>
    <row r="395" ht="22.5" customHeight="1">
      <c r="A395" s="71"/>
      <c r="B395" s="72"/>
      <c r="C395" s="72"/>
      <c r="D395" s="72"/>
      <c r="E395" s="72"/>
      <c r="F395" s="72"/>
      <c r="G395" s="72"/>
      <c r="H395" s="72"/>
    </row>
    <row r="396" ht="22.5" customHeight="1">
      <c r="A396" s="71"/>
      <c r="B396" s="72"/>
      <c r="C396" s="72"/>
      <c r="D396" s="72"/>
      <c r="E396" s="72"/>
      <c r="F396" s="72"/>
      <c r="G396" s="72"/>
      <c r="H396" s="72"/>
    </row>
    <row r="397" ht="22.5" customHeight="1">
      <c r="A397" s="71"/>
      <c r="B397" s="72"/>
      <c r="C397" s="72"/>
      <c r="D397" s="72"/>
      <c r="E397" s="72"/>
      <c r="F397" s="72"/>
      <c r="G397" s="72"/>
      <c r="H397" s="72"/>
    </row>
    <row r="398" ht="22.5" customHeight="1">
      <c r="A398" s="71"/>
      <c r="B398" s="72"/>
      <c r="C398" s="72"/>
      <c r="D398" s="72"/>
      <c r="E398" s="72"/>
      <c r="F398" s="72"/>
      <c r="G398" s="72"/>
      <c r="H398" s="72"/>
    </row>
    <row r="399" ht="22.5" customHeight="1">
      <c r="A399" s="71"/>
      <c r="B399" s="72"/>
      <c r="C399" s="72"/>
      <c r="D399" s="72"/>
      <c r="E399" s="72"/>
      <c r="F399" s="72"/>
      <c r="G399" s="72"/>
      <c r="H399" s="72"/>
    </row>
    <row r="400" ht="22.5" customHeight="1">
      <c r="A400" s="71"/>
      <c r="B400" s="72"/>
      <c r="C400" s="72"/>
      <c r="D400" s="72"/>
      <c r="E400" s="72"/>
      <c r="F400" s="72"/>
      <c r="G400" s="72"/>
      <c r="H400" s="72"/>
    </row>
    <row r="401" ht="22.5" customHeight="1">
      <c r="A401" s="71"/>
      <c r="B401" s="72"/>
      <c r="C401" s="72"/>
      <c r="D401" s="72"/>
      <c r="E401" s="72"/>
      <c r="F401" s="72"/>
      <c r="G401" s="72"/>
      <c r="H401" s="72"/>
    </row>
    <row r="402" ht="22.5" customHeight="1">
      <c r="A402" s="71"/>
      <c r="B402" s="72"/>
      <c r="C402" s="72"/>
      <c r="D402" s="72"/>
      <c r="E402" s="72"/>
      <c r="F402" s="72"/>
      <c r="G402" s="72"/>
      <c r="H402" s="72"/>
    </row>
    <row r="403" ht="22.5" customHeight="1">
      <c r="A403" s="71"/>
      <c r="B403" s="72"/>
      <c r="C403" s="72"/>
      <c r="D403" s="72"/>
      <c r="E403" s="72"/>
      <c r="F403" s="72"/>
      <c r="G403" s="72"/>
      <c r="H403" s="72"/>
    </row>
    <row r="404" ht="22.5" customHeight="1">
      <c r="A404" s="71"/>
      <c r="B404" s="72"/>
      <c r="C404" s="72"/>
      <c r="D404" s="72"/>
      <c r="E404" s="72"/>
      <c r="F404" s="72"/>
      <c r="G404" s="72"/>
      <c r="H404" s="72"/>
    </row>
    <row r="405" ht="22.5" customHeight="1">
      <c r="A405" s="71"/>
      <c r="B405" s="72"/>
      <c r="C405" s="72"/>
      <c r="D405" s="72"/>
      <c r="E405" s="72"/>
      <c r="F405" s="72"/>
      <c r="G405" s="72"/>
      <c r="H405" s="72"/>
    </row>
    <row r="406" ht="22.5" customHeight="1">
      <c r="A406" s="71"/>
      <c r="B406" s="72"/>
      <c r="C406" s="72"/>
      <c r="D406" s="72"/>
      <c r="E406" s="72"/>
      <c r="F406" s="72"/>
      <c r="G406" s="72"/>
      <c r="H406" s="72"/>
    </row>
    <row r="407" ht="22.5" customHeight="1">
      <c r="A407" s="71"/>
      <c r="B407" s="72"/>
      <c r="C407" s="72"/>
      <c r="D407" s="72"/>
      <c r="E407" s="72"/>
      <c r="F407" s="72"/>
      <c r="G407" s="72"/>
      <c r="H407" s="72"/>
    </row>
    <row r="408" ht="22.5" customHeight="1">
      <c r="A408" s="71"/>
      <c r="B408" s="72"/>
      <c r="C408" s="72"/>
      <c r="D408" s="72"/>
      <c r="E408" s="72"/>
      <c r="F408" s="72"/>
      <c r="G408" s="72"/>
      <c r="H408" s="72"/>
    </row>
    <row r="409" ht="22.5" customHeight="1">
      <c r="A409" s="71"/>
      <c r="B409" s="72"/>
      <c r="C409" s="72"/>
      <c r="D409" s="72"/>
      <c r="E409" s="72"/>
      <c r="F409" s="72"/>
      <c r="G409" s="72"/>
      <c r="H409" s="72"/>
    </row>
    <row r="410" ht="22.5" customHeight="1">
      <c r="A410" s="71"/>
      <c r="B410" s="72"/>
      <c r="C410" s="72"/>
      <c r="D410" s="72"/>
      <c r="E410" s="72"/>
      <c r="F410" s="72"/>
      <c r="G410" s="72"/>
      <c r="H410" s="72"/>
    </row>
    <row r="411" ht="22.5" customHeight="1">
      <c r="A411" s="71"/>
      <c r="B411" s="72"/>
      <c r="C411" s="72"/>
      <c r="D411" s="72"/>
      <c r="E411" s="72"/>
      <c r="F411" s="72"/>
      <c r="G411" s="72"/>
      <c r="H411" s="72"/>
    </row>
    <row r="412" ht="22.5" customHeight="1">
      <c r="A412" s="71"/>
      <c r="B412" s="72"/>
      <c r="C412" s="72"/>
      <c r="D412" s="72"/>
      <c r="E412" s="72"/>
      <c r="F412" s="72"/>
      <c r="G412" s="72"/>
      <c r="H412" s="72"/>
    </row>
    <row r="413" ht="22.5" customHeight="1">
      <c r="A413" s="71"/>
      <c r="B413" s="72"/>
      <c r="C413" s="72"/>
      <c r="D413" s="72"/>
      <c r="E413" s="72"/>
      <c r="F413" s="72"/>
      <c r="G413" s="72"/>
      <c r="H413" s="72"/>
    </row>
    <row r="414" ht="22.5" customHeight="1">
      <c r="A414" s="71"/>
      <c r="B414" s="72"/>
      <c r="C414" s="72"/>
      <c r="D414" s="72"/>
      <c r="E414" s="72"/>
      <c r="F414" s="72"/>
      <c r="G414" s="72"/>
      <c r="H414" s="72"/>
    </row>
    <row r="415" ht="22.5" customHeight="1">
      <c r="A415" s="71"/>
      <c r="B415" s="72"/>
      <c r="C415" s="72"/>
      <c r="D415" s="72"/>
      <c r="E415" s="72"/>
      <c r="F415" s="72"/>
      <c r="G415" s="72"/>
      <c r="H415" s="72"/>
    </row>
    <row r="416" ht="22.5" customHeight="1">
      <c r="A416" s="71"/>
      <c r="B416" s="72"/>
      <c r="C416" s="72"/>
      <c r="D416" s="72"/>
      <c r="E416" s="72"/>
      <c r="F416" s="72"/>
      <c r="G416" s="72"/>
      <c r="H416" s="72"/>
    </row>
    <row r="417" ht="22.5" customHeight="1">
      <c r="A417" s="71"/>
      <c r="B417" s="72"/>
      <c r="C417" s="72"/>
      <c r="D417" s="72"/>
      <c r="E417" s="72"/>
      <c r="F417" s="72"/>
      <c r="G417" s="72"/>
      <c r="H417" s="72"/>
    </row>
    <row r="418" ht="22.5" customHeight="1">
      <c r="A418" s="71"/>
      <c r="B418" s="72"/>
      <c r="C418" s="72"/>
      <c r="D418" s="72"/>
      <c r="E418" s="72"/>
      <c r="F418" s="72"/>
      <c r="G418" s="72"/>
      <c r="H418" s="72"/>
    </row>
    <row r="419" ht="22.5" customHeight="1">
      <c r="A419" s="71"/>
      <c r="B419" s="72"/>
      <c r="C419" s="72"/>
      <c r="D419" s="72"/>
      <c r="E419" s="72"/>
      <c r="F419" s="72"/>
      <c r="G419" s="72"/>
      <c r="H419" s="72"/>
    </row>
    <row r="420" ht="22.5" customHeight="1">
      <c r="A420" s="71"/>
      <c r="B420" s="72"/>
      <c r="C420" s="72"/>
      <c r="D420" s="72"/>
      <c r="E420" s="72"/>
      <c r="F420" s="72"/>
      <c r="G420" s="72"/>
      <c r="H420" s="72"/>
    </row>
    <row r="421" ht="22.5" customHeight="1">
      <c r="A421" s="71"/>
      <c r="B421" s="72"/>
      <c r="C421" s="72"/>
      <c r="D421" s="72"/>
      <c r="E421" s="72"/>
      <c r="F421" s="72"/>
      <c r="G421" s="72"/>
      <c r="H421" s="72"/>
    </row>
    <row r="422" ht="22.5" customHeight="1">
      <c r="A422" s="71"/>
      <c r="B422" s="72"/>
      <c r="C422" s="72"/>
      <c r="D422" s="72"/>
      <c r="E422" s="72"/>
      <c r="F422" s="72"/>
      <c r="G422" s="72"/>
      <c r="H422" s="72"/>
    </row>
    <row r="423" ht="22.5" customHeight="1">
      <c r="A423" s="71"/>
      <c r="B423" s="72"/>
      <c r="C423" s="72"/>
      <c r="D423" s="72"/>
      <c r="E423" s="72"/>
      <c r="F423" s="72"/>
      <c r="G423" s="72"/>
      <c r="H423" s="72"/>
    </row>
    <row r="424" ht="22.5" customHeight="1">
      <c r="A424" s="71"/>
      <c r="B424" s="72"/>
      <c r="C424" s="72"/>
      <c r="D424" s="72"/>
      <c r="E424" s="72"/>
      <c r="F424" s="72"/>
      <c r="G424" s="72"/>
      <c r="H424" s="72"/>
    </row>
    <row r="425" ht="22.5" customHeight="1">
      <c r="A425" s="71"/>
      <c r="B425" s="72"/>
      <c r="C425" s="72"/>
      <c r="D425" s="72"/>
      <c r="E425" s="72"/>
      <c r="F425" s="72"/>
      <c r="G425" s="72"/>
      <c r="H425" s="72"/>
    </row>
    <row r="426" ht="22.5" customHeight="1">
      <c r="A426" s="71"/>
      <c r="B426" s="72"/>
      <c r="C426" s="72"/>
      <c r="D426" s="72"/>
      <c r="E426" s="72"/>
      <c r="F426" s="72"/>
      <c r="G426" s="72"/>
      <c r="H426" s="72"/>
    </row>
    <row r="427" ht="22.5" customHeight="1">
      <c r="A427" s="71"/>
      <c r="B427" s="72"/>
      <c r="C427" s="72"/>
      <c r="D427" s="72"/>
      <c r="E427" s="72"/>
      <c r="F427" s="72"/>
      <c r="G427" s="72"/>
      <c r="H427" s="72"/>
    </row>
    <row r="428" ht="22.5" customHeight="1">
      <c r="A428" s="71"/>
      <c r="B428" s="72"/>
      <c r="C428" s="72"/>
      <c r="D428" s="72"/>
      <c r="E428" s="72"/>
      <c r="F428" s="72"/>
      <c r="G428" s="72"/>
      <c r="H428" s="72"/>
    </row>
    <row r="429" ht="22.5" customHeight="1">
      <c r="A429" s="71"/>
      <c r="B429" s="72"/>
      <c r="C429" s="72"/>
      <c r="D429" s="72"/>
      <c r="E429" s="72"/>
      <c r="F429" s="72"/>
      <c r="G429" s="72"/>
      <c r="H429" s="72"/>
    </row>
    <row r="430" ht="22.5" customHeight="1">
      <c r="A430" s="71"/>
      <c r="B430" s="72"/>
      <c r="C430" s="72"/>
      <c r="D430" s="72"/>
      <c r="E430" s="72"/>
      <c r="F430" s="72"/>
      <c r="G430" s="72"/>
      <c r="H430" s="72"/>
    </row>
    <row r="431" ht="22.5" customHeight="1">
      <c r="A431" s="71"/>
      <c r="B431" s="72"/>
      <c r="C431" s="72"/>
      <c r="D431" s="72"/>
      <c r="E431" s="72"/>
      <c r="F431" s="72"/>
      <c r="G431" s="72"/>
      <c r="H431" s="72"/>
    </row>
    <row r="432" ht="22.5" customHeight="1">
      <c r="A432" s="71"/>
      <c r="B432" s="72"/>
      <c r="C432" s="72"/>
      <c r="D432" s="72"/>
      <c r="E432" s="72"/>
      <c r="F432" s="72"/>
      <c r="G432" s="72"/>
      <c r="H432" s="72"/>
    </row>
    <row r="433" ht="22.5" customHeight="1">
      <c r="A433" s="71"/>
      <c r="B433" s="72"/>
      <c r="C433" s="72"/>
      <c r="D433" s="72"/>
      <c r="E433" s="72"/>
      <c r="F433" s="72"/>
      <c r="G433" s="72"/>
      <c r="H433" s="72"/>
    </row>
    <row r="434" ht="22.5" customHeight="1">
      <c r="A434" s="71"/>
      <c r="B434" s="72"/>
      <c r="C434" s="72"/>
      <c r="D434" s="72"/>
      <c r="E434" s="72"/>
      <c r="F434" s="72"/>
      <c r="G434" s="72"/>
      <c r="H434" s="72"/>
    </row>
    <row r="435" ht="22.5" customHeight="1">
      <c r="A435" s="71"/>
      <c r="B435" s="72"/>
      <c r="C435" s="72"/>
      <c r="D435" s="72"/>
      <c r="E435" s="72"/>
      <c r="F435" s="72"/>
      <c r="G435" s="72"/>
      <c r="H435" s="72"/>
    </row>
    <row r="436" ht="22.5" customHeight="1">
      <c r="A436" s="71"/>
      <c r="B436" s="72"/>
      <c r="C436" s="72"/>
      <c r="D436" s="72"/>
      <c r="E436" s="72"/>
      <c r="F436" s="72"/>
      <c r="G436" s="72"/>
      <c r="H436" s="72"/>
    </row>
    <row r="437" ht="22.5" customHeight="1">
      <c r="A437" s="71"/>
      <c r="B437" s="72"/>
      <c r="C437" s="72"/>
      <c r="D437" s="72"/>
      <c r="E437" s="72"/>
      <c r="F437" s="72"/>
      <c r="G437" s="72"/>
      <c r="H437" s="72"/>
    </row>
    <row r="438" ht="22.5" customHeight="1">
      <c r="A438" s="71"/>
      <c r="B438" s="72"/>
      <c r="C438" s="72"/>
      <c r="D438" s="72"/>
      <c r="E438" s="72"/>
      <c r="F438" s="72"/>
      <c r="G438" s="72"/>
      <c r="H438" s="72"/>
    </row>
    <row r="439" ht="22.5" customHeight="1">
      <c r="A439" s="71"/>
      <c r="B439" s="72"/>
      <c r="C439" s="72"/>
      <c r="D439" s="72"/>
      <c r="E439" s="72"/>
      <c r="F439" s="72"/>
      <c r="G439" s="72"/>
      <c r="H439" s="72"/>
    </row>
    <row r="440" ht="22.5" customHeight="1">
      <c r="A440" s="71"/>
      <c r="B440" s="72"/>
      <c r="C440" s="72"/>
      <c r="D440" s="72"/>
      <c r="E440" s="72"/>
      <c r="F440" s="72"/>
      <c r="G440" s="72"/>
      <c r="H440" s="72"/>
    </row>
    <row r="441" ht="22.5" customHeight="1">
      <c r="A441" s="71"/>
      <c r="B441" s="72"/>
      <c r="C441" s="72"/>
      <c r="D441" s="72"/>
      <c r="E441" s="72"/>
      <c r="F441" s="72"/>
      <c r="G441" s="72"/>
      <c r="H441" s="72"/>
    </row>
    <row r="442" ht="22.5" customHeight="1">
      <c r="A442" s="71"/>
      <c r="B442" s="72"/>
      <c r="C442" s="72"/>
      <c r="D442" s="72"/>
      <c r="E442" s="72"/>
      <c r="F442" s="72"/>
      <c r="G442" s="72"/>
      <c r="H442" s="72"/>
    </row>
    <row r="443" ht="22.5" customHeight="1">
      <c r="A443" s="71"/>
      <c r="B443" s="72"/>
      <c r="C443" s="72"/>
      <c r="D443" s="72"/>
      <c r="E443" s="72"/>
      <c r="F443" s="72"/>
      <c r="G443" s="72"/>
      <c r="H443" s="72"/>
    </row>
    <row r="444" ht="22.5" customHeight="1">
      <c r="A444" s="71"/>
      <c r="B444" s="72"/>
      <c r="C444" s="72"/>
      <c r="D444" s="72"/>
      <c r="E444" s="72"/>
      <c r="F444" s="72"/>
      <c r="G444" s="72"/>
      <c r="H444" s="72"/>
    </row>
    <row r="445" ht="22.5" customHeight="1">
      <c r="A445" s="71"/>
      <c r="B445" s="72"/>
      <c r="C445" s="72"/>
      <c r="D445" s="72"/>
      <c r="E445" s="72"/>
      <c r="F445" s="72"/>
      <c r="G445" s="72"/>
      <c r="H445" s="72"/>
    </row>
    <row r="446" ht="22.5" customHeight="1">
      <c r="A446" s="71"/>
      <c r="B446" s="72"/>
      <c r="C446" s="72"/>
      <c r="D446" s="72"/>
      <c r="E446" s="72"/>
      <c r="F446" s="72"/>
      <c r="G446" s="72"/>
      <c r="H446" s="72"/>
    </row>
    <row r="447" ht="22.5" customHeight="1">
      <c r="A447" s="71"/>
      <c r="B447" s="72"/>
      <c r="C447" s="72"/>
      <c r="D447" s="72"/>
      <c r="E447" s="72"/>
      <c r="F447" s="72"/>
      <c r="G447" s="72"/>
      <c r="H447" s="72"/>
    </row>
    <row r="448" ht="22.5" customHeight="1">
      <c r="A448" s="71"/>
      <c r="B448" s="72"/>
      <c r="C448" s="72"/>
      <c r="D448" s="72"/>
      <c r="E448" s="72"/>
      <c r="F448" s="72"/>
      <c r="G448" s="72"/>
      <c r="H448" s="72"/>
    </row>
    <row r="449" ht="22.5" customHeight="1">
      <c r="A449" s="71"/>
      <c r="B449" s="72"/>
      <c r="C449" s="72"/>
      <c r="D449" s="72"/>
      <c r="E449" s="72"/>
      <c r="F449" s="72"/>
      <c r="G449" s="72"/>
      <c r="H449" s="72"/>
    </row>
    <row r="450" ht="22.5" customHeight="1">
      <c r="A450" s="71"/>
      <c r="B450" s="72"/>
      <c r="C450" s="72"/>
      <c r="D450" s="72"/>
      <c r="E450" s="72"/>
      <c r="F450" s="72"/>
      <c r="G450" s="72"/>
      <c r="H450" s="72"/>
    </row>
    <row r="451" ht="22.5" customHeight="1">
      <c r="A451" s="71"/>
      <c r="B451" s="72"/>
      <c r="C451" s="72"/>
      <c r="D451" s="72"/>
      <c r="E451" s="72"/>
      <c r="F451" s="72"/>
      <c r="G451" s="72"/>
      <c r="H451" s="72"/>
    </row>
    <row r="452" ht="22.5" customHeight="1">
      <c r="A452" s="71"/>
      <c r="B452" s="72"/>
      <c r="C452" s="72"/>
      <c r="D452" s="72"/>
      <c r="E452" s="72"/>
      <c r="F452" s="72"/>
      <c r="G452" s="72"/>
      <c r="H452" s="72"/>
    </row>
    <row r="453" ht="22.5" customHeight="1">
      <c r="A453" s="71"/>
      <c r="B453" s="72"/>
      <c r="C453" s="72"/>
      <c r="D453" s="72"/>
      <c r="E453" s="72"/>
      <c r="F453" s="72"/>
      <c r="G453" s="72"/>
      <c r="H453" s="72"/>
    </row>
    <row r="454" ht="22.5" customHeight="1">
      <c r="A454" s="71"/>
      <c r="B454" s="72"/>
      <c r="C454" s="72"/>
      <c r="D454" s="72"/>
      <c r="E454" s="72"/>
      <c r="F454" s="72"/>
      <c r="G454" s="72"/>
      <c r="H454" s="72"/>
    </row>
    <row r="455" ht="22.5" customHeight="1">
      <c r="A455" s="71"/>
      <c r="B455" s="72"/>
      <c r="C455" s="72"/>
      <c r="D455" s="72"/>
      <c r="E455" s="72"/>
      <c r="F455" s="72"/>
      <c r="G455" s="72"/>
      <c r="H455" s="72"/>
    </row>
    <row r="456" ht="22.5" customHeight="1">
      <c r="A456" s="71"/>
      <c r="B456" s="72"/>
      <c r="C456" s="72"/>
      <c r="D456" s="72"/>
      <c r="E456" s="72"/>
      <c r="F456" s="72"/>
      <c r="G456" s="72"/>
      <c r="H456" s="72"/>
    </row>
    <row r="457" ht="22.5" customHeight="1">
      <c r="A457" s="71"/>
      <c r="B457" s="72"/>
      <c r="C457" s="72"/>
      <c r="D457" s="72"/>
      <c r="E457" s="72"/>
      <c r="F457" s="72"/>
      <c r="G457" s="72"/>
      <c r="H457" s="72"/>
    </row>
    <row r="458" ht="22.5" customHeight="1">
      <c r="A458" s="71"/>
      <c r="B458" s="72"/>
      <c r="C458" s="72"/>
      <c r="D458" s="72"/>
      <c r="E458" s="72"/>
      <c r="F458" s="72"/>
      <c r="G458" s="72"/>
      <c r="H458" s="72"/>
    </row>
    <row r="459" ht="22.5" customHeight="1">
      <c r="A459" s="71"/>
      <c r="B459" s="72"/>
      <c r="C459" s="72"/>
      <c r="D459" s="72"/>
      <c r="E459" s="72"/>
      <c r="F459" s="72"/>
      <c r="G459" s="72"/>
      <c r="H459" s="72"/>
    </row>
    <row r="460" ht="22.5" customHeight="1">
      <c r="A460" s="71"/>
      <c r="B460" s="72"/>
      <c r="C460" s="72"/>
      <c r="D460" s="72"/>
      <c r="E460" s="72"/>
      <c r="F460" s="72"/>
      <c r="G460" s="72"/>
      <c r="H460" s="72"/>
    </row>
    <row r="461" ht="22.5" customHeight="1">
      <c r="A461" s="71"/>
      <c r="B461" s="72"/>
      <c r="C461" s="72"/>
      <c r="D461" s="72"/>
      <c r="E461" s="72"/>
      <c r="F461" s="72"/>
      <c r="G461" s="72"/>
      <c r="H461" s="72"/>
    </row>
    <row r="462" ht="22.5" customHeight="1">
      <c r="A462" s="71"/>
      <c r="B462" s="72"/>
      <c r="C462" s="72"/>
      <c r="D462" s="72"/>
      <c r="E462" s="72"/>
      <c r="F462" s="72"/>
      <c r="G462" s="72"/>
      <c r="H462" s="72"/>
    </row>
    <row r="463" ht="22.5" customHeight="1">
      <c r="A463" s="71"/>
      <c r="B463" s="72"/>
      <c r="C463" s="72"/>
      <c r="D463" s="72"/>
      <c r="E463" s="72"/>
      <c r="F463" s="72"/>
      <c r="G463" s="72"/>
      <c r="H463" s="72"/>
    </row>
    <row r="464" ht="22.5" customHeight="1">
      <c r="A464" s="71"/>
      <c r="B464" s="72"/>
      <c r="C464" s="72"/>
      <c r="D464" s="72"/>
      <c r="E464" s="72"/>
      <c r="F464" s="72"/>
      <c r="G464" s="72"/>
      <c r="H464" s="72"/>
    </row>
    <row r="465" ht="22.5" customHeight="1">
      <c r="A465" s="71"/>
      <c r="B465" s="72"/>
      <c r="C465" s="72"/>
      <c r="D465" s="72"/>
      <c r="E465" s="72"/>
      <c r="F465" s="72"/>
      <c r="G465" s="72"/>
      <c r="H465" s="72"/>
    </row>
    <row r="466" ht="22.5" customHeight="1">
      <c r="A466" s="71"/>
      <c r="B466" s="72"/>
      <c r="C466" s="72"/>
      <c r="D466" s="72"/>
      <c r="E466" s="72"/>
      <c r="F466" s="72"/>
      <c r="G466" s="72"/>
      <c r="H466" s="72"/>
    </row>
    <row r="467" ht="22.5" customHeight="1">
      <c r="A467" s="71"/>
      <c r="B467" s="72"/>
      <c r="C467" s="72"/>
      <c r="D467" s="72"/>
      <c r="E467" s="72"/>
      <c r="F467" s="72"/>
      <c r="G467" s="72"/>
      <c r="H467" s="72"/>
    </row>
    <row r="468" ht="22.5" customHeight="1">
      <c r="A468" s="71"/>
      <c r="B468" s="72"/>
      <c r="C468" s="72"/>
      <c r="D468" s="72"/>
      <c r="E468" s="72"/>
      <c r="F468" s="72"/>
      <c r="G468" s="72"/>
      <c r="H468" s="72"/>
    </row>
    <row r="469" ht="22.5" customHeight="1">
      <c r="A469" s="71"/>
      <c r="B469" s="72"/>
      <c r="C469" s="72"/>
      <c r="D469" s="72"/>
      <c r="E469" s="72"/>
      <c r="F469" s="72"/>
      <c r="G469" s="72"/>
      <c r="H469" s="72"/>
    </row>
    <row r="470" ht="22.5" customHeight="1">
      <c r="A470" s="71"/>
      <c r="B470" s="72"/>
      <c r="C470" s="72"/>
      <c r="D470" s="72"/>
      <c r="E470" s="72"/>
      <c r="F470" s="72"/>
      <c r="G470" s="72"/>
      <c r="H470" s="72"/>
    </row>
    <row r="471" ht="22.5" customHeight="1">
      <c r="A471" s="71"/>
      <c r="B471" s="72"/>
      <c r="C471" s="72"/>
      <c r="D471" s="72"/>
      <c r="E471" s="72"/>
      <c r="F471" s="72"/>
      <c r="G471" s="72"/>
      <c r="H471" s="72"/>
    </row>
    <row r="472" ht="22.5" customHeight="1">
      <c r="A472" s="71"/>
      <c r="B472" s="72"/>
      <c r="C472" s="72"/>
      <c r="D472" s="72"/>
      <c r="E472" s="72"/>
      <c r="F472" s="72"/>
      <c r="G472" s="72"/>
      <c r="H472" s="72"/>
    </row>
    <row r="473" ht="22.5" customHeight="1">
      <c r="A473" s="71"/>
      <c r="B473" s="72"/>
      <c r="C473" s="72"/>
      <c r="D473" s="72"/>
      <c r="E473" s="72"/>
      <c r="F473" s="72"/>
      <c r="G473" s="72"/>
      <c r="H473" s="72"/>
    </row>
    <row r="474" ht="22.5" customHeight="1">
      <c r="A474" s="71"/>
      <c r="B474" s="72"/>
      <c r="C474" s="72"/>
      <c r="D474" s="72"/>
      <c r="E474" s="72"/>
      <c r="F474" s="72"/>
      <c r="G474" s="72"/>
      <c r="H474" s="72"/>
    </row>
    <row r="475" ht="22.5" customHeight="1">
      <c r="A475" s="71"/>
      <c r="B475" s="72"/>
      <c r="C475" s="72"/>
      <c r="D475" s="72"/>
      <c r="E475" s="72"/>
      <c r="F475" s="72"/>
      <c r="G475" s="72"/>
      <c r="H475" s="72"/>
    </row>
    <row r="476" ht="22.5" customHeight="1">
      <c r="A476" s="71"/>
      <c r="B476" s="72"/>
      <c r="C476" s="72"/>
      <c r="D476" s="72"/>
      <c r="E476" s="72"/>
      <c r="F476" s="72"/>
      <c r="G476" s="72"/>
      <c r="H476" s="72"/>
    </row>
    <row r="477" ht="22.5" customHeight="1">
      <c r="A477" s="71"/>
      <c r="B477" s="72"/>
      <c r="C477" s="72"/>
      <c r="D477" s="72"/>
      <c r="E477" s="72"/>
      <c r="F477" s="72"/>
      <c r="G477" s="72"/>
      <c r="H477" s="72"/>
    </row>
    <row r="478" ht="22.5" customHeight="1">
      <c r="A478" s="71"/>
      <c r="B478" s="72"/>
      <c r="C478" s="72"/>
      <c r="D478" s="72"/>
      <c r="E478" s="72"/>
      <c r="F478" s="72"/>
      <c r="G478" s="72"/>
      <c r="H478" s="72"/>
    </row>
    <row r="479" ht="22.5" customHeight="1">
      <c r="A479" s="71"/>
      <c r="B479" s="72"/>
      <c r="C479" s="72"/>
      <c r="D479" s="72"/>
      <c r="E479" s="72"/>
      <c r="F479" s="72"/>
      <c r="G479" s="72"/>
      <c r="H479" s="72"/>
    </row>
    <row r="480" ht="22.5" customHeight="1">
      <c r="A480" s="71"/>
      <c r="B480" s="72"/>
      <c r="C480" s="72"/>
      <c r="D480" s="72"/>
      <c r="E480" s="72"/>
      <c r="F480" s="72"/>
      <c r="G480" s="72"/>
      <c r="H480" s="72"/>
    </row>
    <row r="481" ht="22.5" customHeight="1">
      <c r="A481" s="71"/>
      <c r="B481" s="72"/>
      <c r="C481" s="72"/>
      <c r="D481" s="72"/>
      <c r="E481" s="72"/>
      <c r="F481" s="72"/>
      <c r="G481" s="72"/>
      <c r="H481" s="72"/>
    </row>
    <row r="482" ht="22.5" customHeight="1">
      <c r="A482" s="71"/>
      <c r="B482" s="72"/>
      <c r="C482" s="72"/>
      <c r="D482" s="72"/>
      <c r="E482" s="72"/>
      <c r="F482" s="72"/>
      <c r="G482" s="72"/>
      <c r="H482" s="72"/>
    </row>
    <row r="483" ht="22.5" customHeight="1">
      <c r="A483" s="71"/>
      <c r="B483" s="72"/>
      <c r="C483" s="72"/>
      <c r="D483" s="72"/>
      <c r="E483" s="72"/>
      <c r="F483" s="72"/>
      <c r="G483" s="72"/>
      <c r="H483" s="72"/>
    </row>
    <row r="484" ht="22.5" customHeight="1">
      <c r="A484" s="71"/>
      <c r="B484" s="72"/>
      <c r="C484" s="72"/>
      <c r="D484" s="72"/>
      <c r="E484" s="72"/>
      <c r="F484" s="72"/>
      <c r="G484" s="72"/>
      <c r="H484" s="72"/>
    </row>
    <row r="485" ht="22.5" customHeight="1">
      <c r="A485" s="71"/>
      <c r="B485" s="72"/>
      <c r="C485" s="72"/>
      <c r="D485" s="72"/>
      <c r="E485" s="72"/>
      <c r="F485" s="72"/>
      <c r="G485" s="72"/>
      <c r="H485" s="72"/>
    </row>
    <row r="486" ht="22.5" customHeight="1">
      <c r="A486" s="71"/>
      <c r="B486" s="72"/>
      <c r="C486" s="72"/>
      <c r="D486" s="72"/>
      <c r="E486" s="72"/>
      <c r="F486" s="72"/>
      <c r="G486" s="72"/>
      <c r="H486" s="72"/>
    </row>
    <row r="487" ht="22.5" customHeight="1">
      <c r="A487" s="71"/>
      <c r="B487" s="72"/>
      <c r="C487" s="72"/>
      <c r="D487" s="72"/>
      <c r="E487" s="72"/>
      <c r="F487" s="72"/>
      <c r="G487" s="72"/>
      <c r="H487" s="72"/>
    </row>
    <row r="488" ht="22.5" customHeight="1">
      <c r="A488" s="71"/>
      <c r="B488" s="72"/>
      <c r="C488" s="72"/>
      <c r="D488" s="72"/>
      <c r="E488" s="72"/>
      <c r="F488" s="72"/>
      <c r="G488" s="72"/>
      <c r="H488" s="72"/>
    </row>
    <row r="489" ht="22.5" customHeight="1">
      <c r="A489" s="71"/>
      <c r="B489" s="72"/>
      <c r="C489" s="72"/>
      <c r="D489" s="72"/>
      <c r="E489" s="72"/>
      <c r="F489" s="72"/>
      <c r="G489" s="72"/>
      <c r="H489" s="72"/>
    </row>
    <row r="490" ht="22.5" customHeight="1">
      <c r="A490" s="71"/>
      <c r="B490" s="72"/>
      <c r="C490" s="72"/>
      <c r="D490" s="72"/>
      <c r="E490" s="72"/>
      <c r="F490" s="72"/>
      <c r="G490" s="72"/>
      <c r="H490" s="72"/>
    </row>
    <row r="491" ht="22.5" customHeight="1">
      <c r="A491" s="71"/>
      <c r="B491" s="72"/>
      <c r="C491" s="72"/>
      <c r="D491" s="72"/>
      <c r="E491" s="72"/>
      <c r="F491" s="72"/>
      <c r="G491" s="72"/>
      <c r="H491" s="72"/>
    </row>
    <row r="492" ht="22.5" customHeight="1">
      <c r="A492" s="71"/>
      <c r="B492" s="72"/>
      <c r="C492" s="72"/>
      <c r="D492" s="72"/>
      <c r="E492" s="72"/>
      <c r="F492" s="72"/>
      <c r="G492" s="72"/>
      <c r="H492" s="72"/>
    </row>
    <row r="493" ht="22.5" customHeight="1">
      <c r="A493" s="71"/>
      <c r="B493" s="72"/>
      <c r="C493" s="72"/>
      <c r="D493" s="72"/>
      <c r="E493" s="72"/>
      <c r="F493" s="72"/>
      <c r="G493" s="72"/>
      <c r="H493" s="72"/>
    </row>
    <row r="494" ht="22.5" customHeight="1">
      <c r="A494" s="71"/>
      <c r="B494" s="72"/>
      <c r="C494" s="72"/>
      <c r="D494" s="72"/>
      <c r="E494" s="72"/>
      <c r="F494" s="72"/>
      <c r="G494" s="72"/>
      <c r="H494" s="72"/>
    </row>
    <row r="495" ht="22.5" customHeight="1">
      <c r="A495" s="71"/>
      <c r="B495" s="72"/>
      <c r="C495" s="72"/>
      <c r="D495" s="72"/>
      <c r="E495" s="72"/>
      <c r="F495" s="72"/>
      <c r="G495" s="72"/>
      <c r="H495" s="72"/>
    </row>
    <row r="496" ht="22.5" customHeight="1">
      <c r="A496" s="71"/>
      <c r="B496" s="72"/>
      <c r="C496" s="72"/>
      <c r="D496" s="72"/>
      <c r="E496" s="72"/>
      <c r="F496" s="72"/>
      <c r="G496" s="72"/>
      <c r="H496" s="72"/>
    </row>
    <row r="497" ht="22.5" customHeight="1">
      <c r="A497" s="71"/>
      <c r="B497" s="72"/>
      <c r="C497" s="72"/>
      <c r="D497" s="72"/>
      <c r="E497" s="72"/>
      <c r="F497" s="72"/>
      <c r="G497" s="72"/>
      <c r="H497" s="72"/>
    </row>
    <row r="498" ht="22.5" customHeight="1">
      <c r="A498" s="71"/>
      <c r="B498" s="72"/>
      <c r="C498" s="72"/>
      <c r="D498" s="72"/>
      <c r="E498" s="72"/>
      <c r="F498" s="72"/>
      <c r="G498" s="72"/>
      <c r="H498" s="72"/>
    </row>
    <row r="499" ht="22.5" customHeight="1">
      <c r="A499" s="71"/>
      <c r="B499" s="72"/>
      <c r="C499" s="72"/>
      <c r="D499" s="72"/>
      <c r="E499" s="72"/>
      <c r="F499" s="72"/>
      <c r="G499" s="72"/>
      <c r="H499" s="72"/>
    </row>
    <row r="500" ht="22.5" customHeight="1">
      <c r="A500" s="71"/>
      <c r="B500" s="72"/>
      <c r="C500" s="72"/>
      <c r="D500" s="72"/>
      <c r="E500" s="72"/>
      <c r="F500" s="72"/>
      <c r="G500" s="72"/>
      <c r="H500" s="72"/>
    </row>
    <row r="501" ht="22.5" customHeight="1">
      <c r="A501" s="71"/>
      <c r="B501" s="72"/>
      <c r="C501" s="72"/>
      <c r="D501" s="72"/>
      <c r="E501" s="72"/>
      <c r="F501" s="72"/>
      <c r="G501" s="72"/>
      <c r="H501" s="72"/>
    </row>
    <row r="502" ht="22.5" customHeight="1">
      <c r="A502" s="71"/>
      <c r="B502" s="72"/>
      <c r="C502" s="72"/>
      <c r="D502" s="72"/>
      <c r="E502" s="72"/>
      <c r="F502" s="72"/>
      <c r="G502" s="72"/>
      <c r="H502" s="72"/>
    </row>
    <row r="503" ht="22.5" customHeight="1">
      <c r="A503" s="71"/>
      <c r="B503" s="72"/>
      <c r="C503" s="72"/>
      <c r="D503" s="72"/>
      <c r="E503" s="72"/>
      <c r="F503" s="72"/>
      <c r="G503" s="72"/>
      <c r="H503" s="72"/>
    </row>
    <row r="504" ht="22.5" customHeight="1">
      <c r="A504" s="71"/>
      <c r="B504" s="72"/>
      <c r="C504" s="72"/>
      <c r="D504" s="72"/>
      <c r="E504" s="72"/>
      <c r="F504" s="72"/>
      <c r="G504" s="72"/>
      <c r="H504" s="72"/>
    </row>
    <row r="505" ht="22.5" customHeight="1">
      <c r="A505" s="71"/>
      <c r="B505" s="72"/>
      <c r="C505" s="72"/>
      <c r="D505" s="72"/>
      <c r="E505" s="72"/>
      <c r="F505" s="72"/>
      <c r="G505" s="72"/>
      <c r="H505" s="72"/>
    </row>
    <row r="506" ht="22.5" customHeight="1">
      <c r="A506" s="71"/>
      <c r="B506" s="72"/>
      <c r="C506" s="72"/>
      <c r="D506" s="72"/>
      <c r="E506" s="72"/>
      <c r="F506" s="72"/>
      <c r="G506" s="72"/>
      <c r="H506" s="72"/>
    </row>
    <row r="507" ht="22.5" customHeight="1">
      <c r="A507" s="71"/>
      <c r="B507" s="72"/>
      <c r="C507" s="72"/>
      <c r="D507" s="72"/>
      <c r="E507" s="72"/>
      <c r="F507" s="72"/>
      <c r="G507" s="72"/>
      <c r="H507" s="72"/>
    </row>
    <row r="508" ht="22.5" customHeight="1">
      <c r="A508" s="71"/>
      <c r="B508" s="72"/>
      <c r="C508" s="72"/>
      <c r="D508" s="72"/>
      <c r="E508" s="72"/>
      <c r="F508" s="72"/>
      <c r="G508" s="72"/>
      <c r="H508" s="72"/>
    </row>
    <row r="509" ht="22.5" customHeight="1">
      <c r="A509" s="71"/>
      <c r="B509" s="72"/>
      <c r="C509" s="72"/>
      <c r="D509" s="72"/>
      <c r="E509" s="72"/>
      <c r="F509" s="72"/>
      <c r="G509" s="72"/>
      <c r="H509" s="72"/>
    </row>
    <row r="510" ht="22.5" customHeight="1">
      <c r="A510" s="71"/>
      <c r="B510" s="72"/>
      <c r="C510" s="72"/>
      <c r="D510" s="72"/>
      <c r="E510" s="72"/>
      <c r="F510" s="72"/>
      <c r="G510" s="72"/>
      <c r="H510" s="72"/>
    </row>
    <row r="511" ht="22.5" customHeight="1">
      <c r="A511" s="71"/>
      <c r="B511" s="72"/>
      <c r="C511" s="72"/>
      <c r="D511" s="72"/>
      <c r="E511" s="72"/>
      <c r="F511" s="72"/>
      <c r="G511" s="72"/>
      <c r="H511" s="72"/>
    </row>
    <row r="512" ht="22.5" customHeight="1">
      <c r="A512" s="71"/>
      <c r="B512" s="72"/>
      <c r="C512" s="72"/>
      <c r="D512" s="72"/>
      <c r="E512" s="72"/>
      <c r="F512" s="72"/>
      <c r="G512" s="72"/>
      <c r="H512" s="72"/>
    </row>
    <row r="513" ht="22.5" customHeight="1">
      <c r="A513" s="71"/>
      <c r="B513" s="72"/>
      <c r="C513" s="72"/>
      <c r="D513" s="72"/>
      <c r="E513" s="72"/>
      <c r="F513" s="72"/>
      <c r="G513" s="72"/>
      <c r="H513" s="72"/>
    </row>
    <row r="514" ht="22.5" customHeight="1">
      <c r="A514" s="71"/>
      <c r="B514" s="72"/>
      <c r="C514" s="72"/>
      <c r="D514" s="72"/>
      <c r="E514" s="72"/>
      <c r="F514" s="72"/>
      <c r="G514" s="72"/>
      <c r="H514" s="72"/>
    </row>
    <row r="515" ht="22.5" customHeight="1">
      <c r="A515" s="71"/>
      <c r="B515" s="72"/>
      <c r="C515" s="72"/>
      <c r="D515" s="72"/>
      <c r="E515" s="72"/>
      <c r="F515" s="72"/>
      <c r="G515" s="72"/>
      <c r="H515" s="72"/>
    </row>
    <row r="516" ht="22.5" customHeight="1">
      <c r="A516" s="71"/>
      <c r="B516" s="72"/>
      <c r="C516" s="72"/>
      <c r="D516" s="72"/>
      <c r="E516" s="72"/>
      <c r="F516" s="72"/>
      <c r="G516" s="72"/>
      <c r="H516" s="72"/>
    </row>
    <row r="517" ht="22.5" customHeight="1">
      <c r="A517" s="71"/>
      <c r="B517" s="72"/>
      <c r="C517" s="72"/>
      <c r="D517" s="72"/>
      <c r="E517" s="72"/>
      <c r="F517" s="72"/>
      <c r="G517" s="72"/>
      <c r="H517" s="72"/>
    </row>
    <row r="518" ht="22.5" customHeight="1">
      <c r="A518" s="71"/>
      <c r="B518" s="72"/>
      <c r="C518" s="72"/>
      <c r="D518" s="72"/>
      <c r="E518" s="72"/>
      <c r="F518" s="72"/>
      <c r="G518" s="72"/>
      <c r="H518" s="72"/>
    </row>
    <row r="519" ht="22.5" customHeight="1">
      <c r="A519" s="71"/>
      <c r="B519" s="72"/>
      <c r="C519" s="72"/>
      <c r="D519" s="72"/>
      <c r="E519" s="72"/>
      <c r="F519" s="72"/>
      <c r="G519" s="72"/>
      <c r="H519" s="72"/>
    </row>
    <row r="520" ht="22.5" customHeight="1">
      <c r="A520" s="71"/>
      <c r="B520" s="72"/>
      <c r="C520" s="72"/>
      <c r="D520" s="72"/>
      <c r="E520" s="72"/>
      <c r="F520" s="72"/>
      <c r="G520" s="72"/>
      <c r="H520" s="72"/>
    </row>
    <row r="521" ht="22.5" customHeight="1">
      <c r="A521" s="71"/>
      <c r="B521" s="72"/>
      <c r="C521" s="72"/>
      <c r="D521" s="72"/>
      <c r="E521" s="72"/>
      <c r="F521" s="72"/>
      <c r="G521" s="72"/>
      <c r="H521" s="72"/>
    </row>
    <row r="522" ht="22.5" customHeight="1">
      <c r="A522" s="71"/>
      <c r="B522" s="72"/>
      <c r="C522" s="72"/>
      <c r="D522" s="72"/>
      <c r="E522" s="72"/>
      <c r="F522" s="72"/>
      <c r="G522" s="72"/>
      <c r="H522" s="72"/>
    </row>
    <row r="523" ht="22.5" customHeight="1">
      <c r="A523" s="71"/>
      <c r="B523" s="72"/>
      <c r="C523" s="72"/>
      <c r="D523" s="72"/>
      <c r="E523" s="72"/>
      <c r="F523" s="72"/>
      <c r="G523" s="72"/>
      <c r="H523" s="72"/>
    </row>
    <row r="524" ht="22.5" customHeight="1">
      <c r="A524" s="71"/>
      <c r="B524" s="72"/>
      <c r="C524" s="72"/>
      <c r="D524" s="72"/>
      <c r="E524" s="72"/>
      <c r="F524" s="72"/>
      <c r="G524" s="72"/>
      <c r="H524" s="72"/>
    </row>
    <row r="525" ht="22.5" customHeight="1">
      <c r="A525" s="71"/>
      <c r="B525" s="72"/>
      <c r="C525" s="72"/>
      <c r="D525" s="72"/>
      <c r="E525" s="72"/>
      <c r="F525" s="72"/>
      <c r="G525" s="72"/>
      <c r="H525" s="72"/>
    </row>
    <row r="526" ht="22.5" customHeight="1">
      <c r="A526" s="71"/>
      <c r="B526" s="72"/>
      <c r="C526" s="72"/>
      <c r="D526" s="72"/>
      <c r="E526" s="72"/>
      <c r="F526" s="72"/>
      <c r="G526" s="72"/>
      <c r="H526" s="72"/>
    </row>
    <row r="527" ht="22.5" customHeight="1">
      <c r="A527" s="71"/>
      <c r="B527" s="72"/>
      <c r="C527" s="72"/>
      <c r="D527" s="72"/>
      <c r="E527" s="72"/>
      <c r="F527" s="72"/>
      <c r="G527" s="72"/>
      <c r="H527" s="72"/>
    </row>
    <row r="528" ht="22.5" customHeight="1">
      <c r="A528" s="71"/>
      <c r="B528" s="72"/>
      <c r="C528" s="72"/>
      <c r="D528" s="72"/>
      <c r="E528" s="72"/>
      <c r="F528" s="72"/>
      <c r="G528" s="72"/>
      <c r="H528" s="72"/>
    </row>
    <row r="529" ht="22.5" customHeight="1">
      <c r="A529" s="71"/>
      <c r="B529" s="72"/>
      <c r="C529" s="72"/>
      <c r="D529" s="72"/>
      <c r="E529" s="72"/>
      <c r="F529" s="72"/>
      <c r="G529" s="72"/>
      <c r="H529" s="72"/>
    </row>
    <row r="530" ht="22.5" customHeight="1">
      <c r="A530" s="71"/>
      <c r="B530" s="72"/>
      <c r="C530" s="72"/>
      <c r="D530" s="72"/>
      <c r="E530" s="72"/>
      <c r="F530" s="72"/>
      <c r="G530" s="72"/>
      <c r="H530" s="72"/>
    </row>
    <row r="531" ht="22.5" customHeight="1">
      <c r="A531" s="71"/>
      <c r="B531" s="72"/>
      <c r="C531" s="72"/>
      <c r="D531" s="72"/>
      <c r="E531" s="72"/>
      <c r="F531" s="72"/>
      <c r="G531" s="72"/>
      <c r="H531" s="72"/>
    </row>
    <row r="532" ht="22.5" customHeight="1">
      <c r="A532" s="71"/>
      <c r="B532" s="72"/>
      <c r="C532" s="72"/>
      <c r="D532" s="72"/>
      <c r="E532" s="72"/>
      <c r="F532" s="72"/>
      <c r="G532" s="72"/>
      <c r="H532" s="72"/>
    </row>
    <row r="533" ht="22.5" customHeight="1">
      <c r="A533" s="71"/>
      <c r="B533" s="72"/>
      <c r="C533" s="72"/>
      <c r="D533" s="72"/>
      <c r="E533" s="72"/>
      <c r="F533" s="72"/>
      <c r="G533" s="72"/>
      <c r="H533" s="72"/>
    </row>
    <row r="534" ht="22.5" customHeight="1">
      <c r="A534" s="71"/>
      <c r="B534" s="72"/>
      <c r="C534" s="72"/>
      <c r="D534" s="72"/>
      <c r="E534" s="72"/>
      <c r="F534" s="72"/>
      <c r="G534" s="72"/>
      <c r="H534" s="72"/>
    </row>
    <row r="535" ht="22.5" customHeight="1">
      <c r="A535" s="71"/>
      <c r="B535" s="72"/>
      <c r="C535" s="72"/>
      <c r="D535" s="72"/>
      <c r="E535" s="72"/>
      <c r="F535" s="72"/>
      <c r="G535" s="72"/>
      <c r="H535" s="72"/>
    </row>
    <row r="536" ht="22.5" customHeight="1">
      <c r="A536" s="71"/>
      <c r="B536" s="72"/>
      <c r="C536" s="72"/>
      <c r="D536" s="72"/>
      <c r="E536" s="72"/>
      <c r="F536" s="72"/>
      <c r="G536" s="72"/>
      <c r="H536" s="72"/>
    </row>
    <row r="537" ht="22.5" customHeight="1">
      <c r="A537" s="71"/>
      <c r="B537" s="72"/>
      <c r="C537" s="72"/>
      <c r="D537" s="72"/>
      <c r="E537" s="72"/>
      <c r="F537" s="72"/>
      <c r="G537" s="72"/>
      <c r="H537" s="72"/>
    </row>
    <row r="538" ht="22.5" customHeight="1">
      <c r="A538" s="71"/>
      <c r="B538" s="72"/>
      <c r="C538" s="72"/>
      <c r="D538" s="72"/>
      <c r="E538" s="72"/>
      <c r="F538" s="72"/>
      <c r="G538" s="72"/>
      <c r="H538" s="72"/>
    </row>
    <row r="539" ht="22.5" customHeight="1">
      <c r="A539" s="71"/>
      <c r="B539" s="72"/>
      <c r="C539" s="72"/>
      <c r="D539" s="72"/>
      <c r="E539" s="72"/>
      <c r="F539" s="72"/>
      <c r="G539" s="72"/>
      <c r="H539" s="72"/>
    </row>
    <row r="540" ht="22.5" customHeight="1">
      <c r="A540" s="71"/>
      <c r="B540" s="72"/>
      <c r="C540" s="72"/>
      <c r="D540" s="72"/>
      <c r="E540" s="72"/>
      <c r="F540" s="72"/>
      <c r="G540" s="72"/>
      <c r="H540" s="72"/>
    </row>
    <row r="541" ht="22.5" customHeight="1">
      <c r="A541" s="71"/>
      <c r="B541" s="72"/>
      <c r="C541" s="72"/>
      <c r="D541" s="72"/>
      <c r="E541" s="72"/>
      <c r="F541" s="72"/>
      <c r="G541" s="72"/>
      <c r="H541" s="72"/>
    </row>
    <row r="542" ht="22.5" customHeight="1">
      <c r="A542" s="71"/>
      <c r="B542" s="72"/>
      <c r="C542" s="72"/>
      <c r="D542" s="72"/>
      <c r="E542" s="72"/>
      <c r="F542" s="72"/>
      <c r="G542" s="72"/>
      <c r="H542" s="72"/>
    </row>
    <row r="543" ht="22.5" customHeight="1">
      <c r="A543" s="71"/>
      <c r="B543" s="72"/>
      <c r="C543" s="72"/>
      <c r="D543" s="72"/>
      <c r="E543" s="72"/>
      <c r="F543" s="72"/>
      <c r="G543" s="72"/>
      <c r="H543" s="72"/>
    </row>
    <row r="544" ht="22.5" customHeight="1">
      <c r="A544" s="71"/>
      <c r="B544" s="72"/>
      <c r="C544" s="72"/>
      <c r="D544" s="72"/>
      <c r="E544" s="72"/>
      <c r="F544" s="72"/>
      <c r="G544" s="72"/>
      <c r="H544" s="72"/>
    </row>
    <row r="545" ht="22.5" customHeight="1">
      <c r="A545" s="71"/>
      <c r="B545" s="72"/>
      <c r="C545" s="72"/>
      <c r="D545" s="72"/>
      <c r="E545" s="72"/>
      <c r="F545" s="72"/>
      <c r="G545" s="72"/>
      <c r="H545" s="72"/>
    </row>
    <row r="546" ht="22.5" customHeight="1">
      <c r="A546" s="71"/>
      <c r="B546" s="72"/>
      <c r="C546" s="72"/>
      <c r="D546" s="72"/>
      <c r="E546" s="72"/>
      <c r="F546" s="72"/>
      <c r="G546" s="72"/>
      <c r="H546" s="72"/>
    </row>
    <row r="547" ht="22.5" customHeight="1">
      <c r="A547" s="71"/>
      <c r="B547" s="72"/>
      <c r="C547" s="72"/>
      <c r="D547" s="72"/>
      <c r="E547" s="72"/>
      <c r="F547" s="72"/>
      <c r="G547" s="72"/>
      <c r="H547" s="72"/>
    </row>
    <row r="548" ht="22.5" customHeight="1">
      <c r="A548" s="71"/>
      <c r="B548" s="72"/>
      <c r="C548" s="72"/>
      <c r="D548" s="72"/>
      <c r="E548" s="72"/>
      <c r="F548" s="72"/>
      <c r="G548" s="72"/>
      <c r="H548" s="72"/>
    </row>
    <row r="549" ht="22.5" customHeight="1">
      <c r="A549" s="71"/>
      <c r="B549" s="72"/>
      <c r="C549" s="72"/>
      <c r="D549" s="72"/>
      <c r="E549" s="72"/>
      <c r="F549" s="72"/>
      <c r="G549" s="72"/>
      <c r="H549" s="72"/>
    </row>
    <row r="550" ht="22.5" customHeight="1">
      <c r="A550" s="71"/>
      <c r="B550" s="72"/>
      <c r="C550" s="72"/>
      <c r="D550" s="72"/>
      <c r="E550" s="72"/>
      <c r="F550" s="72"/>
      <c r="G550" s="72"/>
      <c r="H550" s="72"/>
    </row>
    <row r="551" ht="22.5" customHeight="1">
      <c r="A551" s="71"/>
      <c r="B551" s="72"/>
      <c r="C551" s="72"/>
      <c r="D551" s="72"/>
      <c r="E551" s="72"/>
      <c r="F551" s="72"/>
      <c r="G551" s="72"/>
      <c r="H551" s="72"/>
    </row>
    <row r="552" ht="22.5" customHeight="1">
      <c r="A552" s="71"/>
      <c r="B552" s="72"/>
      <c r="C552" s="72"/>
      <c r="D552" s="72"/>
      <c r="E552" s="72"/>
      <c r="F552" s="72"/>
      <c r="G552" s="72"/>
      <c r="H552" s="72"/>
    </row>
    <row r="553" ht="22.5" customHeight="1">
      <c r="A553" s="71"/>
      <c r="B553" s="72"/>
      <c r="C553" s="72"/>
      <c r="D553" s="72"/>
      <c r="E553" s="72"/>
      <c r="F553" s="72"/>
      <c r="G553" s="72"/>
      <c r="H553" s="72"/>
    </row>
    <row r="554" ht="22.5" customHeight="1">
      <c r="A554" s="71"/>
      <c r="B554" s="72"/>
      <c r="C554" s="72"/>
      <c r="D554" s="72"/>
      <c r="E554" s="72"/>
      <c r="F554" s="72"/>
      <c r="G554" s="72"/>
      <c r="H554" s="72"/>
    </row>
    <row r="555" ht="22.5" customHeight="1">
      <c r="A555" s="71"/>
      <c r="B555" s="72"/>
      <c r="C555" s="72"/>
      <c r="D555" s="72"/>
      <c r="E555" s="72"/>
      <c r="F555" s="72"/>
      <c r="G555" s="72"/>
      <c r="H555" s="72"/>
    </row>
    <row r="556" ht="22.5" customHeight="1">
      <c r="A556" s="71"/>
      <c r="B556" s="72"/>
      <c r="C556" s="72"/>
      <c r="D556" s="72"/>
      <c r="E556" s="72"/>
      <c r="F556" s="72"/>
      <c r="G556" s="72"/>
      <c r="H556" s="72"/>
    </row>
    <row r="557" ht="22.5" customHeight="1">
      <c r="A557" s="71"/>
      <c r="B557" s="72"/>
      <c r="C557" s="72"/>
      <c r="D557" s="72"/>
      <c r="E557" s="72"/>
      <c r="F557" s="72"/>
      <c r="G557" s="72"/>
      <c r="H557" s="72"/>
    </row>
    <row r="558" ht="22.5" customHeight="1">
      <c r="A558" s="71"/>
      <c r="B558" s="72"/>
      <c r="C558" s="72"/>
      <c r="D558" s="72"/>
      <c r="E558" s="72"/>
      <c r="F558" s="72"/>
      <c r="G558" s="72"/>
      <c r="H558" s="72"/>
    </row>
    <row r="559" ht="22.5" customHeight="1">
      <c r="A559" s="71"/>
      <c r="B559" s="72"/>
      <c r="C559" s="72"/>
      <c r="D559" s="72"/>
      <c r="E559" s="72"/>
      <c r="F559" s="72"/>
      <c r="G559" s="72"/>
      <c r="H559" s="72"/>
    </row>
    <row r="560" ht="22.5" customHeight="1">
      <c r="A560" s="71"/>
      <c r="B560" s="72"/>
      <c r="C560" s="72"/>
      <c r="D560" s="72"/>
      <c r="E560" s="72"/>
      <c r="F560" s="72"/>
      <c r="G560" s="72"/>
      <c r="H560" s="72"/>
    </row>
    <row r="561" ht="22.5" customHeight="1">
      <c r="A561" s="71"/>
      <c r="B561" s="72"/>
      <c r="C561" s="72"/>
      <c r="D561" s="72"/>
      <c r="E561" s="72"/>
      <c r="F561" s="72"/>
      <c r="G561" s="72"/>
      <c r="H561" s="72"/>
    </row>
    <row r="562" ht="22.5" customHeight="1">
      <c r="A562" s="71"/>
      <c r="B562" s="72"/>
      <c r="C562" s="72"/>
      <c r="D562" s="72"/>
      <c r="E562" s="72"/>
      <c r="F562" s="72"/>
      <c r="G562" s="72"/>
      <c r="H562" s="72"/>
    </row>
    <row r="563" ht="22.5" customHeight="1">
      <c r="A563" s="71"/>
      <c r="B563" s="72"/>
      <c r="C563" s="72"/>
      <c r="D563" s="72"/>
      <c r="E563" s="72"/>
      <c r="F563" s="72"/>
      <c r="G563" s="72"/>
      <c r="H563" s="72"/>
    </row>
    <row r="564" ht="22.5" customHeight="1">
      <c r="A564" s="71"/>
      <c r="B564" s="72"/>
      <c r="C564" s="72"/>
      <c r="D564" s="72"/>
      <c r="E564" s="72"/>
      <c r="F564" s="72"/>
      <c r="G564" s="72"/>
      <c r="H564" s="72"/>
    </row>
    <row r="565" ht="22.5" customHeight="1">
      <c r="A565" s="71"/>
      <c r="B565" s="72"/>
      <c r="C565" s="72"/>
      <c r="D565" s="72"/>
      <c r="E565" s="72"/>
      <c r="F565" s="72"/>
      <c r="G565" s="72"/>
      <c r="H565" s="72"/>
    </row>
    <row r="566" ht="22.5" customHeight="1">
      <c r="A566" s="71"/>
      <c r="B566" s="72"/>
      <c r="C566" s="72"/>
      <c r="D566" s="72"/>
      <c r="E566" s="72"/>
      <c r="F566" s="72"/>
      <c r="G566" s="72"/>
      <c r="H566" s="72"/>
    </row>
    <row r="567" ht="22.5" customHeight="1">
      <c r="A567" s="71"/>
      <c r="B567" s="72"/>
      <c r="C567" s="72"/>
      <c r="D567" s="72"/>
      <c r="E567" s="72"/>
      <c r="F567" s="72"/>
      <c r="G567" s="72"/>
      <c r="H567" s="72"/>
    </row>
    <row r="568" ht="22.5" customHeight="1">
      <c r="A568" s="71"/>
      <c r="B568" s="72"/>
      <c r="C568" s="72"/>
      <c r="D568" s="72"/>
      <c r="E568" s="72"/>
      <c r="F568" s="72"/>
      <c r="G568" s="72"/>
      <c r="H568" s="72"/>
    </row>
    <row r="569" ht="22.5" customHeight="1">
      <c r="A569" s="71"/>
      <c r="B569" s="72"/>
      <c r="C569" s="72"/>
      <c r="D569" s="72"/>
      <c r="E569" s="72"/>
      <c r="F569" s="72"/>
      <c r="G569" s="72"/>
      <c r="H569" s="72"/>
    </row>
    <row r="570" ht="22.5" customHeight="1">
      <c r="A570" s="71"/>
      <c r="B570" s="72"/>
      <c r="C570" s="72"/>
      <c r="D570" s="72"/>
      <c r="E570" s="72"/>
      <c r="F570" s="72"/>
      <c r="G570" s="72"/>
      <c r="H570" s="72"/>
    </row>
    <row r="571" ht="22.5" customHeight="1">
      <c r="A571" s="71"/>
      <c r="B571" s="72"/>
      <c r="C571" s="72"/>
      <c r="D571" s="72"/>
      <c r="E571" s="72"/>
      <c r="F571" s="72"/>
      <c r="G571" s="72"/>
      <c r="H571" s="72"/>
    </row>
    <row r="572" ht="22.5" customHeight="1">
      <c r="A572" s="71"/>
      <c r="B572" s="72"/>
      <c r="C572" s="72"/>
      <c r="D572" s="72"/>
      <c r="E572" s="72"/>
      <c r="F572" s="72"/>
      <c r="G572" s="72"/>
      <c r="H572" s="72"/>
    </row>
    <row r="573" ht="22.5" customHeight="1">
      <c r="A573" s="71"/>
      <c r="B573" s="72"/>
      <c r="C573" s="72"/>
      <c r="D573" s="72"/>
      <c r="E573" s="72"/>
      <c r="F573" s="72"/>
      <c r="G573" s="72"/>
      <c r="H573" s="72"/>
    </row>
    <row r="574" ht="22.5" customHeight="1">
      <c r="A574" s="71"/>
      <c r="B574" s="72"/>
      <c r="C574" s="72"/>
      <c r="D574" s="72"/>
      <c r="E574" s="72"/>
      <c r="F574" s="72"/>
      <c r="G574" s="72"/>
      <c r="H574" s="72"/>
    </row>
    <row r="575" ht="22.5" customHeight="1">
      <c r="A575" s="71"/>
      <c r="B575" s="72"/>
      <c r="C575" s="72"/>
      <c r="D575" s="72"/>
      <c r="E575" s="72"/>
      <c r="F575" s="72"/>
      <c r="G575" s="72"/>
      <c r="H575" s="72"/>
    </row>
    <row r="576" ht="22.5" customHeight="1">
      <c r="A576" s="71"/>
      <c r="B576" s="72"/>
      <c r="C576" s="72"/>
      <c r="D576" s="72"/>
      <c r="E576" s="72"/>
      <c r="F576" s="72"/>
      <c r="G576" s="72"/>
      <c r="H576" s="72"/>
    </row>
    <row r="577" ht="22.5" customHeight="1">
      <c r="A577" s="71"/>
      <c r="B577" s="72"/>
      <c r="C577" s="72"/>
      <c r="D577" s="72"/>
      <c r="E577" s="72"/>
      <c r="F577" s="72"/>
      <c r="G577" s="72"/>
      <c r="H577" s="72"/>
    </row>
    <row r="578" ht="22.5" customHeight="1">
      <c r="A578" s="71"/>
      <c r="B578" s="72"/>
      <c r="C578" s="72"/>
      <c r="D578" s="72"/>
      <c r="E578" s="72"/>
      <c r="F578" s="72"/>
      <c r="G578" s="72"/>
      <c r="H578" s="72"/>
    </row>
    <row r="579" ht="22.5" customHeight="1">
      <c r="A579" s="71"/>
      <c r="B579" s="72"/>
      <c r="C579" s="72"/>
      <c r="D579" s="72"/>
      <c r="E579" s="72"/>
      <c r="F579" s="72"/>
      <c r="G579" s="72"/>
      <c r="H579" s="72"/>
    </row>
    <row r="580" ht="22.5" customHeight="1">
      <c r="A580" s="71"/>
      <c r="B580" s="72"/>
      <c r="C580" s="72"/>
      <c r="D580" s="72"/>
      <c r="E580" s="72"/>
      <c r="F580" s="72"/>
      <c r="G580" s="72"/>
      <c r="H580" s="72"/>
    </row>
    <row r="581" ht="22.5" customHeight="1">
      <c r="A581" s="71"/>
      <c r="B581" s="72"/>
      <c r="C581" s="72"/>
      <c r="D581" s="72"/>
      <c r="E581" s="72"/>
      <c r="F581" s="72"/>
      <c r="G581" s="72"/>
      <c r="H581" s="72"/>
    </row>
    <row r="582" ht="22.5" customHeight="1">
      <c r="A582" s="71"/>
      <c r="B582" s="72"/>
      <c r="C582" s="72"/>
      <c r="D582" s="72"/>
      <c r="E582" s="72"/>
      <c r="F582" s="72"/>
      <c r="G582" s="72"/>
      <c r="H582" s="72"/>
    </row>
    <row r="583" ht="22.5" customHeight="1">
      <c r="A583" s="71"/>
      <c r="B583" s="72"/>
      <c r="C583" s="72"/>
      <c r="D583" s="72"/>
      <c r="E583" s="72"/>
      <c r="F583" s="72"/>
      <c r="G583" s="72"/>
      <c r="H583" s="72"/>
    </row>
    <row r="584" ht="22.5" customHeight="1">
      <c r="A584" s="71"/>
      <c r="B584" s="72"/>
      <c r="C584" s="72"/>
      <c r="D584" s="72"/>
      <c r="E584" s="72"/>
      <c r="F584" s="72"/>
      <c r="G584" s="72"/>
      <c r="H584" s="72"/>
    </row>
    <row r="585" ht="22.5" customHeight="1">
      <c r="A585" s="71"/>
      <c r="B585" s="72"/>
      <c r="C585" s="72"/>
      <c r="D585" s="72"/>
      <c r="E585" s="72"/>
      <c r="F585" s="72"/>
      <c r="G585" s="72"/>
      <c r="H585" s="72"/>
    </row>
    <row r="586" ht="22.5" customHeight="1">
      <c r="A586" s="71"/>
      <c r="B586" s="72"/>
      <c r="C586" s="72"/>
      <c r="D586" s="72"/>
      <c r="E586" s="72"/>
      <c r="F586" s="72"/>
      <c r="G586" s="72"/>
      <c r="H586" s="72"/>
    </row>
    <row r="587" ht="22.5" customHeight="1">
      <c r="A587" s="71"/>
      <c r="B587" s="72"/>
      <c r="C587" s="72"/>
      <c r="D587" s="72"/>
      <c r="E587" s="72"/>
      <c r="F587" s="72"/>
      <c r="G587" s="72"/>
      <c r="H587" s="72"/>
    </row>
    <row r="588" ht="22.5" customHeight="1">
      <c r="A588" s="71"/>
      <c r="B588" s="72"/>
      <c r="C588" s="72"/>
      <c r="D588" s="72"/>
      <c r="E588" s="72"/>
      <c r="F588" s="72"/>
      <c r="G588" s="72"/>
      <c r="H588" s="72"/>
    </row>
    <row r="589" ht="22.5" customHeight="1">
      <c r="A589" s="71"/>
      <c r="B589" s="72"/>
      <c r="C589" s="72"/>
      <c r="D589" s="72"/>
      <c r="E589" s="72"/>
      <c r="F589" s="72"/>
      <c r="G589" s="72"/>
      <c r="H589" s="72"/>
    </row>
    <row r="590" ht="22.5" customHeight="1">
      <c r="A590" s="71"/>
      <c r="B590" s="72"/>
      <c r="C590" s="72"/>
      <c r="D590" s="72"/>
      <c r="E590" s="72"/>
      <c r="F590" s="72"/>
      <c r="G590" s="72"/>
      <c r="H590" s="72"/>
    </row>
    <row r="591" ht="22.5" customHeight="1">
      <c r="A591" s="71"/>
      <c r="B591" s="72"/>
      <c r="C591" s="72"/>
      <c r="D591" s="72"/>
      <c r="E591" s="72"/>
      <c r="F591" s="72"/>
      <c r="G591" s="72"/>
      <c r="H591" s="72"/>
    </row>
    <row r="592" ht="22.5" customHeight="1">
      <c r="A592" s="71"/>
      <c r="B592" s="72"/>
      <c r="C592" s="72"/>
      <c r="D592" s="72"/>
      <c r="E592" s="72"/>
      <c r="F592" s="72"/>
      <c r="G592" s="72"/>
      <c r="H592" s="72"/>
    </row>
    <row r="593" ht="22.5" customHeight="1">
      <c r="A593" s="71"/>
      <c r="B593" s="72"/>
      <c r="C593" s="72"/>
      <c r="D593" s="72"/>
      <c r="E593" s="72"/>
      <c r="F593" s="72"/>
      <c r="G593" s="72"/>
      <c r="H593" s="72"/>
    </row>
    <row r="594" ht="22.5" customHeight="1">
      <c r="A594" s="71"/>
      <c r="B594" s="72"/>
      <c r="C594" s="72"/>
      <c r="D594" s="72"/>
      <c r="E594" s="72"/>
      <c r="F594" s="72"/>
      <c r="G594" s="72"/>
      <c r="H594" s="72"/>
    </row>
    <row r="595" ht="22.5" customHeight="1">
      <c r="A595" s="71"/>
      <c r="B595" s="72"/>
      <c r="C595" s="72"/>
      <c r="D595" s="72"/>
      <c r="E595" s="72"/>
      <c r="F595" s="72"/>
      <c r="G595" s="72"/>
      <c r="H595" s="72"/>
    </row>
    <row r="596" ht="22.5" customHeight="1">
      <c r="A596" s="71"/>
      <c r="B596" s="72"/>
      <c r="C596" s="72"/>
      <c r="D596" s="72"/>
      <c r="E596" s="72"/>
      <c r="F596" s="72"/>
      <c r="G596" s="72"/>
      <c r="H596" s="72"/>
    </row>
    <row r="597" ht="22.5" customHeight="1">
      <c r="A597" s="71"/>
      <c r="B597" s="72"/>
      <c r="C597" s="72"/>
      <c r="D597" s="72"/>
      <c r="E597" s="72"/>
      <c r="F597" s="72"/>
      <c r="G597" s="72"/>
      <c r="H597" s="72"/>
    </row>
    <row r="598" ht="22.5" customHeight="1">
      <c r="A598" s="71"/>
      <c r="B598" s="72"/>
      <c r="C598" s="72"/>
      <c r="D598" s="72"/>
      <c r="E598" s="72"/>
      <c r="F598" s="72"/>
      <c r="G598" s="72"/>
      <c r="H598" s="72"/>
    </row>
    <row r="599" ht="22.5" customHeight="1">
      <c r="A599" s="71"/>
      <c r="B599" s="72"/>
      <c r="C599" s="72"/>
      <c r="D599" s="72"/>
      <c r="E599" s="72"/>
      <c r="F599" s="72"/>
      <c r="G599" s="72"/>
      <c r="H599" s="72"/>
    </row>
    <row r="600" ht="22.5" customHeight="1">
      <c r="A600" s="71"/>
      <c r="B600" s="72"/>
      <c r="C600" s="72"/>
      <c r="D600" s="72"/>
      <c r="E600" s="72"/>
      <c r="F600" s="72"/>
      <c r="G600" s="72"/>
      <c r="H600" s="72"/>
    </row>
    <row r="601" ht="22.5" customHeight="1">
      <c r="A601" s="71"/>
      <c r="B601" s="72"/>
      <c r="C601" s="72"/>
      <c r="D601" s="72"/>
      <c r="E601" s="72"/>
      <c r="F601" s="72"/>
      <c r="G601" s="72"/>
      <c r="H601" s="72"/>
    </row>
    <row r="602" ht="22.5" customHeight="1">
      <c r="A602" s="71"/>
      <c r="B602" s="72"/>
      <c r="C602" s="72"/>
      <c r="D602" s="72"/>
      <c r="E602" s="72"/>
      <c r="F602" s="72"/>
      <c r="G602" s="72"/>
      <c r="H602" s="72"/>
    </row>
    <row r="603" ht="22.5" customHeight="1">
      <c r="A603" s="71"/>
      <c r="B603" s="72"/>
      <c r="C603" s="72"/>
      <c r="D603" s="72"/>
      <c r="E603" s="72"/>
      <c r="F603" s="72"/>
      <c r="G603" s="72"/>
      <c r="H603" s="72"/>
    </row>
    <row r="604" ht="22.5" customHeight="1">
      <c r="A604" s="71"/>
      <c r="B604" s="72"/>
      <c r="C604" s="72"/>
      <c r="D604" s="72"/>
      <c r="E604" s="72"/>
      <c r="F604" s="72"/>
      <c r="G604" s="72"/>
      <c r="H604" s="72"/>
    </row>
    <row r="605" ht="22.5" customHeight="1">
      <c r="A605" s="71"/>
      <c r="B605" s="72"/>
      <c r="C605" s="72"/>
      <c r="D605" s="72"/>
      <c r="E605" s="72"/>
      <c r="F605" s="72"/>
      <c r="G605" s="72"/>
      <c r="H605" s="72"/>
    </row>
    <row r="606" ht="22.5" customHeight="1">
      <c r="A606" s="71"/>
      <c r="B606" s="72"/>
      <c r="C606" s="72"/>
      <c r="D606" s="72"/>
      <c r="E606" s="72"/>
      <c r="F606" s="72"/>
      <c r="G606" s="72"/>
      <c r="H606" s="72"/>
    </row>
    <row r="607" ht="22.5" customHeight="1">
      <c r="A607" s="71"/>
      <c r="B607" s="72"/>
      <c r="C607" s="72"/>
      <c r="D607" s="72"/>
      <c r="E607" s="72"/>
      <c r="F607" s="72"/>
      <c r="G607" s="72"/>
      <c r="H607" s="72"/>
    </row>
    <row r="608" ht="22.5" customHeight="1">
      <c r="A608" s="71"/>
      <c r="B608" s="72"/>
      <c r="C608" s="72"/>
      <c r="D608" s="72"/>
      <c r="E608" s="72"/>
      <c r="F608" s="72"/>
      <c r="G608" s="72"/>
      <c r="H608" s="72"/>
    </row>
    <row r="609" ht="22.5" customHeight="1">
      <c r="A609" s="71"/>
      <c r="B609" s="72"/>
      <c r="C609" s="72"/>
      <c r="D609" s="72"/>
      <c r="E609" s="72"/>
      <c r="F609" s="72"/>
      <c r="G609" s="72"/>
      <c r="H609" s="72"/>
    </row>
    <row r="610" ht="22.5" customHeight="1">
      <c r="A610" s="71"/>
      <c r="B610" s="72"/>
      <c r="C610" s="72"/>
      <c r="D610" s="72"/>
      <c r="E610" s="72"/>
      <c r="F610" s="72"/>
      <c r="G610" s="72"/>
      <c r="H610" s="72"/>
    </row>
    <row r="611" ht="22.5" customHeight="1">
      <c r="A611" s="71"/>
      <c r="B611" s="72"/>
      <c r="C611" s="72"/>
      <c r="D611" s="72"/>
      <c r="E611" s="72"/>
      <c r="F611" s="72"/>
      <c r="G611" s="72"/>
      <c r="H611" s="72"/>
    </row>
    <row r="612" ht="22.5" customHeight="1">
      <c r="A612" s="71"/>
      <c r="B612" s="72"/>
      <c r="C612" s="72"/>
      <c r="D612" s="72"/>
      <c r="E612" s="72"/>
      <c r="F612" s="72"/>
      <c r="G612" s="72"/>
      <c r="H612" s="72"/>
    </row>
    <row r="613" ht="22.5" customHeight="1">
      <c r="A613" s="71"/>
      <c r="B613" s="72"/>
      <c r="C613" s="72"/>
      <c r="D613" s="72"/>
      <c r="E613" s="72"/>
      <c r="F613" s="72"/>
      <c r="G613" s="72"/>
      <c r="H613" s="72"/>
    </row>
    <row r="614" ht="22.5" customHeight="1">
      <c r="A614" s="71"/>
      <c r="B614" s="72"/>
      <c r="C614" s="72"/>
      <c r="D614" s="72"/>
      <c r="E614" s="72"/>
      <c r="F614" s="72"/>
      <c r="G614" s="72"/>
      <c r="H614" s="72"/>
    </row>
    <row r="615" ht="22.5" customHeight="1">
      <c r="A615" s="71"/>
      <c r="B615" s="72"/>
      <c r="C615" s="72"/>
      <c r="D615" s="72"/>
      <c r="E615" s="72"/>
      <c r="F615" s="72"/>
      <c r="G615" s="72"/>
      <c r="H615" s="72"/>
    </row>
    <row r="616" ht="22.5" customHeight="1">
      <c r="A616" s="71"/>
      <c r="B616" s="72"/>
      <c r="C616" s="72"/>
      <c r="D616" s="72"/>
      <c r="E616" s="72"/>
      <c r="F616" s="72"/>
      <c r="G616" s="72"/>
      <c r="H616" s="72"/>
    </row>
    <row r="617" ht="22.5" customHeight="1">
      <c r="A617" s="71"/>
      <c r="B617" s="72"/>
      <c r="C617" s="72"/>
      <c r="D617" s="72"/>
      <c r="E617" s="72"/>
      <c r="F617" s="72"/>
      <c r="G617" s="72"/>
      <c r="H617" s="72"/>
    </row>
    <row r="618" ht="22.5" customHeight="1">
      <c r="A618" s="71"/>
      <c r="B618" s="72"/>
      <c r="C618" s="72"/>
      <c r="D618" s="72"/>
      <c r="E618" s="72"/>
      <c r="F618" s="72"/>
      <c r="G618" s="72"/>
      <c r="H618" s="72"/>
    </row>
    <row r="619" ht="22.5" customHeight="1">
      <c r="A619" s="71"/>
      <c r="B619" s="72"/>
      <c r="C619" s="72"/>
      <c r="D619" s="72"/>
      <c r="E619" s="72"/>
      <c r="F619" s="72"/>
      <c r="G619" s="72"/>
      <c r="H619" s="72"/>
    </row>
    <row r="620" ht="22.5" customHeight="1">
      <c r="A620" s="71"/>
      <c r="B620" s="72"/>
      <c r="C620" s="72"/>
      <c r="D620" s="72"/>
      <c r="E620" s="72"/>
      <c r="F620" s="72"/>
      <c r="G620" s="72"/>
      <c r="H620" s="72"/>
    </row>
    <row r="621" ht="22.5" customHeight="1">
      <c r="A621" s="71"/>
      <c r="B621" s="72"/>
      <c r="C621" s="72"/>
      <c r="D621" s="72"/>
      <c r="E621" s="72"/>
      <c r="F621" s="72"/>
      <c r="G621" s="72"/>
      <c r="H621" s="72"/>
    </row>
    <row r="622" ht="22.5" customHeight="1">
      <c r="A622" s="71"/>
      <c r="B622" s="72"/>
      <c r="C622" s="72"/>
      <c r="D622" s="72"/>
      <c r="E622" s="72"/>
      <c r="F622" s="72"/>
      <c r="G622" s="72"/>
      <c r="H622" s="72"/>
    </row>
    <row r="623" ht="22.5" customHeight="1">
      <c r="A623" s="71"/>
      <c r="B623" s="72"/>
      <c r="C623" s="72"/>
      <c r="D623" s="72"/>
      <c r="E623" s="72"/>
      <c r="F623" s="72"/>
      <c r="G623" s="72"/>
      <c r="H623" s="72"/>
    </row>
    <row r="624" ht="22.5" customHeight="1">
      <c r="A624" s="71"/>
      <c r="B624" s="72"/>
      <c r="C624" s="72"/>
      <c r="D624" s="72"/>
      <c r="E624" s="72"/>
      <c r="F624" s="72"/>
      <c r="G624" s="72"/>
      <c r="H624" s="72"/>
    </row>
    <row r="625" ht="22.5" customHeight="1">
      <c r="A625" s="71"/>
      <c r="B625" s="72"/>
      <c r="C625" s="72"/>
      <c r="D625" s="72"/>
      <c r="E625" s="72"/>
      <c r="F625" s="72"/>
      <c r="G625" s="72"/>
      <c r="H625" s="72"/>
    </row>
    <row r="626" ht="22.5" customHeight="1">
      <c r="A626" s="71"/>
      <c r="B626" s="72"/>
      <c r="C626" s="72"/>
      <c r="D626" s="72"/>
      <c r="E626" s="72"/>
      <c r="F626" s="72"/>
      <c r="G626" s="72"/>
      <c r="H626" s="72"/>
    </row>
    <row r="627" ht="22.5" customHeight="1">
      <c r="A627" s="71"/>
      <c r="B627" s="72"/>
      <c r="C627" s="72"/>
      <c r="D627" s="72"/>
      <c r="E627" s="72"/>
      <c r="F627" s="72"/>
      <c r="G627" s="72"/>
      <c r="H627" s="72"/>
    </row>
    <row r="628" ht="22.5" customHeight="1">
      <c r="A628" s="71"/>
      <c r="B628" s="72"/>
      <c r="C628" s="72"/>
      <c r="D628" s="72"/>
      <c r="E628" s="72"/>
      <c r="F628" s="72"/>
      <c r="G628" s="72"/>
      <c r="H628" s="72"/>
    </row>
    <row r="629" ht="22.5" customHeight="1">
      <c r="A629" s="71"/>
      <c r="B629" s="72"/>
      <c r="C629" s="72"/>
      <c r="D629" s="72"/>
      <c r="E629" s="72"/>
      <c r="F629" s="72"/>
      <c r="G629" s="72"/>
      <c r="H629" s="72"/>
    </row>
    <row r="630" ht="22.5" customHeight="1">
      <c r="A630" s="71"/>
      <c r="B630" s="72"/>
      <c r="C630" s="72"/>
      <c r="D630" s="72"/>
      <c r="E630" s="72"/>
      <c r="F630" s="72"/>
      <c r="G630" s="72"/>
      <c r="H630" s="72"/>
    </row>
    <row r="631" ht="22.5" customHeight="1">
      <c r="A631" s="71"/>
      <c r="B631" s="72"/>
      <c r="C631" s="72"/>
      <c r="D631" s="72"/>
      <c r="E631" s="72"/>
      <c r="F631" s="72"/>
      <c r="G631" s="72"/>
      <c r="H631" s="72"/>
    </row>
    <row r="632" ht="22.5" customHeight="1">
      <c r="A632" s="71"/>
      <c r="B632" s="72"/>
      <c r="C632" s="72"/>
      <c r="D632" s="72"/>
      <c r="E632" s="72"/>
      <c r="F632" s="72"/>
      <c r="G632" s="72"/>
      <c r="H632" s="72"/>
    </row>
    <row r="633" ht="22.5" customHeight="1">
      <c r="A633" s="71"/>
      <c r="B633" s="72"/>
      <c r="C633" s="72"/>
      <c r="D633" s="72"/>
      <c r="E633" s="72"/>
      <c r="F633" s="72"/>
      <c r="G633" s="72"/>
      <c r="H633" s="72"/>
    </row>
    <row r="634" ht="22.5" customHeight="1">
      <c r="A634" s="71"/>
      <c r="B634" s="72"/>
      <c r="C634" s="72"/>
      <c r="D634" s="72"/>
      <c r="E634" s="72"/>
      <c r="F634" s="72"/>
      <c r="G634" s="72"/>
      <c r="H634" s="72"/>
    </row>
    <row r="635" ht="22.5" customHeight="1">
      <c r="A635" s="71"/>
      <c r="B635" s="72"/>
      <c r="C635" s="72"/>
      <c r="D635" s="72"/>
      <c r="E635" s="72"/>
      <c r="F635" s="72"/>
      <c r="G635" s="72"/>
      <c r="H635" s="72"/>
    </row>
    <row r="636" ht="22.5" customHeight="1">
      <c r="A636" s="71"/>
      <c r="B636" s="72"/>
      <c r="C636" s="72"/>
      <c r="D636" s="72"/>
      <c r="E636" s="72"/>
      <c r="F636" s="72"/>
      <c r="G636" s="72"/>
      <c r="H636" s="72"/>
    </row>
    <row r="637" ht="22.5" customHeight="1">
      <c r="A637" s="71"/>
      <c r="B637" s="72"/>
      <c r="C637" s="72"/>
      <c r="D637" s="72"/>
      <c r="E637" s="72"/>
      <c r="F637" s="72"/>
      <c r="G637" s="72"/>
      <c r="H637" s="72"/>
    </row>
    <row r="638" ht="22.5" customHeight="1">
      <c r="A638" s="71"/>
      <c r="B638" s="72"/>
      <c r="C638" s="72"/>
      <c r="D638" s="72"/>
      <c r="E638" s="72"/>
      <c r="F638" s="72"/>
      <c r="G638" s="72"/>
      <c r="H638" s="72"/>
    </row>
    <row r="639" ht="22.5" customHeight="1">
      <c r="A639" s="71"/>
      <c r="B639" s="72"/>
      <c r="C639" s="72"/>
      <c r="D639" s="72"/>
      <c r="E639" s="72"/>
      <c r="F639" s="72"/>
      <c r="G639" s="72"/>
      <c r="H639" s="72"/>
    </row>
    <row r="640" ht="22.5" customHeight="1">
      <c r="A640" s="71"/>
      <c r="B640" s="72"/>
      <c r="C640" s="72"/>
      <c r="D640" s="72"/>
      <c r="E640" s="72"/>
      <c r="F640" s="72"/>
      <c r="G640" s="72"/>
      <c r="H640" s="72"/>
    </row>
    <row r="641" ht="22.5" customHeight="1">
      <c r="A641" s="71"/>
      <c r="B641" s="72"/>
      <c r="C641" s="72"/>
      <c r="D641" s="72"/>
      <c r="E641" s="72"/>
      <c r="F641" s="72"/>
      <c r="G641" s="72"/>
      <c r="H641" s="72"/>
    </row>
    <row r="642" ht="22.5" customHeight="1">
      <c r="A642" s="71"/>
      <c r="B642" s="72"/>
      <c r="C642" s="72"/>
      <c r="D642" s="72"/>
      <c r="E642" s="72"/>
      <c r="F642" s="72"/>
      <c r="G642" s="72"/>
      <c r="H642" s="72"/>
    </row>
    <row r="643" ht="22.5" customHeight="1">
      <c r="A643" s="71"/>
      <c r="B643" s="72"/>
      <c r="C643" s="72"/>
      <c r="D643" s="72"/>
      <c r="E643" s="72"/>
      <c r="F643" s="72"/>
      <c r="G643" s="72"/>
      <c r="H643" s="72"/>
    </row>
    <row r="644" ht="22.5" customHeight="1">
      <c r="A644" s="71"/>
      <c r="B644" s="72"/>
      <c r="C644" s="72"/>
      <c r="D644" s="72"/>
      <c r="E644" s="72"/>
      <c r="F644" s="72"/>
      <c r="G644" s="72"/>
      <c r="H644" s="72"/>
    </row>
    <row r="645" ht="22.5" customHeight="1">
      <c r="A645" s="71"/>
      <c r="B645" s="72"/>
      <c r="C645" s="72"/>
      <c r="D645" s="72"/>
      <c r="E645" s="72"/>
      <c r="F645" s="72"/>
      <c r="G645" s="72"/>
      <c r="H645" s="72"/>
    </row>
    <row r="646" ht="22.5" customHeight="1">
      <c r="A646" s="71"/>
      <c r="B646" s="72"/>
      <c r="C646" s="72"/>
      <c r="D646" s="72"/>
      <c r="E646" s="72"/>
      <c r="F646" s="72"/>
      <c r="G646" s="72"/>
      <c r="H646" s="72"/>
    </row>
    <row r="647" ht="22.5" customHeight="1">
      <c r="A647" s="71"/>
      <c r="B647" s="72"/>
      <c r="C647" s="72"/>
      <c r="D647" s="72"/>
      <c r="E647" s="72"/>
      <c r="F647" s="72"/>
      <c r="G647" s="72"/>
      <c r="H647" s="72"/>
    </row>
    <row r="648" ht="22.5" customHeight="1">
      <c r="A648" s="71"/>
      <c r="B648" s="72"/>
      <c r="C648" s="72"/>
      <c r="D648" s="72"/>
      <c r="E648" s="72"/>
      <c r="F648" s="72"/>
      <c r="G648" s="72"/>
      <c r="H648" s="72"/>
    </row>
    <row r="649" ht="22.5" customHeight="1">
      <c r="A649" s="71"/>
      <c r="B649" s="72"/>
      <c r="C649" s="72"/>
      <c r="D649" s="72"/>
      <c r="E649" s="72"/>
      <c r="F649" s="72"/>
      <c r="G649" s="72"/>
      <c r="H649" s="72"/>
    </row>
    <row r="650" ht="22.5" customHeight="1">
      <c r="A650" s="71"/>
      <c r="B650" s="72"/>
      <c r="C650" s="72"/>
      <c r="D650" s="72"/>
      <c r="E650" s="72"/>
      <c r="F650" s="72"/>
      <c r="G650" s="72"/>
      <c r="H650" s="72"/>
    </row>
    <row r="651" ht="22.5" customHeight="1">
      <c r="A651" s="71"/>
      <c r="B651" s="72"/>
      <c r="C651" s="72"/>
      <c r="D651" s="72"/>
      <c r="E651" s="72"/>
      <c r="F651" s="72"/>
      <c r="G651" s="72"/>
      <c r="H651" s="72"/>
    </row>
    <row r="652" ht="22.5" customHeight="1">
      <c r="A652" s="71"/>
      <c r="B652" s="72"/>
      <c r="C652" s="72"/>
      <c r="D652" s="72"/>
      <c r="E652" s="72"/>
      <c r="F652" s="72"/>
      <c r="G652" s="72"/>
      <c r="H652" s="72"/>
    </row>
    <row r="653" ht="22.5" customHeight="1">
      <c r="A653" s="71"/>
      <c r="B653" s="72"/>
      <c r="C653" s="72"/>
      <c r="D653" s="72"/>
      <c r="E653" s="72"/>
      <c r="F653" s="72"/>
      <c r="G653" s="72"/>
      <c r="H653" s="72"/>
    </row>
    <row r="654" ht="22.5" customHeight="1">
      <c r="A654" s="71"/>
      <c r="B654" s="72"/>
      <c r="C654" s="72"/>
      <c r="D654" s="72"/>
      <c r="E654" s="72"/>
      <c r="F654" s="72"/>
      <c r="G654" s="72"/>
      <c r="H654" s="72"/>
    </row>
    <row r="655" ht="22.5" customHeight="1">
      <c r="A655" s="71"/>
      <c r="B655" s="72"/>
      <c r="C655" s="72"/>
      <c r="D655" s="72"/>
      <c r="E655" s="72"/>
      <c r="F655" s="72"/>
      <c r="G655" s="72"/>
      <c r="H655" s="72"/>
    </row>
    <row r="656" ht="22.5" customHeight="1">
      <c r="A656" s="71"/>
      <c r="B656" s="72"/>
      <c r="C656" s="72"/>
      <c r="D656" s="72"/>
      <c r="E656" s="72"/>
      <c r="F656" s="72"/>
      <c r="G656" s="72"/>
      <c r="H656" s="72"/>
    </row>
    <row r="657" ht="22.5" customHeight="1">
      <c r="A657" s="71"/>
      <c r="B657" s="72"/>
      <c r="C657" s="72"/>
      <c r="D657" s="72"/>
      <c r="E657" s="72"/>
      <c r="F657" s="72"/>
      <c r="G657" s="72"/>
      <c r="H657" s="72"/>
    </row>
    <row r="658" ht="22.5" customHeight="1">
      <c r="A658" s="71"/>
      <c r="B658" s="72"/>
      <c r="C658" s="72"/>
      <c r="D658" s="72"/>
      <c r="E658" s="72"/>
      <c r="F658" s="72"/>
      <c r="G658" s="72"/>
      <c r="H658" s="72"/>
    </row>
    <row r="659" ht="22.5" customHeight="1">
      <c r="A659" s="71"/>
      <c r="B659" s="72"/>
      <c r="C659" s="72"/>
      <c r="D659" s="72"/>
      <c r="E659" s="72"/>
      <c r="F659" s="72"/>
      <c r="G659" s="72"/>
      <c r="H659" s="72"/>
    </row>
    <row r="660" ht="22.5" customHeight="1">
      <c r="A660" s="71"/>
      <c r="B660" s="72"/>
      <c r="C660" s="72"/>
      <c r="D660" s="72"/>
      <c r="E660" s="72"/>
      <c r="F660" s="72"/>
      <c r="G660" s="72"/>
      <c r="H660" s="72"/>
    </row>
    <row r="661" ht="22.5" customHeight="1">
      <c r="A661" s="71"/>
      <c r="B661" s="72"/>
      <c r="C661" s="72"/>
      <c r="D661" s="72"/>
      <c r="E661" s="72"/>
      <c r="F661" s="72"/>
      <c r="G661" s="72"/>
      <c r="H661" s="72"/>
    </row>
    <row r="662" ht="22.5" customHeight="1">
      <c r="A662" s="71"/>
      <c r="B662" s="72"/>
      <c r="C662" s="72"/>
      <c r="D662" s="72"/>
      <c r="E662" s="72"/>
      <c r="F662" s="72"/>
      <c r="G662" s="72"/>
      <c r="H662" s="72"/>
    </row>
    <row r="663" ht="22.5" customHeight="1">
      <c r="A663" s="71"/>
      <c r="B663" s="72"/>
      <c r="C663" s="72"/>
      <c r="D663" s="72"/>
      <c r="E663" s="72"/>
      <c r="F663" s="72"/>
      <c r="G663" s="72"/>
      <c r="H663" s="72"/>
    </row>
    <row r="664" ht="22.5" customHeight="1">
      <c r="A664" s="71"/>
      <c r="B664" s="72"/>
      <c r="C664" s="72"/>
      <c r="D664" s="72"/>
      <c r="E664" s="72"/>
      <c r="F664" s="72"/>
      <c r="G664" s="72"/>
      <c r="H664" s="72"/>
    </row>
    <row r="665" ht="22.5" customHeight="1">
      <c r="A665" s="71"/>
      <c r="B665" s="72"/>
      <c r="C665" s="72"/>
      <c r="D665" s="72"/>
      <c r="E665" s="72"/>
      <c r="F665" s="72"/>
      <c r="G665" s="72"/>
      <c r="H665" s="72"/>
    </row>
    <row r="666" ht="22.5" customHeight="1">
      <c r="A666" s="71"/>
      <c r="B666" s="72"/>
      <c r="C666" s="72"/>
      <c r="D666" s="72"/>
      <c r="E666" s="72"/>
      <c r="F666" s="72"/>
      <c r="G666" s="72"/>
      <c r="H666" s="72"/>
    </row>
    <row r="667" ht="22.5" customHeight="1">
      <c r="A667" s="71"/>
      <c r="B667" s="72"/>
      <c r="C667" s="72"/>
      <c r="D667" s="72"/>
      <c r="E667" s="72"/>
      <c r="F667" s="72"/>
      <c r="G667" s="72"/>
      <c r="H667" s="72"/>
    </row>
    <row r="668" ht="22.5" customHeight="1">
      <c r="A668" s="71"/>
      <c r="B668" s="72"/>
      <c r="C668" s="72"/>
      <c r="D668" s="72"/>
      <c r="E668" s="72"/>
      <c r="F668" s="72"/>
      <c r="G668" s="72"/>
      <c r="H668" s="72"/>
    </row>
    <row r="669" ht="22.5" customHeight="1">
      <c r="A669" s="71"/>
      <c r="B669" s="72"/>
      <c r="C669" s="72"/>
      <c r="D669" s="72"/>
      <c r="E669" s="72"/>
      <c r="F669" s="72"/>
      <c r="G669" s="72"/>
      <c r="H669" s="72"/>
    </row>
    <row r="670" ht="22.5" customHeight="1">
      <c r="A670" s="71"/>
      <c r="B670" s="72"/>
      <c r="C670" s="72"/>
      <c r="D670" s="72"/>
      <c r="E670" s="72"/>
      <c r="F670" s="72"/>
      <c r="G670" s="72"/>
      <c r="H670" s="72"/>
    </row>
    <row r="671" ht="22.5" customHeight="1">
      <c r="A671" s="71"/>
      <c r="B671" s="72"/>
      <c r="C671" s="72"/>
      <c r="D671" s="72"/>
      <c r="E671" s="72"/>
      <c r="F671" s="72"/>
      <c r="G671" s="72"/>
      <c r="H671" s="72"/>
    </row>
    <row r="672" ht="22.5" customHeight="1">
      <c r="A672" s="71"/>
      <c r="B672" s="72"/>
      <c r="C672" s="72"/>
      <c r="D672" s="72"/>
      <c r="E672" s="72"/>
      <c r="F672" s="72"/>
      <c r="G672" s="72"/>
      <c r="H672" s="72"/>
    </row>
    <row r="673" ht="22.5" customHeight="1">
      <c r="A673" s="71"/>
      <c r="B673" s="72"/>
      <c r="C673" s="72"/>
      <c r="D673" s="72"/>
      <c r="E673" s="72"/>
      <c r="F673" s="72"/>
      <c r="G673" s="72"/>
      <c r="H673" s="72"/>
    </row>
    <row r="674" ht="22.5" customHeight="1">
      <c r="A674" s="71"/>
      <c r="B674" s="72"/>
      <c r="C674" s="72"/>
      <c r="D674" s="72"/>
      <c r="E674" s="72"/>
      <c r="F674" s="72"/>
      <c r="G674" s="72"/>
      <c r="H674" s="72"/>
    </row>
    <row r="675" ht="22.5" customHeight="1">
      <c r="A675" s="71"/>
      <c r="B675" s="72"/>
      <c r="C675" s="72"/>
      <c r="D675" s="72"/>
      <c r="E675" s="72"/>
      <c r="F675" s="72"/>
      <c r="G675" s="72"/>
      <c r="H675" s="72"/>
    </row>
    <row r="676" ht="22.5" customHeight="1">
      <c r="A676" s="71"/>
      <c r="B676" s="72"/>
      <c r="C676" s="72"/>
      <c r="D676" s="72"/>
      <c r="E676" s="72"/>
      <c r="F676" s="72"/>
      <c r="G676" s="72"/>
      <c r="H676" s="72"/>
    </row>
    <row r="677" ht="22.5" customHeight="1">
      <c r="A677" s="71"/>
      <c r="B677" s="72"/>
      <c r="C677" s="72"/>
      <c r="D677" s="72"/>
      <c r="E677" s="72"/>
      <c r="F677" s="72"/>
      <c r="G677" s="72"/>
      <c r="H677" s="72"/>
    </row>
    <row r="678" ht="22.5" customHeight="1">
      <c r="A678" s="71"/>
      <c r="B678" s="72"/>
      <c r="C678" s="72"/>
      <c r="D678" s="72"/>
      <c r="E678" s="72"/>
      <c r="F678" s="72"/>
      <c r="G678" s="72"/>
      <c r="H678" s="72"/>
    </row>
    <row r="679" ht="22.5" customHeight="1">
      <c r="A679" s="71"/>
      <c r="B679" s="72"/>
      <c r="C679" s="72"/>
      <c r="D679" s="72"/>
      <c r="E679" s="72"/>
      <c r="F679" s="72"/>
      <c r="G679" s="72"/>
      <c r="H679" s="72"/>
    </row>
    <row r="680" ht="22.5" customHeight="1">
      <c r="A680" s="71"/>
      <c r="B680" s="72"/>
      <c r="C680" s="72"/>
      <c r="D680" s="72"/>
      <c r="E680" s="72"/>
      <c r="F680" s="72"/>
      <c r="G680" s="72"/>
      <c r="H680" s="72"/>
    </row>
    <row r="681" ht="22.5" customHeight="1">
      <c r="A681" s="71"/>
      <c r="B681" s="72"/>
      <c r="C681" s="72"/>
      <c r="D681" s="72"/>
      <c r="E681" s="72"/>
      <c r="F681" s="72"/>
      <c r="G681" s="72"/>
      <c r="H681" s="72"/>
    </row>
    <row r="682" ht="22.5" customHeight="1">
      <c r="A682" s="71"/>
      <c r="B682" s="72"/>
      <c r="C682" s="72"/>
      <c r="D682" s="72"/>
      <c r="E682" s="72"/>
      <c r="F682" s="72"/>
      <c r="G682" s="72"/>
      <c r="H682" s="72"/>
    </row>
    <row r="683" ht="22.5" customHeight="1">
      <c r="A683" s="71"/>
      <c r="B683" s="72"/>
      <c r="C683" s="72"/>
      <c r="D683" s="72"/>
      <c r="E683" s="72"/>
      <c r="F683" s="72"/>
      <c r="G683" s="72"/>
      <c r="H683" s="72"/>
    </row>
    <row r="684" ht="22.5" customHeight="1">
      <c r="A684" s="71"/>
      <c r="B684" s="72"/>
      <c r="C684" s="72"/>
      <c r="D684" s="72"/>
      <c r="E684" s="72"/>
      <c r="F684" s="72"/>
      <c r="G684" s="72"/>
      <c r="H684" s="72"/>
    </row>
    <row r="685" ht="22.5" customHeight="1">
      <c r="A685" s="71"/>
      <c r="B685" s="72"/>
      <c r="C685" s="72"/>
      <c r="D685" s="72"/>
      <c r="E685" s="72"/>
      <c r="F685" s="72"/>
      <c r="G685" s="72"/>
      <c r="H685" s="72"/>
    </row>
    <row r="686" ht="22.5" customHeight="1">
      <c r="A686" s="71"/>
      <c r="B686" s="72"/>
      <c r="C686" s="72"/>
      <c r="D686" s="72"/>
      <c r="E686" s="72"/>
      <c r="F686" s="72"/>
      <c r="G686" s="72"/>
      <c r="H686" s="72"/>
    </row>
    <row r="687" ht="22.5" customHeight="1">
      <c r="A687" s="71"/>
      <c r="B687" s="72"/>
      <c r="C687" s="72"/>
      <c r="D687" s="72"/>
      <c r="E687" s="72"/>
      <c r="F687" s="72"/>
      <c r="G687" s="72"/>
      <c r="H687" s="72"/>
    </row>
    <row r="688" ht="22.5" customHeight="1">
      <c r="A688" s="71"/>
      <c r="B688" s="72"/>
      <c r="C688" s="72"/>
      <c r="D688" s="72"/>
      <c r="E688" s="72"/>
      <c r="F688" s="72"/>
      <c r="G688" s="72"/>
      <c r="H688" s="72"/>
    </row>
    <row r="689" ht="22.5" customHeight="1">
      <c r="A689" s="71"/>
      <c r="B689" s="72"/>
      <c r="C689" s="72"/>
      <c r="D689" s="72"/>
      <c r="E689" s="72"/>
      <c r="F689" s="72"/>
      <c r="G689" s="72"/>
      <c r="H689" s="72"/>
    </row>
    <row r="690" ht="22.5" customHeight="1">
      <c r="A690" s="71"/>
      <c r="B690" s="72"/>
      <c r="C690" s="72"/>
      <c r="D690" s="72"/>
      <c r="E690" s="72"/>
      <c r="F690" s="72"/>
      <c r="G690" s="72"/>
      <c r="H690" s="72"/>
    </row>
    <row r="691" ht="22.5" customHeight="1">
      <c r="A691" s="71"/>
      <c r="B691" s="72"/>
      <c r="C691" s="72"/>
      <c r="D691" s="72"/>
      <c r="E691" s="72"/>
      <c r="F691" s="72"/>
      <c r="G691" s="72"/>
      <c r="H691" s="72"/>
    </row>
    <row r="692" ht="22.5" customHeight="1">
      <c r="A692" s="71"/>
      <c r="B692" s="72"/>
      <c r="C692" s="72"/>
      <c r="D692" s="72"/>
      <c r="E692" s="72"/>
      <c r="F692" s="72"/>
      <c r="G692" s="72"/>
      <c r="H692" s="72"/>
    </row>
    <row r="693" ht="22.5" customHeight="1">
      <c r="A693" s="71"/>
      <c r="B693" s="72"/>
      <c r="C693" s="72"/>
      <c r="D693" s="72"/>
      <c r="E693" s="72"/>
      <c r="F693" s="72"/>
      <c r="G693" s="72"/>
      <c r="H693" s="72"/>
    </row>
    <row r="694" ht="22.5" customHeight="1">
      <c r="A694" s="71"/>
      <c r="B694" s="72"/>
      <c r="C694" s="72"/>
      <c r="D694" s="72"/>
      <c r="E694" s="72"/>
      <c r="F694" s="72"/>
      <c r="G694" s="72"/>
      <c r="H694" s="72"/>
    </row>
    <row r="695" ht="22.5" customHeight="1">
      <c r="A695" s="71"/>
      <c r="B695" s="72"/>
      <c r="C695" s="72"/>
      <c r="D695" s="72"/>
      <c r="E695" s="72"/>
      <c r="F695" s="72"/>
      <c r="G695" s="72"/>
      <c r="H695" s="72"/>
    </row>
    <row r="696" ht="22.5" customHeight="1">
      <c r="A696" s="71"/>
      <c r="B696" s="72"/>
      <c r="C696" s="72"/>
      <c r="D696" s="72"/>
      <c r="E696" s="72"/>
      <c r="F696" s="72"/>
      <c r="G696" s="72"/>
      <c r="H696" s="72"/>
    </row>
    <row r="697" ht="22.5" customHeight="1">
      <c r="A697" s="71"/>
      <c r="B697" s="72"/>
      <c r="C697" s="72"/>
      <c r="D697" s="72"/>
      <c r="E697" s="72"/>
      <c r="F697" s="72"/>
      <c r="G697" s="72"/>
      <c r="H697" s="72"/>
    </row>
    <row r="698" ht="22.5" customHeight="1">
      <c r="A698" s="71"/>
      <c r="B698" s="72"/>
      <c r="C698" s="72"/>
      <c r="D698" s="72"/>
      <c r="E698" s="72"/>
      <c r="F698" s="72"/>
      <c r="G698" s="72"/>
      <c r="H698" s="72"/>
    </row>
    <row r="699" ht="22.5" customHeight="1">
      <c r="A699" s="71"/>
      <c r="B699" s="72"/>
      <c r="C699" s="72"/>
      <c r="D699" s="72"/>
      <c r="E699" s="72"/>
      <c r="F699" s="72"/>
      <c r="G699" s="72"/>
      <c r="H699" s="72"/>
    </row>
    <row r="700" ht="22.5" customHeight="1">
      <c r="A700" s="71"/>
      <c r="B700" s="72"/>
      <c r="C700" s="72"/>
      <c r="D700" s="72"/>
      <c r="E700" s="72"/>
      <c r="F700" s="72"/>
      <c r="G700" s="72"/>
      <c r="H700" s="72"/>
    </row>
    <row r="701" ht="22.5" customHeight="1">
      <c r="A701" s="71"/>
      <c r="B701" s="72"/>
      <c r="C701" s="72"/>
      <c r="D701" s="72"/>
      <c r="E701" s="72"/>
      <c r="F701" s="72"/>
      <c r="G701" s="72"/>
      <c r="H701" s="72"/>
    </row>
    <row r="702" ht="22.5" customHeight="1">
      <c r="A702" s="71"/>
      <c r="B702" s="72"/>
      <c r="C702" s="72"/>
      <c r="D702" s="72"/>
      <c r="E702" s="72"/>
      <c r="F702" s="72"/>
      <c r="G702" s="72"/>
      <c r="H702" s="72"/>
    </row>
    <row r="703" ht="22.5" customHeight="1">
      <c r="A703" s="71"/>
      <c r="B703" s="72"/>
      <c r="C703" s="72"/>
      <c r="D703" s="72"/>
      <c r="E703" s="72"/>
      <c r="F703" s="72"/>
      <c r="G703" s="72"/>
      <c r="H703" s="72"/>
    </row>
    <row r="704" ht="22.5" customHeight="1">
      <c r="A704" s="71"/>
      <c r="B704" s="72"/>
      <c r="C704" s="72"/>
      <c r="D704" s="72"/>
      <c r="E704" s="72"/>
      <c r="F704" s="72"/>
      <c r="G704" s="72"/>
      <c r="H704" s="72"/>
    </row>
    <row r="705" ht="22.5" customHeight="1">
      <c r="A705" s="71"/>
      <c r="B705" s="72"/>
      <c r="C705" s="72"/>
      <c r="D705" s="72"/>
      <c r="E705" s="72"/>
      <c r="F705" s="72"/>
      <c r="G705" s="72"/>
      <c r="H705" s="72"/>
    </row>
    <row r="706" ht="22.5" customHeight="1">
      <c r="A706" s="71"/>
      <c r="B706" s="72"/>
      <c r="C706" s="72"/>
      <c r="D706" s="72"/>
      <c r="E706" s="72"/>
      <c r="F706" s="72"/>
      <c r="G706" s="72"/>
      <c r="H706" s="72"/>
    </row>
    <row r="707" ht="22.5" customHeight="1">
      <c r="A707" s="71"/>
      <c r="B707" s="72"/>
      <c r="C707" s="72"/>
      <c r="D707" s="72"/>
      <c r="E707" s="72"/>
      <c r="F707" s="72"/>
      <c r="G707" s="72"/>
      <c r="H707" s="72"/>
    </row>
    <row r="708" ht="22.5" customHeight="1">
      <c r="A708" s="71"/>
      <c r="B708" s="72"/>
      <c r="C708" s="72"/>
      <c r="D708" s="72"/>
      <c r="E708" s="72"/>
      <c r="F708" s="72"/>
      <c r="G708" s="72"/>
      <c r="H708" s="72"/>
    </row>
    <row r="709" ht="22.5" customHeight="1">
      <c r="A709" s="71"/>
      <c r="B709" s="72"/>
      <c r="C709" s="72"/>
      <c r="D709" s="72"/>
      <c r="E709" s="72"/>
      <c r="F709" s="72"/>
      <c r="G709" s="72"/>
      <c r="H709" s="72"/>
    </row>
    <row r="710" ht="22.5" customHeight="1">
      <c r="A710" s="71"/>
      <c r="B710" s="72"/>
      <c r="C710" s="72"/>
      <c r="D710" s="72"/>
      <c r="E710" s="72"/>
      <c r="F710" s="72"/>
      <c r="G710" s="72"/>
      <c r="H710" s="72"/>
    </row>
    <row r="711" ht="22.5" customHeight="1">
      <c r="A711" s="71"/>
      <c r="B711" s="72"/>
      <c r="C711" s="72"/>
      <c r="D711" s="72"/>
      <c r="E711" s="72"/>
      <c r="F711" s="72"/>
      <c r="G711" s="72"/>
      <c r="H711" s="72"/>
    </row>
    <row r="712" ht="22.5" customHeight="1">
      <c r="A712" s="71"/>
      <c r="B712" s="72"/>
      <c r="C712" s="72"/>
      <c r="D712" s="72"/>
      <c r="E712" s="72"/>
      <c r="F712" s="72"/>
      <c r="G712" s="72"/>
      <c r="H712" s="72"/>
    </row>
    <row r="713" ht="22.5" customHeight="1">
      <c r="A713" s="71"/>
      <c r="B713" s="72"/>
      <c r="C713" s="72"/>
      <c r="D713" s="72"/>
      <c r="E713" s="72"/>
      <c r="F713" s="72"/>
      <c r="G713" s="72"/>
      <c r="H713" s="72"/>
    </row>
    <row r="714" ht="22.5" customHeight="1">
      <c r="A714" s="71"/>
      <c r="B714" s="72"/>
      <c r="C714" s="72"/>
      <c r="D714" s="72"/>
      <c r="E714" s="72"/>
      <c r="F714" s="72"/>
      <c r="G714" s="72"/>
      <c r="H714" s="72"/>
    </row>
    <row r="715" ht="22.5" customHeight="1">
      <c r="A715" s="71"/>
      <c r="B715" s="72"/>
      <c r="C715" s="72"/>
      <c r="D715" s="72"/>
      <c r="E715" s="72"/>
      <c r="F715" s="72"/>
      <c r="G715" s="72"/>
      <c r="H715" s="72"/>
    </row>
    <row r="716" ht="22.5" customHeight="1">
      <c r="A716" s="71"/>
      <c r="B716" s="72"/>
      <c r="C716" s="72"/>
      <c r="D716" s="72"/>
      <c r="E716" s="72"/>
      <c r="F716" s="72"/>
      <c r="G716" s="72"/>
      <c r="H716" s="72"/>
    </row>
    <row r="717" ht="22.5" customHeight="1">
      <c r="A717" s="71"/>
      <c r="B717" s="72"/>
      <c r="C717" s="72"/>
      <c r="D717" s="72"/>
      <c r="E717" s="72"/>
      <c r="F717" s="72"/>
      <c r="G717" s="72"/>
      <c r="H717" s="72"/>
    </row>
    <row r="718" ht="22.5" customHeight="1">
      <c r="A718" s="71"/>
      <c r="B718" s="72"/>
      <c r="C718" s="72"/>
      <c r="D718" s="72"/>
      <c r="E718" s="72"/>
      <c r="F718" s="72"/>
      <c r="G718" s="72"/>
      <c r="H718" s="72"/>
    </row>
    <row r="719" ht="22.5" customHeight="1">
      <c r="A719" s="71"/>
      <c r="B719" s="72"/>
      <c r="C719" s="72"/>
      <c r="D719" s="72"/>
      <c r="E719" s="72"/>
      <c r="F719" s="72"/>
      <c r="G719" s="72"/>
      <c r="H719" s="72"/>
    </row>
    <row r="720" ht="22.5" customHeight="1">
      <c r="A720" s="71"/>
      <c r="B720" s="72"/>
      <c r="C720" s="72"/>
      <c r="D720" s="72"/>
      <c r="E720" s="72"/>
      <c r="F720" s="72"/>
      <c r="G720" s="72"/>
      <c r="H720" s="72"/>
    </row>
    <row r="721" ht="22.5" customHeight="1">
      <c r="A721" s="71"/>
      <c r="B721" s="72"/>
      <c r="C721" s="72"/>
      <c r="D721" s="72"/>
      <c r="E721" s="72"/>
      <c r="F721" s="72"/>
      <c r="G721" s="72"/>
      <c r="H721" s="72"/>
    </row>
    <row r="722" ht="22.5" customHeight="1">
      <c r="A722" s="71"/>
      <c r="B722" s="72"/>
      <c r="C722" s="72"/>
      <c r="D722" s="72"/>
      <c r="E722" s="72"/>
      <c r="F722" s="72"/>
      <c r="G722" s="72"/>
      <c r="H722" s="72"/>
    </row>
    <row r="723" ht="22.5" customHeight="1">
      <c r="A723" s="71"/>
      <c r="B723" s="72"/>
      <c r="C723" s="72"/>
      <c r="D723" s="72"/>
      <c r="E723" s="72"/>
      <c r="F723" s="72"/>
      <c r="G723" s="72"/>
      <c r="H723" s="72"/>
    </row>
    <row r="724" ht="22.5" customHeight="1">
      <c r="A724" s="71"/>
      <c r="B724" s="72"/>
      <c r="C724" s="72"/>
      <c r="D724" s="72"/>
      <c r="E724" s="72"/>
      <c r="F724" s="72"/>
      <c r="G724" s="72"/>
      <c r="H724" s="72"/>
    </row>
    <row r="725" ht="22.5" customHeight="1">
      <c r="A725" s="71"/>
      <c r="B725" s="72"/>
      <c r="C725" s="72"/>
      <c r="D725" s="72"/>
      <c r="E725" s="72"/>
      <c r="F725" s="72"/>
      <c r="G725" s="72"/>
      <c r="H725" s="72"/>
    </row>
    <row r="726" ht="22.5" customHeight="1">
      <c r="A726" s="71"/>
      <c r="B726" s="72"/>
      <c r="C726" s="72"/>
      <c r="D726" s="72"/>
      <c r="E726" s="72"/>
      <c r="F726" s="72"/>
      <c r="G726" s="72"/>
      <c r="H726" s="72"/>
    </row>
    <row r="727" ht="22.5" customHeight="1">
      <c r="A727" s="71"/>
      <c r="B727" s="72"/>
      <c r="C727" s="72"/>
      <c r="D727" s="72"/>
      <c r="E727" s="72"/>
      <c r="F727" s="72"/>
      <c r="G727" s="72"/>
      <c r="H727" s="72"/>
    </row>
    <row r="728" ht="22.5" customHeight="1">
      <c r="A728" s="71"/>
      <c r="B728" s="72"/>
      <c r="C728" s="72"/>
      <c r="D728" s="72"/>
      <c r="E728" s="72"/>
      <c r="F728" s="72"/>
      <c r="G728" s="72"/>
      <c r="H728" s="72"/>
    </row>
    <row r="729" ht="22.5" customHeight="1">
      <c r="A729" s="71"/>
      <c r="B729" s="72"/>
      <c r="C729" s="72"/>
      <c r="D729" s="72"/>
      <c r="E729" s="72"/>
      <c r="F729" s="72"/>
      <c r="G729" s="72"/>
      <c r="H729" s="72"/>
    </row>
    <row r="730" ht="22.5" customHeight="1">
      <c r="A730" s="71"/>
      <c r="B730" s="72"/>
      <c r="C730" s="72"/>
      <c r="D730" s="72"/>
      <c r="E730" s="72"/>
      <c r="F730" s="72"/>
      <c r="G730" s="72"/>
      <c r="H730" s="72"/>
    </row>
    <row r="731" ht="22.5" customHeight="1">
      <c r="A731" s="71"/>
      <c r="B731" s="72"/>
      <c r="C731" s="72"/>
      <c r="D731" s="72"/>
      <c r="E731" s="72"/>
      <c r="F731" s="72"/>
      <c r="G731" s="72"/>
      <c r="H731" s="72"/>
    </row>
    <row r="732" ht="22.5" customHeight="1">
      <c r="A732" s="71"/>
      <c r="B732" s="72"/>
      <c r="C732" s="72"/>
      <c r="D732" s="72"/>
      <c r="E732" s="72"/>
      <c r="F732" s="72"/>
      <c r="G732" s="72"/>
      <c r="H732" s="72"/>
    </row>
    <row r="733" ht="22.5" customHeight="1">
      <c r="A733" s="71"/>
      <c r="B733" s="72"/>
      <c r="C733" s="72"/>
      <c r="D733" s="72"/>
      <c r="E733" s="72"/>
      <c r="F733" s="72"/>
      <c r="G733" s="72"/>
      <c r="H733" s="72"/>
    </row>
    <row r="734" ht="22.5" customHeight="1">
      <c r="A734" s="71"/>
      <c r="B734" s="72"/>
      <c r="C734" s="72"/>
      <c r="D734" s="72"/>
      <c r="E734" s="72"/>
      <c r="F734" s="72"/>
      <c r="G734" s="72"/>
      <c r="H734" s="72"/>
    </row>
    <row r="735" ht="22.5" customHeight="1">
      <c r="A735" s="71"/>
      <c r="B735" s="72"/>
      <c r="C735" s="72"/>
      <c r="D735" s="72"/>
      <c r="E735" s="72"/>
      <c r="F735" s="72"/>
      <c r="G735" s="72"/>
      <c r="H735" s="72"/>
    </row>
    <row r="736" ht="22.5" customHeight="1">
      <c r="A736" s="71"/>
      <c r="B736" s="72"/>
      <c r="C736" s="72"/>
      <c r="D736" s="72"/>
      <c r="E736" s="72"/>
      <c r="F736" s="72"/>
      <c r="G736" s="72"/>
      <c r="H736" s="72"/>
    </row>
    <row r="737" ht="22.5" customHeight="1">
      <c r="A737" s="71"/>
      <c r="B737" s="72"/>
      <c r="C737" s="72"/>
      <c r="D737" s="72"/>
      <c r="E737" s="72"/>
      <c r="F737" s="72"/>
      <c r="G737" s="72"/>
      <c r="H737" s="72"/>
    </row>
    <row r="738" ht="22.5" customHeight="1">
      <c r="A738" s="71"/>
      <c r="B738" s="72"/>
      <c r="C738" s="72"/>
      <c r="D738" s="72"/>
      <c r="E738" s="72"/>
      <c r="F738" s="72"/>
      <c r="G738" s="72"/>
      <c r="H738" s="72"/>
    </row>
    <row r="739" ht="22.5" customHeight="1">
      <c r="A739" s="71"/>
      <c r="B739" s="72"/>
      <c r="C739" s="72"/>
      <c r="D739" s="72"/>
      <c r="E739" s="72"/>
      <c r="F739" s="72"/>
      <c r="G739" s="72"/>
      <c r="H739" s="72"/>
    </row>
    <row r="740" ht="22.5" customHeight="1">
      <c r="A740" s="71"/>
      <c r="B740" s="72"/>
      <c r="C740" s="72"/>
      <c r="D740" s="72"/>
      <c r="E740" s="72"/>
      <c r="F740" s="72"/>
      <c r="G740" s="72"/>
      <c r="H740" s="72"/>
    </row>
    <row r="741" ht="22.5" customHeight="1">
      <c r="A741" s="71"/>
      <c r="B741" s="72"/>
      <c r="C741" s="72"/>
      <c r="D741" s="72"/>
      <c r="E741" s="72"/>
      <c r="F741" s="72"/>
      <c r="G741" s="72"/>
      <c r="H741" s="72"/>
    </row>
    <row r="742" ht="22.5" customHeight="1">
      <c r="A742" s="71"/>
      <c r="B742" s="72"/>
      <c r="C742" s="72"/>
      <c r="D742" s="72"/>
      <c r="E742" s="72"/>
      <c r="F742" s="72"/>
      <c r="G742" s="72"/>
      <c r="H742" s="72"/>
    </row>
    <row r="743" ht="22.5" customHeight="1">
      <c r="A743" s="71"/>
      <c r="B743" s="72"/>
      <c r="C743" s="72"/>
      <c r="D743" s="72"/>
      <c r="E743" s="72"/>
      <c r="F743" s="72"/>
      <c r="G743" s="72"/>
      <c r="H743" s="72"/>
    </row>
    <row r="744" ht="22.5" customHeight="1">
      <c r="A744" s="71"/>
      <c r="B744" s="72"/>
      <c r="C744" s="72"/>
      <c r="D744" s="72"/>
      <c r="E744" s="72"/>
      <c r="F744" s="72"/>
      <c r="G744" s="72"/>
      <c r="H744" s="72"/>
    </row>
    <row r="745" ht="22.5" customHeight="1">
      <c r="A745" s="71"/>
      <c r="B745" s="72"/>
      <c r="C745" s="72"/>
      <c r="D745" s="72"/>
      <c r="E745" s="72"/>
      <c r="F745" s="72"/>
      <c r="G745" s="72"/>
      <c r="H745" s="72"/>
    </row>
    <row r="746" ht="22.5" customHeight="1">
      <c r="A746" s="71"/>
      <c r="B746" s="72"/>
      <c r="C746" s="72"/>
      <c r="D746" s="72"/>
      <c r="E746" s="72"/>
      <c r="F746" s="72"/>
      <c r="G746" s="72"/>
      <c r="H746" s="72"/>
    </row>
    <row r="747" ht="22.5" customHeight="1">
      <c r="A747" s="71"/>
      <c r="B747" s="72"/>
      <c r="C747" s="72"/>
      <c r="D747" s="72"/>
      <c r="E747" s="72"/>
      <c r="F747" s="72"/>
      <c r="G747" s="72"/>
      <c r="H747" s="72"/>
    </row>
    <row r="748" ht="22.5" customHeight="1">
      <c r="A748" s="71"/>
      <c r="B748" s="72"/>
      <c r="C748" s="72"/>
      <c r="D748" s="72"/>
      <c r="E748" s="72"/>
      <c r="F748" s="72"/>
      <c r="G748" s="72"/>
      <c r="H748" s="72"/>
    </row>
    <row r="749" ht="22.5" customHeight="1">
      <c r="A749" s="71"/>
      <c r="B749" s="72"/>
      <c r="C749" s="72"/>
      <c r="D749" s="72"/>
      <c r="E749" s="72"/>
      <c r="F749" s="72"/>
      <c r="G749" s="72"/>
      <c r="H749" s="72"/>
    </row>
    <row r="750" ht="22.5" customHeight="1">
      <c r="A750" s="71"/>
      <c r="B750" s="72"/>
      <c r="C750" s="72"/>
      <c r="D750" s="72"/>
      <c r="E750" s="72"/>
      <c r="F750" s="72"/>
      <c r="G750" s="72"/>
      <c r="H750" s="72"/>
    </row>
    <row r="751" ht="22.5" customHeight="1">
      <c r="A751" s="71"/>
      <c r="B751" s="72"/>
      <c r="C751" s="72"/>
      <c r="D751" s="72"/>
      <c r="E751" s="72"/>
      <c r="F751" s="72"/>
      <c r="G751" s="72"/>
      <c r="H751" s="72"/>
    </row>
    <row r="752" ht="22.5" customHeight="1">
      <c r="A752" s="71"/>
      <c r="B752" s="72"/>
      <c r="C752" s="72"/>
      <c r="D752" s="72"/>
      <c r="E752" s="72"/>
      <c r="F752" s="72"/>
      <c r="G752" s="72"/>
      <c r="H752" s="72"/>
    </row>
    <row r="753" ht="22.5" customHeight="1">
      <c r="A753" s="71"/>
      <c r="B753" s="72"/>
      <c r="C753" s="72"/>
      <c r="D753" s="72"/>
      <c r="E753" s="72"/>
      <c r="F753" s="72"/>
      <c r="G753" s="72"/>
      <c r="H753" s="72"/>
    </row>
    <row r="754" ht="22.5" customHeight="1">
      <c r="A754" s="71"/>
      <c r="B754" s="72"/>
      <c r="C754" s="72"/>
      <c r="D754" s="72"/>
      <c r="E754" s="72"/>
      <c r="F754" s="72"/>
      <c r="G754" s="72"/>
      <c r="H754" s="72"/>
    </row>
    <row r="755" ht="22.5" customHeight="1">
      <c r="A755" s="71"/>
      <c r="B755" s="72"/>
      <c r="C755" s="72"/>
      <c r="D755" s="72"/>
      <c r="E755" s="72"/>
      <c r="F755" s="72"/>
      <c r="G755" s="72"/>
      <c r="H755" s="72"/>
    </row>
    <row r="756" ht="22.5" customHeight="1">
      <c r="A756" s="71"/>
      <c r="B756" s="72"/>
      <c r="C756" s="72"/>
      <c r="D756" s="72"/>
      <c r="E756" s="72"/>
      <c r="F756" s="72"/>
      <c r="G756" s="72"/>
      <c r="H756" s="72"/>
    </row>
    <row r="757" ht="22.5" customHeight="1">
      <c r="A757" s="71"/>
      <c r="B757" s="72"/>
      <c r="C757" s="72"/>
      <c r="D757" s="72"/>
      <c r="E757" s="72"/>
      <c r="F757" s="72"/>
      <c r="G757" s="72"/>
      <c r="H757" s="72"/>
    </row>
    <row r="758" ht="22.5" customHeight="1">
      <c r="A758" s="71"/>
      <c r="B758" s="72"/>
      <c r="C758" s="72"/>
      <c r="D758" s="72"/>
      <c r="E758" s="72"/>
      <c r="F758" s="72"/>
      <c r="G758" s="72"/>
      <c r="H758" s="72"/>
    </row>
    <row r="759" ht="22.5" customHeight="1">
      <c r="A759" s="71"/>
      <c r="B759" s="72"/>
      <c r="C759" s="72"/>
      <c r="D759" s="72"/>
      <c r="E759" s="72"/>
      <c r="F759" s="72"/>
      <c r="G759" s="72"/>
      <c r="H759" s="72"/>
    </row>
    <row r="760" ht="22.5" customHeight="1">
      <c r="A760" s="71"/>
      <c r="B760" s="72"/>
      <c r="C760" s="72"/>
      <c r="D760" s="72"/>
      <c r="E760" s="72"/>
      <c r="F760" s="72"/>
      <c r="G760" s="72"/>
      <c r="H760" s="72"/>
    </row>
    <row r="761" ht="22.5" customHeight="1">
      <c r="A761" s="71"/>
      <c r="B761" s="72"/>
      <c r="C761" s="72"/>
      <c r="D761" s="72"/>
      <c r="E761" s="72"/>
      <c r="F761" s="72"/>
      <c r="G761" s="72"/>
      <c r="H761" s="72"/>
    </row>
    <row r="762" ht="22.5" customHeight="1">
      <c r="A762" s="71"/>
      <c r="B762" s="72"/>
      <c r="C762" s="72"/>
      <c r="D762" s="72"/>
      <c r="E762" s="72"/>
      <c r="F762" s="72"/>
      <c r="G762" s="72"/>
      <c r="H762" s="72"/>
    </row>
    <row r="763" ht="22.5" customHeight="1">
      <c r="A763" s="71"/>
      <c r="B763" s="72"/>
      <c r="C763" s="72"/>
      <c r="D763" s="72"/>
      <c r="E763" s="72"/>
      <c r="F763" s="72"/>
      <c r="G763" s="72"/>
      <c r="H763" s="72"/>
    </row>
    <row r="764" ht="22.5" customHeight="1">
      <c r="A764" s="71"/>
      <c r="B764" s="72"/>
      <c r="C764" s="72"/>
      <c r="D764" s="72"/>
      <c r="E764" s="72"/>
      <c r="F764" s="72"/>
      <c r="G764" s="72"/>
      <c r="H764" s="72"/>
    </row>
    <row r="765" ht="22.5" customHeight="1">
      <c r="A765" s="71"/>
      <c r="B765" s="72"/>
      <c r="C765" s="72"/>
      <c r="D765" s="72"/>
      <c r="E765" s="72"/>
      <c r="F765" s="72"/>
      <c r="G765" s="72"/>
      <c r="H765" s="72"/>
    </row>
    <row r="766" ht="22.5" customHeight="1">
      <c r="A766" s="71"/>
      <c r="B766" s="72"/>
      <c r="C766" s="72"/>
      <c r="D766" s="72"/>
      <c r="E766" s="72"/>
      <c r="F766" s="72"/>
      <c r="G766" s="72"/>
      <c r="H766" s="72"/>
    </row>
    <row r="767" ht="22.5" customHeight="1">
      <c r="A767" s="71"/>
      <c r="B767" s="72"/>
      <c r="C767" s="72"/>
      <c r="D767" s="72"/>
      <c r="E767" s="72"/>
      <c r="F767" s="72"/>
      <c r="G767" s="72"/>
      <c r="H767" s="72"/>
    </row>
    <row r="768" ht="22.5" customHeight="1">
      <c r="A768" s="71"/>
      <c r="B768" s="72"/>
      <c r="C768" s="72"/>
      <c r="D768" s="72"/>
      <c r="E768" s="72"/>
      <c r="F768" s="72"/>
      <c r="G768" s="72"/>
      <c r="H768" s="72"/>
    </row>
    <row r="769" ht="22.5" customHeight="1">
      <c r="A769" s="71"/>
      <c r="B769" s="72"/>
      <c r="C769" s="72"/>
      <c r="D769" s="72"/>
      <c r="E769" s="72"/>
      <c r="F769" s="72"/>
      <c r="G769" s="72"/>
      <c r="H769" s="72"/>
    </row>
    <row r="770" ht="22.5" customHeight="1">
      <c r="A770" s="71"/>
      <c r="B770" s="72"/>
      <c r="C770" s="72"/>
      <c r="D770" s="72"/>
      <c r="E770" s="72"/>
      <c r="F770" s="72"/>
      <c r="G770" s="72"/>
      <c r="H770" s="72"/>
    </row>
    <row r="771" ht="22.5" customHeight="1">
      <c r="A771" s="71"/>
      <c r="B771" s="72"/>
      <c r="C771" s="72"/>
      <c r="D771" s="72"/>
      <c r="E771" s="72"/>
      <c r="F771" s="72"/>
      <c r="G771" s="72"/>
      <c r="H771" s="72"/>
    </row>
    <row r="772" ht="22.5" customHeight="1">
      <c r="A772" s="71"/>
      <c r="B772" s="72"/>
      <c r="C772" s="72"/>
      <c r="D772" s="72"/>
      <c r="E772" s="72"/>
      <c r="F772" s="72"/>
      <c r="G772" s="72"/>
      <c r="H772" s="72"/>
    </row>
    <row r="773" ht="22.5" customHeight="1">
      <c r="A773" s="71"/>
      <c r="B773" s="72"/>
      <c r="C773" s="72"/>
      <c r="D773" s="72"/>
      <c r="E773" s="72"/>
      <c r="F773" s="72"/>
      <c r="G773" s="72"/>
      <c r="H773" s="72"/>
    </row>
    <row r="774" ht="22.5" customHeight="1">
      <c r="A774" s="71"/>
      <c r="B774" s="72"/>
      <c r="C774" s="72"/>
      <c r="D774" s="72"/>
      <c r="E774" s="72"/>
      <c r="F774" s="72"/>
      <c r="G774" s="72"/>
      <c r="H774" s="72"/>
    </row>
    <row r="775" ht="22.5" customHeight="1">
      <c r="A775" s="71"/>
      <c r="B775" s="72"/>
      <c r="C775" s="72"/>
      <c r="D775" s="72"/>
      <c r="E775" s="72"/>
      <c r="F775" s="72"/>
      <c r="G775" s="72"/>
      <c r="H775" s="72"/>
    </row>
    <row r="776" ht="22.5" customHeight="1">
      <c r="A776" s="71"/>
      <c r="B776" s="72"/>
      <c r="C776" s="72"/>
      <c r="D776" s="72"/>
      <c r="E776" s="72"/>
      <c r="F776" s="72"/>
      <c r="G776" s="72"/>
      <c r="H776" s="72"/>
    </row>
    <row r="777" ht="22.5" customHeight="1">
      <c r="A777" s="71"/>
      <c r="B777" s="72"/>
      <c r="C777" s="72"/>
      <c r="D777" s="72"/>
      <c r="E777" s="72"/>
      <c r="F777" s="72"/>
      <c r="G777" s="72"/>
      <c r="H777" s="72"/>
    </row>
    <row r="778" ht="22.5" customHeight="1">
      <c r="A778" s="71"/>
      <c r="B778" s="72"/>
      <c r="C778" s="72"/>
      <c r="D778" s="72"/>
      <c r="E778" s="72"/>
      <c r="F778" s="72"/>
      <c r="G778" s="72"/>
      <c r="H778" s="72"/>
    </row>
    <row r="779" ht="22.5" customHeight="1">
      <c r="A779" s="71"/>
      <c r="B779" s="72"/>
      <c r="C779" s="72"/>
      <c r="D779" s="72"/>
      <c r="E779" s="72"/>
      <c r="F779" s="72"/>
      <c r="G779" s="72"/>
      <c r="H779" s="72"/>
    </row>
    <row r="780" ht="22.5" customHeight="1">
      <c r="A780" s="71"/>
      <c r="B780" s="72"/>
      <c r="C780" s="72"/>
      <c r="D780" s="72"/>
      <c r="E780" s="72"/>
      <c r="F780" s="72"/>
      <c r="G780" s="72"/>
      <c r="H780" s="72"/>
    </row>
    <row r="781" ht="22.5" customHeight="1">
      <c r="A781" s="71"/>
      <c r="B781" s="72"/>
      <c r="C781" s="72"/>
      <c r="D781" s="72"/>
      <c r="E781" s="72"/>
      <c r="F781" s="72"/>
      <c r="G781" s="72"/>
      <c r="H781" s="72"/>
    </row>
    <row r="782" ht="22.5" customHeight="1">
      <c r="A782" s="71"/>
      <c r="B782" s="72"/>
      <c r="C782" s="72"/>
      <c r="D782" s="72"/>
      <c r="E782" s="72"/>
      <c r="F782" s="72"/>
      <c r="G782" s="72"/>
      <c r="H782" s="72"/>
    </row>
    <row r="783" ht="22.5" customHeight="1">
      <c r="A783" s="71"/>
      <c r="B783" s="72"/>
      <c r="C783" s="72"/>
      <c r="D783" s="72"/>
      <c r="E783" s="72"/>
      <c r="F783" s="72"/>
      <c r="G783" s="72"/>
      <c r="H783" s="72"/>
    </row>
    <row r="784" ht="22.5" customHeight="1">
      <c r="A784" s="71"/>
      <c r="B784" s="72"/>
      <c r="C784" s="72"/>
      <c r="D784" s="72"/>
      <c r="E784" s="72"/>
      <c r="F784" s="72"/>
      <c r="G784" s="72"/>
      <c r="H784" s="72"/>
    </row>
    <row r="785" ht="22.5" customHeight="1">
      <c r="A785" s="71"/>
      <c r="B785" s="72"/>
      <c r="C785" s="72"/>
      <c r="D785" s="72"/>
      <c r="E785" s="72"/>
      <c r="F785" s="72"/>
      <c r="G785" s="72"/>
      <c r="H785" s="72"/>
    </row>
    <row r="786" ht="22.5" customHeight="1">
      <c r="A786" s="71"/>
      <c r="B786" s="72"/>
      <c r="C786" s="72"/>
      <c r="D786" s="72"/>
      <c r="E786" s="72"/>
      <c r="F786" s="72"/>
      <c r="G786" s="72"/>
      <c r="H786" s="72"/>
    </row>
    <row r="787" ht="22.5" customHeight="1">
      <c r="A787" s="71"/>
      <c r="B787" s="72"/>
      <c r="C787" s="72"/>
      <c r="D787" s="72"/>
      <c r="E787" s="72"/>
      <c r="F787" s="72"/>
      <c r="G787" s="72"/>
      <c r="H787" s="72"/>
    </row>
    <row r="788" ht="22.5" customHeight="1">
      <c r="A788" s="71"/>
      <c r="B788" s="72"/>
      <c r="C788" s="72"/>
      <c r="D788" s="72"/>
      <c r="E788" s="72"/>
      <c r="F788" s="72"/>
      <c r="G788" s="72"/>
      <c r="H788" s="72"/>
    </row>
    <row r="789" ht="22.5" customHeight="1">
      <c r="A789" s="71"/>
      <c r="B789" s="72"/>
      <c r="C789" s="72"/>
      <c r="D789" s="72"/>
      <c r="E789" s="72"/>
      <c r="F789" s="72"/>
      <c r="G789" s="72"/>
      <c r="H789" s="72"/>
    </row>
    <row r="790" ht="22.5" customHeight="1">
      <c r="A790" s="71"/>
      <c r="B790" s="72"/>
      <c r="C790" s="72"/>
      <c r="D790" s="72"/>
      <c r="E790" s="72"/>
      <c r="F790" s="72"/>
      <c r="G790" s="72"/>
      <c r="H790" s="72"/>
    </row>
    <row r="791" ht="22.5" customHeight="1">
      <c r="A791" s="71"/>
      <c r="B791" s="72"/>
      <c r="C791" s="72"/>
      <c r="D791" s="72"/>
      <c r="E791" s="72"/>
      <c r="F791" s="72"/>
      <c r="G791" s="72"/>
      <c r="H791" s="72"/>
    </row>
    <row r="792" ht="22.5" customHeight="1">
      <c r="A792" s="71"/>
      <c r="B792" s="72"/>
      <c r="C792" s="72"/>
      <c r="D792" s="72"/>
      <c r="E792" s="72"/>
      <c r="F792" s="72"/>
      <c r="G792" s="72"/>
      <c r="H792" s="72"/>
    </row>
    <row r="793" ht="22.5" customHeight="1">
      <c r="A793" s="71"/>
      <c r="B793" s="72"/>
      <c r="C793" s="72"/>
      <c r="D793" s="72"/>
      <c r="E793" s="72"/>
      <c r="F793" s="72"/>
      <c r="G793" s="72"/>
      <c r="H793" s="72"/>
    </row>
    <row r="794" ht="22.5" customHeight="1">
      <c r="A794" s="71"/>
      <c r="B794" s="72"/>
      <c r="C794" s="72"/>
      <c r="D794" s="72"/>
      <c r="E794" s="72"/>
      <c r="F794" s="72"/>
      <c r="G794" s="72"/>
      <c r="H794" s="72"/>
    </row>
    <row r="795" ht="22.5" customHeight="1">
      <c r="A795" s="71"/>
      <c r="B795" s="72"/>
      <c r="C795" s="72"/>
      <c r="D795" s="72"/>
      <c r="E795" s="72"/>
      <c r="F795" s="72"/>
      <c r="G795" s="72"/>
      <c r="H795" s="72"/>
    </row>
    <row r="796" ht="22.5" customHeight="1">
      <c r="A796" s="71"/>
      <c r="B796" s="72"/>
      <c r="C796" s="72"/>
      <c r="D796" s="72"/>
      <c r="E796" s="72"/>
      <c r="F796" s="72"/>
      <c r="G796" s="72"/>
      <c r="H796" s="72"/>
    </row>
    <row r="797" ht="22.5" customHeight="1">
      <c r="A797" s="71"/>
      <c r="B797" s="72"/>
      <c r="C797" s="72"/>
      <c r="D797" s="72"/>
      <c r="E797" s="72"/>
      <c r="F797" s="72"/>
      <c r="G797" s="72"/>
      <c r="H797" s="72"/>
    </row>
    <row r="798" ht="22.5" customHeight="1">
      <c r="A798" s="71"/>
      <c r="B798" s="72"/>
      <c r="C798" s="72"/>
      <c r="D798" s="72"/>
      <c r="E798" s="72"/>
      <c r="F798" s="72"/>
      <c r="G798" s="72"/>
      <c r="H798" s="72"/>
    </row>
    <row r="799" ht="22.5" customHeight="1">
      <c r="A799" s="71"/>
      <c r="B799" s="72"/>
      <c r="C799" s="72"/>
      <c r="D799" s="72"/>
      <c r="E799" s="72"/>
      <c r="F799" s="72"/>
      <c r="G799" s="72"/>
      <c r="H799" s="72"/>
    </row>
    <row r="800" ht="22.5" customHeight="1">
      <c r="A800" s="71"/>
      <c r="B800" s="72"/>
      <c r="C800" s="72"/>
      <c r="D800" s="72"/>
      <c r="E800" s="72"/>
      <c r="F800" s="72"/>
      <c r="G800" s="72"/>
      <c r="H800" s="72"/>
    </row>
    <row r="801" ht="22.5" customHeight="1">
      <c r="A801" s="71"/>
      <c r="B801" s="72"/>
      <c r="C801" s="72"/>
      <c r="D801" s="72"/>
      <c r="E801" s="72"/>
      <c r="F801" s="72"/>
      <c r="G801" s="72"/>
      <c r="H801" s="72"/>
    </row>
    <row r="802" ht="22.5" customHeight="1">
      <c r="A802" s="71"/>
      <c r="B802" s="72"/>
      <c r="C802" s="72"/>
      <c r="D802" s="72"/>
      <c r="E802" s="72"/>
      <c r="F802" s="72"/>
      <c r="G802" s="72"/>
      <c r="H802" s="72"/>
    </row>
    <row r="803" ht="22.5" customHeight="1">
      <c r="A803" s="71"/>
      <c r="B803" s="72"/>
      <c r="C803" s="72"/>
      <c r="D803" s="72"/>
      <c r="E803" s="72"/>
      <c r="F803" s="72"/>
      <c r="G803" s="72"/>
      <c r="H803" s="72"/>
    </row>
    <row r="804" ht="22.5" customHeight="1">
      <c r="A804" s="71"/>
      <c r="B804" s="72"/>
      <c r="C804" s="72"/>
      <c r="D804" s="72"/>
      <c r="E804" s="72"/>
      <c r="F804" s="72"/>
      <c r="G804" s="72"/>
      <c r="H804" s="72"/>
    </row>
    <row r="805" ht="22.5" customHeight="1">
      <c r="A805" s="71"/>
      <c r="B805" s="72"/>
      <c r="C805" s="72"/>
      <c r="D805" s="72"/>
      <c r="E805" s="72"/>
      <c r="F805" s="72"/>
      <c r="G805" s="72"/>
      <c r="H805" s="72"/>
    </row>
    <row r="806" ht="22.5" customHeight="1">
      <c r="A806" s="71"/>
      <c r="B806" s="72"/>
      <c r="C806" s="72"/>
      <c r="D806" s="72"/>
      <c r="E806" s="72"/>
      <c r="F806" s="72"/>
      <c r="G806" s="72"/>
      <c r="H806" s="72"/>
    </row>
    <row r="807" ht="22.5" customHeight="1">
      <c r="A807" s="71"/>
      <c r="B807" s="72"/>
      <c r="C807" s="72"/>
      <c r="D807" s="72"/>
      <c r="E807" s="72"/>
      <c r="F807" s="72"/>
      <c r="G807" s="72"/>
      <c r="H807" s="72"/>
    </row>
    <row r="808" ht="22.5" customHeight="1">
      <c r="A808" s="71"/>
      <c r="B808" s="72"/>
      <c r="C808" s="72"/>
      <c r="D808" s="72"/>
      <c r="E808" s="72"/>
      <c r="F808" s="72"/>
      <c r="G808" s="72"/>
      <c r="H808" s="72"/>
    </row>
    <row r="809" ht="22.5" customHeight="1">
      <c r="A809" s="71"/>
      <c r="B809" s="72"/>
      <c r="C809" s="72"/>
      <c r="D809" s="72"/>
      <c r="E809" s="72"/>
      <c r="F809" s="72"/>
      <c r="G809" s="72"/>
      <c r="H809" s="72"/>
    </row>
    <row r="810" ht="22.5" customHeight="1">
      <c r="A810" s="71"/>
      <c r="B810" s="72"/>
      <c r="C810" s="72"/>
      <c r="D810" s="72"/>
      <c r="E810" s="72"/>
      <c r="F810" s="72"/>
      <c r="G810" s="72"/>
      <c r="H810" s="72"/>
    </row>
    <row r="811" ht="22.5" customHeight="1">
      <c r="A811" s="71"/>
      <c r="B811" s="72"/>
      <c r="C811" s="72"/>
      <c r="D811" s="72"/>
      <c r="E811" s="72"/>
      <c r="F811" s="72"/>
      <c r="G811" s="72"/>
      <c r="H811" s="72"/>
    </row>
    <row r="812" ht="22.5" customHeight="1">
      <c r="A812" s="71"/>
      <c r="B812" s="72"/>
      <c r="C812" s="72"/>
      <c r="D812" s="72"/>
      <c r="E812" s="72"/>
      <c r="F812" s="72"/>
      <c r="G812" s="72"/>
      <c r="H812" s="72"/>
    </row>
    <row r="813" ht="22.5" customHeight="1">
      <c r="A813" s="71"/>
      <c r="B813" s="72"/>
      <c r="C813" s="72"/>
      <c r="D813" s="72"/>
      <c r="E813" s="72"/>
      <c r="F813" s="72"/>
      <c r="G813" s="72"/>
      <c r="H813" s="72"/>
    </row>
    <row r="814" ht="22.5" customHeight="1">
      <c r="A814" s="71"/>
      <c r="B814" s="72"/>
      <c r="C814" s="72"/>
      <c r="D814" s="72"/>
      <c r="E814" s="72"/>
      <c r="F814" s="72"/>
      <c r="G814" s="72"/>
      <c r="H814" s="72"/>
    </row>
    <row r="815" ht="22.5" customHeight="1">
      <c r="A815" s="71"/>
      <c r="B815" s="72"/>
      <c r="C815" s="72"/>
      <c r="D815" s="72"/>
      <c r="E815" s="72"/>
      <c r="F815" s="72"/>
      <c r="G815" s="72"/>
      <c r="H815" s="72"/>
    </row>
    <row r="816" ht="22.5" customHeight="1">
      <c r="A816" s="71"/>
      <c r="B816" s="72"/>
      <c r="C816" s="72"/>
      <c r="D816" s="72"/>
      <c r="E816" s="72"/>
      <c r="F816" s="72"/>
      <c r="G816" s="72"/>
      <c r="H816" s="72"/>
    </row>
    <row r="817" ht="22.5" customHeight="1">
      <c r="A817" s="71"/>
      <c r="B817" s="72"/>
      <c r="C817" s="72"/>
      <c r="D817" s="72"/>
      <c r="E817" s="72"/>
      <c r="F817" s="72"/>
      <c r="G817" s="72"/>
      <c r="H817" s="72"/>
    </row>
    <row r="818" ht="22.5" customHeight="1">
      <c r="A818" s="71"/>
      <c r="B818" s="72"/>
      <c r="C818" s="72"/>
      <c r="D818" s="72"/>
      <c r="E818" s="72"/>
      <c r="F818" s="72"/>
      <c r="G818" s="72"/>
      <c r="H818" s="72"/>
    </row>
    <row r="819" ht="22.5" customHeight="1">
      <c r="A819" s="71"/>
      <c r="B819" s="72"/>
      <c r="C819" s="72"/>
      <c r="D819" s="72"/>
      <c r="E819" s="72"/>
      <c r="F819" s="72"/>
      <c r="G819" s="72"/>
      <c r="H819" s="72"/>
    </row>
    <row r="820" ht="22.5" customHeight="1">
      <c r="A820" s="71"/>
      <c r="B820" s="72"/>
      <c r="C820" s="72"/>
      <c r="D820" s="72"/>
      <c r="E820" s="72"/>
      <c r="F820" s="72"/>
      <c r="G820" s="72"/>
      <c r="H820" s="72"/>
    </row>
    <row r="821" ht="22.5" customHeight="1">
      <c r="A821" s="71"/>
      <c r="B821" s="72"/>
      <c r="C821" s="72"/>
      <c r="D821" s="72"/>
      <c r="E821" s="72"/>
      <c r="F821" s="72"/>
      <c r="G821" s="72"/>
      <c r="H821" s="72"/>
    </row>
    <row r="822" ht="22.5" customHeight="1">
      <c r="A822" s="71"/>
      <c r="B822" s="72"/>
      <c r="C822" s="72"/>
      <c r="D822" s="72"/>
      <c r="E822" s="72"/>
      <c r="F822" s="72"/>
      <c r="G822" s="72"/>
      <c r="H822" s="72"/>
    </row>
    <row r="823" ht="22.5" customHeight="1">
      <c r="A823" s="71"/>
      <c r="B823" s="72"/>
      <c r="C823" s="72"/>
      <c r="D823" s="72"/>
      <c r="E823" s="72"/>
      <c r="F823" s="72"/>
      <c r="G823" s="72"/>
      <c r="H823" s="72"/>
    </row>
    <row r="824" ht="22.5" customHeight="1">
      <c r="A824" s="71"/>
      <c r="B824" s="72"/>
      <c r="C824" s="72"/>
      <c r="D824" s="72"/>
      <c r="E824" s="72"/>
      <c r="F824" s="72"/>
      <c r="G824" s="72"/>
      <c r="H824" s="72"/>
    </row>
    <row r="825" ht="22.5" customHeight="1">
      <c r="A825" s="71"/>
      <c r="B825" s="72"/>
      <c r="C825" s="72"/>
      <c r="D825" s="72"/>
      <c r="E825" s="72"/>
      <c r="F825" s="72"/>
      <c r="G825" s="72"/>
      <c r="H825" s="72"/>
    </row>
    <row r="826" ht="22.5" customHeight="1">
      <c r="A826" s="71"/>
      <c r="B826" s="72"/>
      <c r="C826" s="72"/>
      <c r="D826" s="72"/>
      <c r="E826" s="72"/>
      <c r="F826" s="72"/>
      <c r="G826" s="72"/>
      <c r="H826" s="72"/>
    </row>
    <row r="827" ht="22.5" customHeight="1">
      <c r="A827" s="71"/>
      <c r="B827" s="72"/>
      <c r="C827" s="72"/>
      <c r="D827" s="72"/>
      <c r="E827" s="72"/>
      <c r="F827" s="72"/>
      <c r="G827" s="72"/>
      <c r="H827" s="72"/>
    </row>
    <row r="828" ht="22.5" customHeight="1">
      <c r="A828" s="71"/>
      <c r="B828" s="72"/>
      <c r="C828" s="72"/>
      <c r="D828" s="72"/>
      <c r="E828" s="72"/>
      <c r="F828" s="72"/>
      <c r="G828" s="72"/>
      <c r="H828" s="72"/>
    </row>
    <row r="829" ht="22.5" customHeight="1">
      <c r="A829" s="71"/>
      <c r="B829" s="72"/>
      <c r="C829" s="72"/>
      <c r="D829" s="72"/>
      <c r="E829" s="72"/>
      <c r="F829" s="72"/>
      <c r="G829" s="72"/>
      <c r="H829" s="72"/>
    </row>
    <row r="830" ht="22.5" customHeight="1">
      <c r="A830" s="71"/>
      <c r="B830" s="72"/>
      <c r="C830" s="72"/>
      <c r="D830" s="72"/>
      <c r="E830" s="72"/>
      <c r="F830" s="72"/>
      <c r="G830" s="72"/>
      <c r="H830" s="72"/>
    </row>
    <row r="831" ht="22.5" customHeight="1">
      <c r="A831" s="71"/>
      <c r="B831" s="72"/>
      <c r="C831" s="72"/>
      <c r="D831" s="72"/>
      <c r="E831" s="72"/>
      <c r="F831" s="72"/>
      <c r="G831" s="72"/>
      <c r="H831" s="72"/>
    </row>
    <row r="832" ht="22.5" customHeight="1">
      <c r="A832" s="71"/>
      <c r="B832" s="72"/>
      <c r="C832" s="72"/>
      <c r="D832" s="72"/>
      <c r="E832" s="72"/>
      <c r="F832" s="72"/>
      <c r="G832" s="72"/>
      <c r="H832" s="72"/>
    </row>
    <row r="833" ht="22.5" customHeight="1">
      <c r="A833" s="71"/>
      <c r="B833" s="72"/>
      <c r="C833" s="72"/>
      <c r="D833" s="72"/>
      <c r="E833" s="72"/>
      <c r="F833" s="72"/>
      <c r="G833" s="72"/>
      <c r="H833" s="72"/>
    </row>
    <row r="834" ht="22.5" customHeight="1">
      <c r="A834" s="71"/>
      <c r="B834" s="72"/>
      <c r="C834" s="72"/>
      <c r="D834" s="72"/>
      <c r="E834" s="72"/>
      <c r="F834" s="72"/>
      <c r="G834" s="72"/>
      <c r="H834" s="72"/>
    </row>
    <row r="835" ht="22.5" customHeight="1">
      <c r="A835" s="71"/>
      <c r="B835" s="72"/>
      <c r="C835" s="72"/>
      <c r="D835" s="72"/>
      <c r="E835" s="72"/>
      <c r="F835" s="72"/>
      <c r="G835" s="72"/>
      <c r="H835" s="72"/>
    </row>
    <row r="836" ht="22.5" customHeight="1">
      <c r="A836" s="71"/>
      <c r="B836" s="72"/>
      <c r="C836" s="72"/>
      <c r="D836" s="72"/>
      <c r="E836" s="72"/>
      <c r="F836" s="72"/>
      <c r="G836" s="72"/>
      <c r="H836" s="72"/>
    </row>
    <row r="837" ht="22.5" customHeight="1">
      <c r="A837" s="71"/>
      <c r="B837" s="72"/>
      <c r="C837" s="72"/>
      <c r="D837" s="72"/>
      <c r="E837" s="72"/>
      <c r="F837" s="72"/>
      <c r="G837" s="72"/>
      <c r="H837" s="72"/>
    </row>
    <row r="838" ht="22.5" customHeight="1">
      <c r="A838" s="71"/>
      <c r="B838" s="72"/>
      <c r="C838" s="72"/>
      <c r="D838" s="72"/>
      <c r="E838" s="72"/>
      <c r="F838" s="72"/>
      <c r="G838" s="72"/>
      <c r="H838" s="72"/>
    </row>
    <row r="839" ht="22.5" customHeight="1">
      <c r="A839" s="71"/>
      <c r="B839" s="72"/>
      <c r="C839" s="72"/>
      <c r="D839" s="72"/>
      <c r="E839" s="72"/>
      <c r="F839" s="72"/>
      <c r="G839" s="72"/>
      <c r="H839" s="72"/>
    </row>
    <row r="840" ht="22.5" customHeight="1">
      <c r="A840" s="71"/>
      <c r="B840" s="72"/>
      <c r="C840" s="72"/>
      <c r="D840" s="72"/>
      <c r="E840" s="72"/>
      <c r="F840" s="72"/>
      <c r="G840" s="72"/>
      <c r="H840" s="72"/>
    </row>
    <row r="841" ht="22.5" customHeight="1">
      <c r="A841" s="71"/>
      <c r="B841" s="72"/>
      <c r="C841" s="72"/>
      <c r="D841" s="72"/>
      <c r="E841" s="72"/>
      <c r="F841" s="72"/>
      <c r="G841" s="72"/>
      <c r="H841" s="72"/>
    </row>
    <row r="842" ht="22.5" customHeight="1">
      <c r="A842" s="71"/>
      <c r="B842" s="72"/>
      <c r="C842" s="72"/>
      <c r="D842" s="72"/>
      <c r="E842" s="72"/>
      <c r="F842" s="72"/>
      <c r="G842" s="72"/>
      <c r="H842" s="72"/>
    </row>
    <row r="843" ht="22.5" customHeight="1">
      <c r="A843" s="71"/>
      <c r="B843" s="72"/>
      <c r="C843" s="72"/>
      <c r="D843" s="72"/>
      <c r="E843" s="72"/>
      <c r="F843" s="72"/>
      <c r="G843" s="72"/>
      <c r="H843" s="72"/>
    </row>
    <row r="844" ht="22.5" customHeight="1">
      <c r="A844" s="71"/>
      <c r="B844" s="72"/>
      <c r="C844" s="72"/>
      <c r="D844" s="72"/>
      <c r="E844" s="72"/>
      <c r="F844" s="72"/>
      <c r="G844" s="72"/>
      <c r="H844" s="72"/>
    </row>
    <row r="845" ht="22.5" customHeight="1">
      <c r="A845" s="71"/>
      <c r="B845" s="72"/>
      <c r="C845" s="72"/>
      <c r="D845" s="72"/>
      <c r="E845" s="72"/>
      <c r="F845" s="72"/>
      <c r="G845" s="72"/>
      <c r="H845" s="72"/>
    </row>
    <row r="846" ht="22.5" customHeight="1">
      <c r="A846" s="71"/>
      <c r="B846" s="72"/>
      <c r="C846" s="72"/>
      <c r="D846" s="72"/>
      <c r="E846" s="72"/>
      <c r="F846" s="72"/>
      <c r="G846" s="72"/>
      <c r="H846" s="72"/>
    </row>
    <row r="847" ht="22.5" customHeight="1">
      <c r="A847" s="71"/>
      <c r="B847" s="72"/>
      <c r="C847" s="72"/>
      <c r="D847" s="72"/>
      <c r="E847" s="72"/>
      <c r="F847" s="72"/>
      <c r="G847" s="72"/>
      <c r="H847" s="72"/>
    </row>
    <row r="848" ht="22.5" customHeight="1">
      <c r="A848" s="71"/>
      <c r="B848" s="72"/>
      <c r="C848" s="72"/>
      <c r="D848" s="72"/>
      <c r="E848" s="72"/>
      <c r="F848" s="72"/>
      <c r="G848" s="72"/>
      <c r="H848" s="72"/>
    </row>
    <row r="849" ht="22.5" customHeight="1">
      <c r="A849" s="71"/>
      <c r="B849" s="72"/>
      <c r="C849" s="72"/>
      <c r="D849" s="72"/>
      <c r="E849" s="72"/>
      <c r="F849" s="72"/>
      <c r="G849" s="72"/>
      <c r="H849" s="72"/>
    </row>
    <row r="850" ht="22.5" customHeight="1">
      <c r="A850" s="71"/>
      <c r="B850" s="72"/>
      <c r="C850" s="72"/>
      <c r="D850" s="72"/>
      <c r="E850" s="72"/>
      <c r="F850" s="72"/>
      <c r="G850" s="72"/>
      <c r="H850" s="72"/>
    </row>
    <row r="851" ht="22.5" customHeight="1">
      <c r="A851" s="71"/>
      <c r="B851" s="72"/>
      <c r="C851" s="72"/>
      <c r="D851" s="72"/>
      <c r="E851" s="72"/>
      <c r="F851" s="72"/>
      <c r="G851" s="72"/>
      <c r="H851" s="72"/>
    </row>
    <row r="852" ht="22.5" customHeight="1">
      <c r="A852" s="71"/>
      <c r="B852" s="72"/>
      <c r="C852" s="72"/>
      <c r="D852" s="72"/>
      <c r="E852" s="72"/>
      <c r="F852" s="72"/>
      <c r="G852" s="72"/>
      <c r="H852" s="72"/>
    </row>
    <row r="853" ht="22.5" customHeight="1">
      <c r="A853" s="71"/>
      <c r="B853" s="72"/>
      <c r="C853" s="72"/>
      <c r="D853" s="72"/>
      <c r="E853" s="72"/>
      <c r="F853" s="72"/>
      <c r="G853" s="72"/>
      <c r="H853" s="72"/>
    </row>
    <row r="854" ht="22.5" customHeight="1">
      <c r="A854" s="71"/>
      <c r="B854" s="72"/>
      <c r="C854" s="72"/>
      <c r="D854" s="72"/>
      <c r="E854" s="72"/>
      <c r="F854" s="72"/>
      <c r="G854" s="72"/>
      <c r="H854" s="72"/>
    </row>
    <row r="855" ht="22.5" customHeight="1">
      <c r="A855" s="71"/>
      <c r="B855" s="72"/>
      <c r="C855" s="72"/>
      <c r="D855" s="72"/>
      <c r="E855" s="72"/>
      <c r="F855" s="72"/>
      <c r="G855" s="72"/>
      <c r="H855" s="72"/>
    </row>
    <row r="856" ht="22.5" customHeight="1">
      <c r="A856" s="71"/>
      <c r="B856" s="72"/>
      <c r="C856" s="72"/>
      <c r="D856" s="72"/>
      <c r="E856" s="72"/>
      <c r="F856" s="72"/>
      <c r="G856" s="72"/>
      <c r="H856" s="72"/>
    </row>
    <row r="857" ht="22.5" customHeight="1">
      <c r="A857" s="71"/>
      <c r="B857" s="72"/>
      <c r="C857" s="72"/>
      <c r="D857" s="72"/>
      <c r="E857" s="72"/>
      <c r="F857" s="72"/>
      <c r="G857" s="72"/>
      <c r="H857" s="72"/>
    </row>
    <row r="858" ht="22.5" customHeight="1">
      <c r="A858" s="71"/>
      <c r="B858" s="72"/>
      <c r="C858" s="72"/>
      <c r="D858" s="72"/>
      <c r="E858" s="72"/>
      <c r="F858" s="72"/>
      <c r="G858" s="72"/>
      <c r="H858" s="72"/>
    </row>
    <row r="859" ht="22.5" customHeight="1">
      <c r="A859" s="71"/>
      <c r="B859" s="72"/>
      <c r="C859" s="72"/>
      <c r="D859" s="72"/>
      <c r="E859" s="72"/>
      <c r="F859" s="72"/>
      <c r="G859" s="72"/>
      <c r="H859" s="72"/>
    </row>
    <row r="860" ht="22.5" customHeight="1">
      <c r="A860" s="71"/>
      <c r="B860" s="72"/>
      <c r="C860" s="72"/>
      <c r="D860" s="72"/>
      <c r="E860" s="72"/>
      <c r="F860" s="72"/>
      <c r="G860" s="72"/>
      <c r="H860" s="72"/>
    </row>
    <row r="861" ht="22.5" customHeight="1">
      <c r="A861" s="71"/>
      <c r="B861" s="72"/>
      <c r="C861" s="72"/>
      <c r="D861" s="72"/>
      <c r="E861" s="72"/>
      <c r="F861" s="72"/>
      <c r="G861" s="72"/>
      <c r="H861" s="72"/>
    </row>
    <row r="862" ht="22.5" customHeight="1">
      <c r="A862" s="71"/>
      <c r="B862" s="72"/>
      <c r="C862" s="72"/>
      <c r="D862" s="72"/>
      <c r="E862" s="72"/>
      <c r="F862" s="72"/>
      <c r="G862" s="72"/>
      <c r="H862" s="72"/>
    </row>
    <row r="863" ht="22.5" customHeight="1">
      <c r="A863" s="71"/>
      <c r="B863" s="72"/>
      <c r="C863" s="72"/>
      <c r="D863" s="72"/>
      <c r="E863" s="72"/>
      <c r="F863" s="72"/>
      <c r="G863" s="72"/>
      <c r="H863" s="72"/>
    </row>
    <row r="864" ht="22.5" customHeight="1">
      <c r="A864" s="71"/>
      <c r="B864" s="72"/>
      <c r="C864" s="72"/>
      <c r="D864" s="72"/>
      <c r="E864" s="72"/>
      <c r="F864" s="72"/>
      <c r="G864" s="72"/>
      <c r="H864" s="72"/>
    </row>
    <row r="865" ht="22.5" customHeight="1">
      <c r="A865" s="71"/>
      <c r="B865" s="72"/>
      <c r="C865" s="72"/>
      <c r="D865" s="72"/>
      <c r="E865" s="72"/>
      <c r="F865" s="72"/>
      <c r="G865" s="72"/>
      <c r="H865" s="72"/>
    </row>
    <row r="866" ht="22.5" customHeight="1">
      <c r="A866" s="71"/>
      <c r="B866" s="72"/>
      <c r="C866" s="72"/>
      <c r="D866" s="72"/>
      <c r="E866" s="72"/>
      <c r="F866" s="72"/>
      <c r="G866" s="72"/>
      <c r="H866" s="72"/>
    </row>
    <row r="867" ht="22.5" customHeight="1">
      <c r="A867" s="71"/>
      <c r="B867" s="72"/>
      <c r="C867" s="72"/>
      <c r="D867" s="72"/>
      <c r="E867" s="72"/>
      <c r="F867" s="72"/>
      <c r="G867" s="72"/>
      <c r="H867" s="72"/>
    </row>
    <row r="868" ht="22.5" customHeight="1">
      <c r="A868" s="71"/>
      <c r="B868" s="72"/>
      <c r="C868" s="72"/>
      <c r="D868" s="72"/>
      <c r="E868" s="72"/>
      <c r="F868" s="72"/>
      <c r="G868" s="72"/>
      <c r="H868" s="72"/>
    </row>
    <row r="869" ht="22.5" customHeight="1">
      <c r="A869" s="71"/>
      <c r="B869" s="72"/>
      <c r="C869" s="72"/>
      <c r="D869" s="72"/>
      <c r="E869" s="72"/>
      <c r="F869" s="72"/>
      <c r="G869" s="72"/>
      <c r="H869" s="72"/>
    </row>
    <row r="870" ht="22.5" customHeight="1">
      <c r="A870" s="71"/>
      <c r="B870" s="72"/>
      <c r="C870" s="72"/>
      <c r="D870" s="72"/>
      <c r="E870" s="72"/>
      <c r="F870" s="72"/>
      <c r="G870" s="72"/>
      <c r="H870" s="72"/>
    </row>
    <row r="871" ht="22.5" customHeight="1">
      <c r="A871" s="71"/>
      <c r="B871" s="72"/>
      <c r="C871" s="72"/>
      <c r="D871" s="72"/>
      <c r="E871" s="72"/>
      <c r="F871" s="72"/>
      <c r="G871" s="72"/>
      <c r="H871" s="72"/>
    </row>
    <row r="872" ht="22.5" customHeight="1">
      <c r="A872" s="71"/>
      <c r="B872" s="72"/>
      <c r="C872" s="72"/>
      <c r="D872" s="72"/>
      <c r="E872" s="72"/>
      <c r="F872" s="72"/>
      <c r="G872" s="72"/>
      <c r="H872" s="72"/>
    </row>
    <row r="873" ht="22.5" customHeight="1">
      <c r="A873" s="71"/>
      <c r="B873" s="72"/>
      <c r="C873" s="72"/>
      <c r="D873" s="72"/>
      <c r="E873" s="72"/>
      <c r="F873" s="72"/>
      <c r="G873" s="72"/>
      <c r="H873" s="72"/>
    </row>
    <row r="874" ht="22.5" customHeight="1">
      <c r="A874" s="71"/>
      <c r="B874" s="72"/>
      <c r="C874" s="72"/>
      <c r="D874" s="72"/>
      <c r="E874" s="72"/>
      <c r="F874" s="72"/>
      <c r="G874" s="72"/>
      <c r="H874" s="72"/>
    </row>
    <row r="875" ht="22.5" customHeight="1">
      <c r="A875" s="71"/>
      <c r="B875" s="72"/>
      <c r="C875" s="72"/>
      <c r="D875" s="72"/>
      <c r="E875" s="72"/>
      <c r="F875" s="72"/>
      <c r="G875" s="72"/>
      <c r="H875" s="72"/>
    </row>
    <row r="876" ht="22.5" customHeight="1">
      <c r="A876" s="71"/>
      <c r="B876" s="72"/>
      <c r="C876" s="72"/>
      <c r="D876" s="72"/>
      <c r="E876" s="72"/>
      <c r="F876" s="72"/>
      <c r="G876" s="72"/>
      <c r="H876" s="72"/>
    </row>
    <row r="877" ht="22.5" customHeight="1">
      <c r="A877" s="71"/>
      <c r="B877" s="72"/>
      <c r="C877" s="72"/>
      <c r="D877" s="72"/>
      <c r="E877" s="72"/>
      <c r="F877" s="72"/>
      <c r="G877" s="72"/>
      <c r="H877" s="72"/>
    </row>
    <row r="878" ht="22.5" customHeight="1">
      <c r="A878" s="71"/>
      <c r="B878" s="72"/>
      <c r="C878" s="72"/>
      <c r="D878" s="72"/>
      <c r="E878" s="72"/>
      <c r="F878" s="72"/>
      <c r="G878" s="72"/>
      <c r="H878" s="72"/>
    </row>
    <row r="879" ht="22.5" customHeight="1">
      <c r="A879" s="71"/>
      <c r="B879" s="72"/>
      <c r="C879" s="72"/>
      <c r="D879" s="72"/>
      <c r="E879" s="72"/>
      <c r="F879" s="72"/>
      <c r="G879" s="72"/>
      <c r="H879" s="72"/>
    </row>
    <row r="880" ht="22.5" customHeight="1">
      <c r="A880" s="71"/>
      <c r="B880" s="72"/>
      <c r="C880" s="72"/>
      <c r="D880" s="72"/>
      <c r="E880" s="72"/>
      <c r="F880" s="72"/>
      <c r="G880" s="72"/>
      <c r="H880" s="72"/>
    </row>
    <row r="881" ht="22.5" customHeight="1">
      <c r="A881" s="71"/>
      <c r="B881" s="72"/>
      <c r="C881" s="72"/>
      <c r="D881" s="72"/>
      <c r="E881" s="72"/>
      <c r="F881" s="72"/>
      <c r="G881" s="72"/>
      <c r="H881" s="72"/>
    </row>
    <row r="882" ht="22.5" customHeight="1">
      <c r="A882" s="71"/>
      <c r="B882" s="72"/>
      <c r="C882" s="72"/>
      <c r="D882" s="72"/>
      <c r="E882" s="72"/>
      <c r="F882" s="72"/>
      <c r="G882" s="72"/>
      <c r="H882" s="72"/>
    </row>
    <row r="883" ht="22.5" customHeight="1">
      <c r="A883" s="71"/>
      <c r="B883" s="72"/>
      <c r="C883" s="72"/>
      <c r="D883" s="72"/>
      <c r="E883" s="72"/>
      <c r="F883" s="72"/>
      <c r="G883" s="72"/>
      <c r="H883" s="72"/>
    </row>
    <row r="884" ht="22.5" customHeight="1">
      <c r="A884" s="71"/>
      <c r="B884" s="72"/>
      <c r="C884" s="72"/>
      <c r="D884" s="72"/>
      <c r="E884" s="72"/>
      <c r="F884" s="72"/>
      <c r="G884" s="72"/>
      <c r="H884" s="72"/>
    </row>
    <row r="885" ht="22.5" customHeight="1">
      <c r="A885" s="71"/>
      <c r="B885" s="72"/>
      <c r="C885" s="72"/>
      <c r="D885" s="72"/>
      <c r="E885" s="72"/>
      <c r="F885" s="72"/>
      <c r="G885" s="72"/>
      <c r="H885" s="72"/>
    </row>
    <row r="886" ht="22.5" customHeight="1">
      <c r="A886" s="71"/>
      <c r="B886" s="72"/>
      <c r="C886" s="72"/>
      <c r="D886" s="72"/>
      <c r="E886" s="72"/>
      <c r="F886" s="72"/>
      <c r="G886" s="72"/>
      <c r="H886" s="72"/>
    </row>
    <row r="887" ht="22.5" customHeight="1">
      <c r="A887" s="71"/>
      <c r="B887" s="72"/>
      <c r="C887" s="72"/>
      <c r="D887" s="72"/>
      <c r="E887" s="72"/>
      <c r="F887" s="72"/>
      <c r="G887" s="72"/>
      <c r="H887" s="72"/>
    </row>
    <row r="888" ht="22.5" customHeight="1">
      <c r="A888" s="71"/>
      <c r="B888" s="72"/>
      <c r="C888" s="72"/>
      <c r="D888" s="72"/>
      <c r="E888" s="72"/>
      <c r="F888" s="72"/>
      <c r="G888" s="72"/>
      <c r="H888" s="72"/>
    </row>
    <row r="889" ht="22.5" customHeight="1">
      <c r="A889" s="71"/>
      <c r="B889" s="72"/>
      <c r="C889" s="72"/>
      <c r="D889" s="72"/>
      <c r="E889" s="72"/>
      <c r="F889" s="72"/>
      <c r="G889" s="72"/>
      <c r="H889" s="72"/>
    </row>
    <row r="890" ht="22.5" customHeight="1">
      <c r="A890" s="71"/>
      <c r="B890" s="72"/>
      <c r="C890" s="72"/>
      <c r="D890" s="72"/>
      <c r="E890" s="72"/>
      <c r="F890" s="72"/>
      <c r="G890" s="72"/>
      <c r="H890" s="72"/>
    </row>
    <row r="891" ht="22.5" customHeight="1">
      <c r="A891" s="71"/>
      <c r="B891" s="72"/>
      <c r="C891" s="72"/>
      <c r="D891" s="72"/>
      <c r="E891" s="72"/>
      <c r="F891" s="72"/>
      <c r="G891" s="72"/>
      <c r="H891" s="72"/>
    </row>
    <row r="892" ht="22.5" customHeight="1">
      <c r="A892" s="71"/>
      <c r="B892" s="72"/>
      <c r="C892" s="72"/>
      <c r="D892" s="72"/>
      <c r="E892" s="72"/>
      <c r="F892" s="72"/>
      <c r="G892" s="72"/>
      <c r="H892" s="72"/>
    </row>
    <row r="893" ht="22.5" customHeight="1">
      <c r="A893" s="71"/>
      <c r="B893" s="72"/>
      <c r="C893" s="72"/>
      <c r="D893" s="72"/>
      <c r="E893" s="72"/>
      <c r="F893" s="72"/>
      <c r="G893" s="72"/>
      <c r="H893" s="72"/>
    </row>
    <row r="894" ht="22.5" customHeight="1">
      <c r="A894" s="71"/>
      <c r="B894" s="72"/>
      <c r="C894" s="72"/>
      <c r="D894" s="72"/>
      <c r="E894" s="72"/>
      <c r="F894" s="72"/>
      <c r="G894" s="72"/>
      <c r="H894" s="72"/>
    </row>
    <row r="895" ht="22.5" customHeight="1">
      <c r="A895" s="71"/>
      <c r="B895" s="72"/>
      <c r="C895" s="72"/>
      <c r="D895" s="72"/>
      <c r="E895" s="72"/>
      <c r="F895" s="72"/>
      <c r="G895" s="72"/>
      <c r="H895" s="72"/>
    </row>
    <row r="896" ht="22.5" customHeight="1">
      <c r="A896" s="71"/>
      <c r="B896" s="72"/>
      <c r="C896" s="72"/>
      <c r="D896" s="72"/>
      <c r="E896" s="72"/>
      <c r="F896" s="72"/>
      <c r="G896" s="72"/>
      <c r="H896" s="72"/>
    </row>
    <row r="897" ht="22.5" customHeight="1">
      <c r="A897" s="71"/>
      <c r="B897" s="72"/>
      <c r="C897" s="72"/>
      <c r="D897" s="72"/>
      <c r="E897" s="72"/>
      <c r="F897" s="72"/>
      <c r="G897" s="72"/>
      <c r="H897" s="72"/>
    </row>
    <row r="898" ht="22.5" customHeight="1">
      <c r="A898" s="71"/>
      <c r="B898" s="72"/>
      <c r="C898" s="72"/>
      <c r="D898" s="72"/>
      <c r="E898" s="72"/>
      <c r="F898" s="72"/>
      <c r="G898" s="72"/>
      <c r="H898" s="72"/>
    </row>
    <row r="899" ht="22.5" customHeight="1">
      <c r="A899" s="71"/>
      <c r="B899" s="72"/>
      <c r="C899" s="72"/>
      <c r="D899" s="72"/>
      <c r="E899" s="72"/>
      <c r="F899" s="72"/>
      <c r="G899" s="72"/>
      <c r="H899" s="72"/>
    </row>
    <row r="900" ht="22.5" customHeight="1">
      <c r="A900" s="71"/>
      <c r="B900" s="72"/>
      <c r="C900" s="72"/>
      <c r="D900" s="72"/>
      <c r="E900" s="72"/>
      <c r="F900" s="72"/>
      <c r="G900" s="72"/>
      <c r="H900" s="72"/>
    </row>
    <row r="901" ht="22.5" customHeight="1">
      <c r="A901" s="71"/>
      <c r="B901" s="72"/>
      <c r="C901" s="72"/>
      <c r="D901" s="72"/>
      <c r="E901" s="72"/>
      <c r="F901" s="72"/>
      <c r="G901" s="72"/>
      <c r="H901" s="72"/>
    </row>
    <row r="902" ht="22.5" customHeight="1">
      <c r="A902" s="71"/>
      <c r="B902" s="72"/>
      <c r="C902" s="72"/>
      <c r="D902" s="72"/>
      <c r="E902" s="72"/>
      <c r="F902" s="72"/>
      <c r="G902" s="72"/>
      <c r="H902" s="72"/>
    </row>
    <row r="903" ht="22.5" customHeight="1">
      <c r="A903" s="71"/>
      <c r="B903" s="72"/>
      <c r="C903" s="72"/>
      <c r="D903" s="72"/>
      <c r="E903" s="72"/>
      <c r="F903" s="72"/>
      <c r="G903" s="72"/>
      <c r="H903" s="72"/>
    </row>
    <row r="904" ht="22.5" customHeight="1">
      <c r="A904" s="71"/>
      <c r="B904" s="72"/>
      <c r="C904" s="72"/>
      <c r="D904" s="72"/>
      <c r="E904" s="72"/>
      <c r="F904" s="72"/>
      <c r="G904" s="72"/>
      <c r="H904" s="72"/>
    </row>
    <row r="905" ht="22.5" customHeight="1">
      <c r="A905" s="71"/>
      <c r="B905" s="72"/>
      <c r="C905" s="72"/>
      <c r="D905" s="72"/>
      <c r="E905" s="72"/>
      <c r="F905" s="72"/>
      <c r="G905" s="72"/>
      <c r="H905" s="72"/>
    </row>
    <row r="906" ht="22.5" customHeight="1">
      <c r="A906" s="71"/>
      <c r="B906" s="72"/>
      <c r="C906" s="72"/>
      <c r="D906" s="72"/>
      <c r="E906" s="72"/>
      <c r="F906" s="72"/>
      <c r="G906" s="72"/>
      <c r="H906" s="72"/>
    </row>
    <row r="907" ht="22.5" customHeight="1">
      <c r="A907" s="71"/>
      <c r="B907" s="72"/>
      <c r="C907" s="72"/>
      <c r="D907" s="72"/>
      <c r="E907" s="72"/>
      <c r="F907" s="72"/>
      <c r="G907" s="72"/>
      <c r="H907" s="72"/>
    </row>
    <row r="908" ht="22.5" customHeight="1">
      <c r="A908" s="71"/>
      <c r="B908" s="72"/>
      <c r="C908" s="72"/>
      <c r="D908" s="72"/>
      <c r="E908" s="72"/>
      <c r="F908" s="72"/>
      <c r="G908" s="72"/>
      <c r="H908" s="72"/>
    </row>
    <row r="909" ht="22.5" customHeight="1">
      <c r="A909" s="71"/>
      <c r="B909" s="72"/>
      <c r="C909" s="72"/>
      <c r="D909" s="72"/>
      <c r="E909" s="72"/>
      <c r="F909" s="72"/>
      <c r="G909" s="72"/>
      <c r="H909" s="72"/>
    </row>
    <row r="910" ht="22.5" customHeight="1">
      <c r="A910" s="71"/>
      <c r="B910" s="72"/>
      <c r="C910" s="72"/>
      <c r="D910" s="72"/>
      <c r="E910" s="72"/>
      <c r="F910" s="72"/>
      <c r="G910" s="72"/>
      <c r="H910" s="72"/>
    </row>
    <row r="911" ht="22.5" customHeight="1">
      <c r="A911" s="71"/>
      <c r="B911" s="72"/>
      <c r="C911" s="72"/>
      <c r="D911" s="72"/>
      <c r="E911" s="72"/>
      <c r="F911" s="72"/>
      <c r="G911" s="72"/>
      <c r="H911" s="72"/>
    </row>
    <row r="912" ht="22.5" customHeight="1">
      <c r="A912" s="71"/>
      <c r="B912" s="72"/>
      <c r="C912" s="72"/>
      <c r="D912" s="72"/>
      <c r="E912" s="72"/>
      <c r="F912" s="72"/>
      <c r="G912" s="72"/>
      <c r="H912" s="72"/>
    </row>
    <row r="913" ht="22.5" customHeight="1">
      <c r="A913" s="71"/>
      <c r="B913" s="72"/>
      <c r="C913" s="72"/>
      <c r="D913" s="72"/>
      <c r="E913" s="72"/>
      <c r="F913" s="72"/>
      <c r="G913" s="72"/>
      <c r="H913" s="72"/>
    </row>
    <row r="914" ht="22.5" customHeight="1">
      <c r="A914" s="71"/>
      <c r="B914" s="72"/>
      <c r="C914" s="72"/>
      <c r="D914" s="72"/>
      <c r="E914" s="72"/>
      <c r="F914" s="72"/>
      <c r="G914" s="72"/>
      <c r="H914" s="72"/>
    </row>
    <row r="915" ht="22.5" customHeight="1">
      <c r="A915" s="71"/>
      <c r="B915" s="72"/>
      <c r="C915" s="72"/>
      <c r="D915" s="72"/>
      <c r="E915" s="72"/>
      <c r="F915" s="72"/>
      <c r="G915" s="72"/>
      <c r="H915" s="72"/>
    </row>
    <row r="916" ht="22.5" customHeight="1">
      <c r="A916" s="71"/>
      <c r="B916" s="72"/>
      <c r="C916" s="72"/>
      <c r="D916" s="72"/>
      <c r="E916" s="72"/>
      <c r="F916" s="72"/>
      <c r="G916" s="72"/>
      <c r="H916" s="72"/>
    </row>
    <row r="917" ht="22.5" customHeight="1">
      <c r="A917" s="71"/>
      <c r="B917" s="72"/>
      <c r="C917" s="72"/>
      <c r="D917" s="72"/>
      <c r="E917" s="72"/>
      <c r="F917" s="72"/>
      <c r="G917" s="72"/>
      <c r="H917" s="72"/>
    </row>
    <row r="918" ht="22.5" customHeight="1">
      <c r="A918" s="71"/>
      <c r="B918" s="72"/>
      <c r="C918" s="72"/>
      <c r="D918" s="72"/>
      <c r="E918" s="72"/>
      <c r="F918" s="72"/>
      <c r="G918" s="72"/>
      <c r="H918" s="72"/>
    </row>
    <row r="919" ht="22.5" customHeight="1">
      <c r="A919" s="71"/>
      <c r="B919" s="72"/>
      <c r="C919" s="72"/>
      <c r="D919" s="72"/>
      <c r="E919" s="72"/>
      <c r="F919" s="72"/>
      <c r="G919" s="72"/>
      <c r="H919" s="72"/>
    </row>
    <row r="920" ht="22.5" customHeight="1">
      <c r="A920" s="71"/>
      <c r="B920" s="72"/>
      <c r="C920" s="72"/>
      <c r="D920" s="72"/>
      <c r="E920" s="72"/>
      <c r="F920" s="72"/>
      <c r="G920" s="72"/>
      <c r="H920" s="72"/>
    </row>
    <row r="921" ht="22.5" customHeight="1">
      <c r="A921" s="71"/>
      <c r="B921" s="72"/>
      <c r="C921" s="72"/>
      <c r="D921" s="72"/>
      <c r="E921" s="72"/>
      <c r="F921" s="72"/>
      <c r="G921" s="72"/>
      <c r="H921" s="72"/>
    </row>
    <row r="922" ht="22.5" customHeight="1">
      <c r="A922" s="71"/>
      <c r="B922" s="72"/>
      <c r="C922" s="72"/>
      <c r="D922" s="72"/>
      <c r="E922" s="72"/>
      <c r="F922" s="72"/>
      <c r="G922" s="72"/>
      <c r="H922" s="72"/>
    </row>
    <row r="923" ht="22.5" customHeight="1">
      <c r="A923" s="71"/>
      <c r="B923" s="72"/>
      <c r="C923" s="72"/>
      <c r="D923" s="72"/>
      <c r="E923" s="72"/>
      <c r="F923" s="72"/>
      <c r="G923" s="72"/>
      <c r="H923" s="72"/>
    </row>
    <row r="924" ht="22.5" customHeight="1">
      <c r="A924" s="71"/>
      <c r="B924" s="72"/>
      <c r="C924" s="72"/>
      <c r="D924" s="72"/>
      <c r="E924" s="72"/>
      <c r="F924" s="72"/>
      <c r="G924" s="72"/>
      <c r="H924" s="72"/>
    </row>
    <row r="925" ht="22.5" customHeight="1">
      <c r="A925" s="71"/>
      <c r="B925" s="72"/>
      <c r="C925" s="72"/>
      <c r="D925" s="72"/>
      <c r="E925" s="72"/>
      <c r="F925" s="72"/>
      <c r="G925" s="72"/>
      <c r="H925" s="72"/>
    </row>
    <row r="926" ht="22.5" customHeight="1">
      <c r="A926" s="71"/>
      <c r="B926" s="72"/>
      <c r="C926" s="72"/>
      <c r="D926" s="72"/>
      <c r="E926" s="72"/>
      <c r="F926" s="72"/>
      <c r="G926" s="72"/>
      <c r="H926" s="72"/>
    </row>
    <row r="927" ht="22.5" customHeight="1">
      <c r="A927" s="71"/>
      <c r="B927" s="72"/>
      <c r="C927" s="72"/>
      <c r="D927" s="72"/>
      <c r="E927" s="72"/>
      <c r="F927" s="72"/>
      <c r="G927" s="72"/>
      <c r="H927" s="72"/>
    </row>
    <row r="928" ht="22.5" customHeight="1">
      <c r="A928" s="71"/>
      <c r="B928" s="72"/>
      <c r="C928" s="72"/>
      <c r="D928" s="72"/>
      <c r="E928" s="72"/>
      <c r="F928" s="72"/>
      <c r="G928" s="72"/>
      <c r="H928" s="72"/>
    </row>
    <row r="929" ht="22.5" customHeight="1">
      <c r="A929" s="71"/>
      <c r="B929" s="72"/>
      <c r="C929" s="72"/>
      <c r="D929" s="72"/>
      <c r="E929" s="72"/>
      <c r="F929" s="72"/>
      <c r="G929" s="72"/>
      <c r="H929" s="72"/>
    </row>
    <row r="930" ht="22.5" customHeight="1">
      <c r="A930" s="71"/>
      <c r="B930" s="72"/>
      <c r="C930" s="72"/>
      <c r="D930" s="72"/>
      <c r="E930" s="72"/>
      <c r="F930" s="72"/>
      <c r="G930" s="72"/>
      <c r="H930" s="72"/>
    </row>
    <row r="931" ht="22.5" customHeight="1">
      <c r="A931" s="71"/>
      <c r="B931" s="72"/>
      <c r="C931" s="72"/>
      <c r="D931" s="72"/>
      <c r="E931" s="72"/>
      <c r="F931" s="72"/>
      <c r="G931" s="72"/>
      <c r="H931" s="72"/>
    </row>
    <row r="932" ht="22.5" customHeight="1">
      <c r="A932" s="71"/>
      <c r="B932" s="72"/>
      <c r="C932" s="72"/>
      <c r="D932" s="72"/>
      <c r="E932" s="72"/>
      <c r="F932" s="72"/>
      <c r="G932" s="72"/>
      <c r="H932" s="72"/>
    </row>
    <row r="933" ht="22.5" customHeight="1">
      <c r="A933" s="71"/>
      <c r="B933" s="72"/>
      <c r="C933" s="72"/>
      <c r="D933" s="72"/>
      <c r="E933" s="72"/>
      <c r="F933" s="72"/>
      <c r="G933" s="72"/>
      <c r="H933" s="72"/>
    </row>
    <row r="934" ht="22.5" customHeight="1">
      <c r="A934" s="71"/>
      <c r="B934" s="72"/>
      <c r="C934" s="72"/>
      <c r="D934" s="72"/>
      <c r="E934" s="72"/>
      <c r="F934" s="72"/>
      <c r="G934" s="72"/>
      <c r="H934" s="72"/>
    </row>
    <row r="935" ht="22.5" customHeight="1">
      <c r="A935" s="71"/>
      <c r="B935" s="72"/>
      <c r="C935" s="72"/>
      <c r="D935" s="72"/>
      <c r="E935" s="72"/>
      <c r="F935" s="72"/>
      <c r="G935" s="72"/>
      <c r="H935" s="72"/>
    </row>
    <row r="936" ht="22.5" customHeight="1">
      <c r="A936" s="71"/>
      <c r="B936" s="72"/>
      <c r="C936" s="72"/>
      <c r="D936" s="72"/>
      <c r="E936" s="72"/>
      <c r="F936" s="72"/>
      <c r="G936" s="72"/>
      <c r="H936" s="72"/>
    </row>
    <row r="937" ht="22.5" customHeight="1">
      <c r="A937" s="71"/>
      <c r="B937" s="72"/>
      <c r="C937" s="72"/>
      <c r="D937" s="72"/>
      <c r="E937" s="72"/>
      <c r="F937" s="72"/>
      <c r="G937" s="72"/>
      <c r="H937" s="72"/>
    </row>
    <row r="938" ht="22.5" customHeight="1">
      <c r="A938" s="71"/>
      <c r="B938" s="72"/>
      <c r="C938" s="72"/>
      <c r="D938" s="72"/>
      <c r="E938" s="72"/>
      <c r="F938" s="72"/>
      <c r="G938" s="72"/>
      <c r="H938" s="72"/>
    </row>
    <row r="939" ht="22.5" customHeight="1">
      <c r="A939" s="71"/>
      <c r="B939" s="72"/>
      <c r="C939" s="72"/>
      <c r="D939" s="72"/>
      <c r="E939" s="72"/>
      <c r="F939" s="72"/>
      <c r="G939" s="72"/>
      <c r="H939" s="72"/>
    </row>
    <row r="940" ht="22.5" customHeight="1">
      <c r="A940" s="71"/>
      <c r="B940" s="72"/>
      <c r="C940" s="72"/>
      <c r="D940" s="72"/>
      <c r="E940" s="72"/>
      <c r="F940" s="72"/>
      <c r="G940" s="72"/>
      <c r="H940" s="72"/>
    </row>
    <row r="941" ht="22.5" customHeight="1">
      <c r="A941" s="71"/>
      <c r="B941" s="72"/>
      <c r="C941" s="72"/>
      <c r="D941" s="72"/>
      <c r="E941" s="72"/>
      <c r="F941" s="72"/>
      <c r="G941" s="72"/>
      <c r="H941" s="72"/>
    </row>
    <row r="942" ht="22.5" customHeight="1">
      <c r="A942" s="71"/>
      <c r="B942" s="72"/>
      <c r="C942" s="72"/>
      <c r="D942" s="72"/>
      <c r="E942" s="72"/>
      <c r="F942" s="72"/>
      <c r="G942" s="72"/>
      <c r="H942" s="72"/>
    </row>
    <row r="943" ht="22.5" customHeight="1">
      <c r="A943" s="71"/>
      <c r="B943" s="72"/>
      <c r="C943" s="72"/>
      <c r="D943" s="72"/>
      <c r="E943" s="72"/>
      <c r="F943" s="72"/>
      <c r="G943" s="72"/>
      <c r="H943" s="72"/>
    </row>
    <row r="944" ht="22.5" customHeight="1">
      <c r="A944" s="71"/>
      <c r="B944" s="72"/>
      <c r="C944" s="72"/>
      <c r="D944" s="72"/>
      <c r="E944" s="72"/>
      <c r="F944" s="72"/>
      <c r="G944" s="72"/>
      <c r="H944" s="72"/>
    </row>
    <row r="945" ht="22.5" customHeight="1">
      <c r="A945" s="71"/>
      <c r="B945" s="72"/>
      <c r="C945" s="72"/>
      <c r="D945" s="72"/>
      <c r="E945" s="72"/>
      <c r="F945" s="72"/>
      <c r="G945" s="72"/>
      <c r="H945" s="72"/>
    </row>
    <row r="946" ht="22.5" customHeight="1">
      <c r="A946" s="71"/>
      <c r="B946" s="72"/>
      <c r="C946" s="72"/>
      <c r="D946" s="72"/>
      <c r="E946" s="72"/>
      <c r="F946" s="72"/>
      <c r="G946" s="72"/>
      <c r="H946" s="72"/>
    </row>
    <row r="947" ht="22.5" customHeight="1">
      <c r="A947" s="71"/>
      <c r="B947" s="72"/>
      <c r="C947" s="72"/>
      <c r="D947" s="72"/>
      <c r="E947" s="72"/>
      <c r="F947" s="72"/>
      <c r="G947" s="72"/>
      <c r="H947" s="72"/>
    </row>
    <row r="948" ht="22.5" customHeight="1">
      <c r="A948" s="71"/>
      <c r="B948" s="72"/>
      <c r="C948" s="72"/>
      <c r="D948" s="72"/>
      <c r="E948" s="72"/>
      <c r="F948" s="72"/>
      <c r="G948" s="72"/>
      <c r="H948" s="72"/>
    </row>
    <row r="949" ht="22.5" customHeight="1">
      <c r="A949" s="71"/>
      <c r="B949" s="72"/>
      <c r="C949" s="72"/>
      <c r="D949" s="72"/>
      <c r="E949" s="72"/>
      <c r="F949" s="72"/>
      <c r="G949" s="72"/>
      <c r="H949" s="72"/>
    </row>
    <row r="950" ht="22.5" customHeight="1">
      <c r="A950" s="71"/>
      <c r="B950" s="72"/>
      <c r="C950" s="72"/>
      <c r="D950" s="72"/>
      <c r="E950" s="72"/>
      <c r="F950" s="72"/>
      <c r="G950" s="72"/>
      <c r="H950" s="72"/>
    </row>
    <row r="951" ht="22.5" customHeight="1">
      <c r="A951" s="71"/>
      <c r="B951" s="72"/>
      <c r="C951" s="72"/>
      <c r="D951" s="72"/>
      <c r="E951" s="72"/>
      <c r="F951" s="72"/>
      <c r="G951" s="72"/>
      <c r="H951" s="72"/>
    </row>
    <row r="952" ht="22.5" customHeight="1">
      <c r="A952" s="71"/>
      <c r="B952" s="72"/>
      <c r="C952" s="72"/>
      <c r="D952" s="72"/>
      <c r="E952" s="72"/>
      <c r="F952" s="72"/>
      <c r="G952" s="72"/>
      <c r="H952" s="72"/>
    </row>
    <row r="953" ht="22.5" customHeight="1">
      <c r="A953" s="71"/>
      <c r="B953" s="72"/>
      <c r="C953" s="72"/>
      <c r="D953" s="72"/>
      <c r="E953" s="72"/>
      <c r="F953" s="72"/>
      <c r="G953" s="72"/>
      <c r="H953" s="72"/>
    </row>
    <row r="954" ht="22.5" customHeight="1">
      <c r="A954" s="71"/>
      <c r="B954" s="72"/>
      <c r="C954" s="72"/>
      <c r="D954" s="72"/>
      <c r="E954" s="72"/>
      <c r="F954" s="72"/>
      <c r="G954" s="72"/>
      <c r="H954" s="72"/>
    </row>
    <row r="955" ht="22.5" customHeight="1">
      <c r="A955" s="71"/>
      <c r="B955" s="72"/>
      <c r="C955" s="72"/>
      <c r="D955" s="72"/>
      <c r="E955" s="72"/>
      <c r="F955" s="72"/>
      <c r="G955" s="72"/>
      <c r="H955" s="72"/>
    </row>
    <row r="956" ht="22.5" customHeight="1">
      <c r="A956" s="71"/>
      <c r="B956" s="72"/>
      <c r="C956" s="72"/>
      <c r="D956" s="72"/>
      <c r="E956" s="72"/>
      <c r="F956" s="72"/>
      <c r="G956" s="72"/>
      <c r="H956" s="72"/>
    </row>
    <row r="957" ht="22.5" customHeight="1">
      <c r="A957" s="71"/>
      <c r="B957" s="72"/>
      <c r="C957" s="72"/>
      <c r="D957" s="72"/>
      <c r="E957" s="72"/>
      <c r="F957" s="72"/>
      <c r="G957" s="72"/>
      <c r="H957" s="72"/>
    </row>
    <row r="958" ht="22.5" customHeight="1">
      <c r="A958" s="71"/>
      <c r="B958" s="72"/>
      <c r="C958" s="72"/>
      <c r="D958" s="72"/>
      <c r="E958" s="72"/>
      <c r="F958" s="72"/>
      <c r="G958" s="72"/>
      <c r="H958" s="72"/>
    </row>
    <row r="959" ht="22.5" customHeight="1">
      <c r="A959" s="71"/>
      <c r="B959" s="72"/>
      <c r="C959" s="72"/>
      <c r="D959" s="72"/>
      <c r="E959" s="72"/>
      <c r="F959" s="72"/>
      <c r="G959" s="72"/>
      <c r="H959" s="72"/>
    </row>
    <row r="960" ht="22.5" customHeight="1">
      <c r="A960" s="71"/>
      <c r="B960" s="72"/>
      <c r="C960" s="72"/>
      <c r="D960" s="72"/>
      <c r="E960" s="72"/>
      <c r="F960" s="72"/>
      <c r="G960" s="72"/>
      <c r="H960" s="72"/>
    </row>
    <row r="961" ht="22.5" customHeight="1">
      <c r="A961" s="71"/>
      <c r="B961" s="72"/>
      <c r="C961" s="72"/>
      <c r="D961" s="72"/>
      <c r="E961" s="72"/>
      <c r="F961" s="72"/>
      <c r="G961" s="72"/>
      <c r="H961" s="72"/>
    </row>
    <row r="962" ht="22.5" customHeight="1">
      <c r="A962" s="71"/>
      <c r="B962" s="72"/>
      <c r="C962" s="72"/>
      <c r="D962" s="72"/>
      <c r="E962" s="72"/>
      <c r="F962" s="72"/>
      <c r="G962" s="72"/>
      <c r="H962" s="72"/>
    </row>
    <row r="963" ht="22.5" customHeight="1">
      <c r="A963" s="71"/>
      <c r="B963" s="72"/>
      <c r="C963" s="72"/>
      <c r="D963" s="72"/>
      <c r="E963" s="72"/>
      <c r="F963" s="72"/>
      <c r="G963" s="72"/>
      <c r="H963" s="72"/>
    </row>
    <row r="964" ht="22.5" customHeight="1">
      <c r="A964" s="71"/>
      <c r="B964" s="72"/>
      <c r="C964" s="72"/>
      <c r="D964" s="72"/>
      <c r="E964" s="72"/>
      <c r="F964" s="72"/>
      <c r="G964" s="72"/>
      <c r="H964" s="72"/>
    </row>
    <row r="965" ht="22.5" customHeight="1">
      <c r="A965" s="71"/>
      <c r="B965" s="72"/>
      <c r="C965" s="72"/>
      <c r="D965" s="72"/>
      <c r="E965" s="72"/>
      <c r="F965" s="72"/>
      <c r="G965" s="72"/>
      <c r="H965" s="72"/>
    </row>
    <row r="966" ht="22.5" customHeight="1">
      <c r="A966" s="71"/>
      <c r="B966" s="72"/>
      <c r="C966" s="72"/>
      <c r="D966" s="72"/>
      <c r="E966" s="72"/>
      <c r="F966" s="72"/>
      <c r="G966" s="72"/>
      <c r="H966" s="72"/>
    </row>
    <row r="967" ht="22.5" customHeight="1">
      <c r="A967" s="71"/>
      <c r="B967" s="72"/>
      <c r="C967" s="72"/>
      <c r="D967" s="72"/>
      <c r="E967" s="72"/>
      <c r="F967" s="72"/>
      <c r="G967" s="72"/>
      <c r="H967" s="72"/>
    </row>
    <row r="968" ht="22.5" customHeight="1">
      <c r="A968" s="71"/>
      <c r="B968" s="72"/>
      <c r="C968" s="72"/>
      <c r="D968" s="72"/>
      <c r="E968" s="72"/>
      <c r="F968" s="72"/>
      <c r="G968" s="72"/>
      <c r="H968" s="72"/>
    </row>
    <row r="969" ht="22.5" customHeight="1">
      <c r="A969" s="71"/>
      <c r="B969" s="72"/>
      <c r="C969" s="72"/>
      <c r="D969" s="72"/>
      <c r="E969" s="72"/>
      <c r="F969" s="72"/>
      <c r="G969" s="72"/>
      <c r="H969" s="72"/>
    </row>
    <row r="970" ht="22.5" customHeight="1">
      <c r="A970" s="71"/>
      <c r="B970" s="72"/>
      <c r="C970" s="72"/>
      <c r="D970" s="72"/>
      <c r="E970" s="72"/>
      <c r="F970" s="72"/>
      <c r="G970" s="72"/>
      <c r="H970" s="72"/>
    </row>
    <row r="971" ht="22.5" customHeight="1">
      <c r="A971" s="71"/>
      <c r="B971" s="72"/>
      <c r="C971" s="72"/>
      <c r="D971" s="72"/>
      <c r="E971" s="72"/>
      <c r="F971" s="72"/>
      <c r="G971" s="72"/>
      <c r="H971" s="72"/>
    </row>
    <row r="972" ht="22.5" customHeight="1">
      <c r="A972" s="71"/>
      <c r="B972" s="72"/>
      <c r="C972" s="72"/>
      <c r="D972" s="72"/>
      <c r="E972" s="72"/>
      <c r="F972" s="72"/>
      <c r="G972" s="72"/>
      <c r="H972" s="72"/>
    </row>
    <row r="973" ht="22.5" customHeight="1">
      <c r="A973" s="71"/>
      <c r="B973" s="72"/>
      <c r="C973" s="72"/>
      <c r="D973" s="72"/>
      <c r="E973" s="72"/>
      <c r="F973" s="72"/>
      <c r="G973" s="72"/>
      <c r="H973" s="72"/>
    </row>
    <row r="974" ht="22.5" customHeight="1">
      <c r="A974" s="71"/>
      <c r="B974" s="72"/>
      <c r="C974" s="72"/>
      <c r="D974" s="72"/>
      <c r="E974" s="72"/>
      <c r="F974" s="72"/>
      <c r="G974" s="72"/>
      <c r="H974" s="72"/>
    </row>
    <row r="975" ht="22.5" customHeight="1">
      <c r="A975" s="71"/>
      <c r="B975" s="72"/>
      <c r="C975" s="72"/>
      <c r="D975" s="72"/>
      <c r="E975" s="72"/>
      <c r="F975" s="72"/>
      <c r="G975" s="72"/>
      <c r="H975" s="72"/>
    </row>
    <row r="976" ht="22.5" customHeight="1">
      <c r="A976" s="71"/>
      <c r="B976" s="72"/>
      <c r="C976" s="72"/>
      <c r="D976" s="72"/>
      <c r="E976" s="72"/>
      <c r="F976" s="72"/>
      <c r="G976" s="72"/>
      <c r="H976" s="72"/>
    </row>
    <row r="977" ht="22.5" customHeight="1">
      <c r="A977" s="71"/>
      <c r="B977" s="72"/>
      <c r="C977" s="72"/>
      <c r="D977" s="72"/>
      <c r="E977" s="72"/>
      <c r="F977" s="72"/>
      <c r="G977" s="72"/>
      <c r="H977" s="72"/>
    </row>
    <row r="978" ht="22.5" customHeight="1">
      <c r="A978" s="71"/>
      <c r="B978" s="72"/>
      <c r="C978" s="72"/>
      <c r="D978" s="72"/>
      <c r="E978" s="72"/>
      <c r="F978" s="72"/>
      <c r="G978" s="72"/>
      <c r="H978" s="72"/>
    </row>
    <row r="979" ht="22.5" customHeight="1">
      <c r="A979" s="71"/>
      <c r="B979" s="72"/>
      <c r="C979" s="72"/>
      <c r="D979" s="72"/>
      <c r="E979" s="72"/>
      <c r="F979" s="72"/>
      <c r="G979" s="72"/>
      <c r="H979" s="72"/>
    </row>
    <row r="980" ht="22.5" customHeight="1">
      <c r="A980" s="71"/>
      <c r="B980" s="72"/>
      <c r="C980" s="72"/>
      <c r="D980" s="72"/>
      <c r="E980" s="72"/>
      <c r="F980" s="72"/>
      <c r="G980" s="72"/>
      <c r="H980" s="72"/>
    </row>
    <row r="981" ht="22.5" customHeight="1">
      <c r="A981" s="71"/>
      <c r="B981" s="72"/>
      <c r="C981" s="72"/>
      <c r="D981" s="72"/>
      <c r="E981" s="72"/>
      <c r="F981" s="72"/>
      <c r="G981" s="72"/>
      <c r="H981" s="72"/>
    </row>
    <row r="982" ht="22.5" customHeight="1">
      <c r="A982" s="71"/>
      <c r="B982" s="72"/>
      <c r="C982" s="72"/>
      <c r="D982" s="72"/>
      <c r="E982" s="72"/>
      <c r="F982" s="72"/>
      <c r="G982" s="72"/>
      <c r="H982" s="72"/>
    </row>
    <row r="983" ht="22.5" customHeight="1">
      <c r="A983" s="71"/>
      <c r="B983" s="72"/>
      <c r="C983" s="72"/>
      <c r="D983" s="72"/>
      <c r="E983" s="72"/>
      <c r="F983" s="72"/>
      <c r="G983" s="72"/>
      <c r="H983" s="72"/>
    </row>
    <row r="984" ht="22.5" customHeight="1">
      <c r="A984" s="71"/>
      <c r="B984" s="72"/>
      <c r="C984" s="72"/>
      <c r="D984" s="72"/>
      <c r="E984" s="72"/>
      <c r="F984" s="72"/>
      <c r="G984" s="72"/>
      <c r="H984" s="72"/>
    </row>
    <row r="985" ht="22.5" customHeight="1">
      <c r="A985" s="71"/>
      <c r="B985" s="72"/>
      <c r="C985" s="72"/>
      <c r="D985" s="72"/>
      <c r="E985" s="72"/>
      <c r="F985" s="72"/>
      <c r="G985" s="72"/>
      <c r="H985" s="72"/>
    </row>
    <row r="986" ht="22.5" customHeight="1">
      <c r="A986" s="71"/>
      <c r="B986" s="72"/>
      <c r="C986" s="72"/>
      <c r="D986" s="72"/>
      <c r="E986" s="72"/>
      <c r="F986" s="72"/>
      <c r="G986" s="72"/>
      <c r="H986" s="72"/>
    </row>
    <row r="987" ht="22.5" customHeight="1">
      <c r="A987" s="71"/>
      <c r="B987" s="72"/>
      <c r="C987" s="72"/>
      <c r="D987" s="72"/>
      <c r="E987" s="72"/>
      <c r="F987" s="72"/>
      <c r="G987" s="72"/>
      <c r="H987" s="72"/>
    </row>
    <row r="988" ht="22.5" customHeight="1">
      <c r="A988" s="71"/>
      <c r="B988" s="72"/>
      <c r="C988" s="72"/>
      <c r="D988" s="72"/>
      <c r="E988" s="72"/>
      <c r="F988" s="72"/>
      <c r="G988" s="72"/>
      <c r="H988" s="72"/>
    </row>
    <row r="989" ht="22.5" customHeight="1">
      <c r="A989" s="71"/>
      <c r="B989" s="72"/>
      <c r="C989" s="72"/>
      <c r="D989" s="72"/>
      <c r="E989" s="72"/>
      <c r="F989" s="72"/>
      <c r="G989" s="72"/>
      <c r="H989" s="72"/>
    </row>
    <row r="990" ht="22.5" customHeight="1">
      <c r="A990" s="71"/>
      <c r="B990" s="72"/>
      <c r="C990" s="72"/>
      <c r="D990" s="72"/>
      <c r="E990" s="72"/>
      <c r="F990" s="72"/>
      <c r="G990" s="72"/>
      <c r="H990" s="72"/>
    </row>
    <row r="991" ht="22.5" customHeight="1">
      <c r="A991" s="71"/>
      <c r="B991" s="72"/>
      <c r="C991" s="72"/>
      <c r="D991" s="72"/>
      <c r="E991" s="72"/>
      <c r="F991" s="72"/>
      <c r="G991" s="72"/>
      <c r="H991" s="72"/>
    </row>
    <row r="992" ht="22.5" customHeight="1">
      <c r="A992" s="71"/>
      <c r="B992" s="72"/>
      <c r="C992" s="72"/>
      <c r="D992" s="72"/>
      <c r="E992" s="72"/>
      <c r="F992" s="72"/>
      <c r="G992" s="72"/>
      <c r="H992" s="72"/>
    </row>
    <row r="993" ht="22.5" customHeight="1">
      <c r="A993" s="71"/>
      <c r="B993" s="72"/>
      <c r="C993" s="72"/>
      <c r="D993" s="72"/>
      <c r="E993" s="72"/>
      <c r="F993" s="72"/>
      <c r="G993" s="72"/>
      <c r="H993" s="72"/>
    </row>
    <row r="994" ht="22.5" customHeight="1">
      <c r="A994" s="71"/>
      <c r="B994" s="72"/>
      <c r="C994" s="72"/>
      <c r="D994" s="72"/>
      <c r="E994" s="72"/>
      <c r="F994" s="72"/>
      <c r="G994" s="72"/>
      <c r="H994" s="72"/>
    </row>
    <row r="995" ht="22.5" customHeight="1">
      <c r="A995" s="71"/>
      <c r="B995" s="72"/>
      <c r="C995" s="72"/>
      <c r="D995" s="72"/>
      <c r="E995" s="72"/>
      <c r="F995" s="72"/>
      <c r="G995" s="72"/>
      <c r="H995" s="72"/>
    </row>
  </sheetData>
  <dataValidations>
    <dataValidation type="custom" allowBlank="1" showDropDown="1" sqref="A2:A995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1.25"/>
    <col customWidth="1" min="2" max="2" width="20.25"/>
    <col customWidth="1" min="3" max="3" width="104.25"/>
    <col customWidth="1" min="4" max="4" width="17.25"/>
    <col customWidth="1" min="5" max="5" width="37.25"/>
  </cols>
  <sheetData>
    <row r="1" ht="22.5" customHeight="1">
      <c r="A1" s="73" t="s">
        <v>0</v>
      </c>
      <c r="B1" s="73" t="s">
        <v>8475</v>
      </c>
      <c r="C1" s="74" t="s">
        <v>8476</v>
      </c>
      <c r="D1" s="73" t="s">
        <v>8477</v>
      </c>
      <c r="E1" s="73" t="s">
        <v>8478</v>
      </c>
    </row>
    <row r="2" ht="22.5" customHeight="1">
      <c r="A2" s="73" t="s">
        <v>12</v>
      </c>
      <c r="B2" s="73" t="s">
        <v>8479</v>
      </c>
      <c r="C2" s="74" t="s">
        <v>8480</v>
      </c>
      <c r="D2" s="73" t="s">
        <v>8481</v>
      </c>
      <c r="E2" s="75" t="s">
        <v>8482</v>
      </c>
    </row>
    <row r="3" ht="22.5" customHeight="1">
      <c r="A3" s="73" t="s">
        <v>8483</v>
      </c>
      <c r="B3" s="73" t="s">
        <v>8484</v>
      </c>
      <c r="C3" s="73" t="s">
        <v>8485</v>
      </c>
      <c r="D3" s="73" t="s">
        <v>8486</v>
      </c>
      <c r="E3" s="76" t="s">
        <v>8487</v>
      </c>
    </row>
    <row r="4" ht="22.5" customHeight="1">
      <c r="A4" s="73" t="s">
        <v>70</v>
      </c>
      <c r="B4" s="73" t="s">
        <v>8488</v>
      </c>
      <c r="C4" s="74" t="s">
        <v>8489</v>
      </c>
      <c r="D4" s="73" t="s">
        <v>8490</v>
      </c>
      <c r="E4" s="75" t="s">
        <v>8491</v>
      </c>
    </row>
    <row r="5" ht="22.5" customHeight="1">
      <c r="A5" s="73" t="s">
        <v>199</v>
      </c>
      <c r="B5" s="73" t="s">
        <v>8492</v>
      </c>
      <c r="C5" s="74" t="s">
        <v>8493</v>
      </c>
      <c r="D5" s="73" t="s">
        <v>8494</v>
      </c>
      <c r="E5" s="75" t="s">
        <v>8495</v>
      </c>
    </row>
    <row r="6" ht="22.5" customHeight="1">
      <c r="A6" s="73" t="s">
        <v>118</v>
      </c>
      <c r="B6" s="73" t="s">
        <v>8496</v>
      </c>
      <c r="C6" s="73" t="s">
        <v>8497</v>
      </c>
      <c r="D6" s="73" t="s">
        <v>8498</v>
      </c>
      <c r="E6" s="76" t="s">
        <v>8499</v>
      </c>
    </row>
    <row r="7" ht="22.5" customHeight="1">
      <c r="A7" s="73" t="s">
        <v>62</v>
      </c>
      <c r="B7" s="73" t="s">
        <v>8500</v>
      </c>
      <c r="C7" s="74" t="s">
        <v>8501</v>
      </c>
      <c r="D7" s="73" t="s">
        <v>8502</v>
      </c>
      <c r="E7" s="75" t="s">
        <v>8503</v>
      </c>
    </row>
    <row r="8" ht="22.5" customHeight="1">
      <c r="A8" s="73" t="s">
        <v>128</v>
      </c>
      <c r="B8" s="73" t="s">
        <v>8504</v>
      </c>
      <c r="C8" s="74" t="s">
        <v>8505</v>
      </c>
      <c r="D8" s="73" t="s">
        <v>8506</v>
      </c>
      <c r="E8" s="77" t="s">
        <v>8507</v>
      </c>
    </row>
    <row r="9" ht="22.5" customHeight="1">
      <c r="A9" s="73" t="s">
        <v>237</v>
      </c>
      <c r="B9" s="73" t="s">
        <v>8508</v>
      </c>
      <c r="C9" s="74" t="s">
        <v>8509</v>
      </c>
      <c r="D9" s="73" t="s">
        <v>8510</v>
      </c>
      <c r="E9" s="77" t="s">
        <v>8511</v>
      </c>
    </row>
    <row r="10" ht="22.5" customHeight="1">
      <c r="A10" s="73" t="s">
        <v>159</v>
      </c>
      <c r="B10" s="73" t="s">
        <v>8512</v>
      </c>
      <c r="C10" s="74" t="s">
        <v>8513</v>
      </c>
      <c r="D10" s="73" t="s">
        <v>8514</v>
      </c>
      <c r="E10" s="75" t="s">
        <v>8515</v>
      </c>
    </row>
    <row r="11" ht="22.5" customHeight="1">
      <c r="A11" s="74" t="s">
        <v>140</v>
      </c>
      <c r="B11" s="73" t="s">
        <v>8516</v>
      </c>
      <c r="C11" s="74" t="s">
        <v>8517</v>
      </c>
      <c r="D11" s="73" t="s">
        <v>8518</v>
      </c>
      <c r="E11" s="75" t="s">
        <v>8519</v>
      </c>
    </row>
    <row r="12" ht="22.5" customHeight="1">
      <c r="A12" s="73" t="s">
        <v>36</v>
      </c>
      <c r="B12" s="73" t="s">
        <v>8520</v>
      </c>
      <c r="C12" s="73" t="s">
        <v>8521</v>
      </c>
      <c r="D12" s="73" t="s">
        <v>8522</v>
      </c>
      <c r="E12" s="76" t="s">
        <v>8523</v>
      </c>
    </row>
    <row r="13" ht="22.5" customHeight="1">
      <c r="A13" s="73" t="s">
        <v>126</v>
      </c>
      <c r="B13" s="73" t="s">
        <v>8524</v>
      </c>
      <c r="C13" s="74" t="s">
        <v>8525</v>
      </c>
      <c r="D13" s="73" t="s">
        <v>8526</v>
      </c>
      <c r="E13" s="77" t="s">
        <v>8527</v>
      </c>
    </row>
    <row r="14" ht="22.5" customHeight="1">
      <c r="A14" s="73" t="s">
        <v>42</v>
      </c>
      <c r="B14" s="73" t="s">
        <v>8528</v>
      </c>
      <c r="C14" s="74" t="s">
        <v>8529</v>
      </c>
      <c r="D14" s="73" t="s">
        <v>8530</v>
      </c>
      <c r="E14" s="75" t="s">
        <v>8531</v>
      </c>
    </row>
    <row r="15" ht="22.5" customHeight="1">
      <c r="A15" s="74" t="s">
        <v>8532</v>
      </c>
      <c r="B15" s="73" t="s">
        <v>8533</v>
      </c>
      <c r="C15" s="73" t="s">
        <v>8534</v>
      </c>
      <c r="D15" s="73" t="s">
        <v>8535</v>
      </c>
      <c r="E15" s="76" t="s">
        <v>8536</v>
      </c>
    </row>
    <row r="16" ht="22.5" customHeight="1">
      <c r="A16" s="73" t="s">
        <v>8537</v>
      </c>
      <c r="B16" s="73" t="s">
        <v>8538</v>
      </c>
      <c r="C16" s="74" t="s">
        <v>8539</v>
      </c>
      <c r="D16" s="73" t="s">
        <v>8540</v>
      </c>
      <c r="E16" s="75" t="s">
        <v>8541</v>
      </c>
    </row>
    <row r="17" ht="22.5" customHeight="1">
      <c r="A17" s="74" t="s">
        <v>8542</v>
      </c>
      <c r="B17" s="73" t="s">
        <v>8543</v>
      </c>
      <c r="C17" s="74" t="s">
        <v>8544</v>
      </c>
      <c r="D17" s="73" t="s">
        <v>8545</v>
      </c>
      <c r="E17" s="75" t="s">
        <v>8546</v>
      </c>
    </row>
    <row r="18" ht="22.5" customHeight="1">
      <c r="A18" s="73" t="s">
        <v>8547</v>
      </c>
      <c r="B18" s="73" t="s">
        <v>8548</v>
      </c>
      <c r="C18" s="74" t="s">
        <v>8549</v>
      </c>
      <c r="D18" s="73" t="s">
        <v>8550</v>
      </c>
      <c r="E18" s="77" t="s">
        <v>8551</v>
      </c>
    </row>
    <row r="19" ht="22.5" customHeight="1">
      <c r="A19" s="73" t="s">
        <v>143</v>
      </c>
      <c r="B19" s="73" t="s">
        <v>8552</v>
      </c>
      <c r="C19" s="74" t="s">
        <v>8553</v>
      </c>
      <c r="D19" s="73" t="s">
        <v>8554</v>
      </c>
      <c r="E19" s="77" t="s">
        <v>8555</v>
      </c>
    </row>
    <row r="20" ht="22.5" customHeight="1">
      <c r="A20" s="73" t="s">
        <v>8556</v>
      </c>
      <c r="B20" s="73" t="s">
        <v>8557</v>
      </c>
      <c r="C20" s="74" t="s">
        <v>8558</v>
      </c>
      <c r="D20" s="73" t="s">
        <v>8559</v>
      </c>
      <c r="E20" s="77" t="s">
        <v>8560</v>
      </c>
    </row>
    <row r="21" ht="22.5" customHeight="1">
      <c r="A21" s="78" t="s">
        <v>27</v>
      </c>
      <c r="B21" s="73" t="s">
        <v>8561</v>
      </c>
      <c r="C21" s="74" t="s">
        <v>8562</v>
      </c>
      <c r="D21" s="73" t="s">
        <v>8563</v>
      </c>
      <c r="E21" s="75" t="s">
        <v>8564</v>
      </c>
    </row>
    <row r="22" ht="22.5" customHeight="1">
      <c r="A22" s="73" t="s">
        <v>8565</v>
      </c>
      <c r="B22" s="79" t="s">
        <v>8566</v>
      </c>
      <c r="C22" s="73" t="s">
        <v>8567</v>
      </c>
      <c r="D22" s="79" t="s">
        <v>8568</v>
      </c>
      <c r="E22" s="76" t="s">
        <v>8569</v>
      </c>
    </row>
    <row r="23" ht="22.5" customHeight="1">
      <c r="A23" s="73" t="s">
        <v>222</v>
      </c>
      <c r="B23" s="73" t="s">
        <v>8570</v>
      </c>
      <c r="C23" s="73" t="s">
        <v>8571</v>
      </c>
      <c r="D23" s="73" t="s">
        <v>8572</v>
      </c>
      <c r="E23" s="76" t="s">
        <v>8573</v>
      </c>
    </row>
    <row r="24" ht="22.5" customHeight="1">
      <c r="A24" s="73" t="s">
        <v>8574</v>
      </c>
      <c r="B24" s="73" t="s">
        <v>8575</v>
      </c>
      <c r="C24" s="74" t="s">
        <v>8576</v>
      </c>
      <c r="D24" s="73" t="s">
        <v>8577</v>
      </c>
      <c r="E24" s="77" t="s">
        <v>8578</v>
      </c>
    </row>
    <row r="25" ht="22.5" customHeight="1">
      <c r="A25" s="73" t="s">
        <v>59</v>
      </c>
      <c r="B25" s="73" t="s">
        <v>8579</v>
      </c>
      <c r="C25" s="74" t="s">
        <v>8580</v>
      </c>
      <c r="D25" s="73" t="s">
        <v>8581</v>
      </c>
      <c r="E25" s="75" t="s">
        <v>8582</v>
      </c>
    </row>
    <row r="26" ht="22.5" customHeight="1">
      <c r="A26" s="74" t="s">
        <v>20</v>
      </c>
      <c r="B26" s="73" t="s">
        <v>8583</v>
      </c>
      <c r="C26" s="74" t="s">
        <v>8584</v>
      </c>
      <c r="D26" s="73" t="s">
        <v>8585</v>
      </c>
      <c r="E26" s="75" t="s">
        <v>8586</v>
      </c>
    </row>
    <row r="27" ht="22.5" customHeight="1">
      <c r="A27" s="73" t="s">
        <v>217</v>
      </c>
      <c r="B27" s="73" t="s">
        <v>8587</v>
      </c>
      <c r="C27" s="74" t="s">
        <v>8588</v>
      </c>
      <c r="D27" s="73" t="s">
        <v>8589</v>
      </c>
      <c r="E27" s="75" t="s">
        <v>8590</v>
      </c>
    </row>
    <row r="28" ht="22.5" customHeight="1">
      <c r="A28" s="73" t="s">
        <v>164</v>
      </c>
      <c r="B28" s="73" t="s">
        <v>8591</v>
      </c>
      <c r="C28" s="74" t="s">
        <v>8592</v>
      </c>
      <c r="D28" s="73" t="s">
        <v>8593</v>
      </c>
      <c r="E28" s="77" t="s">
        <v>8594</v>
      </c>
    </row>
    <row r="29" ht="22.5" customHeight="1">
      <c r="A29" s="73" t="s">
        <v>8595</v>
      </c>
      <c r="B29" s="73" t="s">
        <v>8596</v>
      </c>
      <c r="C29" s="74" t="s">
        <v>8597</v>
      </c>
      <c r="D29" s="73" t="s">
        <v>8598</v>
      </c>
      <c r="E29" s="75" t="s">
        <v>8599</v>
      </c>
    </row>
    <row r="30" ht="22.5" customHeight="1">
      <c r="A30" s="73" t="s">
        <v>89</v>
      </c>
      <c r="B30" s="73" t="s">
        <v>8600</v>
      </c>
      <c r="C30" s="74" t="s">
        <v>8601</v>
      </c>
      <c r="D30" s="73" t="s">
        <v>8602</v>
      </c>
      <c r="E30" s="77" t="s">
        <v>8603</v>
      </c>
    </row>
    <row r="31" ht="22.5" customHeight="1">
      <c r="A31" s="73" t="s">
        <v>80</v>
      </c>
      <c r="B31" s="73" t="s">
        <v>8604</v>
      </c>
      <c r="C31" s="74" t="s">
        <v>8605</v>
      </c>
      <c r="D31" s="73" t="s">
        <v>8606</v>
      </c>
      <c r="E31" s="75" t="s">
        <v>8607</v>
      </c>
    </row>
    <row r="32" ht="22.5" customHeight="1">
      <c r="A32" s="74" t="s">
        <v>44</v>
      </c>
      <c r="B32" s="73" t="s">
        <v>8608</v>
      </c>
      <c r="C32" s="74" t="s">
        <v>8609</v>
      </c>
      <c r="D32" s="73" t="s">
        <v>8610</v>
      </c>
      <c r="E32" s="75" t="s">
        <v>8611</v>
      </c>
    </row>
    <row r="33" ht="22.5" customHeight="1">
      <c r="A33" s="73" t="s">
        <v>241</v>
      </c>
      <c r="B33" s="73" t="s">
        <v>8612</v>
      </c>
      <c r="C33" s="74" t="s">
        <v>8613</v>
      </c>
      <c r="D33" s="73" t="s">
        <v>8614</v>
      </c>
      <c r="E33" s="77" t="s">
        <v>8615</v>
      </c>
    </row>
    <row r="34" ht="22.5" customHeight="1">
      <c r="A34" s="73" t="s">
        <v>49</v>
      </c>
      <c r="B34" s="73" t="s">
        <v>8616</v>
      </c>
      <c r="C34" s="74" t="s">
        <v>8617</v>
      </c>
      <c r="D34" s="73" t="s">
        <v>8618</v>
      </c>
      <c r="E34" s="75" t="s">
        <v>8619</v>
      </c>
    </row>
    <row r="35" ht="22.5" customHeight="1">
      <c r="A35" s="73" t="s">
        <v>78</v>
      </c>
      <c r="B35" s="73" t="s">
        <v>8620</v>
      </c>
      <c r="C35" s="74" t="s">
        <v>8621</v>
      </c>
      <c r="D35" s="73" t="s">
        <v>8622</v>
      </c>
      <c r="E35" s="75" t="s">
        <v>8623</v>
      </c>
    </row>
    <row r="36" ht="22.5" customHeight="1">
      <c r="A36" s="73" t="s">
        <v>73</v>
      </c>
      <c r="B36" s="73" t="s">
        <v>8624</v>
      </c>
      <c r="C36" s="74" t="s">
        <v>8625</v>
      </c>
      <c r="D36" s="73" t="s">
        <v>8626</v>
      </c>
      <c r="E36" s="75" t="s">
        <v>8627</v>
      </c>
    </row>
    <row r="37" ht="22.5" customHeight="1">
      <c r="A37" s="73" t="s">
        <v>8628</v>
      </c>
      <c r="B37" s="73" t="s">
        <v>8629</v>
      </c>
      <c r="C37" s="74" t="s">
        <v>8630</v>
      </c>
      <c r="D37" s="73" t="s">
        <v>8631</v>
      </c>
      <c r="E37" s="77" t="s">
        <v>8632</v>
      </c>
    </row>
    <row r="38" ht="22.5" customHeight="1">
      <c r="A38" s="73" t="s">
        <v>47</v>
      </c>
      <c r="B38" s="73" t="s">
        <v>8633</v>
      </c>
      <c r="C38" s="74" t="s">
        <v>8634</v>
      </c>
      <c r="D38" s="73" t="s">
        <v>8635</v>
      </c>
      <c r="E38" s="75" t="s">
        <v>8636</v>
      </c>
    </row>
    <row r="39" ht="22.5" customHeight="1">
      <c r="A39" s="73" t="s">
        <v>53</v>
      </c>
      <c r="B39" s="73" t="s">
        <v>8637</v>
      </c>
      <c r="C39" s="80"/>
      <c r="D39" s="81"/>
      <c r="E39" s="82"/>
    </row>
    <row r="40" ht="22.5" customHeight="1">
      <c r="A40" s="73" t="s">
        <v>8638</v>
      </c>
      <c r="B40" s="81"/>
      <c r="C40" s="80"/>
      <c r="D40" s="81"/>
      <c r="E40" s="83"/>
    </row>
    <row r="41" ht="22.5" customHeight="1">
      <c r="A41" s="73" t="s">
        <v>8639</v>
      </c>
      <c r="B41" s="73"/>
      <c r="C41" s="80"/>
      <c r="D41" s="81"/>
      <c r="E41" s="83"/>
    </row>
    <row r="42" ht="22.5" customHeight="1">
      <c r="A42" s="73" t="s">
        <v>108</v>
      </c>
      <c r="B42" s="81"/>
      <c r="C42" s="80"/>
      <c r="D42" s="81"/>
      <c r="E42" s="83"/>
    </row>
    <row r="43" ht="22.5" customHeight="1">
      <c r="A43" s="73" t="s">
        <v>234</v>
      </c>
      <c r="B43" s="73" t="s">
        <v>8640</v>
      </c>
      <c r="C43" s="74" t="s">
        <v>8641</v>
      </c>
      <c r="D43" s="73" t="s">
        <v>8642</v>
      </c>
      <c r="E43" s="77" t="s">
        <v>8495</v>
      </c>
    </row>
    <row r="44" ht="22.5" customHeight="1">
      <c r="A44" s="73" t="s">
        <v>152</v>
      </c>
      <c r="B44" s="81"/>
      <c r="C44" s="80"/>
      <c r="D44" s="81"/>
      <c r="E44" s="83"/>
    </row>
    <row r="45" ht="22.5" customHeight="1">
      <c r="A45" s="73" t="s">
        <v>168</v>
      </c>
      <c r="B45" s="81"/>
      <c r="C45" s="80"/>
      <c r="D45" s="81"/>
      <c r="E45" s="83"/>
    </row>
    <row r="46" ht="22.5" customHeight="1">
      <c r="A46" s="73" t="s">
        <v>15</v>
      </c>
      <c r="B46" s="81"/>
      <c r="C46" s="80"/>
      <c r="D46" s="81"/>
      <c r="E46" s="83"/>
    </row>
    <row r="47" ht="22.5" customHeight="1">
      <c r="A47" s="73" t="s">
        <v>181</v>
      </c>
      <c r="B47" s="81"/>
      <c r="C47" s="80"/>
      <c r="D47" s="81"/>
      <c r="E47" s="83"/>
    </row>
    <row r="48" ht="22.5" customHeight="1">
      <c r="A48" s="80"/>
      <c r="B48" s="81"/>
      <c r="C48" s="80"/>
      <c r="D48" s="81"/>
      <c r="E48" s="83"/>
    </row>
    <row r="49" ht="22.5" customHeight="1">
      <c r="A49" s="80"/>
      <c r="B49" s="81"/>
      <c r="C49" s="80"/>
      <c r="D49" s="81"/>
      <c r="E49" s="83"/>
    </row>
    <row r="50" ht="22.5" customHeight="1">
      <c r="A50" s="80"/>
      <c r="B50" s="81"/>
      <c r="C50" s="80"/>
      <c r="D50" s="81"/>
      <c r="E50" s="83"/>
    </row>
    <row r="51" ht="22.5" customHeight="1">
      <c r="A51" s="80"/>
      <c r="B51" s="81"/>
      <c r="C51" s="80"/>
      <c r="D51" s="81"/>
      <c r="E51" s="83"/>
    </row>
    <row r="52" ht="22.5" customHeight="1">
      <c r="A52" s="80"/>
      <c r="B52" s="81"/>
      <c r="C52" s="80"/>
      <c r="D52" s="81"/>
      <c r="E52" s="83"/>
    </row>
    <row r="53" ht="22.5" customHeight="1">
      <c r="A53" s="80"/>
      <c r="B53" s="81"/>
      <c r="C53" s="80"/>
      <c r="D53" s="81"/>
      <c r="E53" s="83"/>
    </row>
    <row r="54" ht="22.5" customHeight="1">
      <c r="A54" s="80"/>
      <c r="B54" s="81"/>
      <c r="C54" s="80"/>
      <c r="D54" s="81"/>
      <c r="E54" s="83"/>
    </row>
    <row r="55" ht="22.5" customHeight="1">
      <c r="A55" s="80"/>
      <c r="B55" s="81"/>
      <c r="C55" s="80"/>
      <c r="D55" s="81"/>
      <c r="E55" s="83"/>
    </row>
    <row r="56" ht="22.5" customHeight="1">
      <c r="A56" s="80"/>
      <c r="B56" s="81"/>
      <c r="C56" s="80"/>
      <c r="D56" s="81"/>
      <c r="E56" s="83"/>
    </row>
    <row r="57" ht="22.5" customHeight="1">
      <c r="A57" s="80"/>
      <c r="B57" s="81"/>
      <c r="C57" s="80"/>
      <c r="D57" s="81"/>
      <c r="E57" s="83"/>
    </row>
    <row r="58" ht="22.5" customHeight="1">
      <c r="A58" s="80"/>
      <c r="B58" s="81"/>
      <c r="C58" s="80"/>
      <c r="D58" s="81"/>
      <c r="E58" s="83"/>
    </row>
    <row r="59" ht="22.5" customHeight="1">
      <c r="A59" s="80"/>
      <c r="B59" s="81"/>
      <c r="C59" s="80"/>
      <c r="D59" s="81"/>
      <c r="E59" s="83"/>
    </row>
    <row r="60" ht="22.5" customHeight="1">
      <c r="A60" s="80"/>
      <c r="B60" s="81"/>
      <c r="C60" s="80"/>
      <c r="D60" s="81"/>
      <c r="E60" s="83"/>
    </row>
    <row r="61" ht="22.5" customHeight="1">
      <c r="A61" s="80"/>
      <c r="B61" s="81"/>
      <c r="C61" s="80"/>
      <c r="D61" s="81"/>
      <c r="E61" s="83"/>
    </row>
    <row r="62" ht="22.5" customHeight="1">
      <c r="A62" s="80"/>
      <c r="B62" s="81"/>
      <c r="C62" s="80"/>
      <c r="D62" s="81"/>
      <c r="E62" s="83"/>
    </row>
    <row r="63" ht="22.5" customHeight="1">
      <c r="A63" s="80"/>
      <c r="B63" s="81"/>
      <c r="C63" s="80"/>
      <c r="D63" s="81"/>
      <c r="E63" s="83"/>
    </row>
    <row r="64" ht="22.5" customHeight="1">
      <c r="A64" s="80"/>
      <c r="B64" s="81"/>
      <c r="C64" s="80"/>
      <c r="D64" s="81"/>
      <c r="E64" s="83"/>
    </row>
    <row r="65" ht="22.5" customHeight="1">
      <c r="A65" s="80"/>
      <c r="B65" s="81"/>
      <c r="C65" s="80"/>
      <c r="D65" s="81"/>
      <c r="E65" s="83"/>
    </row>
    <row r="66" ht="22.5" customHeight="1">
      <c r="A66" s="80"/>
      <c r="B66" s="81"/>
      <c r="C66" s="80"/>
      <c r="D66" s="81"/>
      <c r="E66" s="83"/>
    </row>
    <row r="67" ht="22.5" customHeight="1">
      <c r="A67" s="80"/>
      <c r="B67" s="81"/>
      <c r="C67" s="80"/>
      <c r="D67" s="81"/>
      <c r="E67" s="83"/>
    </row>
    <row r="68" ht="22.5" customHeight="1">
      <c r="A68" s="80"/>
      <c r="B68" s="81"/>
      <c r="C68" s="80"/>
      <c r="D68" s="81"/>
      <c r="E68" s="83"/>
    </row>
    <row r="69" ht="22.5" customHeight="1">
      <c r="A69" s="80"/>
      <c r="B69" s="81"/>
      <c r="C69" s="80"/>
      <c r="D69" s="81"/>
      <c r="E69" s="83"/>
    </row>
    <row r="70" ht="22.5" customHeight="1">
      <c r="A70" s="80"/>
      <c r="B70" s="81"/>
      <c r="C70" s="80"/>
      <c r="D70" s="81"/>
      <c r="E70" s="83"/>
    </row>
    <row r="71" ht="22.5" customHeight="1">
      <c r="A71" s="80"/>
      <c r="B71" s="81"/>
      <c r="C71" s="80"/>
      <c r="D71" s="81"/>
      <c r="E71" s="83"/>
    </row>
    <row r="72" ht="22.5" customHeight="1">
      <c r="A72" s="80"/>
      <c r="B72" s="81"/>
      <c r="C72" s="80"/>
      <c r="D72" s="81"/>
      <c r="E72" s="83"/>
    </row>
    <row r="73" ht="22.5" customHeight="1">
      <c r="A73" s="80"/>
      <c r="B73" s="81"/>
      <c r="C73" s="80"/>
      <c r="D73" s="81"/>
      <c r="E73" s="83"/>
    </row>
    <row r="74" ht="22.5" customHeight="1">
      <c r="A74" s="80"/>
      <c r="B74" s="81"/>
      <c r="C74" s="80"/>
      <c r="D74" s="81"/>
      <c r="E74" s="83"/>
    </row>
    <row r="75" ht="22.5" customHeight="1">
      <c r="A75" s="80"/>
      <c r="B75" s="81"/>
      <c r="C75" s="80"/>
      <c r="D75" s="81"/>
      <c r="E75" s="83"/>
    </row>
    <row r="76" ht="22.5" customHeight="1">
      <c r="A76" s="80"/>
      <c r="B76" s="81"/>
      <c r="C76" s="80"/>
      <c r="D76" s="81"/>
      <c r="E76" s="83"/>
    </row>
    <row r="77" ht="22.5" customHeight="1">
      <c r="A77" s="80"/>
      <c r="B77" s="81"/>
      <c r="C77" s="80"/>
      <c r="D77" s="81"/>
      <c r="E77" s="83"/>
    </row>
    <row r="78" ht="22.5" customHeight="1">
      <c r="A78" s="80"/>
      <c r="B78" s="81"/>
      <c r="C78" s="80"/>
      <c r="D78" s="81"/>
      <c r="E78" s="83"/>
    </row>
    <row r="79" ht="22.5" customHeight="1">
      <c r="A79" s="80"/>
      <c r="B79" s="81"/>
      <c r="C79" s="80"/>
      <c r="D79" s="81"/>
      <c r="E79" s="83"/>
    </row>
    <row r="80" ht="22.5" customHeight="1">
      <c r="A80" s="80"/>
      <c r="B80" s="81"/>
      <c r="C80" s="80"/>
      <c r="D80" s="81"/>
      <c r="E80" s="83"/>
    </row>
    <row r="81" ht="22.5" customHeight="1">
      <c r="A81" s="80"/>
      <c r="B81" s="81"/>
      <c r="C81" s="80"/>
      <c r="D81" s="81"/>
      <c r="E81" s="83"/>
    </row>
    <row r="82" ht="22.5" customHeight="1">
      <c r="A82" s="80"/>
      <c r="B82" s="81"/>
      <c r="C82" s="80"/>
      <c r="D82" s="81"/>
      <c r="E82" s="83"/>
    </row>
    <row r="83" ht="22.5" customHeight="1">
      <c r="A83" s="80"/>
      <c r="B83" s="81"/>
      <c r="C83" s="80"/>
      <c r="D83" s="81"/>
      <c r="E83" s="83"/>
    </row>
    <row r="84" ht="22.5" customHeight="1">
      <c r="A84" s="80"/>
      <c r="B84" s="81"/>
      <c r="C84" s="80"/>
      <c r="D84" s="81"/>
      <c r="E84" s="83"/>
    </row>
    <row r="85" ht="22.5" customHeight="1">
      <c r="A85" s="80"/>
      <c r="B85" s="81"/>
      <c r="C85" s="80"/>
      <c r="D85" s="81"/>
      <c r="E85" s="83"/>
    </row>
    <row r="86" ht="22.5" customHeight="1">
      <c r="A86" s="80"/>
      <c r="B86" s="81"/>
      <c r="C86" s="80"/>
      <c r="D86" s="81"/>
      <c r="E86" s="83"/>
    </row>
    <row r="87" ht="22.5" customHeight="1">
      <c r="A87" s="80"/>
      <c r="B87" s="81"/>
      <c r="C87" s="80"/>
      <c r="D87" s="81"/>
      <c r="E87" s="83"/>
    </row>
    <row r="88" ht="22.5" customHeight="1">
      <c r="A88" s="80"/>
      <c r="B88" s="81"/>
      <c r="C88" s="80"/>
      <c r="D88" s="81"/>
      <c r="E88" s="83"/>
    </row>
    <row r="89" ht="22.5" customHeight="1">
      <c r="A89" s="80"/>
      <c r="B89" s="81"/>
      <c r="C89" s="80"/>
      <c r="D89" s="81"/>
      <c r="E89" s="83"/>
    </row>
    <row r="90" ht="22.5" customHeight="1">
      <c r="A90" s="80"/>
      <c r="B90" s="81"/>
      <c r="C90" s="80"/>
      <c r="D90" s="81"/>
      <c r="E90" s="83"/>
    </row>
    <row r="91" ht="22.5" customHeight="1">
      <c r="A91" s="80"/>
      <c r="B91" s="81"/>
      <c r="C91" s="80"/>
      <c r="D91" s="81"/>
      <c r="E91" s="83"/>
    </row>
    <row r="92" ht="22.5" customHeight="1">
      <c r="A92" s="80"/>
      <c r="B92" s="81"/>
      <c r="C92" s="80"/>
      <c r="D92" s="81"/>
      <c r="E92" s="83"/>
    </row>
    <row r="93" ht="22.5" customHeight="1">
      <c r="A93" s="80"/>
      <c r="B93" s="81"/>
      <c r="C93" s="80"/>
      <c r="D93" s="81"/>
      <c r="E93" s="83"/>
    </row>
    <row r="94" ht="22.5" customHeight="1">
      <c r="A94" s="80"/>
      <c r="B94" s="81"/>
      <c r="C94" s="80"/>
      <c r="D94" s="81"/>
      <c r="E94" s="83"/>
    </row>
    <row r="95" ht="22.5" customHeight="1">
      <c r="A95" s="80"/>
      <c r="B95" s="81"/>
      <c r="C95" s="80"/>
      <c r="D95" s="81"/>
      <c r="E95" s="83"/>
    </row>
    <row r="96" ht="22.5" customHeight="1">
      <c r="A96" s="80"/>
      <c r="B96" s="81"/>
      <c r="C96" s="80"/>
      <c r="D96" s="81"/>
      <c r="E96" s="83"/>
    </row>
    <row r="97" ht="22.5" customHeight="1">
      <c r="A97" s="80"/>
      <c r="B97" s="81"/>
      <c r="C97" s="80"/>
      <c r="D97" s="81"/>
      <c r="E97" s="83"/>
    </row>
    <row r="98" ht="22.5" customHeight="1">
      <c r="A98" s="80"/>
      <c r="B98" s="81"/>
      <c r="C98" s="80"/>
      <c r="D98" s="81"/>
      <c r="E98" s="83"/>
    </row>
    <row r="99" ht="22.5" customHeight="1">
      <c r="A99" s="80"/>
      <c r="B99" s="81"/>
      <c r="C99" s="80"/>
      <c r="D99" s="81"/>
      <c r="E99" s="83"/>
    </row>
    <row r="100" ht="22.5" customHeight="1">
      <c r="A100" s="80"/>
      <c r="B100" s="81"/>
      <c r="C100" s="80"/>
      <c r="D100" s="81"/>
      <c r="E100" s="83"/>
    </row>
    <row r="101" ht="22.5" customHeight="1">
      <c r="A101" s="80"/>
      <c r="B101" s="81"/>
      <c r="C101" s="80"/>
      <c r="D101" s="81"/>
      <c r="E101" s="83"/>
    </row>
    <row r="102" ht="22.5" customHeight="1">
      <c r="A102" s="80"/>
      <c r="B102" s="81"/>
      <c r="C102" s="80"/>
      <c r="D102" s="81"/>
      <c r="E102" s="83"/>
    </row>
    <row r="103" ht="22.5" customHeight="1">
      <c r="A103" s="80"/>
      <c r="B103" s="81"/>
      <c r="C103" s="80"/>
      <c r="D103" s="81"/>
      <c r="E103" s="83"/>
    </row>
    <row r="104" ht="22.5" customHeight="1">
      <c r="A104" s="80"/>
      <c r="B104" s="81"/>
      <c r="C104" s="80"/>
      <c r="D104" s="81"/>
      <c r="E104" s="83"/>
    </row>
    <row r="105" ht="22.5" customHeight="1">
      <c r="A105" s="80"/>
      <c r="B105" s="81"/>
      <c r="C105" s="80"/>
      <c r="D105" s="81"/>
      <c r="E105" s="83"/>
    </row>
    <row r="106" ht="22.5" customHeight="1">
      <c r="A106" s="80"/>
      <c r="B106" s="81"/>
      <c r="C106" s="80"/>
      <c r="D106" s="81"/>
      <c r="E106" s="83"/>
    </row>
    <row r="107" ht="22.5" customHeight="1">
      <c r="A107" s="80"/>
      <c r="B107" s="81"/>
      <c r="C107" s="80"/>
      <c r="D107" s="81"/>
      <c r="E107" s="83"/>
    </row>
    <row r="108" ht="22.5" customHeight="1">
      <c r="A108" s="80"/>
      <c r="B108" s="81"/>
      <c r="C108" s="80"/>
      <c r="D108" s="81"/>
      <c r="E108" s="83"/>
    </row>
    <row r="109" ht="22.5" customHeight="1">
      <c r="A109" s="80"/>
      <c r="B109" s="81"/>
      <c r="C109" s="80"/>
      <c r="D109" s="81"/>
      <c r="E109" s="83"/>
    </row>
    <row r="110" ht="22.5" customHeight="1">
      <c r="A110" s="80"/>
      <c r="B110" s="81"/>
      <c r="C110" s="80"/>
      <c r="D110" s="81"/>
      <c r="E110" s="83"/>
    </row>
    <row r="111" ht="22.5" customHeight="1">
      <c r="A111" s="80"/>
      <c r="B111" s="81"/>
      <c r="C111" s="80"/>
      <c r="D111" s="81"/>
      <c r="E111" s="83"/>
    </row>
    <row r="112" ht="22.5" customHeight="1">
      <c r="A112" s="80"/>
      <c r="B112" s="81"/>
      <c r="C112" s="80"/>
      <c r="D112" s="81"/>
      <c r="E112" s="83"/>
    </row>
    <row r="113" ht="22.5" customHeight="1">
      <c r="A113" s="80"/>
      <c r="B113" s="81"/>
      <c r="C113" s="80"/>
      <c r="D113" s="81"/>
      <c r="E113" s="83"/>
    </row>
    <row r="114" ht="22.5" customHeight="1">
      <c r="A114" s="80"/>
      <c r="B114" s="81"/>
      <c r="C114" s="80"/>
      <c r="D114" s="81"/>
      <c r="E114" s="83"/>
    </row>
    <row r="115" ht="22.5" customHeight="1">
      <c r="A115" s="80"/>
      <c r="B115" s="81"/>
      <c r="C115" s="80"/>
      <c r="D115" s="81"/>
      <c r="E115" s="83"/>
    </row>
    <row r="116" ht="22.5" customHeight="1">
      <c r="A116" s="80"/>
      <c r="B116" s="81"/>
      <c r="C116" s="80"/>
      <c r="D116" s="81"/>
      <c r="E116" s="83"/>
    </row>
    <row r="117" ht="22.5" customHeight="1">
      <c r="A117" s="80"/>
      <c r="B117" s="81"/>
      <c r="C117" s="80"/>
      <c r="D117" s="81"/>
      <c r="E117" s="83"/>
    </row>
    <row r="118" ht="22.5" customHeight="1">
      <c r="A118" s="80"/>
      <c r="B118" s="81"/>
      <c r="C118" s="80"/>
      <c r="D118" s="81"/>
      <c r="E118" s="83"/>
    </row>
    <row r="119" ht="22.5" customHeight="1">
      <c r="A119" s="80"/>
      <c r="B119" s="81"/>
      <c r="C119" s="80"/>
      <c r="D119" s="81"/>
      <c r="E119" s="83"/>
    </row>
    <row r="120" ht="22.5" customHeight="1">
      <c r="A120" s="80"/>
      <c r="B120" s="81"/>
      <c r="C120" s="80"/>
      <c r="D120" s="81"/>
      <c r="E120" s="83"/>
    </row>
    <row r="121" ht="22.5" customHeight="1">
      <c r="A121" s="80"/>
      <c r="B121" s="81"/>
      <c r="C121" s="80"/>
      <c r="D121" s="81"/>
      <c r="E121" s="83"/>
    </row>
    <row r="122" ht="22.5" customHeight="1">
      <c r="A122" s="80"/>
      <c r="B122" s="81"/>
      <c r="C122" s="80"/>
      <c r="D122" s="81"/>
      <c r="E122" s="83"/>
    </row>
    <row r="123" ht="22.5" customHeight="1">
      <c r="A123" s="80"/>
      <c r="B123" s="81"/>
      <c r="C123" s="80"/>
      <c r="D123" s="81"/>
      <c r="E123" s="83"/>
    </row>
    <row r="124" ht="22.5" customHeight="1">
      <c r="A124" s="80"/>
      <c r="B124" s="81"/>
      <c r="C124" s="80"/>
      <c r="D124" s="81"/>
      <c r="E124" s="83"/>
    </row>
    <row r="125" ht="22.5" customHeight="1">
      <c r="A125" s="80"/>
      <c r="B125" s="81"/>
      <c r="C125" s="80"/>
      <c r="D125" s="81"/>
      <c r="E125" s="83"/>
    </row>
    <row r="126" ht="22.5" customHeight="1">
      <c r="A126" s="80"/>
      <c r="B126" s="81"/>
      <c r="C126" s="80"/>
      <c r="D126" s="81"/>
      <c r="E126" s="83"/>
    </row>
    <row r="127" ht="22.5" customHeight="1">
      <c r="A127" s="80"/>
      <c r="B127" s="81"/>
      <c r="C127" s="80"/>
      <c r="D127" s="81"/>
      <c r="E127" s="83"/>
    </row>
    <row r="128" ht="22.5" customHeight="1">
      <c r="A128" s="80"/>
      <c r="B128" s="81"/>
      <c r="C128" s="80"/>
      <c r="D128" s="81"/>
      <c r="E128" s="83"/>
    </row>
    <row r="129" ht="22.5" customHeight="1">
      <c r="A129" s="80"/>
      <c r="B129" s="81"/>
      <c r="C129" s="80"/>
      <c r="D129" s="81"/>
      <c r="E129" s="83"/>
    </row>
    <row r="130" ht="22.5" customHeight="1">
      <c r="A130" s="80"/>
      <c r="B130" s="81"/>
      <c r="C130" s="80"/>
      <c r="D130" s="81"/>
      <c r="E130" s="83"/>
    </row>
    <row r="131" ht="22.5" customHeight="1">
      <c r="A131" s="80"/>
      <c r="B131" s="81"/>
      <c r="C131" s="80"/>
      <c r="D131" s="81"/>
      <c r="E131" s="83"/>
    </row>
    <row r="132" ht="22.5" customHeight="1">
      <c r="A132" s="80"/>
      <c r="B132" s="81"/>
      <c r="C132" s="80"/>
      <c r="D132" s="81"/>
      <c r="E132" s="83"/>
    </row>
    <row r="133" ht="22.5" customHeight="1">
      <c r="A133" s="80"/>
      <c r="B133" s="81"/>
      <c r="C133" s="80"/>
      <c r="D133" s="81"/>
      <c r="E133" s="83"/>
    </row>
    <row r="134" ht="22.5" customHeight="1">
      <c r="A134" s="80"/>
      <c r="B134" s="81"/>
      <c r="C134" s="80"/>
      <c r="D134" s="81"/>
      <c r="E134" s="83"/>
    </row>
    <row r="135" ht="22.5" customHeight="1">
      <c r="A135" s="80"/>
      <c r="B135" s="81"/>
      <c r="C135" s="80"/>
      <c r="D135" s="81"/>
      <c r="E135" s="83"/>
    </row>
    <row r="136" ht="22.5" customHeight="1">
      <c r="A136" s="80"/>
      <c r="B136" s="81"/>
      <c r="C136" s="80"/>
      <c r="D136" s="81"/>
      <c r="E136" s="83"/>
    </row>
    <row r="137" ht="22.5" customHeight="1">
      <c r="A137" s="80"/>
      <c r="B137" s="81"/>
      <c r="C137" s="80"/>
      <c r="D137" s="81"/>
      <c r="E137" s="83"/>
    </row>
    <row r="138" ht="22.5" customHeight="1">
      <c r="A138" s="80"/>
      <c r="B138" s="81"/>
      <c r="C138" s="80"/>
      <c r="D138" s="81"/>
      <c r="E138" s="83"/>
    </row>
    <row r="139" ht="22.5" customHeight="1">
      <c r="A139" s="80"/>
      <c r="B139" s="81"/>
      <c r="C139" s="80"/>
      <c r="D139" s="81"/>
      <c r="E139" s="83"/>
    </row>
    <row r="140" ht="22.5" customHeight="1">
      <c r="A140" s="80"/>
      <c r="B140" s="81"/>
      <c r="C140" s="80"/>
      <c r="D140" s="81"/>
      <c r="E140" s="83"/>
    </row>
    <row r="141" ht="22.5" customHeight="1">
      <c r="A141" s="80"/>
      <c r="B141" s="81"/>
      <c r="C141" s="80"/>
      <c r="D141" s="81"/>
      <c r="E141" s="83"/>
    </row>
    <row r="142" ht="22.5" customHeight="1">
      <c r="A142" s="80"/>
      <c r="B142" s="81"/>
      <c r="C142" s="80"/>
      <c r="D142" s="81"/>
      <c r="E142" s="83"/>
    </row>
    <row r="143" ht="22.5" customHeight="1">
      <c r="A143" s="80"/>
      <c r="B143" s="81"/>
      <c r="C143" s="80"/>
      <c r="D143" s="81"/>
      <c r="E143" s="83"/>
    </row>
    <row r="144" ht="22.5" customHeight="1">
      <c r="A144" s="80"/>
      <c r="B144" s="81"/>
      <c r="C144" s="80"/>
      <c r="D144" s="81"/>
      <c r="E144" s="83"/>
    </row>
    <row r="145" ht="22.5" customHeight="1">
      <c r="A145" s="80"/>
      <c r="B145" s="81"/>
      <c r="C145" s="80"/>
      <c r="D145" s="81"/>
      <c r="E145" s="83"/>
    </row>
    <row r="146" ht="22.5" customHeight="1">
      <c r="A146" s="80"/>
      <c r="B146" s="81"/>
      <c r="C146" s="80"/>
      <c r="D146" s="81"/>
      <c r="E146" s="83"/>
    </row>
    <row r="147" ht="22.5" customHeight="1">
      <c r="A147" s="80"/>
      <c r="B147" s="81"/>
      <c r="C147" s="80"/>
      <c r="D147" s="81"/>
      <c r="E147" s="83"/>
    </row>
    <row r="148" ht="22.5" customHeight="1">
      <c r="A148" s="80"/>
      <c r="B148" s="81"/>
      <c r="C148" s="80"/>
      <c r="D148" s="81"/>
      <c r="E148" s="83"/>
    </row>
    <row r="149" ht="22.5" customHeight="1">
      <c r="A149" s="80"/>
      <c r="B149" s="81"/>
      <c r="C149" s="80"/>
      <c r="D149" s="81"/>
      <c r="E149" s="83"/>
    </row>
    <row r="150" ht="22.5" customHeight="1">
      <c r="A150" s="80"/>
      <c r="B150" s="81"/>
      <c r="C150" s="80"/>
      <c r="D150" s="81"/>
      <c r="E150" s="83"/>
    </row>
    <row r="151" ht="22.5" customHeight="1">
      <c r="A151" s="80"/>
      <c r="B151" s="81"/>
      <c r="C151" s="80"/>
      <c r="D151" s="81"/>
      <c r="E151" s="83"/>
    </row>
    <row r="152" ht="22.5" customHeight="1">
      <c r="A152" s="80"/>
      <c r="B152" s="81"/>
      <c r="C152" s="80"/>
      <c r="D152" s="81"/>
      <c r="E152" s="83"/>
    </row>
    <row r="153" ht="22.5" customHeight="1">
      <c r="A153" s="80"/>
      <c r="B153" s="81"/>
      <c r="C153" s="80"/>
      <c r="D153" s="81"/>
      <c r="E153" s="83"/>
    </row>
    <row r="154" ht="22.5" customHeight="1">
      <c r="A154" s="80"/>
      <c r="B154" s="81"/>
      <c r="C154" s="80"/>
      <c r="D154" s="81"/>
      <c r="E154" s="83"/>
    </row>
    <row r="155" ht="22.5" customHeight="1">
      <c r="A155" s="80"/>
      <c r="B155" s="81"/>
      <c r="C155" s="80"/>
      <c r="D155" s="81"/>
      <c r="E155" s="83"/>
    </row>
    <row r="156" ht="22.5" customHeight="1">
      <c r="A156" s="80"/>
      <c r="B156" s="81"/>
      <c r="C156" s="80"/>
      <c r="D156" s="81"/>
      <c r="E156" s="83"/>
    </row>
    <row r="157" ht="22.5" customHeight="1">
      <c r="A157" s="80"/>
      <c r="B157" s="81"/>
      <c r="C157" s="80"/>
      <c r="D157" s="81"/>
      <c r="E157" s="83"/>
    </row>
    <row r="158" ht="22.5" customHeight="1">
      <c r="A158" s="80"/>
      <c r="B158" s="81"/>
      <c r="C158" s="80"/>
      <c r="D158" s="81"/>
      <c r="E158" s="83"/>
    </row>
    <row r="159" ht="22.5" customHeight="1">
      <c r="A159" s="80"/>
      <c r="B159" s="81"/>
      <c r="C159" s="80"/>
      <c r="D159" s="81"/>
      <c r="E159" s="83"/>
    </row>
    <row r="160" ht="22.5" customHeight="1">
      <c r="A160" s="80"/>
      <c r="B160" s="81"/>
      <c r="C160" s="80"/>
      <c r="D160" s="81"/>
      <c r="E160" s="83"/>
    </row>
    <row r="161" ht="22.5" customHeight="1">
      <c r="A161" s="80"/>
      <c r="B161" s="81"/>
      <c r="C161" s="80"/>
      <c r="D161" s="81"/>
      <c r="E161" s="83"/>
    </row>
    <row r="162" ht="22.5" customHeight="1">
      <c r="A162" s="80"/>
      <c r="B162" s="81"/>
      <c r="C162" s="80"/>
      <c r="D162" s="81"/>
      <c r="E162" s="83"/>
    </row>
    <row r="163" ht="22.5" customHeight="1">
      <c r="A163" s="80"/>
      <c r="B163" s="81"/>
      <c r="C163" s="80"/>
      <c r="D163" s="81"/>
      <c r="E163" s="83"/>
    </row>
    <row r="164" ht="22.5" customHeight="1">
      <c r="A164" s="80"/>
      <c r="B164" s="81"/>
      <c r="C164" s="80"/>
      <c r="D164" s="81"/>
      <c r="E164" s="83"/>
    </row>
    <row r="165" ht="22.5" customHeight="1">
      <c r="A165" s="80"/>
      <c r="B165" s="81"/>
      <c r="C165" s="80"/>
      <c r="D165" s="81"/>
      <c r="E165" s="83"/>
    </row>
    <row r="166" ht="22.5" customHeight="1">
      <c r="A166" s="80"/>
      <c r="B166" s="81"/>
      <c r="C166" s="80"/>
      <c r="D166" s="81"/>
      <c r="E166" s="83"/>
    </row>
    <row r="167" ht="22.5" customHeight="1">
      <c r="A167" s="80"/>
      <c r="B167" s="81"/>
      <c r="C167" s="80"/>
      <c r="D167" s="81"/>
      <c r="E167" s="83"/>
    </row>
    <row r="168" ht="22.5" customHeight="1">
      <c r="A168" s="80"/>
      <c r="B168" s="81"/>
      <c r="C168" s="80"/>
      <c r="D168" s="81"/>
      <c r="E168" s="83"/>
    </row>
    <row r="169" ht="22.5" customHeight="1">
      <c r="A169" s="80"/>
      <c r="B169" s="81"/>
      <c r="C169" s="80"/>
      <c r="D169" s="81"/>
      <c r="E169" s="83"/>
    </row>
    <row r="170" ht="22.5" customHeight="1">
      <c r="A170" s="80"/>
      <c r="B170" s="81"/>
      <c r="C170" s="80"/>
      <c r="D170" s="81"/>
      <c r="E170" s="83"/>
    </row>
    <row r="171" ht="22.5" customHeight="1">
      <c r="A171" s="80"/>
      <c r="B171" s="81"/>
      <c r="C171" s="80"/>
      <c r="D171" s="81"/>
      <c r="E171" s="83"/>
    </row>
    <row r="172" ht="22.5" customHeight="1">
      <c r="A172" s="80"/>
      <c r="B172" s="81"/>
      <c r="C172" s="80"/>
      <c r="D172" s="81"/>
      <c r="E172" s="83"/>
    </row>
    <row r="173" ht="22.5" customHeight="1">
      <c r="A173" s="80"/>
      <c r="B173" s="81"/>
      <c r="C173" s="80"/>
      <c r="D173" s="81"/>
      <c r="E173" s="83"/>
    </row>
    <row r="174" ht="22.5" customHeight="1">
      <c r="A174" s="80"/>
      <c r="B174" s="81"/>
      <c r="C174" s="80"/>
      <c r="D174" s="81"/>
      <c r="E174" s="83"/>
    </row>
    <row r="175" ht="22.5" customHeight="1">
      <c r="A175" s="80"/>
      <c r="B175" s="81"/>
      <c r="C175" s="80"/>
      <c r="D175" s="81"/>
      <c r="E175" s="83"/>
    </row>
    <row r="176" ht="22.5" customHeight="1">
      <c r="A176" s="80"/>
      <c r="B176" s="81"/>
      <c r="C176" s="80"/>
      <c r="D176" s="81"/>
      <c r="E176" s="83"/>
    </row>
    <row r="177" ht="22.5" customHeight="1">
      <c r="A177" s="80"/>
      <c r="B177" s="81"/>
      <c r="C177" s="80"/>
      <c r="D177" s="81"/>
      <c r="E177" s="83"/>
    </row>
    <row r="178" ht="22.5" customHeight="1">
      <c r="A178" s="80"/>
      <c r="B178" s="81"/>
      <c r="C178" s="80"/>
      <c r="D178" s="81"/>
      <c r="E178" s="83"/>
    </row>
    <row r="179" ht="22.5" customHeight="1">
      <c r="A179" s="80"/>
      <c r="B179" s="81"/>
      <c r="C179" s="80"/>
      <c r="D179" s="81"/>
      <c r="E179" s="83"/>
    </row>
    <row r="180" ht="22.5" customHeight="1">
      <c r="A180" s="80"/>
      <c r="B180" s="81"/>
      <c r="C180" s="80"/>
      <c r="D180" s="81"/>
      <c r="E180" s="83"/>
    </row>
    <row r="181" ht="22.5" customHeight="1">
      <c r="A181" s="80"/>
      <c r="B181" s="81"/>
      <c r="C181" s="80"/>
      <c r="D181" s="81"/>
      <c r="E181" s="83"/>
    </row>
    <row r="182" ht="22.5" customHeight="1">
      <c r="A182" s="80"/>
      <c r="B182" s="81"/>
      <c r="C182" s="80"/>
      <c r="D182" s="81"/>
      <c r="E182" s="83"/>
    </row>
    <row r="183" ht="22.5" customHeight="1">
      <c r="A183" s="80"/>
      <c r="B183" s="81"/>
      <c r="C183" s="80"/>
      <c r="D183" s="81"/>
      <c r="E183" s="83"/>
    </row>
    <row r="184" ht="22.5" customHeight="1">
      <c r="A184" s="80"/>
      <c r="B184" s="81"/>
      <c r="C184" s="80"/>
      <c r="D184" s="81"/>
      <c r="E184" s="83"/>
    </row>
    <row r="185" ht="22.5" customHeight="1">
      <c r="A185" s="80"/>
      <c r="B185" s="81"/>
      <c r="C185" s="80"/>
      <c r="D185" s="81"/>
      <c r="E185" s="83"/>
    </row>
    <row r="186" ht="22.5" customHeight="1">
      <c r="A186" s="80"/>
      <c r="B186" s="81"/>
      <c r="C186" s="80"/>
      <c r="D186" s="81"/>
      <c r="E186" s="83"/>
    </row>
    <row r="187" ht="22.5" customHeight="1">
      <c r="A187" s="80"/>
      <c r="B187" s="81"/>
      <c r="C187" s="80"/>
      <c r="D187" s="81"/>
      <c r="E187" s="83"/>
    </row>
    <row r="188" ht="22.5" customHeight="1">
      <c r="A188" s="80"/>
      <c r="B188" s="81"/>
      <c r="C188" s="80"/>
      <c r="D188" s="81"/>
      <c r="E188" s="83"/>
    </row>
    <row r="189" ht="22.5" customHeight="1">
      <c r="A189" s="80"/>
      <c r="B189" s="81"/>
      <c r="C189" s="80"/>
      <c r="D189" s="81"/>
      <c r="E189" s="83"/>
    </row>
    <row r="190" ht="22.5" customHeight="1">
      <c r="A190" s="80"/>
      <c r="B190" s="81"/>
      <c r="C190" s="80"/>
      <c r="D190" s="81"/>
      <c r="E190" s="83"/>
    </row>
    <row r="191" ht="22.5" customHeight="1">
      <c r="A191" s="80"/>
      <c r="B191" s="81"/>
      <c r="C191" s="80"/>
      <c r="D191" s="81"/>
      <c r="E191" s="83"/>
    </row>
    <row r="192" ht="22.5" customHeight="1">
      <c r="A192" s="80"/>
      <c r="B192" s="81"/>
      <c r="C192" s="80"/>
      <c r="D192" s="81"/>
      <c r="E192" s="83"/>
    </row>
    <row r="193" ht="22.5" customHeight="1">
      <c r="A193" s="80"/>
      <c r="B193" s="81"/>
      <c r="C193" s="80"/>
      <c r="D193" s="81"/>
      <c r="E193" s="83"/>
    </row>
    <row r="194" ht="22.5" customHeight="1">
      <c r="A194" s="80"/>
      <c r="B194" s="81"/>
      <c r="C194" s="80"/>
      <c r="D194" s="81"/>
      <c r="E194" s="83"/>
    </row>
    <row r="195" ht="22.5" customHeight="1">
      <c r="A195" s="80"/>
      <c r="B195" s="81"/>
      <c r="C195" s="80"/>
      <c r="D195" s="81"/>
      <c r="E195" s="83"/>
    </row>
    <row r="196" ht="22.5" customHeight="1">
      <c r="A196" s="80"/>
      <c r="B196" s="81"/>
      <c r="C196" s="80"/>
      <c r="D196" s="81"/>
      <c r="E196" s="83"/>
    </row>
    <row r="197" ht="22.5" customHeight="1">
      <c r="A197" s="80"/>
      <c r="B197" s="81"/>
      <c r="C197" s="80"/>
      <c r="D197" s="81"/>
      <c r="E197" s="83"/>
    </row>
    <row r="198" ht="22.5" customHeight="1">
      <c r="A198" s="80"/>
      <c r="B198" s="81"/>
      <c r="C198" s="80"/>
      <c r="D198" s="81"/>
      <c r="E198" s="83"/>
    </row>
    <row r="199" ht="22.5" customHeight="1">
      <c r="A199" s="80"/>
      <c r="B199" s="81"/>
      <c r="C199" s="80"/>
      <c r="D199" s="81"/>
      <c r="E199" s="83"/>
    </row>
    <row r="200" ht="22.5" customHeight="1">
      <c r="A200" s="80"/>
      <c r="B200" s="81"/>
      <c r="C200" s="80"/>
      <c r="D200" s="81"/>
      <c r="E200" s="83"/>
    </row>
    <row r="201" ht="22.5" customHeight="1">
      <c r="A201" s="80"/>
      <c r="B201" s="81"/>
      <c r="C201" s="80"/>
      <c r="D201" s="81"/>
      <c r="E201" s="83"/>
    </row>
    <row r="202" ht="22.5" customHeight="1">
      <c r="A202" s="80"/>
      <c r="B202" s="81"/>
      <c r="C202" s="80"/>
      <c r="D202" s="81"/>
      <c r="E202" s="83"/>
    </row>
    <row r="203" ht="22.5" customHeight="1">
      <c r="A203" s="80"/>
      <c r="B203" s="81"/>
      <c r="C203" s="80"/>
      <c r="D203" s="81"/>
      <c r="E203" s="83"/>
    </row>
    <row r="204" ht="22.5" customHeight="1">
      <c r="A204" s="80"/>
      <c r="B204" s="81"/>
      <c r="C204" s="80"/>
      <c r="D204" s="81"/>
      <c r="E204" s="83"/>
    </row>
    <row r="205" ht="22.5" customHeight="1">
      <c r="A205" s="80"/>
      <c r="B205" s="81"/>
      <c r="C205" s="80"/>
      <c r="D205" s="81"/>
      <c r="E205" s="83"/>
    </row>
    <row r="206" ht="22.5" customHeight="1">
      <c r="A206" s="80"/>
      <c r="B206" s="81"/>
      <c r="C206" s="80"/>
      <c r="D206" s="81"/>
      <c r="E206" s="83"/>
    </row>
    <row r="207" ht="22.5" customHeight="1">
      <c r="A207" s="80"/>
      <c r="B207" s="81"/>
      <c r="C207" s="80"/>
      <c r="D207" s="81"/>
      <c r="E207" s="83"/>
    </row>
    <row r="208" ht="22.5" customHeight="1">
      <c r="A208" s="80"/>
      <c r="B208" s="81"/>
      <c r="C208" s="80"/>
      <c r="D208" s="81"/>
      <c r="E208" s="83"/>
    </row>
    <row r="209" ht="22.5" customHeight="1">
      <c r="A209" s="80"/>
      <c r="B209" s="81"/>
      <c r="C209" s="80"/>
      <c r="D209" s="81"/>
      <c r="E209" s="83"/>
    </row>
    <row r="210" ht="22.5" customHeight="1">
      <c r="A210" s="80"/>
      <c r="B210" s="81"/>
      <c r="C210" s="80"/>
      <c r="D210" s="81"/>
      <c r="E210" s="83"/>
    </row>
    <row r="211" ht="22.5" customHeight="1">
      <c r="A211" s="80"/>
      <c r="B211" s="81"/>
      <c r="C211" s="80"/>
      <c r="D211" s="81"/>
      <c r="E211" s="83"/>
    </row>
    <row r="212" ht="22.5" customHeight="1">
      <c r="A212" s="80"/>
      <c r="B212" s="81"/>
      <c r="C212" s="80"/>
      <c r="D212" s="81"/>
      <c r="E212" s="83"/>
    </row>
    <row r="213" ht="22.5" customHeight="1">
      <c r="A213" s="80"/>
      <c r="B213" s="81"/>
      <c r="C213" s="80"/>
      <c r="D213" s="81"/>
      <c r="E213" s="83"/>
    </row>
    <row r="214" ht="22.5" customHeight="1">
      <c r="A214" s="80"/>
      <c r="B214" s="81"/>
      <c r="C214" s="80"/>
      <c r="D214" s="81"/>
      <c r="E214" s="83"/>
    </row>
    <row r="215" ht="22.5" customHeight="1">
      <c r="A215" s="80"/>
      <c r="B215" s="81"/>
      <c r="C215" s="80"/>
      <c r="D215" s="81"/>
      <c r="E215" s="83"/>
    </row>
    <row r="216" ht="22.5" customHeight="1">
      <c r="A216" s="80"/>
      <c r="B216" s="81"/>
      <c r="C216" s="80"/>
      <c r="D216" s="81"/>
      <c r="E216" s="83"/>
    </row>
    <row r="217" ht="22.5" customHeight="1">
      <c r="A217" s="80"/>
      <c r="B217" s="81"/>
      <c r="C217" s="80"/>
      <c r="D217" s="81"/>
      <c r="E217" s="83"/>
    </row>
    <row r="218" ht="22.5" customHeight="1">
      <c r="A218" s="80"/>
      <c r="B218" s="81"/>
      <c r="C218" s="80"/>
      <c r="D218" s="81"/>
      <c r="E218" s="83"/>
    </row>
    <row r="219" ht="22.5" customHeight="1">
      <c r="A219" s="80"/>
      <c r="B219" s="81"/>
      <c r="C219" s="80"/>
      <c r="D219" s="81"/>
      <c r="E219" s="83"/>
    </row>
    <row r="220" ht="22.5" customHeight="1">
      <c r="A220" s="80"/>
      <c r="B220" s="81"/>
      <c r="C220" s="80"/>
      <c r="D220" s="81"/>
      <c r="E220" s="83"/>
    </row>
    <row r="221" ht="22.5" customHeight="1">
      <c r="A221" s="80"/>
      <c r="B221" s="81"/>
      <c r="C221" s="80"/>
      <c r="D221" s="81"/>
      <c r="E221" s="83"/>
    </row>
    <row r="222" ht="22.5" customHeight="1">
      <c r="A222" s="80"/>
      <c r="B222" s="81"/>
      <c r="C222" s="80"/>
      <c r="D222" s="81"/>
      <c r="E222" s="83"/>
    </row>
    <row r="223" ht="22.5" customHeight="1">
      <c r="A223" s="80"/>
      <c r="B223" s="81"/>
      <c r="C223" s="80"/>
      <c r="D223" s="81"/>
      <c r="E223" s="83"/>
    </row>
    <row r="224" ht="22.5" customHeight="1">
      <c r="A224" s="80"/>
      <c r="B224" s="81"/>
      <c r="C224" s="80"/>
      <c r="D224" s="81"/>
      <c r="E224" s="83"/>
    </row>
    <row r="225" ht="22.5" customHeight="1">
      <c r="A225" s="80"/>
      <c r="B225" s="81"/>
      <c r="C225" s="80"/>
      <c r="D225" s="81"/>
      <c r="E225" s="83"/>
    </row>
    <row r="226" ht="22.5" customHeight="1">
      <c r="A226" s="80"/>
      <c r="B226" s="81"/>
      <c r="C226" s="80"/>
      <c r="D226" s="81"/>
      <c r="E226" s="83"/>
    </row>
    <row r="227" ht="22.5" customHeight="1">
      <c r="A227" s="80"/>
      <c r="B227" s="81"/>
      <c r="C227" s="80"/>
      <c r="D227" s="81"/>
      <c r="E227" s="83"/>
    </row>
    <row r="228" ht="22.5" customHeight="1">
      <c r="A228" s="80"/>
      <c r="B228" s="81"/>
      <c r="C228" s="80"/>
      <c r="D228" s="81"/>
      <c r="E228" s="83"/>
    </row>
    <row r="229" ht="22.5" customHeight="1">
      <c r="A229" s="80"/>
      <c r="B229" s="81"/>
      <c r="C229" s="80"/>
      <c r="D229" s="81"/>
      <c r="E229" s="83"/>
    </row>
    <row r="230" ht="22.5" customHeight="1">
      <c r="A230" s="80"/>
      <c r="B230" s="81"/>
      <c r="C230" s="80"/>
      <c r="D230" s="81"/>
      <c r="E230" s="83"/>
    </row>
    <row r="231" ht="22.5" customHeight="1">
      <c r="A231" s="80"/>
      <c r="B231" s="81"/>
      <c r="C231" s="80"/>
      <c r="D231" s="81"/>
      <c r="E231" s="83"/>
    </row>
    <row r="232" ht="22.5" customHeight="1">
      <c r="A232" s="80"/>
      <c r="B232" s="81"/>
      <c r="C232" s="80"/>
      <c r="D232" s="81"/>
      <c r="E232" s="83"/>
    </row>
    <row r="233" ht="22.5" customHeight="1">
      <c r="A233" s="80"/>
      <c r="B233" s="81"/>
      <c r="C233" s="80"/>
      <c r="D233" s="81"/>
      <c r="E233" s="83"/>
    </row>
    <row r="234" ht="22.5" customHeight="1">
      <c r="A234" s="80"/>
      <c r="B234" s="81"/>
      <c r="C234" s="80"/>
      <c r="D234" s="81"/>
      <c r="E234" s="83"/>
    </row>
    <row r="235" ht="22.5" customHeight="1">
      <c r="A235" s="80"/>
      <c r="B235" s="81"/>
      <c r="C235" s="80"/>
      <c r="D235" s="81"/>
      <c r="E235" s="83"/>
    </row>
    <row r="236" ht="22.5" customHeight="1">
      <c r="A236" s="80"/>
      <c r="B236" s="81"/>
      <c r="C236" s="80"/>
      <c r="D236" s="81"/>
      <c r="E236" s="83"/>
    </row>
    <row r="237" ht="22.5" customHeight="1">
      <c r="A237" s="80"/>
      <c r="B237" s="81"/>
      <c r="C237" s="80"/>
      <c r="D237" s="81"/>
      <c r="E237" s="83"/>
    </row>
    <row r="238" ht="22.5" customHeight="1">
      <c r="A238" s="80"/>
      <c r="B238" s="81"/>
      <c r="C238" s="80"/>
      <c r="D238" s="81"/>
      <c r="E238" s="83"/>
    </row>
    <row r="239" ht="22.5" customHeight="1">
      <c r="A239" s="80"/>
      <c r="B239" s="81"/>
      <c r="C239" s="80"/>
      <c r="D239" s="81"/>
      <c r="E239" s="83"/>
    </row>
    <row r="240" ht="22.5" customHeight="1">
      <c r="A240" s="80"/>
      <c r="B240" s="81"/>
      <c r="C240" s="80"/>
      <c r="D240" s="81"/>
      <c r="E240" s="83"/>
    </row>
    <row r="241" ht="22.5" customHeight="1">
      <c r="A241" s="80"/>
      <c r="B241" s="81"/>
      <c r="C241" s="80"/>
      <c r="D241" s="81"/>
      <c r="E241" s="83"/>
    </row>
    <row r="242" ht="22.5" customHeight="1">
      <c r="A242" s="80"/>
      <c r="B242" s="81"/>
      <c r="C242" s="80"/>
      <c r="D242" s="81"/>
      <c r="E242" s="83"/>
    </row>
    <row r="243" ht="22.5" customHeight="1">
      <c r="A243" s="80"/>
      <c r="B243" s="81"/>
      <c r="C243" s="80"/>
      <c r="D243" s="81"/>
      <c r="E243" s="83"/>
    </row>
    <row r="244" ht="22.5" customHeight="1">
      <c r="A244" s="80"/>
      <c r="B244" s="81"/>
      <c r="C244" s="80"/>
      <c r="D244" s="81"/>
      <c r="E244" s="83"/>
    </row>
    <row r="245" ht="22.5" customHeight="1">
      <c r="A245" s="80"/>
      <c r="B245" s="81"/>
      <c r="C245" s="80"/>
      <c r="D245" s="81"/>
      <c r="E245" s="83"/>
    </row>
    <row r="246" ht="22.5" customHeight="1">
      <c r="A246" s="80"/>
      <c r="B246" s="81"/>
      <c r="C246" s="80"/>
      <c r="D246" s="81"/>
      <c r="E246" s="83"/>
    </row>
    <row r="247" ht="22.5" customHeight="1">
      <c r="A247" s="80"/>
      <c r="B247" s="81"/>
      <c r="C247" s="80"/>
      <c r="D247" s="81"/>
      <c r="E247" s="83"/>
    </row>
    <row r="248" ht="22.5" customHeight="1">
      <c r="A248" s="80"/>
      <c r="B248" s="81"/>
      <c r="C248" s="80"/>
      <c r="D248" s="81"/>
      <c r="E248" s="83"/>
    </row>
    <row r="249" ht="22.5" customHeight="1">
      <c r="A249" s="80"/>
      <c r="B249" s="81"/>
      <c r="C249" s="80"/>
      <c r="D249" s="81"/>
      <c r="E249" s="83"/>
    </row>
    <row r="250" ht="22.5" customHeight="1">
      <c r="A250" s="80"/>
      <c r="B250" s="81"/>
      <c r="C250" s="80"/>
      <c r="D250" s="81"/>
      <c r="E250" s="83"/>
    </row>
    <row r="251" ht="22.5" customHeight="1">
      <c r="A251" s="80"/>
      <c r="B251" s="81"/>
      <c r="C251" s="80"/>
      <c r="D251" s="81"/>
      <c r="E251" s="83"/>
    </row>
    <row r="252" ht="22.5" customHeight="1">
      <c r="A252" s="80"/>
      <c r="B252" s="81"/>
      <c r="C252" s="80"/>
      <c r="D252" s="81"/>
      <c r="E252" s="83"/>
    </row>
    <row r="253" ht="22.5" customHeight="1">
      <c r="A253" s="80"/>
      <c r="B253" s="81"/>
      <c r="C253" s="80"/>
      <c r="D253" s="81"/>
      <c r="E253" s="83"/>
    </row>
    <row r="254" ht="22.5" customHeight="1">
      <c r="A254" s="80"/>
      <c r="B254" s="81"/>
      <c r="C254" s="80"/>
      <c r="D254" s="81"/>
      <c r="E254" s="83"/>
    </row>
    <row r="255" ht="22.5" customHeight="1">
      <c r="A255" s="80"/>
      <c r="B255" s="81"/>
      <c r="C255" s="80"/>
      <c r="D255" s="81"/>
      <c r="E255" s="83"/>
    </row>
    <row r="256" ht="22.5" customHeight="1">
      <c r="A256" s="80"/>
      <c r="B256" s="81"/>
      <c r="C256" s="80"/>
      <c r="D256" s="81"/>
      <c r="E256" s="83"/>
    </row>
    <row r="257" ht="22.5" customHeight="1">
      <c r="A257" s="80"/>
      <c r="B257" s="81"/>
      <c r="C257" s="80"/>
      <c r="D257" s="81"/>
      <c r="E257" s="83"/>
    </row>
    <row r="258" ht="22.5" customHeight="1">
      <c r="A258" s="80"/>
      <c r="B258" s="81"/>
      <c r="C258" s="80"/>
      <c r="D258" s="81"/>
      <c r="E258" s="83"/>
    </row>
    <row r="259" ht="22.5" customHeight="1">
      <c r="A259" s="80"/>
      <c r="B259" s="81"/>
      <c r="C259" s="80"/>
      <c r="D259" s="81"/>
      <c r="E259" s="83"/>
    </row>
    <row r="260" ht="22.5" customHeight="1">
      <c r="A260" s="80"/>
      <c r="B260" s="81"/>
      <c r="C260" s="80"/>
      <c r="D260" s="81"/>
      <c r="E260" s="83"/>
    </row>
    <row r="261" ht="22.5" customHeight="1">
      <c r="A261" s="80"/>
      <c r="B261" s="81"/>
      <c r="C261" s="80"/>
      <c r="D261" s="81"/>
      <c r="E261" s="83"/>
    </row>
    <row r="262" ht="22.5" customHeight="1">
      <c r="A262" s="80"/>
      <c r="B262" s="81"/>
      <c r="C262" s="80"/>
      <c r="D262" s="81"/>
      <c r="E262" s="83"/>
    </row>
    <row r="263" ht="22.5" customHeight="1">
      <c r="A263" s="80"/>
      <c r="B263" s="81"/>
      <c r="C263" s="80"/>
      <c r="D263" s="81"/>
      <c r="E263" s="83"/>
    </row>
    <row r="264" ht="22.5" customHeight="1">
      <c r="A264" s="80"/>
      <c r="B264" s="81"/>
      <c r="C264" s="80"/>
      <c r="D264" s="81"/>
      <c r="E264" s="83"/>
    </row>
    <row r="265" ht="22.5" customHeight="1">
      <c r="A265" s="80"/>
      <c r="B265" s="81"/>
      <c r="C265" s="80"/>
      <c r="D265" s="81"/>
      <c r="E265" s="83"/>
    </row>
    <row r="266" ht="22.5" customHeight="1">
      <c r="A266" s="80"/>
      <c r="B266" s="81"/>
      <c r="C266" s="80"/>
      <c r="D266" s="81"/>
      <c r="E266" s="83"/>
    </row>
    <row r="267" ht="22.5" customHeight="1">
      <c r="A267" s="80"/>
      <c r="B267" s="81"/>
      <c r="C267" s="80"/>
      <c r="D267" s="81"/>
      <c r="E267" s="83"/>
    </row>
    <row r="268" ht="22.5" customHeight="1">
      <c r="A268" s="80"/>
      <c r="B268" s="81"/>
      <c r="C268" s="80"/>
      <c r="D268" s="81"/>
      <c r="E268" s="83"/>
    </row>
    <row r="269" ht="22.5" customHeight="1">
      <c r="A269" s="80"/>
      <c r="B269" s="81"/>
      <c r="C269" s="80"/>
      <c r="D269" s="81"/>
      <c r="E269" s="83"/>
    </row>
    <row r="270" ht="22.5" customHeight="1">
      <c r="A270" s="80"/>
      <c r="B270" s="81"/>
      <c r="C270" s="80"/>
      <c r="D270" s="81"/>
      <c r="E270" s="83"/>
    </row>
    <row r="271" ht="22.5" customHeight="1">
      <c r="A271" s="80"/>
      <c r="B271" s="81"/>
      <c r="C271" s="80"/>
      <c r="D271" s="81"/>
      <c r="E271" s="83"/>
    </row>
    <row r="272" ht="22.5" customHeight="1">
      <c r="A272" s="80"/>
      <c r="B272" s="81"/>
      <c r="C272" s="80"/>
      <c r="D272" s="81"/>
      <c r="E272" s="83"/>
    </row>
    <row r="273" ht="22.5" customHeight="1">
      <c r="A273" s="80"/>
      <c r="B273" s="81"/>
      <c r="C273" s="80"/>
      <c r="D273" s="81"/>
      <c r="E273" s="83"/>
    </row>
    <row r="274" ht="22.5" customHeight="1">
      <c r="A274" s="80"/>
      <c r="B274" s="81"/>
      <c r="C274" s="80"/>
      <c r="D274" s="81"/>
      <c r="E274" s="83"/>
    </row>
    <row r="275" ht="22.5" customHeight="1">
      <c r="A275" s="80"/>
      <c r="B275" s="81"/>
      <c r="C275" s="80"/>
      <c r="D275" s="81"/>
      <c r="E275" s="83"/>
    </row>
    <row r="276" ht="22.5" customHeight="1">
      <c r="A276" s="80"/>
      <c r="B276" s="81"/>
      <c r="C276" s="80"/>
      <c r="D276" s="81"/>
      <c r="E276" s="83"/>
    </row>
    <row r="277" ht="22.5" customHeight="1">
      <c r="A277" s="80"/>
      <c r="B277" s="81"/>
      <c r="C277" s="80"/>
      <c r="D277" s="81"/>
      <c r="E277" s="83"/>
    </row>
    <row r="278" ht="22.5" customHeight="1">
      <c r="A278" s="80"/>
      <c r="B278" s="81"/>
      <c r="C278" s="80"/>
      <c r="D278" s="81"/>
      <c r="E278" s="83"/>
    </row>
    <row r="279" ht="22.5" customHeight="1">
      <c r="A279" s="80"/>
      <c r="B279" s="81"/>
      <c r="C279" s="80"/>
      <c r="D279" s="81"/>
      <c r="E279" s="83"/>
    </row>
    <row r="280" ht="22.5" customHeight="1">
      <c r="A280" s="80"/>
      <c r="B280" s="81"/>
      <c r="C280" s="80"/>
      <c r="D280" s="81"/>
      <c r="E280" s="83"/>
    </row>
    <row r="281" ht="22.5" customHeight="1">
      <c r="A281" s="80"/>
      <c r="B281" s="81"/>
      <c r="C281" s="80"/>
      <c r="D281" s="81"/>
      <c r="E281" s="83"/>
    </row>
    <row r="282" ht="22.5" customHeight="1">
      <c r="A282" s="80"/>
      <c r="B282" s="81"/>
      <c r="C282" s="80"/>
      <c r="D282" s="81"/>
      <c r="E282" s="83"/>
    </row>
    <row r="283" ht="22.5" customHeight="1">
      <c r="A283" s="80"/>
      <c r="B283" s="81"/>
      <c r="C283" s="80"/>
      <c r="D283" s="81"/>
      <c r="E283" s="83"/>
    </row>
    <row r="284" ht="22.5" customHeight="1">
      <c r="A284" s="80"/>
      <c r="B284" s="81"/>
      <c r="C284" s="80"/>
      <c r="D284" s="81"/>
      <c r="E284" s="83"/>
    </row>
    <row r="285" ht="22.5" customHeight="1">
      <c r="A285" s="80"/>
      <c r="B285" s="81"/>
      <c r="C285" s="80"/>
      <c r="D285" s="81"/>
      <c r="E285" s="83"/>
    </row>
    <row r="286" ht="22.5" customHeight="1">
      <c r="A286" s="80"/>
      <c r="B286" s="81"/>
      <c r="C286" s="80"/>
      <c r="D286" s="81"/>
      <c r="E286" s="83"/>
    </row>
    <row r="287" ht="22.5" customHeight="1">
      <c r="A287" s="80"/>
      <c r="B287" s="81"/>
      <c r="C287" s="80"/>
      <c r="D287" s="81"/>
      <c r="E287" s="83"/>
    </row>
    <row r="288" ht="22.5" customHeight="1">
      <c r="A288" s="80"/>
      <c r="B288" s="81"/>
      <c r="C288" s="80"/>
      <c r="D288" s="81"/>
      <c r="E288" s="83"/>
    </row>
    <row r="289" ht="22.5" customHeight="1">
      <c r="A289" s="80"/>
      <c r="B289" s="81"/>
      <c r="C289" s="80"/>
      <c r="D289" s="81"/>
      <c r="E289" s="83"/>
    </row>
    <row r="290" ht="22.5" customHeight="1">
      <c r="A290" s="80"/>
      <c r="B290" s="81"/>
      <c r="C290" s="80"/>
      <c r="D290" s="81"/>
      <c r="E290" s="83"/>
    </row>
    <row r="291" ht="22.5" customHeight="1">
      <c r="A291" s="80"/>
      <c r="B291" s="81"/>
      <c r="C291" s="80"/>
      <c r="D291" s="81"/>
      <c r="E291" s="83"/>
    </row>
    <row r="292" ht="22.5" customHeight="1">
      <c r="A292" s="80"/>
      <c r="B292" s="81"/>
      <c r="C292" s="80"/>
      <c r="D292" s="81"/>
      <c r="E292" s="83"/>
    </row>
    <row r="293" ht="22.5" customHeight="1">
      <c r="A293" s="80"/>
      <c r="B293" s="81"/>
      <c r="C293" s="80"/>
      <c r="D293" s="81"/>
      <c r="E293" s="83"/>
    </row>
    <row r="294" ht="22.5" customHeight="1">
      <c r="A294" s="80"/>
      <c r="B294" s="81"/>
      <c r="C294" s="80"/>
      <c r="D294" s="81"/>
      <c r="E294" s="83"/>
    </row>
    <row r="295" ht="22.5" customHeight="1">
      <c r="A295" s="80"/>
      <c r="B295" s="81"/>
      <c r="C295" s="80"/>
      <c r="D295" s="81"/>
      <c r="E295" s="83"/>
    </row>
    <row r="296" ht="22.5" customHeight="1">
      <c r="A296" s="80"/>
      <c r="B296" s="81"/>
      <c r="C296" s="80"/>
      <c r="D296" s="81"/>
      <c r="E296" s="83"/>
    </row>
    <row r="297" ht="22.5" customHeight="1">
      <c r="A297" s="80"/>
      <c r="B297" s="81"/>
      <c r="C297" s="80"/>
      <c r="D297" s="81"/>
      <c r="E297" s="83"/>
    </row>
    <row r="298" ht="22.5" customHeight="1">
      <c r="A298" s="80"/>
      <c r="B298" s="81"/>
      <c r="C298" s="80"/>
      <c r="D298" s="81"/>
      <c r="E298" s="83"/>
    </row>
    <row r="299" ht="22.5" customHeight="1">
      <c r="A299" s="80"/>
      <c r="B299" s="81"/>
      <c r="C299" s="80"/>
      <c r="D299" s="81"/>
      <c r="E299" s="83"/>
    </row>
    <row r="300" ht="22.5" customHeight="1">
      <c r="A300" s="80"/>
      <c r="B300" s="81"/>
      <c r="C300" s="80"/>
      <c r="D300" s="81"/>
      <c r="E300" s="83"/>
    </row>
    <row r="301" ht="22.5" customHeight="1">
      <c r="A301" s="80"/>
      <c r="B301" s="81"/>
      <c r="C301" s="80"/>
      <c r="D301" s="81"/>
      <c r="E301" s="83"/>
    </row>
    <row r="302" ht="22.5" customHeight="1">
      <c r="A302" s="80"/>
      <c r="B302" s="81"/>
      <c r="C302" s="80"/>
      <c r="D302" s="81"/>
      <c r="E302" s="83"/>
    </row>
    <row r="303" ht="22.5" customHeight="1">
      <c r="A303" s="80"/>
      <c r="B303" s="81"/>
      <c r="C303" s="80"/>
      <c r="D303" s="81"/>
      <c r="E303" s="83"/>
    </row>
    <row r="304" ht="22.5" customHeight="1">
      <c r="A304" s="80"/>
      <c r="B304" s="81"/>
      <c r="C304" s="80"/>
      <c r="D304" s="81"/>
      <c r="E304" s="83"/>
    </row>
    <row r="305" ht="22.5" customHeight="1">
      <c r="A305" s="80"/>
      <c r="B305" s="81"/>
      <c r="C305" s="80"/>
      <c r="D305" s="81"/>
      <c r="E305" s="83"/>
    </row>
    <row r="306" ht="22.5" customHeight="1">
      <c r="A306" s="80"/>
      <c r="B306" s="81"/>
      <c r="C306" s="80"/>
      <c r="D306" s="81"/>
      <c r="E306" s="83"/>
    </row>
    <row r="307" ht="22.5" customHeight="1">
      <c r="A307" s="80"/>
      <c r="B307" s="81"/>
      <c r="C307" s="80"/>
      <c r="D307" s="81"/>
      <c r="E307" s="83"/>
    </row>
    <row r="308" ht="22.5" customHeight="1">
      <c r="A308" s="80"/>
      <c r="B308" s="81"/>
      <c r="C308" s="80"/>
      <c r="D308" s="81"/>
      <c r="E308" s="83"/>
    </row>
    <row r="309" ht="22.5" customHeight="1">
      <c r="A309" s="80"/>
      <c r="B309" s="81"/>
      <c r="C309" s="80"/>
      <c r="D309" s="81"/>
      <c r="E309" s="83"/>
    </row>
    <row r="310" ht="22.5" customHeight="1">
      <c r="A310" s="80"/>
      <c r="B310" s="81"/>
      <c r="C310" s="80"/>
      <c r="D310" s="81"/>
      <c r="E310" s="83"/>
    </row>
    <row r="311" ht="22.5" customHeight="1">
      <c r="A311" s="80"/>
      <c r="B311" s="81"/>
      <c r="C311" s="80"/>
      <c r="D311" s="81"/>
      <c r="E311" s="83"/>
    </row>
    <row r="312" ht="22.5" customHeight="1">
      <c r="A312" s="80"/>
      <c r="B312" s="81"/>
      <c r="C312" s="80"/>
      <c r="D312" s="81"/>
      <c r="E312" s="83"/>
    </row>
    <row r="313" ht="22.5" customHeight="1">
      <c r="A313" s="80"/>
      <c r="B313" s="81"/>
      <c r="C313" s="80"/>
      <c r="D313" s="81"/>
      <c r="E313" s="83"/>
    </row>
    <row r="314" ht="22.5" customHeight="1">
      <c r="A314" s="80"/>
      <c r="B314" s="81"/>
      <c r="C314" s="80"/>
      <c r="D314" s="81"/>
      <c r="E314" s="83"/>
    </row>
    <row r="315" ht="22.5" customHeight="1">
      <c r="A315" s="80"/>
      <c r="B315" s="81"/>
      <c r="C315" s="80"/>
      <c r="D315" s="81"/>
      <c r="E315" s="83"/>
    </row>
    <row r="316" ht="22.5" customHeight="1">
      <c r="A316" s="80"/>
      <c r="B316" s="81"/>
      <c r="C316" s="80"/>
      <c r="D316" s="81"/>
      <c r="E316" s="83"/>
    </row>
    <row r="317" ht="22.5" customHeight="1">
      <c r="A317" s="80"/>
      <c r="B317" s="81"/>
      <c r="C317" s="80"/>
      <c r="D317" s="81"/>
      <c r="E317" s="83"/>
    </row>
    <row r="318" ht="22.5" customHeight="1">
      <c r="A318" s="80"/>
      <c r="B318" s="81"/>
      <c r="C318" s="80"/>
      <c r="D318" s="81"/>
      <c r="E318" s="83"/>
    </row>
    <row r="319" ht="22.5" customHeight="1">
      <c r="A319" s="80"/>
      <c r="B319" s="81"/>
      <c r="C319" s="80"/>
      <c r="D319" s="81"/>
      <c r="E319" s="83"/>
    </row>
    <row r="320" ht="22.5" customHeight="1">
      <c r="A320" s="80"/>
      <c r="B320" s="81"/>
      <c r="C320" s="80"/>
      <c r="D320" s="81"/>
      <c r="E320" s="83"/>
    </row>
    <row r="321" ht="22.5" customHeight="1">
      <c r="A321" s="80"/>
      <c r="B321" s="81"/>
      <c r="C321" s="80"/>
      <c r="D321" s="81"/>
      <c r="E321" s="83"/>
    </row>
    <row r="322" ht="22.5" customHeight="1">
      <c r="A322" s="80"/>
      <c r="B322" s="81"/>
      <c r="C322" s="80"/>
      <c r="D322" s="81"/>
      <c r="E322" s="83"/>
    </row>
    <row r="323" ht="22.5" customHeight="1">
      <c r="A323" s="80"/>
      <c r="B323" s="81"/>
      <c r="C323" s="80"/>
      <c r="D323" s="81"/>
      <c r="E323" s="83"/>
    </row>
    <row r="324" ht="22.5" customHeight="1">
      <c r="A324" s="80"/>
      <c r="B324" s="81"/>
      <c r="C324" s="80"/>
      <c r="D324" s="81"/>
      <c r="E324" s="83"/>
    </row>
    <row r="325" ht="22.5" customHeight="1">
      <c r="A325" s="80"/>
      <c r="B325" s="81"/>
      <c r="C325" s="80"/>
      <c r="D325" s="81"/>
      <c r="E325" s="83"/>
    </row>
    <row r="326" ht="22.5" customHeight="1">
      <c r="A326" s="80"/>
      <c r="B326" s="81"/>
      <c r="C326" s="80"/>
      <c r="D326" s="81"/>
      <c r="E326" s="83"/>
    </row>
    <row r="327" ht="22.5" customHeight="1">
      <c r="A327" s="80"/>
      <c r="B327" s="81"/>
      <c r="C327" s="80"/>
      <c r="D327" s="81"/>
      <c r="E327" s="83"/>
    </row>
    <row r="328" ht="22.5" customHeight="1">
      <c r="A328" s="80"/>
      <c r="B328" s="81"/>
      <c r="C328" s="80"/>
      <c r="D328" s="81"/>
      <c r="E328" s="83"/>
    </row>
    <row r="329" ht="22.5" customHeight="1">
      <c r="A329" s="80"/>
      <c r="B329" s="81"/>
      <c r="C329" s="80"/>
      <c r="D329" s="81"/>
      <c r="E329" s="83"/>
    </row>
    <row r="330" ht="22.5" customHeight="1">
      <c r="A330" s="80"/>
      <c r="B330" s="81"/>
      <c r="C330" s="80"/>
      <c r="D330" s="81"/>
      <c r="E330" s="83"/>
    </row>
    <row r="331" ht="22.5" customHeight="1">
      <c r="A331" s="80"/>
      <c r="B331" s="81"/>
      <c r="C331" s="80"/>
      <c r="D331" s="81"/>
      <c r="E331" s="83"/>
    </row>
    <row r="332" ht="22.5" customHeight="1">
      <c r="A332" s="80"/>
      <c r="B332" s="81"/>
      <c r="C332" s="80"/>
      <c r="D332" s="81"/>
      <c r="E332" s="83"/>
    </row>
    <row r="333" ht="22.5" customHeight="1">
      <c r="A333" s="80"/>
      <c r="B333" s="81"/>
      <c r="C333" s="80"/>
      <c r="D333" s="81"/>
      <c r="E333" s="83"/>
    </row>
    <row r="334" ht="22.5" customHeight="1">
      <c r="A334" s="80"/>
      <c r="B334" s="81"/>
      <c r="C334" s="80"/>
      <c r="D334" s="81"/>
      <c r="E334" s="83"/>
    </row>
    <row r="335" ht="22.5" customHeight="1">
      <c r="A335" s="80"/>
      <c r="B335" s="81"/>
      <c r="C335" s="80"/>
      <c r="D335" s="81"/>
      <c r="E335" s="83"/>
    </row>
    <row r="336" ht="22.5" customHeight="1">
      <c r="A336" s="80"/>
      <c r="B336" s="81"/>
      <c r="C336" s="80"/>
      <c r="D336" s="81"/>
      <c r="E336" s="83"/>
    </row>
    <row r="337" ht="22.5" customHeight="1">
      <c r="A337" s="80"/>
      <c r="B337" s="81"/>
      <c r="C337" s="80"/>
      <c r="D337" s="81"/>
      <c r="E337" s="83"/>
    </row>
    <row r="338" ht="22.5" customHeight="1">
      <c r="A338" s="80"/>
      <c r="B338" s="81"/>
      <c r="C338" s="80"/>
      <c r="D338" s="81"/>
      <c r="E338" s="83"/>
    </row>
    <row r="339" ht="22.5" customHeight="1">
      <c r="A339" s="80"/>
      <c r="B339" s="81"/>
      <c r="C339" s="80"/>
      <c r="D339" s="81"/>
      <c r="E339" s="83"/>
    </row>
    <row r="340" ht="22.5" customHeight="1">
      <c r="A340" s="80"/>
      <c r="B340" s="81"/>
      <c r="C340" s="80"/>
      <c r="D340" s="81"/>
      <c r="E340" s="83"/>
    </row>
    <row r="341" ht="22.5" customHeight="1">
      <c r="A341" s="80"/>
      <c r="B341" s="81"/>
      <c r="C341" s="80"/>
      <c r="D341" s="81"/>
      <c r="E341" s="83"/>
    </row>
    <row r="342" ht="22.5" customHeight="1">
      <c r="A342" s="80"/>
      <c r="B342" s="81"/>
      <c r="C342" s="80"/>
      <c r="D342" s="81"/>
      <c r="E342" s="83"/>
    </row>
    <row r="343" ht="22.5" customHeight="1">
      <c r="A343" s="80"/>
      <c r="B343" s="81"/>
      <c r="C343" s="80"/>
      <c r="D343" s="81"/>
      <c r="E343" s="83"/>
    </row>
    <row r="344" ht="22.5" customHeight="1">
      <c r="A344" s="80"/>
      <c r="B344" s="81"/>
      <c r="C344" s="80"/>
      <c r="D344" s="81"/>
      <c r="E344" s="83"/>
    </row>
    <row r="345" ht="22.5" customHeight="1">
      <c r="A345" s="80"/>
      <c r="B345" s="81"/>
      <c r="C345" s="80"/>
      <c r="D345" s="81"/>
      <c r="E345" s="83"/>
    </row>
    <row r="346" ht="22.5" customHeight="1">
      <c r="A346" s="80"/>
      <c r="B346" s="81"/>
      <c r="C346" s="80"/>
      <c r="D346" s="81"/>
      <c r="E346" s="83"/>
    </row>
    <row r="347" ht="22.5" customHeight="1">
      <c r="A347" s="80"/>
      <c r="B347" s="81"/>
      <c r="C347" s="80"/>
      <c r="D347" s="81"/>
      <c r="E347" s="83"/>
    </row>
    <row r="348" ht="22.5" customHeight="1">
      <c r="A348" s="80"/>
      <c r="B348" s="81"/>
      <c r="C348" s="80"/>
      <c r="D348" s="81"/>
      <c r="E348" s="83"/>
    </row>
    <row r="349" ht="22.5" customHeight="1">
      <c r="A349" s="80"/>
      <c r="B349" s="81"/>
      <c r="C349" s="80"/>
      <c r="D349" s="81"/>
      <c r="E349" s="83"/>
    </row>
    <row r="350" ht="22.5" customHeight="1">
      <c r="A350" s="80"/>
      <c r="B350" s="81"/>
      <c r="C350" s="80"/>
      <c r="D350" s="81"/>
      <c r="E350" s="83"/>
    </row>
    <row r="351" ht="22.5" customHeight="1">
      <c r="A351" s="80"/>
      <c r="B351" s="81"/>
      <c r="C351" s="80"/>
      <c r="D351" s="81"/>
      <c r="E351" s="83"/>
    </row>
    <row r="352" ht="22.5" customHeight="1">
      <c r="A352" s="80"/>
      <c r="B352" s="81"/>
      <c r="C352" s="80"/>
      <c r="D352" s="81"/>
      <c r="E352" s="83"/>
    </row>
    <row r="353" ht="22.5" customHeight="1">
      <c r="A353" s="80"/>
      <c r="B353" s="81"/>
      <c r="C353" s="80"/>
      <c r="D353" s="81"/>
      <c r="E353" s="83"/>
    </row>
    <row r="354" ht="22.5" customHeight="1">
      <c r="A354" s="80"/>
      <c r="B354" s="81"/>
      <c r="C354" s="80"/>
      <c r="D354" s="81"/>
      <c r="E354" s="83"/>
    </row>
    <row r="355" ht="22.5" customHeight="1">
      <c r="A355" s="80"/>
      <c r="B355" s="81"/>
      <c r="C355" s="80"/>
      <c r="D355" s="81"/>
      <c r="E355" s="83"/>
    </row>
    <row r="356" ht="22.5" customHeight="1">
      <c r="A356" s="80"/>
      <c r="B356" s="81"/>
      <c r="C356" s="80"/>
      <c r="D356" s="81"/>
      <c r="E356" s="83"/>
    </row>
    <row r="357" ht="22.5" customHeight="1">
      <c r="A357" s="80"/>
      <c r="B357" s="81"/>
      <c r="C357" s="80"/>
      <c r="D357" s="81"/>
      <c r="E357" s="83"/>
    </row>
    <row r="358" ht="22.5" customHeight="1">
      <c r="A358" s="80"/>
      <c r="B358" s="81"/>
      <c r="C358" s="80"/>
      <c r="D358" s="81"/>
      <c r="E358" s="83"/>
    </row>
    <row r="359" ht="22.5" customHeight="1">
      <c r="A359" s="80"/>
      <c r="B359" s="81"/>
      <c r="C359" s="80"/>
      <c r="D359" s="81"/>
      <c r="E359" s="83"/>
    </row>
    <row r="360" ht="22.5" customHeight="1">
      <c r="A360" s="80"/>
      <c r="B360" s="81"/>
      <c r="C360" s="80"/>
      <c r="D360" s="81"/>
      <c r="E360" s="83"/>
    </row>
    <row r="361" ht="22.5" customHeight="1">
      <c r="A361" s="80"/>
      <c r="B361" s="81"/>
      <c r="C361" s="80"/>
      <c r="D361" s="81"/>
      <c r="E361" s="83"/>
    </row>
    <row r="362" ht="22.5" customHeight="1">
      <c r="A362" s="80"/>
      <c r="B362" s="81"/>
      <c r="C362" s="80"/>
      <c r="D362" s="81"/>
      <c r="E362" s="83"/>
    </row>
    <row r="363" ht="22.5" customHeight="1">
      <c r="A363" s="80"/>
      <c r="B363" s="81"/>
      <c r="C363" s="80"/>
      <c r="D363" s="81"/>
      <c r="E363" s="83"/>
    </row>
    <row r="364" ht="22.5" customHeight="1">
      <c r="A364" s="80"/>
      <c r="B364" s="81"/>
      <c r="C364" s="80"/>
      <c r="D364" s="81"/>
      <c r="E364" s="83"/>
    </row>
    <row r="365" ht="22.5" customHeight="1">
      <c r="A365" s="80"/>
      <c r="B365" s="81"/>
      <c r="C365" s="80"/>
      <c r="D365" s="81"/>
      <c r="E365" s="83"/>
    </row>
    <row r="366" ht="22.5" customHeight="1">
      <c r="A366" s="80"/>
      <c r="B366" s="81"/>
      <c r="C366" s="80"/>
      <c r="D366" s="81"/>
      <c r="E366" s="83"/>
    </row>
    <row r="367" ht="22.5" customHeight="1">
      <c r="A367" s="80"/>
      <c r="B367" s="81"/>
      <c r="C367" s="80"/>
      <c r="D367" s="81"/>
      <c r="E367" s="83"/>
    </row>
    <row r="368" ht="22.5" customHeight="1">
      <c r="A368" s="80"/>
      <c r="B368" s="81"/>
      <c r="C368" s="80"/>
      <c r="D368" s="81"/>
      <c r="E368" s="83"/>
    </row>
    <row r="369" ht="22.5" customHeight="1">
      <c r="A369" s="80"/>
      <c r="B369" s="81"/>
      <c r="C369" s="80"/>
      <c r="D369" s="81"/>
      <c r="E369" s="83"/>
    </row>
    <row r="370" ht="22.5" customHeight="1">
      <c r="A370" s="80"/>
      <c r="B370" s="81"/>
      <c r="C370" s="80"/>
      <c r="D370" s="81"/>
      <c r="E370" s="83"/>
    </row>
    <row r="371" ht="22.5" customHeight="1">
      <c r="A371" s="80"/>
      <c r="B371" s="81"/>
      <c r="C371" s="80"/>
      <c r="D371" s="81"/>
      <c r="E371" s="83"/>
    </row>
    <row r="372" ht="22.5" customHeight="1">
      <c r="A372" s="80"/>
      <c r="B372" s="81"/>
      <c r="C372" s="80"/>
      <c r="D372" s="81"/>
      <c r="E372" s="83"/>
    </row>
    <row r="373" ht="22.5" customHeight="1">
      <c r="A373" s="80"/>
      <c r="B373" s="81"/>
      <c r="C373" s="80"/>
      <c r="D373" s="81"/>
      <c r="E373" s="83"/>
    </row>
    <row r="374" ht="22.5" customHeight="1">
      <c r="A374" s="80"/>
      <c r="B374" s="81"/>
      <c r="C374" s="80"/>
      <c r="D374" s="81"/>
      <c r="E374" s="83"/>
    </row>
    <row r="375" ht="22.5" customHeight="1">
      <c r="A375" s="80"/>
      <c r="B375" s="81"/>
      <c r="C375" s="80"/>
      <c r="D375" s="81"/>
      <c r="E375" s="83"/>
    </row>
    <row r="376" ht="22.5" customHeight="1">
      <c r="A376" s="80"/>
      <c r="B376" s="81"/>
      <c r="C376" s="80"/>
      <c r="D376" s="81"/>
      <c r="E376" s="83"/>
    </row>
    <row r="377" ht="22.5" customHeight="1">
      <c r="A377" s="80"/>
      <c r="B377" s="81"/>
      <c r="C377" s="80"/>
      <c r="D377" s="81"/>
      <c r="E377" s="83"/>
    </row>
    <row r="378" ht="22.5" customHeight="1">
      <c r="A378" s="80"/>
      <c r="B378" s="81"/>
      <c r="C378" s="80"/>
      <c r="D378" s="81"/>
      <c r="E378" s="83"/>
    </row>
    <row r="379" ht="22.5" customHeight="1">
      <c r="A379" s="80"/>
      <c r="B379" s="81"/>
      <c r="C379" s="80"/>
      <c r="D379" s="81"/>
      <c r="E379" s="83"/>
    </row>
    <row r="380" ht="22.5" customHeight="1">
      <c r="A380" s="80"/>
      <c r="B380" s="81"/>
      <c r="C380" s="80"/>
      <c r="D380" s="81"/>
      <c r="E380" s="83"/>
    </row>
    <row r="381" ht="22.5" customHeight="1">
      <c r="A381" s="80"/>
      <c r="B381" s="81"/>
      <c r="C381" s="80"/>
      <c r="D381" s="81"/>
      <c r="E381" s="83"/>
    </row>
    <row r="382" ht="22.5" customHeight="1">
      <c r="A382" s="80"/>
      <c r="B382" s="81"/>
      <c r="C382" s="80"/>
      <c r="D382" s="81"/>
      <c r="E382" s="83"/>
    </row>
    <row r="383" ht="22.5" customHeight="1">
      <c r="A383" s="80"/>
      <c r="B383" s="81"/>
      <c r="C383" s="80"/>
      <c r="D383" s="81"/>
      <c r="E383" s="83"/>
    </row>
    <row r="384" ht="22.5" customHeight="1">
      <c r="A384" s="80"/>
      <c r="B384" s="81"/>
      <c r="C384" s="80"/>
      <c r="D384" s="81"/>
      <c r="E384" s="83"/>
    </row>
    <row r="385" ht="22.5" customHeight="1">
      <c r="A385" s="80"/>
      <c r="B385" s="81"/>
      <c r="C385" s="80"/>
      <c r="D385" s="81"/>
      <c r="E385" s="83"/>
    </row>
    <row r="386" ht="22.5" customHeight="1">
      <c r="A386" s="80"/>
      <c r="B386" s="81"/>
      <c r="C386" s="80"/>
      <c r="D386" s="81"/>
      <c r="E386" s="83"/>
    </row>
    <row r="387" ht="22.5" customHeight="1">
      <c r="A387" s="80"/>
      <c r="B387" s="81"/>
      <c r="C387" s="80"/>
      <c r="D387" s="81"/>
      <c r="E387" s="83"/>
    </row>
    <row r="388" ht="22.5" customHeight="1">
      <c r="A388" s="80"/>
      <c r="B388" s="81"/>
      <c r="C388" s="80"/>
      <c r="D388" s="81"/>
      <c r="E388" s="83"/>
    </row>
    <row r="389" ht="22.5" customHeight="1">
      <c r="A389" s="80"/>
      <c r="B389" s="81"/>
      <c r="C389" s="80"/>
      <c r="D389" s="81"/>
      <c r="E389" s="83"/>
    </row>
    <row r="390" ht="22.5" customHeight="1">
      <c r="A390" s="80"/>
      <c r="B390" s="81"/>
      <c r="C390" s="80"/>
      <c r="D390" s="81"/>
      <c r="E390" s="83"/>
    </row>
    <row r="391" ht="22.5" customHeight="1">
      <c r="A391" s="80"/>
      <c r="B391" s="81"/>
      <c r="C391" s="80"/>
      <c r="D391" s="81"/>
      <c r="E391" s="83"/>
    </row>
    <row r="392" ht="22.5" customHeight="1">
      <c r="A392" s="80"/>
      <c r="B392" s="81"/>
      <c r="C392" s="80"/>
      <c r="D392" s="81"/>
      <c r="E392" s="83"/>
    </row>
    <row r="393" ht="22.5" customHeight="1">
      <c r="A393" s="80"/>
      <c r="B393" s="81"/>
      <c r="C393" s="80"/>
      <c r="D393" s="81"/>
      <c r="E393" s="83"/>
    </row>
    <row r="394" ht="22.5" customHeight="1">
      <c r="A394" s="80"/>
      <c r="B394" s="81"/>
      <c r="C394" s="80"/>
      <c r="D394" s="81"/>
      <c r="E394" s="83"/>
    </row>
    <row r="395" ht="22.5" customHeight="1">
      <c r="A395" s="80"/>
      <c r="B395" s="81"/>
      <c r="C395" s="80"/>
      <c r="D395" s="81"/>
      <c r="E395" s="83"/>
    </row>
    <row r="396" ht="22.5" customHeight="1">
      <c r="A396" s="80"/>
      <c r="B396" s="81"/>
      <c r="C396" s="80"/>
      <c r="D396" s="81"/>
      <c r="E396" s="83"/>
    </row>
    <row r="397" ht="22.5" customHeight="1">
      <c r="A397" s="80"/>
      <c r="B397" s="81"/>
      <c r="C397" s="80"/>
      <c r="D397" s="81"/>
      <c r="E397" s="83"/>
    </row>
    <row r="398" ht="22.5" customHeight="1">
      <c r="A398" s="80"/>
      <c r="B398" s="81"/>
      <c r="C398" s="80"/>
      <c r="D398" s="81"/>
      <c r="E398" s="83"/>
    </row>
    <row r="399" ht="22.5" customHeight="1">
      <c r="A399" s="80"/>
      <c r="B399" s="81"/>
      <c r="C399" s="80"/>
      <c r="D399" s="81"/>
      <c r="E399" s="83"/>
    </row>
    <row r="400" ht="22.5" customHeight="1">
      <c r="A400" s="80"/>
      <c r="B400" s="81"/>
      <c r="C400" s="80"/>
      <c r="D400" s="81"/>
      <c r="E400" s="83"/>
    </row>
    <row r="401" ht="22.5" customHeight="1">
      <c r="A401" s="80"/>
      <c r="B401" s="81"/>
      <c r="C401" s="80"/>
      <c r="D401" s="81"/>
      <c r="E401" s="83"/>
    </row>
    <row r="402" ht="22.5" customHeight="1">
      <c r="A402" s="80"/>
      <c r="B402" s="81"/>
      <c r="C402" s="80"/>
      <c r="D402" s="81"/>
      <c r="E402" s="83"/>
    </row>
    <row r="403" ht="22.5" customHeight="1">
      <c r="A403" s="80"/>
      <c r="B403" s="81"/>
      <c r="C403" s="80"/>
      <c r="D403" s="81"/>
      <c r="E403" s="83"/>
    </row>
    <row r="404" ht="22.5" customHeight="1">
      <c r="A404" s="80"/>
      <c r="B404" s="81"/>
      <c r="C404" s="80"/>
      <c r="D404" s="81"/>
      <c r="E404" s="83"/>
    </row>
    <row r="405" ht="22.5" customHeight="1">
      <c r="A405" s="80"/>
      <c r="B405" s="81"/>
      <c r="C405" s="80"/>
      <c r="D405" s="81"/>
      <c r="E405" s="83"/>
    </row>
    <row r="406" ht="22.5" customHeight="1">
      <c r="A406" s="80"/>
      <c r="B406" s="81"/>
      <c r="C406" s="80"/>
      <c r="D406" s="81"/>
      <c r="E406" s="83"/>
    </row>
    <row r="407" ht="22.5" customHeight="1">
      <c r="A407" s="80"/>
      <c r="B407" s="81"/>
      <c r="C407" s="80"/>
      <c r="D407" s="81"/>
      <c r="E407" s="83"/>
    </row>
    <row r="408" ht="22.5" customHeight="1">
      <c r="A408" s="80"/>
      <c r="B408" s="81"/>
      <c r="C408" s="80"/>
      <c r="D408" s="81"/>
      <c r="E408" s="83"/>
    </row>
    <row r="409" ht="22.5" customHeight="1">
      <c r="A409" s="80"/>
      <c r="B409" s="81"/>
      <c r="C409" s="80"/>
      <c r="D409" s="81"/>
      <c r="E409" s="83"/>
    </row>
    <row r="410" ht="22.5" customHeight="1">
      <c r="A410" s="80"/>
      <c r="B410" s="81"/>
      <c r="C410" s="80"/>
      <c r="D410" s="81"/>
      <c r="E410" s="83"/>
    </row>
    <row r="411" ht="22.5" customHeight="1">
      <c r="A411" s="80"/>
      <c r="B411" s="81"/>
      <c r="C411" s="80"/>
      <c r="D411" s="81"/>
      <c r="E411" s="83"/>
    </row>
    <row r="412" ht="22.5" customHeight="1">
      <c r="A412" s="80"/>
      <c r="B412" s="81"/>
      <c r="C412" s="80"/>
      <c r="D412" s="81"/>
      <c r="E412" s="83"/>
    </row>
    <row r="413" ht="22.5" customHeight="1">
      <c r="A413" s="80"/>
      <c r="B413" s="81"/>
      <c r="C413" s="80"/>
      <c r="D413" s="81"/>
      <c r="E413" s="83"/>
    </row>
    <row r="414" ht="22.5" customHeight="1">
      <c r="A414" s="80"/>
      <c r="B414" s="81"/>
      <c r="C414" s="80"/>
      <c r="D414" s="81"/>
      <c r="E414" s="83"/>
    </row>
    <row r="415" ht="22.5" customHeight="1">
      <c r="A415" s="80"/>
      <c r="B415" s="81"/>
      <c r="C415" s="80"/>
      <c r="D415" s="81"/>
      <c r="E415" s="83"/>
    </row>
    <row r="416" ht="22.5" customHeight="1">
      <c r="A416" s="80"/>
      <c r="B416" s="81"/>
      <c r="C416" s="80"/>
      <c r="D416" s="81"/>
      <c r="E416" s="83"/>
    </row>
    <row r="417" ht="22.5" customHeight="1">
      <c r="A417" s="80"/>
      <c r="B417" s="81"/>
      <c r="C417" s="80"/>
      <c r="D417" s="81"/>
      <c r="E417" s="83"/>
    </row>
    <row r="418" ht="22.5" customHeight="1">
      <c r="A418" s="80"/>
      <c r="B418" s="81"/>
      <c r="C418" s="80"/>
      <c r="D418" s="81"/>
      <c r="E418" s="83"/>
    </row>
    <row r="419" ht="22.5" customHeight="1">
      <c r="A419" s="80"/>
      <c r="B419" s="81"/>
      <c r="C419" s="80"/>
      <c r="D419" s="81"/>
      <c r="E419" s="83"/>
    </row>
    <row r="420" ht="22.5" customHeight="1">
      <c r="A420" s="80"/>
      <c r="B420" s="81"/>
      <c r="C420" s="80"/>
      <c r="D420" s="81"/>
      <c r="E420" s="83"/>
    </row>
    <row r="421" ht="22.5" customHeight="1">
      <c r="A421" s="80"/>
      <c r="B421" s="81"/>
      <c r="C421" s="80"/>
      <c r="D421" s="81"/>
      <c r="E421" s="83"/>
    </row>
    <row r="422" ht="22.5" customHeight="1">
      <c r="A422" s="80"/>
      <c r="B422" s="81"/>
      <c r="C422" s="80"/>
      <c r="D422" s="81"/>
      <c r="E422" s="83"/>
    </row>
    <row r="423" ht="22.5" customHeight="1">
      <c r="A423" s="80"/>
      <c r="B423" s="81"/>
      <c r="C423" s="80"/>
      <c r="D423" s="81"/>
      <c r="E423" s="83"/>
    </row>
    <row r="424" ht="22.5" customHeight="1">
      <c r="A424" s="80"/>
      <c r="B424" s="81"/>
      <c r="C424" s="80"/>
      <c r="D424" s="81"/>
      <c r="E424" s="83"/>
    </row>
    <row r="425" ht="22.5" customHeight="1">
      <c r="A425" s="80"/>
      <c r="B425" s="81"/>
      <c r="C425" s="80"/>
      <c r="D425" s="81"/>
      <c r="E425" s="83"/>
    </row>
    <row r="426" ht="22.5" customHeight="1">
      <c r="A426" s="80"/>
      <c r="B426" s="81"/>
      <c r="C426" s="80"/>
      <c r="D426" s="81"/>
      <c r="E426" s="83"/>
    </row>
    <row r="427" ht="22.5" customHeight="1">
      <c r="A427" s="80"/>
      <c r="B427" s="81"/>
      <c r="C427" s="80"/>
      <c r="D427" s="81"/>
      <c r="E427" s="83"/>
    </row>
    <row r="428" ht="22.5" customHeight="1">
      <c r="A428" s="80"/>
      <c r="B428" s="81"/>
      <c r="C428" s="80"/>
      <c r="D428" s="81"/>
      <c r="E428" s="83"/>
    </row>
    <row r="429" ht="22.5" customHeight="1">
      <c r="A429" s="80"/>
      <c r="B429" s="81"/>
      <c r="C429" s="80"/>
      <c r="D429" s="81"/>
      <c r="E429" s="83"/>
    </row>
    <row r="430" ht="22.5" customHeight="1">
      <c r="A430" s="80"/>
      <c r="B430" s="81"/>
      <c r="C430" s="80"/>
      <c r="D430" s="81"/>
      <c r="E430" s="83"/>
    </row>
    <row r="431" ht="22.5" customHeight="1">
      <c r="A431" s="80"/>
      <c r="B431" s="81"/>
      <c r="C431" s="80"/>
      <c r="D431" s="81"/>
      <c r="E431" s="83"/>
    </row>
    <row r="432" ht="22.5" customHeight="1">
      <c r="A432" s="80"/>
      <c r="B432" s="81"/>
      <c r="C432" s="80"/>
      <c r="D432" s="81"/>
      <c r="E432" s="83"/>
    </row>
    <row r="433" ht="22.5" customHeight="1">
      <c r="A433" s="80"/>
      <c r="B433" s="81"/>
      <c r="C433" s="80"/>
      <c r="D433" s="81"/>
      <c r="E433" s="83"/>
    </row>
    <row r="434" ht="22.5" customHeight="1">
      <c r="A434" s="80"/>
      <c r="B434" s="81"/>
      <c r="C434" s="80"/>
      <c r="D434" s="81"/>
      <c r="E434" s="83"/>
    </row>
    <row r="435" ht="22.5" customHeight="1">
      <c r="A435" s="80"/>
      <c r="B435" s="81"/>
      <c r="C435" s="80"/>
      <c r="D435" s="81"/>
      <c r="E435" s="83"/>
    </row>
    <row r="436" ht="22.5" customHeight="1">
      <c r="A436" s="80"/>
      <c r="B436" s="81"/>
      <c r="C436" s="80"/>
      <c r="D436" s="81"/>
      <c r="E436" s="83"/>
    </row>
    <row r="437" ht="22.5" customHeight="1">
      <c r="A437" s="80"/>
      <c r="B437" s="81"/>
      <c r="C437" s="80"/>
      <c r="D437" s="81"/>
      <c r="E437" s="83"/>
    </row>
    <row r="438" ht="22.5" customHeight="1">
      <c r="A438" s="80"/>
      <c r="B438" s="81"/>
      <c r="C438" s="80"/>
      <c r="D438" s="81"/>
      <c r="E438" s="83"/>
    </row>
    <row r="439" ht="22.5" customHeight="1">
      <c r="A439" s="80"/>
      <c r="B439" s="81"/>
      <c r="C439" s="80"/>
      <c r="D439" s="81"/>
      <c r="E439" s="83"/>
    </row>
    <row r="440" ht="22.5" customHeight="1">
      <c r="A440" s="80"/>
      <c r="B440" s="81"/>
      <c r="C440" s="80"/>
      <c r="D440" s="81"/>
      <c r="E440" s="83"/>
    </row>
    <row r="441" ht="22.5" customHeight="1">
      <c r="A441" s="80"/>
      <c r="B441" s="81"/>
      <c r="C441" s="80"/>
      <c r="D441" s="81"/>
      <c r="E441" s="83"/>
    </row>
    <row r="442" ht="22.5" customHeight="1">
      <c r="A442" s="80"/>
      <c r="B442" s="81"/>
      <c r="C442" s="80"/>
      <c r="D442" s="81"/>
      <c r="E442" s="83"/>
    </row>
    <row r="443" ht="22.5" customHeight="1">
      <c r="A443" s="80"/>
      <c r="B443" s="81"/>
      <c r="C443" s="80"/>
      <c r="D443" s="81"/>
      <c r="E443" s="83"/>
    </row>
    <row r="444" ht="22.5" customHeight="1">
      <c r="A444" s="80"/>
      <c r="B444" s="81"/>
      <c r="C444" s="80"/>
      <c r="D444" s="81"/>
      <c r="E444" s="83"/>
    </row>
    <row r="445" ht="22.5" customHeight="1">
      <c r="A445" s="80"/>
      <c r="B445" s="81"/>
      <c r="C445" s="80"/>
      <c r="D445" s="81"/>
      <c r="E445" s="83"/>
    </row>
    <row r="446" ht="22.5" customHeight="1">
      <c r="A446" s="80"/>
      <c r="B446" s="81"/>
      <c r="C446" s="80"/>
      <c r="D446" s="81"/>
      <c r="E446" s="83"/>
    </row>
    <row r="447" ht="22.5" customHeight="1">
      <c r="A447" s="80"/>
      <c r="B447" s="81"/>
      <c r="C447" s="80"/>
      <c r="D447" s="81"/>
      <c r="E447" s="83"/>
    </row>
    <row r="448" ht="22.5" customHeight="1">
      <c r="A448" s="80"/>
      <c r="B448" s="81"/>
      <c r="C448" s="80"/>
      <c r="D448" s="81"/>
      <c r="E448" s="83"/>
    </row>
    <row r="449" ht="22.5" customHeight="1">
      <c r="A449" s="80"/>
      <c r="B449" s="81"/>
      <c r="C449" s="80"/>
      <c r="D449" s="81"/>
      <c r="E449" s="83"/>
    </row>
    <row r="450" ht="22.5" customHeight="1">
      <c r="A450" s="80"/>
      <c r="B450" s="81"/>
      <c r="C450" s="80"/>
      <c r="D450" s="81"/>
      <c r="E450" s="83"/>
    </row>
    <row r="451" ht="22.5" customHeight="1">
      <c r="A451" s="80"/>
      <c r="B451" s="81"/>
      <c r="C451" s="80"/>
      <c r="D451" s="81"/>
      <c r="E451" s="83"/>
    </row>
    <row r="452" ht="22.5" customHeight="1">
      <c r="A452" s="80"/>
      <c r="B452" s="81"/>
      <c r="C452" s="80"/>
      <c r="D452" s="81"/>
      <c r="E452" s="83"/>
    </row>
    <row r="453" ht="22.5" customHeight="1">
      <c r="A453" s="80"/>
      <c r="B453" s="81"/>
      <c r="C453" s="80"/>
      <c r="D453" s="81"/>
      <c r="E453" s="83"/>
    </row>
    <row r="454" ht="22.5" customHeight="1">
      <c r="A454" s="80"/>
      <c r="B454" s="81"/>
      <c r="C454" s="80"/>
      <c r="D454" s="81"/>
      <c r="E454" s="83"/>
    </row>
    <row r="455" ht="22.5" customHeight="1">
      <c r="A455" s="80"/>
      <c r="B455" s="81"/>
      <c r="C455" s="80"/>
      <c r="D455" s="81"/>
      <c r="E455" s="83"/>
    </row>
    <row r="456" ht="22.5" customHeight="1">
      <c r="A456" s="80"/>
      <c r="B456" s="81"/>
      <c r="C456" s="80"/>
      <c r="D456" s="81"/>
      <c r="E456" s="83"/>
    </row>
    <row r="457" ht="22.5" customHeight="1">
      <c r="A457" s="80"/>
      <c r="B457" s="81"/>
      <c r="C457" s="80"/>
      <c r="D457" s="81"/>
      <c r="E457" s="83"/>
    </row>
    <row r="458" ht="22.5" customHeight="1">
      <c r="A458" s="80"/>
      <c r="B458" s="81"/>
      <c r="C458" s="80"/>
      <c r="D458" s="81"/>
      <c r="E458" s="83"/>
    </row>
    <row r="459" ht="22.5" customHeight="1">
      <c r="A459" s="80"/>
      <c r="B459" s="81"/>
      <c r="C459" s="80"/>
      <c r="D459" s="81"/>
      <c r="E459" s="83"/>
    </row>
    <row r="460" ht="22.5" customHeight="1">
      <c r="A460" s="80"/>
      <c r="B460" s="81"/>
      <c r="C460" s="80"/>
      <c r="D460" s="81"/>
      <c r="E460" s="83"/>
    </row>
    <row r="461" ht="22.5" customHeight="1">
      <c r="A461" s="80"/>
      <c r="B461" s="81"/>
      <c r="C461" s="80"/>
      <c r="D461" s="81"/>
      <c r="E461" s="83"/>
    </row>
    <row r="462" ht="22.5" customHeight="1">
      <c r="A462" s="80"/>
      <c r="B462" s="81"/>
      <c r="C462" s="80"/>
      <c r="D462" s="81"/>
      <c r="E462" s="83"/>
    </row>
    <row r="463" ht="22.5" customHeight="1">
      <c r="A463" s="80"/>
      <c r="B463" s="81"/>
      <c r="C463" s="80"/>
      <c r="D463" s="81"/>
      <c r="E463" s="83"/>
    </row>
    <row r="464" ht="22.5" customHeight="1">
      <c r="A464" s="80"/>
      <c r="B464" s="81"/>
      <c r="C464" s="80"/>
      <c r="D464" s="81"/>
      <c r="E464" s="83"/>
    </row>
    <row r="465" ht="22.5" customHeight="1">
      <c r="A465" s="80"/>
      <c r="B465" s="81"/>
      <c r="C465" s="80"/>
      <c r="D465" s="81"/>
      <c r="E465" s="83"/>
    </row>
    <row r="466" ht="22.5" customHeight="1">
      <c r="A466" s="80"/>
      <c r="B466" s="81"/>
      <c r="C466" s="80"/>
      <c r="D466" s="81"/>
      <c r="E466" s="83"/>
    </row>
    <row r="467" ht="22.5" customHeight="1">
      <c r="A467" s="80"/>
      <c r="B467" s="81"/>
      <c r="C467" s="80"/>
      <c r="D467" s="81"/>
      <c r="E467" s="83"/>
    </row>
    <row r="468" ht="22.5" customHeight="1">
      <c r="A468" s="80"/>
      <c r="B468" s="81"/>
      <c r="C468" s="80"/>
      <c r="D468" s="81"/>
      <c r="E468" s="83"/>
    </row>
    <row r="469" ht="22.5" customHeight="1">
      <c r="A469" s="80"/>
      <c r="B469" s="81"/>
      <c r="C469" s="80"/>
      <c r="D469" s="81"/>
      <c r="E469" s="83"/>
    </row>
    <row r="470" ht="22.5" customHeight="1">
      <c r="A470" s="80"/>
      <c r="B470" s="81"/>
      <c r="C470" s="80"/>
      <c r="D470" s="81"/>
      <c r="E470" s="83"/>
    </row>
    <row r="471" ht="22.5" customHeight="1">
      <c r="A471" s="80"/>
      <c r="B471" s="81"/>
      <c r="C471" s="80"/>
      <c r="D471" s="81"/>
      <c r="E471" s="83"/>
    </row>
    <row r="472" ht="22.5" customHeight="1">
      <c r="A472" s="80"/>
      <c r="B472" s="81"/>
      <c r="C472" s="80"/>
      <c r="D472" s="81"/>
      <c r="E472" s="83"/>
    </row>
    <row r="473" ht="22.5" customHeight="1">
      <c r="A473" s="80"/>
      <c r="B473" s="81"/>
      <c r="C473" s="80"/>
      <c r="D473" s="81"/>
      <c r="E473" s="83"/>
    </row>
    <row r="474" ht="22.5" customHeight="1">
      <c r="A474" s="80"/>
      <c r="B474" s="81"/>
      <c r="C474" s="80"/>
      <c r="D474" s="81"/>
      <c r="E474" s="83"/>
    </row>
    <row r="475" ht="22.5" customHeight="1">
      <c r="A475" s="80"/>
      <c r="B475" s="81"/>
      <c r="C475" s="80"/>
      <c r="D475" s="81"/>
      <c r="E475" s="83"/>
    </row>
    <row r="476" ht="22.5" customHeight="1">
      <c r="A476" s="80"/>
      <c r="B476" s="81"/>
      <c r="C476" s="80"/>
      <c r="D476" s="81"/>
      <c r="E476" s="83"/>
    </row>
    <row r="477" ht="22.5" customHeight="1">
      <c r="A477" s="80"/>
      <c r="B477" s="81"/>
      <c r="C477" s="80"/>
      <c r="D477" s="81"/>
      <c r="E477" s="83"/>
    </row>
    <row r="478" ht="22.5" customHeight="1">
      <c r="A478" s="80"/>
      <c r="B478" s="81"/>
      <c r="C478" s="80"/>
      <c r="D478" s="81"/>
      <c r="E478" s="83"/>
    </row>
    <row r="479" ht="22.5" customHeight="1">
      <c r="A479" s="80"/>
      <c r="B479" s="81"/>
      <c r="C479" s="80"/>
      <c r="D479" s="81"/>
      <c r="E479" s="83"/>
    </row>
    <row r="480" ht="22.5" customHeight="1">
      <c r="A480" s="80"/>
      <c r="B480" s="81"/>
      <c r="C480" s="80"/>
      <c r="D480" s="81"/>
      <c r="E480" s="83"/>
    </row>
    <row r="481" ht="22.5" customHeight="1">
      <c r="A481" s="80"/>
      <c r="B481" s="81"/>
      <c r="C481" s="80"/>
      <c r="D481" s="81"/>
      <c r="E481" s="83"/>
    </row>
    <row r="482" ht="22.5" customHeight="1">
      <c r="A482" s="80"/>
      <c r="B482" s="81"/>
      <c r="C482" s="80"/>
      <c r="D482" s="81"/>
      <c r="E482" s="83"/>
    </row>
    <row r="483" ht="22.5" customHeight="1">
      <c r="A483" s="80"/>
      <c r="B483" s="81"/>
      <c r="C483" s="80"/>
      <c r="D483" s="81"/>
      <c r="E483" s="83"/>
    </row>
    <row r="484" ht="22.5" customHeight="1">
      <c r="A484" s="80"/>
      <c r="B484" s="81"/>
      <c r="C484" s="80"/>
      <c r="D484" s="81"/>
      <c r="E484" s="83"/>
    </row>
    <row r="485" ht="22.5" customHeight="1">
      <c r="A485" s="80"/>
      <c r="B485" s="81"/>
      <c r="C485" s="80"/>
      <c r="D485" s="81"/>
      <c r="E485" s="83"/>
    </row>
    <row r="486" ht="22.5" customHeight="1">
      <c r="A486" s="80"/>
      <c r="B486" s="81"/>
      <c r="C486" s="80"/>
      <c r="D486" s="81"/>
      <c r="E486" s="83"/>
    </row>
    <row r="487" ht="22.5" customHeight="1">
      <c r="A487" s="80"/>
      <c r="B487" s="81"/>
      <c r="C487" s="80"/>
      <c r="D487" s="81"/>
      <c r="E487" s="83"/>
    </row>
    <row r="488" ht="22.5" customHeight="1">
      <c r="A488" s="80"/>
      <c r="B488" s="81"/>
      <c r="C488" s="80"/>
      <c r="D488" s="81"/>
      <c r="E488" s="83"/>
    </row>
    <row r="489" ht="22.5" customHeight="1">
      <c r="A489" s="80"/>
      <c r="B489" s="81"/>
      <c r="C489" s="80"/>
      <c r="D489" s="81"/>
      <c r="E489" s="83"/>
    </row>
    <row r="490" ht="22.5" customHeight="1">
      <c r="A490" s="80"/>
      <c r="B490" s="81"/>
      <c r="C490" s="80"/>
      <c r="D490" s="81"/>
      <c r="E490" s="83"/>
    </row>
    <row r="491" ht="22.5" customHeight="1">
      <c r="A491" s="80"/>
      <c r="B491" s="81"/>
      <c r="C491" s="80"/>
      <c r="D491" s="81"/>
      <c r="E491" s="83"/>
    </row>
    <row r="492" ht="22.5" customHeight="1">
      <c r="A492" s="80"/>
      <c r="B492" s="81"/>
      <c r="C492" s="80"/>
      <c r="D492" s="81"/>
      <c r="E492" s="83"/>
    </row>
    <row r="493" ht="22.5" customHeight="1">
      <c r="A493" s="80"/>
      <c r="B493" s="81"/>
      <c r="C493" s="80"/>
      <c r="D493" s="81"/>
      <c r="E493" s="83"/>
    </row>
    <row r="494" ht="22.5" customHeight="1">
      <c r="A494" s="80"/>
      <c r="B494" s="81"/>
      <c r="C494" s="80"/>
      <c r="D494" s="81"/>
      <c r="E494" s="83"/>
    </row>
    <row r="495" ht="22.5" customHeight="1">
      <c r="A495" s="80"/>
      <c r="B495" s="81"/>
      <c r="C495" s="80"/>
      <c r="D495" s="81"/>
      <c r="E495" s="83"/>
    </row>
    <row r="496" ht="22.5" customHeight="1">
      <c r="A496" s="80"/>
      <c r="B496" s="81"/>
      <c r="C496" s="80"/>
      <c r="D496" s="81"/>
      <c r="E496" s="83"/>
    </row>
    <row r="497" ht="22.5" customHeight="1">
      <c r="A497" s="80"/>
      <c r="B497" s="81"/>
      <c r="C497" s="80"/>
      <c r="D497" s="81"/>
      <c r="E497" s="83"/>
    </row>
    <row r="498" ht="22.5" customHeight="1">
      <c r="A498" s="80"/>
      <c r="B498" s="81"/>
      <c r="C498" s="80"/>
      <c r="D498" s="81"/>
      <c r="E498" s="83"/>
    </row>
    <row r="499" ht="22.5" customHeight="1">
      <c r="A499" s="80"/>
      <c r="B499" s="81"/>
      <c r="C499" s="80"/>
      <c r="D499" s="81"/>
      <c r="E499" s="83"/>
    </row>
    <row r="500" ht="22.5" customHeight="1">
      <c r="A500" s="80"/>
      <c r="B500" s="81"/>
      <c r="C500" s="80"/>
      <c r="D500" s="81"/>
      <c r="E500" s="83"/>
    </row>
    <row r="501" ht="22.5" customHeight="1">
      <c r="A501" s="80"/>
      <c r="B501" s="81"/>
      <c r="C501" s="80"/>
      <c r="D501" s="81"/>
      <c r="E501" s="83"/>
    </row>
    <row r="502" ht="22.5" customHeight="1">
      <c r="A502" s="80"/>
      <c r="B502" s="81"/>
      <c r="C502" s="80"/>
      <c r="D502" s="81"/>
      <c r="E502" s="83"/>
    </row>
    <row r="503" ht="22.5" customHeight="1">
      <c r="A503" s="80"/>
      <c r="B503" s="81"/>
      <c r="C503" s="80"/>
      <c r="D503" s="81"/>
      <c r="E503" s="83"/>
    </row>
    <row r="504" ht="22.5" customHeight="1">
      <c r="A504" s="80"/>
      <c r="B504" s="81"/>
      <c r="C504" s="80"/>
      <c r="D504" s="81"/>
      <c r="E504" s="83"/>
    </row>
    <row r="505" ht="22.5" customHeight="1">
      <c r="A505" s="80"/>
      <c r="B505" s="81"/>
      <c r="C505" s="80"/>
      <c r="D505" s="81"/>
      <c r="E505" s="83"/>
    </row>
    <row r="506" ht="22.5" customHeight="1">
      <c r="A506" s="80"/>
      <c r="B506" s="81"/>
      <c r="C506" s="80"/>
      <c r="D506" s="81"/>
      <c r="E506" s="83"/>
    </row>
    <row r="507" ht="22.5" customHeight="1">
      <c r="A507" s="80"/>
      <c r="B507" s="81"/>
      <c r="C507" s="80"/>
      <c r="D507" s="81"/>
      <c r="E507" s="83"/>
    </row>
    <row r="508" ht="22.5" customHeight="1">
      <c r="A508" s="80"/>
      <c r="B508" s="81"/>
      <c r="C508" s="80"/>
      <c r="D508" s="81"/>
      <c r="E508" s="83"/>
    </row>
    <row r="509" ht="22.5" customHeight="1">
      <c r="A509" s="80"/>
      <c r="B509" s="81"/>
      <c r="C509" s="80"/>
      <c r="D509" s="81"/>
      <c r="E509" s="83"/>
    </row>
    <row r="510" ht="22.5" customHeight="1">
      <c r="A510" s="80"/>
      <c r="B510" s="81"/>
      <c r="C510" s="80"/>
      <c r="D510" s="81"/>
      <c r="E510" s="83"/>
    </row>
    <row r="511" ht="22.5" customHeight="1">
      <c r="A511" s="80"/>
      <c r="B511" s="81"/>
      <c r="C511" s="80"/>
      <c r="D511" s="81"/>
      <c r="E511" s="83"/>
    </row>
    <row r="512" ht="22.5" customHeight="1">
      <c r="A512" s="80"/>
      <c r="B512" s="81"/>
      <c r="C512" s="80"/>
      <c r="D512" s="81"/>
      <c r="E512" s="83"/>
    </row>
    <row r="513" ht="22.5" customHeight="1">
      <c r="A513" s="80"/>
      <c r="B513" s="81"/>
      <c r="C513" s="80"/>
      <c r="D513" s="81"/>
      <c r="E513" s="83"/>
    </row>
    <row r="514" ht="22.5" customHeight="1">
      <c r="A514" s="80"/>
      <c r="B514" s="81"/>
      <c r="C514" s="80"/>
      <c r="D514" s="81"/>
      <c r="E514" s="83"/>
    </row>
    <row r="515" ht="22.5" customHeight="1">
      <c r="A515" s="80"/>
      <c r="B515" s="81"/>
      <c r="C515" s="80"/>
      <c r="D515" s="81"/>
      <c r="E515" s="83"/>
    </row>
    <row r="516" ht="22.5" customHeight="1">
      <c r="A516" s="80"/>
      <c r="B516" s="81"/>
      <c r="C516" s="80"/>
      <c r="D516" s="81"/>
      <c r="E516" s="83"/>
    </row>
    <row r="517" ht="22.5" customHeight="1">
      <c r="A517" s="80"/>
      <c r="B517" s="81"/>
      <c r="C517" s="80"/>
      <c r="D517" s="81"/>
      <c r="E517" s="83"/>
    </row>
    <row r="518" ht="22.5" customHeight="1">
      <c r="A518" s="80"/>
      <c r="B518" s="81"/>
      <c r="C518" s="80"/>
      <c r="D518" s="81"/>
      <c r="E518" s="83"/>
    </row>
    <row r="519" ht="22.5" customHeight="1">
      <c r="A519" s="80"/>
      <c r="B519" s="81"/>
      <c r="C519" s="80"/>
      <c r="D519" s="81"/>
      <c r="E519" s="83"/>
    </row>
    <row r="520" ht="22.5" customHeight="1">
      <c r="A520" s="80"/>
      <c r="B520" s="81"/>
      <c r="C520" s="80"/>
      <c r="D520" s="81"/>
      <c r="E520" s="83"/>
    </row>
    <row r="521" ht="22.5" customHeight="1">
      <c r="A521" s="80"/>
      <c r="B521" s="81"/>
      <c r="C521" s="80"/>
      <c r="D521" s="81"/>
      <c r="E521" s="83"/>
    </row>
    <row r="522" ht="22.5" customHeight="1">
      <c r="A522" s="80"/>
      <c r="B522" s="81"/>
      <c r="C522" s="80"/>
      <c r="D522" s="81"/>
      <c r="E522" s="83"/>
    </row>
    <row r="523" ht="22.5" customHeight="1">
      <c r="A523" s="80"/>
      <c r="B523" s="81"/>
      <c r="C523" s="80"/>
      <c r="D523" s="81"/>
      <c r="E523" s="83"/>
    </row>
    <row r="524" ht="22.5" customHeight="1">
      <c r="A524" s="80"/>
      <c r="B524" s="81"/>
      <c r="C524" s="80"/>
      <c r="D524" s="81"/>
      <c r="E524" s="83"/>
    </row>
    <row r="525" ht="22.5" customHeight="1">
      <c r="A525" s="80"/>
      <c r="B525" s="81"/>
      <c r="C525" s="80"/>
      <c r="D525" s="81"/>
      <c r="E525" s="83"/>
    </row>
    <row r="526" ht="22.5" customHeight="1">
      <c r="A526" s="80"/>
      <c r="B526" s="81"/>
      <c r="C526" s="80"/>
      <c r="D526" s="81"/>
      <c r="E526" s="83"/>
    </row>
    <row r="527" ht="22.5" customHeight="1">
      <c r="A527" s="80"/>
      <c r="B527" s="81"/>
      <c r="C527" s="80"/>
      <c r="D527" s="81"/>
      <c r="E527" s="83"/>
    </row>
    <row r="528" ht="22.5" customHeight="1">
      <c r="A528" s="80"/>
      <c r="B528" s="81"/>
      <c r="C528" s="80"/>
      <c r="D528" s="81"/>
      <c r="E528" s="83"/>
    </row>
    <row r="529" ht="22.5" customHeight="1">
      <c r="A529" s="80"/>
      <c r="B529" s="81"/>
      <c r="C529" s="80"/>
      <c r="D529" s="81"/>
      <c r="E529" s="83"/>
    </row>
    <row r="530" ht="22.5" customHeight="1">
      <c r="A530" s="80"/>
      <c r="B530" s="81"/>
      <c r="C530" s="80"/>
      <c r="D530" s="81"/>
      <c r="E530" s="83"/>
    </row>
    <row r="531" ht="22.5" customHeight="1">
      <c r="A531" s="80"/>
      <c r="B531" s="81"/>
      <c r="C531" s="80"/>
      <c r="D531" s="81"/>
      <c r="E531" s="83"/>
    </row>
    <row r="532" ht="22.5" customHeight="1">
      <c r="A532" s="80"/>
      <c r="B532" s="81"/>
      <c r="C532" s="80"/>
      <c r="D532" s="81"/>
      <c r="E532" s="83"/>
    </row>
    <row r="533" ht="22.5" customHeight="1">
      <c r="A533" s="80"/>
      <c r="B533" s="81"/>
      <c r="C533" s="80"/>
      <c r="D533" s="81"/>
      <c r="E533" s="83"/>
    </row>
    <row r="534" ht="22.5" customHeight="1">
      <c r="A534" s="80"/>
      <c r="B534" s="81"/>
      <c r="C534" s="80"/>
      <c r="D534" s="81"/>
      <c r="E534" s="83"/>
    </row>
    <row r="535" ht="22.5" customHeight="1">
      <c r="A535" s="80"/>
      <c r="B535" s="81"/>
      <c r="C535" s="80"/>
      <c r="D535" s="81"/>
      <c r="E535" s="83"/>
    </row>
    <row r="536" ht="22.5" customHeight="1">
      <c r="A536" s="80"/>
      <c r="B536" s="81"/>
      <c r="C536" s="80"/>
      <c r="D536" s="81"/>
      <c r="E536" s="83"/>
    </row>
    <row r="537" ht="22.5" customHeight="1">
      <c r="A537" s="80"/>
      <c r="B537" s="81"/>
      <c r="C537" s="80"/>
      <c r="D537" s="81"/>
      <c r="E537" s="83"/>
    </row>
    <row r="538" ht="22.5" customHeight="1">
      <c r="A538" s="80"/>
      <c r="B538" s="81"/>
      <c r="C538" s="80"/>
      <c r="D538" s="81"/>
      <c r="E538" s="83"/>
    </row>
    <row r="539" ht="22.5" customHeight="1">
      <c r="A539" s="80"/>
      <c r="B539" s="81"/>
      <c r="C539" s="80"/>
      <c r="D539" s="81"/>
      <c r="E539" s="83"/>
    </row>
    <row r="540" ht="22.5" customHeight="1">
      <c r="A540" s="80"/>
      <c r="B540" s="81"/>
      <c r="C540" s="80"/>
      <c r="D540" s="81"/>
      <c r="E540" s="83"/>
    </row>
    <row r="541" ht="22.5" customHeight="1">
      <c r="A541" s="80"/>
      <c r="B541" s="81"/>
      <c r="C541" s="80"/>
      <c r="D541" s="81"/>
      <c r="E541" s="83"/>
    </row>
    <row r="542" ht="22.5" customHeight="1">
      <c r="A542" s="80"/>
      <c r="B542" s="81"/>
      <c r="C542" s="80"/>
      <c r="D542" s="81"/>
      <c r="E542" s="83"/>
    </row>
    <row r="543" ht="22.5" customHeight="1">
      <c r="A543" s="80"/>
      <c r="B543" s="81"/>
      <c r="C543" s="80"/>
      <c r="D543" s="81"/>
      <c r="E543" s="83"/>
    </row>
    <row r="544" ht="22.5" customHeight="1">
      <c r="A544" s="80"/>
      <c r="B544" s="81"/>
      <c r="C544" s="80"/>
      <c r="D544" s="81"/>
      <c r="E544" s="83"/>
    </row>
    <row r="545" ht="22.5" customHeight="1">
      <c r="A545" s="80"/>
      <c r="B545" s="81"/>
      <c r="C545" s="80"/>
      <c r="D545" s="81"/>
      <c r="E545" s="83"/>
    </row>
    <row r="546" ht="22.5" customHeight="1">
      <c r="A546" s="80"/>
      <c r="B546" s="81"/>
      <c r="C546" s="80"/>
      <c r="D546" s="81"/>
      <c r="E546" s="83"/>
    </row>
    <row r="547" ht="22.5" customHeight="1">
      <c r="A547" s="80"/>
      <c r="B547" s="81"/>
      <c r="C547" s="80"/>
      <c r="D547" s="81"/>
      <c r="E547" s="83"/>
    </row>
    <row r="548" ht="22.5" customHeight="1">
      <c r="A548" s="80"/>
      <c r="B548" s="81"/>
      <c r="C548" s="80"/>
      <c r="D548" s="81"/>
      <c r="E548" s="83"/>
    </row>
    <row r="549" ht="22.5" customHeight="1">
      <c r="A549" s="80"/>
      <c r="B549" s="81"/>
      <c r="C549" s="80"/>
      <c r="D549" s="81"/>
      <c r="E549" s="83"/>
    </row>
    <row r="550" ht="22.5" customHeight="1">
      <c r="A550" s="80"/>
      <c r="B550" s="81"/>
      <c r="C550" s="80"/>
      <c r="D550" s="81"/>
      <c r="E550" s="83"/>
    </row>
    <row r="551" ht="22.5" customHeight="1">
      <c r="A551" s="80"/>
      <c r="B551" s="81"/>
      <c r="C551" s="80"/>
      <c r="D551" s="81"/>
      <c r="E551" s="83"/>
    </row>
    <row r="552" ht="22.5" customHeight="1">
      <c r="A552" s="80"/>
      <c r="B552" s="81"/>
      <c r="C552" s="80"/>
      <c r="D552" s="81"/>
      <c r="E552" s="83"/>
    </row>
    <row r="553" ht="22.5" customHeight="1">
      <c r="A553" s="80"/>
      <c r="B553" s="81"/>
      <c r="C553" s="80"/>
      <c r="D553" s="81"/>
      <c r="E553" s="83"/>
    </row>
    <row r="554" ht="22.5" customHeight="1">
      <c r="A554" s="80"/>
      <c r="B554" s="81"/>
      <c r="C554" s="80"/>
      <c r="D554" s="81"/>
      <c r="E554" s="83"/>
    </row>
    <row r="555" ht="22.5" customHeight="1">
      <c r="A555" s="80"/>
      <c r="B555" s="81"/>
      <c r="C555" s="80"/>
      <c r="D555" s="81"/>
      <c r="E555" s="83"/>
    </row>
    <row r="556" ht="22.5" customHeight="1">
      <c r="A556" s="80"/>
      <c r="B556" s="81"/>
      <c r="C556" s="80"/>
      <c r="D556" s="81"/>
      <c r="E556" s="83"/>
    </row>
    <row r="557" ht="22.5" customHeight="1">
      <c r="A557" s="80"/>
      <c r="B557" s="81"/>
      <c r="C557" s="80"/>
      <c r="D557" s="81"/>
      <c r="E557" s="83"/>
    </row>
    <row r="558" ht="22.5" customHeight="1">
      <c r="A558" s="80"/>
      <c r="B558" s="81"/>
      <c r="C558" s="80"/>
      <c r="D558" s="81"/>
      <c r="E558" s="83"/>
    </row>
    <row r="559" ht="22.5" customHeight="1">
      <c r="A559" s="80"/>
      <c r="B559" s="81"/>
      <c r="C559" s="80"/>
      <c r="D559" s="81"/>
      <c r="E559" s="83"/>
    </row>
    <row r="560" ht="22.5" customHeight="1">
      <c r="A560" s="80"/>
      <c r="B560" s="81"/>
      <c r="C560" s="80"/>
      <c r="D560" s="81"/>
      <c r="E560" s="83"/>
    </row>
    <row r="561" ht="22.5" customHeight="1">
      <c r="A561" s="80"/>
      <c r="B561" s="81"/>
      <c r="C561" s="80"/>
      <c r="D561" s="81"/>
      <c r="E561" s="83"/>
    </row>
    <row r="562" ht="22.5" customHeight="1">
      <c r="A562" s="80"/>
      <c r="B562" s="81"/>
      <c r="C562" s="80"/>
      <c r="D562" s="81"/>
      <c r="E562" s="83"/>
    </row>
    <row r="563" ht="22.5" customHeight="1">
      <c r="A563" s="80"/>
      <c r="B563" s="81"/>
      <c r="C563" s="80"/>
      <c r="D563" s="81"/>
      <c r="E563" s="83"/>
    </row>
    <row r="564" ht="22.5" customHeight="1">
      <c r="A564" s="80"/>
      <c r="B564" s="81"/>
      <c r="C564" s="80"/>
      <c r="D564" s="81"/>
      <c r="E564" s="83"/>
    </row>
    <row r="565" ht="22.5" customHeight="1">
      <c r="A565" s="80"/>
      <c r="B565" s="81"/>
      <c r="C565" s="80"/>
      <c r="D565" s="81"/>
      <c r="E565" s="83"/>
    </row>
    <row r="566" ht="22.5" customHeight="1">
      <c r="A566" s="80"/>
      <c r="B566" s="81"/>
      <c r="C566" s="80"/>
      <c r="D566" s="81"/>
      <c r="E566" s="83"/>
    </row>
    <row r="567" ht="22.5" customHeight="1">
      <c r="A567" s="80"/>
      <c r="B567" s="81"/>
      <c r="C567" s="80"/>
      <c r="D567" s="81"/>
      <c r="E567" s="83"/>
    </row>
    <row r="568" ht="22.5" customHeight="1">
      <c r="A568" s="80"/>
      <c r="B568" s="81"/>
      <c r="C568" s="80"/>
      <c r="D568" s="81"/>
      <c r="E568" s="83"/>
    </row>
    <row r="569" ht="22.5" customHeight="1">
      <c r="A569" s="80"/>
      <c r="B569" s="81"/>
      <c r="C569" s="80"/>
      <c r="D569" s="81"/>
      <c r="E569" s="83"/>
    </row>
    <row r="570" ht="22.5" customHeight="1">
      <c r="A570" s="80"/>
      <c r="B570" s="81"/>
      <c r="C570" s="80"/>
      <c r="D570" s="81"/>
      <c r="E570" s="83"/>
    </row>
    <row r="571" ht="22.5" customHeight="1">
      <c r="A571" s="80"/>
      <c r="B571" s="81"/>
      <c r="C571" s="80"/>
      <c r="D571" s="81"/>
      <c r="E571" s="83"/>
    </row>
    <row r="572" ht="22.5" customHeight="1">
      <c r="A572" s="80"/>
      <c r="B572" s="81"/>
      <c r="C572" s="80"/>
      <c r="D572" s="81"/>
      <c r="E572" s="83"/>
    </row>
    <row r="573" ht="22.5" customHeight="1">
      <c r="A573" s="80"/>
      <c r="B573" s="81"/>
      <c r="C573" s="80"/>
      <c r="D573" s="81"/>
      <c r="E573" s="83"/>
    </row>
    <row r="574" ht="22.5" customHeight="1">
      <c r="A574" s="80"/>
      <c r="B574" s="81"/>
      <c r="C574" s="80"/>
      <c r="D574" s="81"/>
      <c r="E574" s="83"/>
    </row>
    <row r="575" ht="22.5" customHeight="1">
      <c r="A575" s="80"/>
      <c r="B575" s="81"/>
      <c r="C575" s="80"/>
      <c r="D575" s="81"/>
      <c r="E575" s="83"/>
    </row>
    <row r="576" ht="22.5" customHeight="1">
      <c r="A576" s="80"/>
      <c r="B576" s="81"/>
      <c r="C576" s="80"/>
      <c r="D576" s="81"/>
      <c r="E576" s="83"/>
    </row>
    <row r="577" ht="22.5" customHeight="1">
      <c r="A577" s="80"/>
      <c r="B577" s="81"/>
      <c r="C577" s="80"/>
      <c r="D577" s="81"/>
      <c r="E577" s="83"/>
    </row>
    <row r="578" ht="22.5" customHeight="1">
      <c r="A578" s="80"/>
      <c r="B578" s="81"/>
      <c r="C578" s="80"/>
      <c r="D578" s="81"/>
      <c r="E578" s="83"/>
    </row>
    <row r="579" ht="22.5" customHeight="1">
      <c r="A579" s="80"/>
      <c r="B579" s="81"/>
      <c r="C579" s="80"/>
      <c r="D579" s="81"/>
      <c r="E579" s="83"/>
    </row>
    <row r="580" ht="22.5" customHeight="1">
      <c r="A580" s="80"/>
      <c r="B580" s="81"/>
      <c r="C580" s="80"/>
      <c r="D580" s="81"/>
      <c r="E580" s="83"/>
    </row>
    <row r="581" ht="22.5" customHeight="1">
      <c r="A581" s="80"/>
      <c r="B581" s="81"/>
      <c r="C581" s="80"/>
      <c r="D581" s="81"/>
      <c r="E581" s="83"/>
    </row>
    <row r="582" ht="22.5" customHeight="1">
      <c r="A582" s="80"/>
      <c r="B582" s="81"/>
      <c r="C582" s="80"/>
      <c r="D582" s="81"/>
      <c r="E582" s="83"/>
    </row>
    <row r="583" ht="22.5" customHeight="1">
      <c r="A583" s="80"/>
      <c r="B583" s="81"/>
      <c r="C583" s="80"/>
      <c r="D583" s="81"/>
      <c r="E583" s="83"/>
    </row>
    <row r="584" ht="22.5" customHeight="1">
      <c r="A584" s="80"/>
      <c r="B584" s="81"/>
      <c r="C584" s="80"/>
      <c r="D584" s="81"/>
      <c r="E584" s="83"/>
    </row>
    <row r="585" ht="22.5" customHeight="1">
      <c r="A585" s="80"/>
      <c r="B585" s="81"/>
      <c r="C585" s="80"/>
      <c r="D585" s="81"/>
      <c r="E585" s="83"/>
    </row>
    <row r="586" ht="22.5" customHeight="1">
      <c r="A586" s="80"/>
      <c r="B586" s="81"/>
      <c r="C586" s="80"/>
      <c r="D586" s="81"/>
      <c r="E586" s="83"/>
    </row>
    <row r="587" ht="22.5" customHeight="1">
      <c r="A587" s="80"/>
      <c r="B587" s="81"/>
      <c r="C587" s="80"/>
      <c r="D587" s="81"/>
      <c r="E587" s="83"/>
    </row>
    <row r="588" ht="22.5" customHeight="1">
      <c r="A588" s="80"/>
      <c r="B588" s="81"/>
      <c r="C588" s="80"/>
      <c r="D588" s="81"/>
      <c r="E588" s="83"/>
    </row>
    <row r="589" ht="22.5" customHeight="1">
      <c r="A589" s="80"/>
      <c r="B589" s="81"/>
      <c r="C589" s="80"/>
      <c r="D589" s="81"/>
      <c r="E589" s="83"/>
    </row>
    <row r="590" ht="22.5" customHeight="1">
      <c r="A590" s="80"/>
      <c r="B590" s="81"/>
      <c r="C590" s="80"/>
      <c r="D590" s="81"/>
      <c r="E590" s="83"/>
    </row>
    <row r="591" ht="22.5" customHeight="1">
      <c r="A591" s="80"/>
      <c r="B591" s="81"/>
      <c r="C591" s="80"/>
      <c r="D591" s="81"/>
      <c r="E591" s="83"/>
    </row>
    <row r="592" ht="22.5" customHeight="1">
      <c r="A592" s="80"/>
      <c r="B592" s="81"/>
      <c r="C592" s="80"/>
      <c r="D592" s="81"/>
      <c r="E592" s="83"/>
    </row>
    <row r="593" ht="22.5" customHeight="1">
      <c r="A593" s="80"/>
      <c r="B593" s="81"/>
      <c r="C593" s="80"/>
      <c r="D593" s="81"/>
      <c r="E593" s="83"/>
    </row>
    <row r="594" ht="22.5" customHeight="1">
      <c r="A594" s="80"/>
      <c r="B594" s="81"/>
      <c r="C594" s="80"/>
      <c r="D594" s="81"/>
      <c r="E594" s="83"/>
    </row>
    <row r="595" ht="22.5" customHeight="1">
      <c r="A595" s="80"/>
      <c r="B595" s="81"/>
      <c r="C595" s="80"/>
      <c r="D595" s="81"/>
      <c r="E595" s="83"/>
    </row>
    <row r="596" ht="22.5" customHeight="1">
      <c r="A596" s="80"/>
      <c r="B596" s="81"/>
      <c r="C596" s="80"/>
      <c r="D596" s="81"/>
      <c r="E596" s="83"/>
    </row>
    <row r="597" ht="22.5" customHeight="1">
      <c r="A597" s="80"/>
      <c r="B597" s="81"/>
      <c r="C597" s="80"/>
      <c r="D597" s="81"/>
      <c r="E597" s="83"/>
    </row>
    <row r="598" ht="22.5" customHeight="1">
      <c r="A598" s="80"/>
      <c r="B598" s="81"/>
      <c r="C598" s="80"/>
      <c r="D598" s="81"/>
      <c r="E598" s="83"/>
    </row>
    <row r="599" ht="22.5" customHeight="1">
      <c r="A599" s="80"/>
      <c r="B599" s="81"/>
      <c r="C599" s="80"/>
      <c r="D599" s="81"/>
      <c r="E599" s="83"/>
    </row>
    <row r="600" ht="22.5" customHeight="1">
      <c r="A600" s="80"/>
      <c r="B600" s="81"/>
      <c r="C600" s="80"/>
      <c r="D600" s="81"/>
      <c r="E600" s="83"/>
    </row>
    <row r="601" ht="22.5" customHeight="1">
      <c r="A601" s="80"/>
      <c r="B601" s="81"/>
      <c r="C601" s="80"/>
      <c r="D601" s="81"/>
      <c r="E601" s="83"/>
    </row>
    <row r="602" ht="22.5" customHeight="1">
      <c r="A602" s="80"/>
      <c r="B602" s="81"/>
      <c r="C602" s="80"/>
      <c r="D602" s="81"/>
      <c r="E602" s="83"/>
    </row>
    <row r="603" ht="22.5" customHeight="1">
      <c r="A603" s="80"/>
      <c r="B603" s="81"/>
      <c r="C603" s="80"/>
      <c r="D603" s="81"/>
      <c r="E603" s="83"/>
    </row>
    <row r="604" ht="22.5" customHeight="1">
      <c r="A604" s="80"/>
      <c r="B604" s="81"/>
      <c r="C604" s="80"/>
      <c r="D604" s="81"/>
      <c r="E604" s="83"/>
    </row>
    <row r="605" ht="22.5" customHeight="1">
      <c r="A605" s="80"/>
      <c r="B605" s="81"/>
      <c r="C605" s="80"/>
      <c r="D605" s="81"/>
      <c r="E605" s="83"/>
    </row>
    <row r="606" ht="22.5" customHeight="1">
      <c r="A606" s="80"/>
      <c r="B606" s="81"/>
      <c r="C606" s="80"/>
      <c r="D606" s="81"/>
      <c r="E606" s="83"/>
    </row>
    <row r="607" ht="22.5" customHeight="1">
      <c r="A607" s="80"/>
      <c r="B607" s="81"/>
      <c r="C607" s="80"/>
      <c r="D607" s="81"/>
      <c r="E607" s="83"/>
    </row>
    <row r="608" ht="22.5" customHeight="1">
      <c r="A608" s="80"/>
      <c r="B608" s="81"/>
      <c r="C608" s="80"/>
      <c r="D608" s="81"/>
      <c r="E608" s="83"/>
    </row>
    <row r="609" ht="22.5" customHeight="1">
      <c r="A609" s="80"/>
      <c r="B609" s="81"/>
      <c r="C609" s="80"/>
      <c r="D609" s="81"/>
      <c r="E609" s="83"/>
    </row>
    <row r="610" ht="22.5" customHeight="1">
      <c r="A610" s="80"/>
      <c r="B610" s="81"/>
      <c r="C610" s="80"/>
      <c r="D610" s="81"/>
      <c r="E610" s="83"/>
    </row>
    <row r="611" ht="22.5" customHeight="1">
      <c r="A611" s="80"/>
      <c r="B611" s="81"/>
      <c r="C611" s="80"/>
      <c r="D611" s="81"/>
      <c r="E611" s="83"/>
    </row>
    <row r="612" ht="22.5" customHeight="1">
      <c r="A612" s="80"/>
      <c r="B612" s="81"/>
      <c r="C612" s="80"/>
      <c r="D612" s="81"/>
      <c r="E612" s="83"/>
    </row>
    <row r="613" ht="22.5" customHeight="1">
      <c r="A613" s="80"/>
      <c r="B613" s="81"/>
      <c r="C613" s="80"/>
      <c r="D613" s="81"/>
      <c r="E613" s="83"/>
    </row>
    <row r="614" ht="22.5" customHeight="1">
      <c r="A614" s="80"/>
      <c r="B614" s="81"/>
      <c r="C614" s="80"/>
      <c r="D614" s="81"/>
      <c r="E614" s="83"/>
    </row>
    <row r="615" ht="22.5" customHeight="1">
      <c r="A615" s="80"/>
      <c r="B615" s="81"/>
      <c r="C615" s="80"/>
      <c r="D615" s="81"/>
      <c r="E615" s="83"/>
    </row>
    <row r="616" ht="22.5" customHeight="1">
      <c r="A616" s="80"/>
      <c r="B616" s="81"/>
      <c r="C616" s="80"/>
      <c r="D616" s="81"/>
      <c r="E616" s="83"/>
    </row>
    <row r="617" ht="22.5" customHeight="1">
      <c r="A617" s="80"/>
      <c r="B617" s="81"/>
      <c r="C617" s="80"/>
      <c r="D617" s="81"/>
      <c r="E617" s="83"/>
    </row>
    <row r="618" ht="22.5" customHeight="1">
      <c r="A618" s="80"/>
      <c r="B618" s="81"/>
      <c r="C618" s="80"/>
      <c r="D618" s="81"/>
      <c r="E618" s="83"/>
    </row>
    <row r="619" ht="22.5" customHeight="1">
      <c r="A619" s="80"/>
      <c r="B619" s="81"/>
      <c r="C619" s="80"/>
      <c r="D619" s="81"/>
      <c r="E619" s="83"/>
    </row>
    <row r="620" ht="22.5" customHeight="1">
      <c r="A620" s="80"/>
      <c r="B620" s="81"/>
      <c r="C620" s="80"/>
      <c r="D620" s="81"/>
      <c r="E620" s="83"/>
    </row>
    <row r="621" ht="22.5" customHeight="1">
      <c r="A621" s="80"/>
      <c r="B621" s="81"/>
      <c r="C621" s="80"/>
      <c r="D621" s="81"/>
      <c r="E621" s="83"/>
    </row>
    <row r="622" ht="22.5" customHeight="1">
      <c r="A622" s="80"/>
      <c r="B622" s="81"/>
      <c r="C622" s="80"/>
      <c r="D622" s="81"/>
      <c r="E622" s="83"/>
    </row>
    <row r="623" ht="22.5" customHeight="1">
      <c r="A623" s="80"/>
      <c r="B623" s="81"/>
      <c r="C623" s="80"/>
      <c r="D623" s="81"/>
      <c r="E623" s="83"/>
    </row>
    <row r="624" ht="22.5" customHeight="1">
      <c r="A624" s="80"/>
      <c r="B624" s="81"/>
      <c r="C624" s="80"/>
      <c r="D624" s="81"/>
      <c r="E624" s="83"/>
    </row>
    <row r="625" ht="22.5" customHeight="1">
      <c r="A625" s="80"/>
      <c r="B625" s="81"/>
      <c r="C625" s="80"/>
      <c r="D625" s="81"/>
      <c r="E625" s="83"/>
    </row>
    <row r="626" ht="22.5" customHeight="1">
      <c r="A626" s="80"/>
      <c r="B626" s="81"/>
      <c r="C626" s="80"/>
      <c r="D626" s="81"/>
      <c r="E626" s="83"/>
    </row>
    <row r="627" ht="22.5" customHeight="1">
      <c r="A627" s="80"/>
      <c r="B627" s="81"/>
      <c r="C627" s="80"/>
      <c r="D627" s="81"/>
      <c r="E627" s="83"/>
    </row>
    <row r="628" ht="22.5" customHeight="1">
      <c r="A628" s="80"/>
      <c r="B628" s="81"/>
      <c r="C628" s="80"/>
      <c r="D628" s="81"/>
      <c r="E628" s="83"/>
    </row>
    <row r="629" ht="22.5" customHeight="1">
      <c r="A629" s="80"/>
      <c r="B629" s="81"/>
      <c r="C629" s="80"/>
      <c r="D629" s="81"/>
      <c r="E629" s="83"/>
    </row>
    <row r="630" ht="22.5" customHeight="1">
      <c r="A630" s="80"/>
      <c r="B630" s="81"/>
      <c r="C630" s="80"/>
      <c r="D630" s="81"/>
      <c r="E630" s="83"/>
    </row>
    <row r="631" ht="22.5" customHeight="1">
      <c r="A631" s="80"/>
      <c r="B631" s="81"/>
      <c r="C631" s="80"/>
      <c r="D631" s="81"/>
      <c r="E631" s="83"/>
    </row>
    <row r="632" ht="22.5" customHeight="1">
      <c r="A632" s="80"/>
      <c r="B632" s="81"/>
      <c r="C632" s="80"/>
      <c r="D632" s="81"/>
      <c r="E632" s="83"/>
    </row>
    <row r="633" ht="22.5" customHeight="1">
      <c r="A633" s="80"/>
      <c r="B633" s="81"/>
      <c r="C633" s="80"/>
      <c r="D633" s="81"/>
      <c r="E633" s="83"/>
    </row>
    <row r="634" ht="22.5" customHeight="1">
      <c r="A634" s="80"/>
      <c r="B634" s="81"/>
      <c r="C634" s="80"/>
      <c r="D634" s="81"/>
      <c r="E634" s="83"/>
    </row>
    <row r="635" ht="22.5" customHeight="1">
      <c r="A635" s="80"/>
      <c r="B635" s="81"/>
      <c r="C635" s="80"/>
      <c r="D635" s="81"/>
      <c r="E635" s="83"/>
    </row>
    <row r="636" ht="22.5" customHeight="1">
      <c r="A636" s="80"/>
      <c r="B636" s="81"/>
      <c r="C636" s="80"/>
      <c r="D636" s="81"/>
      <c r="E636" s="83"/>
    </row>
    <row r="637" ht="22.5" customHeight="1">
      <c r="A637" s="80"/>
      <c r="B637" s="81"/>
      <c r="C637" s="80"/>
      <c r="D637" s="81"/>
      <c r="E637" s="83"/>
    </row>
    <row r="638" ht="22.5" customHeight="1">
      <c r="A638" s="80"/>
      <c r="B638" s="81"/>
      <c r="C638" s="80"/>
      <c r="D638" s="81"/>
      <c r="E638" s="83"/>
    </row>
    <row r="639" ht="22.5" customHeight="1">
      <c r="A639" s="80"/>
      <c r="B639" s="81"/>
      <c r="C639" s="80"/>
      <c r="D639" s="81"/>
      <c r="E639" s="83"/>
    </row>
    <row r="640" ht="22.5" customHeight="1">
      <c r="A640" s="80"/>
      <c r="B640" s="81"/>
      <c r="C640" s="80"/>
      <c r="D640" s="81"/>
      <c r="E640" s="83"/>
    </row>
    <row r="641" ht="22.5" customHeight="1">
      <c r="A641" s="80"/>
      <c r="B641" s="81"/>
      <c r="C641" s="80"/>
      <c r="D641" s="81"/>
      <c r="E641" s="83"/>
    </row>
    <row r="642" ht="22.5" customHeight="1">
      <c r="A642" s="80"/>
      <c r="B642" s="81"/>
      <c r="C642" s="80"/>
      <c r="D642" s="81"/>
      <c r="E642" s="83"/>
    </row>
    <row r="643" ht="22.5" customHeight="1">
      <c r="A643" s="80"/>
      <c r="B643" s="81"/>
      <c r="C643" s="80"/>
      <c r="D643" s="81"/>
      <c r="E643" s="83"/>
    </row>
    <row r="644" ht="22.5" customHeight="1">
      <c r="A644" s="80"/>
      <c r="B644" s="81"/>
      <c r="C644" s="80"/>
      <c r="D644" s="81"/>
      <c r="E644" s="83"/>
    </row>
    <row r="645" ht="22.5" customHeight="1">
      <c r="A645" s="80"/>
      <c r="B645" s="81"/>
      <c r="C645" s="80"/>
      <c r="D645" s="81"/>
      <c r="E645" s="83"/>
    </row>
    <row r="646" ht="22.5" customHeight="1">
      <c r="A646" s="80"/>
      <c r="B646" s="81"/>
      <c r="C646" s="80"/>
      <c r="D646" s="81"/>
      <c r="E646" s="83"/>
    </row>
    <row r="647" ht="22.5" customHeight="1">
      <c r="A647" s="80"/>
      <c r="B647" s="81"/>
      <c r="C647" s="80"/>
      <c r="D647" s="81"/>
      <c r="E647" s="83"/>
    </row>
    <row r="648" ht="22.5" customHeight="1">
      <c r="A648" s="80"/>
      <c r="B648" s="81"/>
      <c r="C648" s="80"/>
      <c r="D648" s="81"/>
      <c r="E648" s="83"/>
    </row>
    <row r="649" ht="22.5" customHeight="1">
      <c r="A649" s="80"/>
      <c r="B649" s="81"/>
      <c r="C649" s="80"/>
      <c r="D649" s="81"/>
      <c r="E649" s="83"/>
    </row>
    <row r="650" ht="22.5" customHeight="1">
      <c r="A650" s="80"/>
      <c r="B650" s="81"/>
      <c r="C650" s="80"/>
      <c r="D650" s="81"/>
      <c r="E650" s="83"/>
    </row>
    <row r="651" ht="22.5" customHeight="1">
      <c r="A651" s="80"/>
      <c r="B651" s="81"/>
      <c r="C651" s="80"/>
      <c r="D651" s="81"/>
      <c r="E651" s="83"/>
    </row>
    <row r="652" ht="22.5" customHeight="1">
      <c r="A652" s="80"/>
      <c r="B652" s="81"/>
      <c r="C652" s="80"/>
      <c r="D652" s="81"/>
      <c r="E652" s="83"/>
    </row>
    <row r="653" ht="22.5" customHeight="1">
      <c r="A653" s="80"/>
      <c r="B653" s="81"/>
      <c r="C653" s="80"/>
      <c r="D653" s="81"/>
      <c r="E653" s="83"/>
    </row>
    <row r="654" ht="22.5" customHeight="1">
      <c r="A654" s="80"/>
      <c r="B654" s="81"/>
      <c r="C654" s="80"/>
      <c r="D654" s="81"/>
      <c r="E654" s="83"/>
    </row>
    <row r="655" ht="22.5" customHeight="1">
      <c r="A655" s="80"/>
      <c r="B655" s="81"/>
      <c r="C655" s="80"/>
      <c r="D655" s="81"/>
      <c r="E655" s="83"/>
    </row>
    <row r="656" ht="22.5" customHeight="1">
      <c r="A656" s="80"/>
      <c r="B656" s="81"/>
      <c r="C656" s="80"/>
      <c r="D656" s="81"/>
      <c r="E656" s="83"/>
    </row>
    <row r="657" ht="22.5" customHeight="1">
      <c r="A657" s="80"/>
      <c r="B657" s="81"/>
      <c r="C657" s="80"/>
      <c r="D657" s="81"/>
      <c r="E657" s="83"/>
    </row>
    <row r="658" ht="22.5" customHeight="1">
      <c r="A658" s="80"/>
      <c r="B658" s="81"/>
      <c r="C658" s="80"/>
      <c r="D658" s="81"/>
      <c r="E658" s="83"/>
    </row>
    <row r="659" ht="22.5" customHeight="1">
      <c r="A659" s="80"/>
      <c r="B659" s="81"/>
      <c r="C659" s="80"/>
      <c r="D659" s="81"/>
      <c r="E659" s="83"/>
    </row>
    <row r="660" ht="22.5" customHeight="1">
      <c r="A660" s="80"/>
      <c r="B660" s="81"/>
      <c r="C660" s="80"/>
      <c r="D660" s="81"/>
      <c r="E660" s="83"/>
    </row>
    <row r="661" ht="22.5" customHeight="1">
      <c r="A661" s="80"/>
      <c r="B661" s="81"/>
      <c r="C661" s="80"/>
      <c r="D661" s="81"/>
      <c r="E661" s="83"/>
    </row>
    <row r="662" ht="22.5" customHeight="1">
      <c r="A662" s="80"/>
      <c r="B662" s="81"/>
      <c r="C662" s="80"/>
      <c r="D662" s="81"/>
      <c r="E662" s="83"/>
    </row>
    <row r="663" ht="22.5" customHeight="1">
      <c r="A663" s="80"/>
      <c r="B663" s="81"/>
      <c r="C663" s="80"/>
      <c r="D663" s="81"/>
      <c r="E663" s="83"/>
    </row>
    <row r="664" ht="22.5" customHeight="1">
      <c r="A664" s="80"/>
      <c r="B664" s="81"/>
      <c r="C664" s="80"/>
      <c r="D664" s="81"/>
      <c r="E664" s="83"/>
    </row>
    <row r="665" ht="22.5" customHeight="1">
      <c r="A665" s="80"/>
      <c r="B665" s="81"/>
      <c r="C665" s="80"/>
      <c r="D665" s="81"/>
      <c r="E665" s="83"/>
    </row>
    <row r="666" ht="22.5" customHeight="1">
      <c r="A666" s="80"/>
      <c r="B666" s="81"/>
      <c r="C666" s="80"/>
      <c r="D666" s="81"/>
      <c r="E666" s="83"/>
    </row>
    <row r="667" ht="22.5" customHeight="1">
      <c r="A667" s="80"/>
      <c r="B667" s="81"/>
      <c r="C667" s="80"/>
      <c r="D667" s="81"/>
      <c r="E667" s="83"/>
    </row>
    <row r="668" ht="22.5" customHeight="1">
      <c r="A668" s="80"/>
      <c r="B668" s="81"/>
      <c r="C668" s="80"/>
      <c r="D668" s="81"/>
      <c r="E668" s="83"/>
    </row>
    <row r="669" ht="22.5" customHeight="1">
      <c r="A669" s="80"/>
      <c r="B669" s="81"/>
      <c r="C669" s="80"/>
      <c r="D669" s="81"/>
      <c r="E669" s="83"/>
    </row>
    <row r="670" ht="22.5" customHeight="1">
      <c r="A670" s="80"/>
      <c r="B670" s="81"/>
      <c r="C670" s="80"/>
      <c r="D670" s="81"/>
      <c r="E670" s="83"/>
    </row>
    <row r="671" ht="22.5" customHeight="1">
      <c r="A671" s="80"/>
      <c r="B671" s="81"/>
      <c r="C671" s="80"/>
      <c r="D671" s="81"/>
      <c r="E671" s="83"/>
    </row>
    <row r="672" ht="22.5" customHeight="1">
      <c r="A672" s="80"/>
      <c r="B672" s="81"/>
      <c r="C672" s="80"/>
      <c r="D672" s="81"/>
      <c r="E672" s="83"/>
    </row>
    <row r="673" ht="22.5" customHeight="1">
      <c r="A673" s="80"/>
      <c r="B673" s="81"/>
      <c r="C673" s="80"/>
      <c r="D673" s="81"/>
      <c r="E673" s="83"/>
    </row>
    <row r="674" ht="22.5" customHeight="1">
      <c r="A674" s="80"/>
      <c r="B674" s="81"/>
      <c r="C674" s="80"/>
      <c r="D674" s="81"/>
      <c r="E674" s="83"/>
    </row>
    <row r="675" ht="22.5" customHeight="1">
      <c r="A675" s="80"/>
      <c r="B675" s="81"/>
      <c r="C675" s="80"/>
      <c r="D675" s="81"/>
      <c r="E675" s="83"/>
    </row>
    <row r="676" ht="22.5" customHeight="1">
      <c r="A676" s="80"/>
      <c r="B676" s="81"/>
      <c r="C676" s="80"/>
      <c r="D676" s="81"/>
      <c r="E676" s="83"/>
    </row>
    <row r="677" ht="22.5" customHeight="1">
      <c r="A677" s="80"/>
      <c r="B677" s="81"/>
      <c r="C677" s="80"/>
      <c r="D677" s="81"/>
      <c r="E677" s="83"/>
    </row>
    <row r="678" ht="22.5" customHeight="1">
      <c r="A678" s="80"/>
      <c r="B678" s="81"/>
      <c r="C678" s="80"/>
      <c r="D678" s="81"/>
      <c r="E678" s="83"/>
    </row>
    <row r="679" ht="22.5" customHeight="1">
      <c r="A679" s="80"/>
      <c r="B679" s="81"/>
      <c r="C679" s="80"/>
      <c r="D679" s="81"/>
      <c r="E679" s="83"/>
    </row>
    <row r="680" ht="22.5" customHeight="1">
      <c r="A680" s="80"/>
      <c r="B680" s="81"/>
      <c r="C680" s="80"/>
      <c r="D680" s="81"/>
      <c r="E680" s="83"/>
    </row>
    <row r="681" ht="22.5" customHeight="1">
      <c r="A681" s="80"/>
      <c r="B681" s="81"/>
      <c r="C681" s="80"/>
      <c r="D681" s="81"/>
      <c r="E681" s="83"/>
    </row>
    <row r="682" ht="22.5" customHeight="1">
      <c r="A682" s="80"/>
      <c r="B682" s="81"/>
      <c r="C682" s="80"/>
      <c r="D682" s="81"/>
      <c r="E682" s="83"/>
    </row>
    <row r="683" ht="22.5" customHeight="1">
      <c r="A683" s="80"/>
      <c r="B683" s="81"/>
      <c r="C683" s="80"/>
      <c r="D683" s="81"/>
      <c r="E683" s="83"/>
    </row>
    <row r="684" ht="22.5" customHeight="1">
      <c r="A684" s="80"/>
      <c r="B684" s="81"/>
      <c r="C684" s="80"/>
      <c r="D684" s="81"/>
      <c r="E684" s="83"/>
    </row>
    <row r="685" ht="22.5" customHeight="1">
      <c r="A685" s="80"/>
      <c r="B685" s="81"/>
      <c r="C685" s="80"/>
      <c r="D685" s="81"/>
      <c r="E685" s="83"/>
    </row>
    <row r="686" ht="22.5" customHeight="1">
      <c r="A686" s="80"/>
      <c r="B686" s="81"/>
      <c r="C686" s="80"/>
      <c r="D686" s="81"/>
      <c r="E686" s="83"/>
    </row>
    <row r="687" ht="22.5" customHeight="1">
      <c r="A687" s="80"/>
      <c r="B687" s="81"/>
      <c r="C687" s="80"/>
      <c r="D687" s="81"/>
      <c r="E687" s="83"/>
    </row>
    <row r="688" ht="22.5" customHeight="1">
      <c r="A688" s="80"/>
      <c r="B688" s="81"/>
      <c r="C688" s="80"/>
      <c r="D688" s="81"/>
      <c r="E688" s="83"/>
    </row>
    <row r="689" ht="22.5" customHeight="1">
      <c r="A689" s="80"/>
      <c r="B689" s="81"/>
      <c r="C689" s="80"/>
      <c r="D689" s="81"/>
      <c r="E689" s="83"/>
    </row>
    <row r="690" ht="22.5" customHeight="1">
      <c r="A690" s="80"/>
      <c r="B690" s="81"/>
      <c r="C690" s="80"/>
      <c r="D690" s="81"/>
      <c r="E690" s="83"/>
    </row>
    <row r="691" ht="22.5" customHeight="1">
      <c r="A691" s="80"/>
      <c r="B691" s="81"/>
      <c r="C691" s="80"/>
      <c r="D691" s="81"/>
      <c r="E691" s="83"/>
    </row>
    <row r="692" ht="22.5" customHeight="1">
      <c r="A692" s="80"/>
      <c r="B692" s="81"/>
      <c r="C692" s="80"/>
      <c r="D692" s="81"/>
      <c r="E692" s="83"/>
    </row>
    <row r="693" ht="22.5" customHeight="1">
      <c r="A693" s="80"/>
      <c r="B693" s="81"/>
      <c r="C693" s="80"/>
      <c r="D693" s="81"/>
      <c r="E693" s="83"/>
    </row>
    <row r="694" ht="22.5" customHeight="1">
      <c r="A694" s="80"/>
      <c r="B694" s="81"/>
      <c r="C694" s="80"/>
      <c r="D694" s="81"/>
      <c r="E694" s="83"/>
    </row>
    <row r="695" ht="22.5" customHeight="1">
      <c r="A695" s="80"/>
      <c r="B695" s="81"/>
      <c r="C695" s="80"/>
      <c r="D695" s="81"/>
      <c r="E695" s="83"/>
    </row>
    <row r="696" ht="22.5" customHeight="1">
      <c r="A696" s="80"/>
      <c r="B696" s="81"/>
      <c r="C696" s="80"/>
      <c r="D696" s="81"/>
      <c r="E696" s="83"/>
    </row>
    <row r="697" ht="22.5" customHeight="1">
      <c r="A697" s="80"/>
      <c r="B697" s="81"/>
      <c r="C697" s="80"/>
      <c r="D697" s="81"/>
      <c r="E697" s="83"/>
    </row>
    <row r="698" ht="22.5" customHeight="1">
      <c r="A698" s="80"/>
      <c r="B698" s="81"/>
      <c r="C698" s="80"/>
      <c r="D698" s="81"/>
      <c r="E698" s="83"/>
    </row>
    <row r="699" ht="22.5" customHeight="1">
      <c r="A699" s="80"/>
      <c r="B699" s="81"/>
      <c r="C699" s="80"/>
      <c r="D699" s="81"/>
      <c r="E699" s="83"/>
    </row>
    <row r="700" ht="22.5" customHeight="1">
      <c r="A700" s="80"/>
      <c r="B700" s="81"/>
      <c r="C700" s="80"/>
      <c r="D700" s="81"/>
      <c r="E700" s="83"/>
    </row>
    <row r="701" ht="22.5" customHeight="1">
      <c r="A701" s="80"/>
      <c r="B701" s="81"/>
      <c r="C701" s="80"/>
      <c r="D701" s="81"/>
      <c r="E701" s="83"/>
    </row>
    <row r="702" ht="22.5" customHeight="1">
      <c r="A702" s="80"/>
      <c r="B702" s="81"/>
      <c r="C702" s="80"/>
      <c r="D702" s="81"/>
      <c r="E702" s="83"/>
    </row>
    <row r="703" ht="22.5" customHeight="1">
      <c r="A703" s="80"/>
      <c r="B703" s="81"/>
      <c r="C703" s="80"/>
      <c r="D703" s="81"/>
      <c r="E703" s="83"/>
    </row>
    <row r="704" ht="22.5" customHeight="1">
      <c r="A704" s="80"/>
      <c r="B704" s="81"/>
      <c r="C704" s="80"/>
      <c r="D704" s="81"/>
      <c r="E704" s="83"/>
    </row>
    <row r="705" ht="22.5" customHeight="1">
      <c r="A705" s="80"/>
      <c r="B705" s="81"/>
      <c r="C705" s="80"/>
      <c r="D705" s="81"/>
      <c r="E705" s="83"/>
    </row>
    <row r="706" ht="22.5" customHeight="1">
      <c r="A706" s="80"/>
      <c r="B706" s="81"/>
      <c r="C706" s="80"/>
      <c r="D706" s="81"/>
      <c r="E706" s="83"/>
    </row>
    <row r="707" ht="22.5" customHeight="1">
      <c r="A707" s="80"/>
      <c r="B707" s="81"/>
      <c r="C707" s="80"/>
      <c r="D707" s="81"/>
      <c r="E707" s="83"/>
    </row>
    <row r="708" ht="22.5" customHeight="1">
      <c r="A708" s="80"/>
      <c r="B708" s="81"/>
      <c r="C708" s="80"/>
      <c r="D708" s="81"/>
      <c r="E708" s="83"/>
    </row>
    <row r="709" ht="22.5" customHeight="1">
      <c r="A709" s="80"/>
      <c r="B709" s="81"/>
      <c r="C709" s="80"/>
      <c r="D709" s="81"/>
      <c r="E709" s="83"/>
    </row>
    <row r="710" ht="22.5" customHeight="1">
      <c r="A710" s="80"/>
      <c r="B710" s="81"/>
      <c r="C710" s="80"/>
      <c r="D710" s="81"/>
      <c r="E710" s="83"/>
    </row>
    <row r="711" ht="22.5" customHeight="1">
      <c r="A711" s="80"/>
      <c r="B711" s="81"/>
      <c r="C711" s="80"/>
      <c r="D711" s="81"/>
      <c r="E711" s="83"/>
    </row>
    <row r="712" ht="22.5" customHeight="1">
      <c r="A712" s="80"/>
      <c r="B712" s="81"/>
      <c r="C712" s="80"/>
      <c r="D712" s="81"/>
      <c r="E712" s="83"/>
    </row>
    <row r="713" ht="22.5" customHeight="1">
      <c r="A713" s="80"/>
      <c r="B713" s="81"/>
      <c r="C713" s="80"/>
      <c r="D713" s="81"/>
      <c r="E713" s="83"/>
    </row>
    <row r="714" ht="22.5" customHeight="1">
      <c r="A714" s="80"/>
      <c r="B714" s="81"/>
      <c r="C714" s="80"/>
      <c r="D714" s="81"/>
      <c r="E714" s="83"/>
    </row>
    <row r="715" ht="22.5" customHeight="1">
      <c r="A715" s="80"/>
      <c r="B715" s="81"/>
      <c r="C715" s="80"/>
      <c r="D715" s="81"/>
      <c r="E715" s="83"/>
    </row>
    <row r="716" ht="22.5" customHeight="1">
      <c r="A716" s="80"/>
      <c r="B716" s="81"/>
      <c r="C716" s="80"/>
      <c r="D716" s="81"/>
      <c r="E716" s="83"/>
    </row>
    <row r="717" ht="22.5" customHeight="1">
      <c r="A717" s="80"/>
      <c r="B717" s="81"/>
      <c r="C717" s="80"/>
      <c r="D717" s="81"/>
      <c r="E717" s="83"/>
    </row>
    <row r="718" ht="22.5" customHeight="1">
      <c r="A718" s="80"/>
      <c r="B718" s="81"/>
      <c r="C718" s="80"/>
      <c r="D718" s="81"/>
      <c r="E718" s="83"/>
    </row>
    <row r="719" ht="22.5" customHeight="1">
      <c r="A719" s="80"/>
      <c r="B719" s="81"/>
      <c r="C719" s="80"/>
      <c r="D719" s="81"/>
      <c r="E719" s="83"/>
    </row>
    <row r="720" ht="22.5" customHeight="1">
      <c r="A720" s="80"/>
      <c r="B720" s="81"/>
      <c r="C720" s="80"/>
      <c r="D720" s="81"/>
      <c r="E720" s="83"/>
    </row>
    <row r="721" ht="22.5" customHeight="1">
      <c r="A721" s="80"/>
      <c r="B721" s="81"/>
      <c r="C721" s="80"/>
      <c r="D721" s="81"/>
      <c r="E721" s="83"/>
    </row>
    <row r="722" ht="22.5" customHeight="1">
      <c r="A722" s="80"/>
      <c r="B722" s="81"/>
      <c r="C722" s="80"/>
      <c r="D722" s="81"/>
      <c r="E722" s="83"/>
    </row>
    <row r="723" ht="22.5" customHeight="1">
      <c r="A723" s="80"/>
      <c r="B723" s="81"/>
      <c r="C723" s="80"/>
      <c r="D723" s="81"/>
      <c r="E723" s="83"/>
    </row>
    <row r="724" ht="22.5" customHeight="1">
      <c r="A724" s="80"/>
      <c r="B724" s="81"/>
      <c r="C724" s="80"/>
      <c r="D724" s="81"/>
      <c r="E724" s="83"/>
    </row>
    <row r="725" ht="22.5" customHeight="1">
      <c r="A725" s="80"/>
      <c r="B725" s="81"/>
      <c r="C725" s="80"/>
      <c r="D725" s="81"/>
      <c r="E725" s="83"/>
    </row>
    <row r="726" ht="22.5" customHeight="1">
      <c r="A726" s="80"/>
      <c r="B726" s="81"/>
      <c r="C726" s="80"/>
      <c r="D726" s="81"/>
      <c r="E726" s="83"/>
    </row>
    <row r="727" ht="22.5" customHeight="1">
      <c r="A727" s="80"/>
      <c r="B727" s="81"/>
      <c r="C727" s="80"/>
      <c r="D727" s="81"/>
      <c r="E727" s="83"/>
    </row>
    <row r="728" ht="22.5" customHeight="1">
      <c r="A728" s="80"/>
      <c r="B728" s="81"/>
      <c r="C728" s="80"/>
      <c r="D728" s="81"/>
      <c r="E728" s="83"/>
    </row>
    <row r="729" ht="22.5" customHeight="1">
      <c r="A729" s="80"/>
      <c r="B729" s="81"/>
      <c r="C729" s="80"/>
      <c r="D729" s="81"/>
      <c r="E729" s="83"/>
    </row>
    <row r="730" ht="22.5" customHeight="1">
      <c r="A730" s="80"/>
      <c r="B730" s="81"/>
      <c r="C730" s="80"/>
      <c r="D730" s="81"/>
      <c r="E730" s="83"/>
    </row>
    <row r="731" ht="22.5" customHeight="1">
      <c r="A731" s="80"/>
      <c r="B731" s="81"/>
      <c r="C731" s="80"/>
      <c r="D731" s="81"/>
      <c r="E731" s="83"/>
    </row>
    <row r="732" ht="22.5" customHeight="1">
      <c r="A732" s="80"/>
      <c r="B732" s="81"/>
      <c r="C732" s="80"/>
      <c r="D732" s="81"/>
      <c r="E732" s="83"/>
    </row>
    <row r="733" ht="22.5" customHeight="1">
      <c r="A733" s="80"/>
      <c r="B733" s="81"/>
      <c r="C733" s="80"/>
      <c r="D733" s="81"/>
      <c r="E733" s="83"/>
    </row>
    <row r="734" ht="22.5" customHeight="1">
      <c r="A734" s="80"/>
      <c r="B734" s="81"/>
      <c r="C734" s="80"/>
      <c r="D734" s="81"/>
      <c r="E734" s="83"/>
    </row>
    <row r="735" ht="22.5" customHeight="1">
      <c r="A735" s="80"/>
      <c r="B735" s="81"/>
      <c r="C735" s="80"/>
      <c r="D735" s="81"/>
      <c r="E735" s="83"/>
    </row>
    <row r="736" ht="22.5" customHeight="1">
      <c r="A736" s="80"/>
      <c r="B736" s="81"/>
      <c r="C736" s="80"/>
      <c r="D736" s="81"/>
      <c r="E736" s="83"/>
    </row>
    <row r="737" ht="22.5" customHeight="1">
      <c r="A737" s="80"/>
      <c r="B737" s="81"/>
      <c r="C737" s="80"/>
      <c r="D737" s="81"/>
      <c r="E737" s="83"/>
    </row>
    <row r="738" ht="22.5" customHeight="1">
      <c r="A738" s="80"/>
      <c r="B738" s="81"/>
      <c r="C738" s="80"/>
      <c r="D738" s="81"/>
      <c r="E738" s="83"/>
    </row>
    <row r="739" ht="22.5" customHeight="1">
      <c r="A739" s="80"/>
      <c r="B739" s="81"/>
      <c r="C739" s="80"/>
      <c r="D739" s="81"/>
      <c r="E739" s="83"/>
    </row>
    <row r="740" ht="22.5" customHeight="1">
      <c r="A740" s="80"/>
      <c r="B740" s="81"/>
      <c r="C740" s="80"/>
      <c r="D740" s="81"/>
      <c r="E740" s="83"/>
    </row>
    <row r="741" ht="22.5" customHeight="1">
      <c r="A741" s="80"/>
      <c r="B741" s="81"/>
      <c r="C741" s="80"/>
      <c r="D741" s="81"/>
      <c r="E741" s="83"/>
    </row>
    <row r="742" ht="22.5" customHeight="1">
      <c r="A742" s="80"/>
      <c r="B742" s="81"/>
      <c r="C742" s="80"/>
      <c r="D742" s="81"/>
      <c r="E742" s="83"/>
    </row>
    <row r="743" ht="22.5" customHeight="1">
      <c r="A743" s="80"/>
      <c r="B743" s="81"/>
      <c r="C743" s="80"/>
      <c r="D743" s="81"/>
      <c r="E743" s="83"/>
    </row>
    <row r="744" ht="22.5" customHeight="1">
      <c r="A744" s="80"/>
      <c r="B744" s="81"/>
      <c r="C744" s="80"/>
      <c r="D744" s="81"/>
      <c r="E744" s="83"/>
    </row>
    <row r="745" ht="22.5" customHeight="1">
      <c r="A745" s="80"/>
      <c r="B745" s="81"/>
      <c r="C745" s="80"/>
      <c r="D745" s="81"/>
      <c r="E745" s="83"/>
    </row>
    <row r="746" ht="22.5" customHeight="1">
      <c r="A746" s="80"/>
      <c r="B746" s="81"/>
      <c r="C746" s="80"/>
      <c r="D746" s="81"/>
      <c r="E746" s="83"/>
    </row>
    <row r="747" ht="22.5" customHeight="1">
      <c r="A747" s="80"/>
      <c r="B747" s="81"/>
      <c r="C747" s="80"/>
      <c r="D747" s="81"/>
      <c r="E747" s="83"/>
    </row>
    <row r="748" ht="22.5" customHeight="1">
      <c r="A748" s="80"/>
      <c r="B748" s="81"/>
      <c r="C748" s="80"/>
      <c r="D748" s="81"/>
      <c r="E748" s="83"/>
    </row>
    <row r="749" ht="22.5" customHeight="1">
      <c r="A749" s="80"/>
      <c r="B749" s="81"/>
      <c r="C749" s="80"/>
      <c r="D749" s="81"/>
      <c r="E749" s="83"/>
    </row>
    <row r="750" ht="22.5" customHeight="1">
      <c r="A750" s="80"/>
      <c r="B750" s="81"/>
      <c r="C750" s="80"/>
      <c r="D750" s="81"/>
      <c r="E750" s="83"/>
    </row>
    <row r="751" ht="22.5" customHeight="1">
      <c r="A751" s="80"/>
      <c r="B751" s="81"/>
      <c r="C751" s="80"/>
      <c r="D751" s="81"/>
      <c r="E751" s="83"/>
    </row>
    <row r="752" ht="22.5" customHeight="1">
      <c r="A752" s="80"/>
      <c r="B752" s="81"/>
      <c r="C752" s="80"/>
      <c r="D752" s="81"/>
      <c r="E752" s="83"/>
    </row>
    <row r="753" ht="22.5" customHeight="1">
      <c r="A753" s="80"/>
      <c r="B753" s="81"/>
      <c r="C753" s="80"/>
      <c r="D753" s="81"/>
      <c r="E753" s="83"/>
    </row>
    <row r="754" ht="22.5" customHeight="1">
      <c r="A754" s="80"/>
      <c r="B754" s="81"/>
      <c r="C754" s="80"/>
      <c r="D754" s="81"/>
      <c r="E754" s="83"/>
    </row>
    <row r="755" ht="22.5" customHeight="1">
      <c r="A755" s="80"/>
      <c r="B755" s="81"/>
      <c r="C755" s="80"/>
      <c r="D755" s="81"/>
      <c r="E755" s="83"/>
    </row>
    <row r="756" ht="22.5" customHeight="1">
      <c r="A756" s="80"/>
      <c r="B756" s="81"/>
      <c r="C756" s="80"/>
      <c r="D756" s="81"/>
      <c r="E756" s="83"/>
    </row>
    <row r="757" ht="22.5" customHeight="1">
      <c r="A757" s="80"/>
      <c r="B757" s="81"/>
      <c r="C757" s="80"/>
      <c r="D757" s="81"/>
      <c r="E757" s="83"/>
    </row>
    <row r="758" ht="22.5" customHeight="1">
      <c r="A758" s="80"/>
      <c r="B758" s="81"/>
      <c r="C758" s="80"/>
      <c r="D758" s="81"/>
      <c r="E758" s="83"/>
    </row>
    <row r="759" ht="22.5" customHeight="1">
      <c r="A759" s="80"/>
      <c r="B759" s="81"/>
      <c r="C759" s="80"/>
      <c r="D759" s="81"/>
      <c r="E759" s="83"/>
    </row>
    <row r="760" ht="22.5" customHeight="1">
      <c r="A760" s="80"/>
      <c r="B760" s="81"/>
      <c r="C760" s="80"/>
      <c r="D760" s="81"/>
      <c r="E760" s="83"/>
    </row>
    <row r="761" ht="22.5" customHeight="1">
      <c r="A761" s="80"/>
      <c r="B761" s="81"/>
      <c r="C761" s="80"/>
      <c r="D761" s="81"/>
      <c r="E761" s="83"/>
    </row>
    <row r="762" ht="22.5" customHeight="1">
      <c r="A762" s="80"/>
      <c r="B762" s="81"/>
      <c r="C762" s="80"/>
      <c r="D762" s="81"/>
      <c r="E762" s="83"/>
    </row>
    <row r="763" ht="22.5" customHeight="1">
      <c r="A763" s="80"/>
      <c r="B763" s="81"/>
      <c r="C763" s="80"/>
      <c r="D763" s="81"/>
      <c r="E763" s="83"/>
    </row>
    <row r="764" ht="22.5" customHeight="1">
      <c r="A764" s="80"/>
      <c r="B764" s="81"/>
      <c r="C764" s="80"/>
      <c r="D764" s="81"/>
      <c r="E764" s="83"/>
    </row>
    <row r="765" ht="22.5" customHeight="1">
      <c r="A765" s="80"/>
      <c r="B765" s="81"/>
      <c r="C765" s="80"/>
      <c r="D765" s="81"/>
      <c r="E765" s="83"/>
    </row>
    <row r="766" ht="22.5" customHeight="1">
      <c r="A766" s="80"/>
      <c r="B766" s="81"/>
      <c r="C766" s="80"/>
      <c r="D766" s="81"/>
      <c r="E766" s="83"/>
    </row>
    <row r="767" ht="22.5" customHeight="1">
      <c r="A767" s="80"/>
      <c r="B767" s="81"/>
      <c r="C767" s="80"/>
      <c r="D767" s="81"/>
      <c r="E767" s="83"/>
    </row>
    <row r="768" ht="22.5" customHeight="1">
      <c r="A768" s="80"/>
      <c r="B768" s="81"/>
      <c r="C768" s="80"/>
      <c r="D768" s="81"/>
      <c r="E768" s="83"/>
    </row>
    <row r="769" ht="22.5" customHeight="1">
      <c r="A769" s="80"/>
      <c r="B769" s="81"/>
      <c r="C769" s="80"/>
      <c r="D769" s="81"/>
      <c r="E769" s="83"/>
    </row>
    <row r="770" ht="22.5" customHeight="1">
      <c r="A770" s="80"/>
      <c r="B770" s="81"/>
      <c r="C770" s="80"/>
      <c r="D770" s="81"/>
      <c r="E770" s="83"/>
    </row>
    <row r="771" ht="22.5" customHeight="1">
      <c r="A771" s="80"/>
      <c r="B771" s="81"/>
      <c r="C771" s="80"/>
      <c r="D771" s="81"/>
      <c r="E771" s="83"/>
    </row>
    <row r="772" ht="22.5" customHeight="1">
      <c r="A772" s="80"/>
      <c r="B772" s="81"/>
      <c r="C772" s="80"/>
      <c r="D772" s="81"/>
      <c r="E772" s="83"/>
    </row>
    <row r="773" ht="22.5" customHeight="1">
      <c r="A773" s="80"/>
      <c r="B773" s="81"/>
      <c r="C773" s="80"/>
      <c r="D773" s="81"/>
      <c r="E773" s="83"/>
    </row>
    <row r="774" ht="22.5" customHeight="1">
      <c r="A774" s="80"/>
      <c r="B774" s="81"/>
      <c r="C774" s="80"/>
      <c r="D774" s="81"/>
      <c r="E774" s="83"/>
    </row>
    <row r="775" ht="22.5" customHeight="1">
      <c r="A775" s="80"/>
      <c r="B775" s="81"/>
      <c r="C775" s="80"/>
      <c r="D775" s="81"/>
      <c r="E775" s="83"/>
    </row>
    <row r="776" ht="22.5" customHeight="1">
      <c r="A776" s="80"/>
      <c r="B776" s="81"/>
      <c r="C776" s="80"/>
      <c r="D776" s="81"/>
      <c r="E776" s="83"/>
    </row>
    <row r="777" ht="22.5" customHeight="1">
      <c r="A777" s="80"/>
      <c r="B777" s="81"/>
      <c r="C777" s="80"/>
      <c r="D777" s="81"/>
      <c r="E777" s="83"/>
    </row>
    <row r="778" ht="22.5" customHeight="1">
      <c r="A778" s="80"/>
      <c r="B778" s="81"/>
      <c r="C778" s="80"/>
      <c r="D778" s="81"/>
      <c r="E778" s="83"/>
    </row>
    <row r="779" ht="22.5" customHeight="1">
      <c r="A779" s="80"/>
      <c r="B779" s="81"/>
      <c r="C779" s="80"/>
      <c r="D779" s="81"/>
      <c r="E779" s="83"/>
    </row>
    <row r="780" ht="22.5" customHeight="1">
      <c r="A780" s="80"/>
      <c r="B780" s="81"/>
      <c r="C780" s="80"/>
      <c r="D780" s="81"/>
      <c r="E780" s="83"/>
    </row>
    <row r="781" ht="22.5" customHeight="1">
      <c r="A781" s="80"/>
      <c r="B781" s="81"/>
      <c r="C781" s="80"/>
      <c r="D781" s="81"/>
      <c r="E781" s="83"/>
    </row>
    <row r="782" ht="22.5" customHeight="1">
      <c r="A782" s="80"/>
      <c r="B782" s="81"/>
      <c r="C782" s="80"/>
      <c r="D782" s="81"/>
      <c r="E782" s="83"/>
    </row>
    <row r="783" ht="22.5" customHeight="1">
      <c r="A783" s="80"/>
      <c r="B783" s="81"/>
      <c r="C783" s="80"/>
      <c r="D783" s="81"/>
      <c r="E783" s="83"/>
    </row>
    <row r="784" ht="22.5" customHeight="1">
      <c r="A784" s="80"/>
      <c r="B784" s="81"/>
      <c r="C784" s="80"/>
      <c r="D784" s="81"/>
      <c r="E784" s="83"/>
    </row>
    <row r="785" ht="22.5" customHeight="1">
      <c r="A785" s="80"/>
      <c r="B785" s="81"/>
      <c r="C785" s="80"/>
      <c r="D785" s="81"/>
      <c r="E785" s="83"/>
    </row>
    <row r="786" ht="22.5" customHeight="1">
      <c r="A786" s="80"/>
      <c r="B786" s="81"/>
      <c r="C786" s="80"/>
      <c r="D786" s="81"/>
      <c r="E786" s="83"/>
    </row>
    <row r="787" ht="22.5" customHeight="1">
      <c r="A787" s="80"/>
      <c r="B787" s="81"/>
      <c r="C787" s="80"/>
      <c r="D787" s="81"/>
      <c r="E787" s="83"/>
    </row>
    <row r="788" ht="22.5" customHeight="1">
      <c r="A788" s="80"/>
      <c r="B788" s="81"/>
      <c r="C788" s="80"/>
      <c r="D788" s="81"/>
      <c r="E788" s="83"/>
    </row>
    <row r="789" ht="22.5" customHeight="1">
      <c r="A789" s="80"/>
      <c r="B789" s="81"/>
      <c r="C789" s="80"/>
      <c r="D789" s="81"/>
      <c r="E789" s="83"/>
    </row>
    <row r="790" ht="22.5" customHeight="1">
      <c r="A790" s="80"/>
      <c r="B790" s="81"/>
      <c r="C790" s="80"/>
      <c r="D790" s="81"/>
      <c r="E790" s="83"/>
    </row>
    <row r="791" ht="22.5" customHeight="1">
      <c r="A791" s="80"/>
      <c r="B791" s="81"/>
      <c r="C791" s="80"/>
      <c r="D791" s="81"/>
      <c r="E791" s="83"/>
    </row>
    <row r="792" ht="22.5" customHeight="1">
      <c r="A792" s="80"/>
      <c r="B792" s="81"/>
      <c r="C792" s="80"/>
      <c r="D792" s="81"/>
      <c r="E792" s="83"/>
    </row>
    <row r="793" ht="22.5" customHeight="1">
      <c r="A793" s="80"/>
      <c r="B793" s="81"/>
      <c r="C793" s="80"/>
      <c r="D793" s="81"/>
      <c r="E793" s="83"/>
    </row>
    <row r="794" ht="22.5" customHeight="1">
      <c r="A794" s="80"/>
      <c r="B794" s="81"/>
      <c r="C794" s="80"/>
      <c r="D794" s="81"/>
      <c r="E794" s="83"/>
    </row>
    <row r="795" ht="22.5" customHeight="1">
      <c r="A795" s="80"/>
      <c r="B795" s="81"/>
      <c r="C795" s="80"/>
      <c r="D795" s="81"/>
      <c r="E795" s="83"/>
    </row>
    <row r="796" ht="22.5" customHeight="1">
      <c r="A796" s="80"/>
      <c r="B796" s="81"/>
      <c r="C796" s="80"/>
      <c r="D796" s="81"/>
      <c r="E796" s="83"/>
    </row>
    <row r="797" ht="22.5" customHeight="1">
      <c r="A797" s="80"/>
      <c r="B797" s="81"/>
      <c r="C797" s="80"/>
      <c r="D797" s="81"/>
      <c r="E797" s="83"/>
    </row>
    <row r="798" ht="22.5" customHeight="1">
      <c r="A798" s="80"/>
      <c r="B798" s="81"/>
      <c r="C798" s="80"/>
      <c r="D798" s="81"/>
      <c r="E798" s="83"/>
    </row>
    <row r="799" ht="22.5" customHeight="1">
      <c r="A799" s="80"/>
      <c r="B799" s="81"/>
      <c r="C799" s="80"/>
      <c r="D799" s="81"/>
      <c r="E799" s="83"/>
    </row>
    <row r="800" ht="22.5" customHeight="1">
      <c r="A800" s="80"/>
      <c r="B800" s="81"/>
      <c r="C800" s="80"/>
      <c r="D800" s="81"/>
      <c r="E800" s="83"/>
    </row>
    <row r="801" ht="22.5" customHeight="1">
      <c r="A801" s="80"/>
      <c r="B801" s="81"/>
      <c r="C801" s="80"/>
      <c r="D801" s="81"/>
      <c r="E801" s="83"/>
    </row>
    <row r="802" ht="22.5" customHeight="1">
      <c r="A802" s="80"/>
      <c r="B802" s="81"/>
      <c r="C802" s="80"/>
      <c r="D802" s="81"/>
      <c r="E802" s="83"/>
    </row>
    <row r="803" ht="22.5" customHeight="1">
      <c r="A803" s="80"/>
      <c r="B803" s="81"/>
      <c r="C803" s="80"/>
      <c r="D803" s="81"/>
      <c r="E803" s="83"/>
    </row>
    <row r="804" ht="22.5" customHeight="1">
      <c r="A804" s="80"/>
      <c r="B804" s="81"/>
      <c r="C804" s="80"/>
      <c r="D804" s="81"/>
      <c r="E804" s="83"/>
    </row>
    <row r="805" ht="22.5" customHeight="1">
      <c r="A805" s="80"/>
      <c r="B805" s="81"/>
      <c r="C805" s="80"/>
      <c r="D805" s="81"/>
      <c r="E805" s="83"/>
    </row>
    <row r="806" ht="22.5" customHeight="1">
      <c r="A806" s="80"/>
      <c r="B806" s="81"/>
      <c r="C806" s="80"/>
      <c r="D806" s="81"/>
      <c r="E806" s="83"/>
    </row>
    <row r="807" ht="22.5" customHeight="1">
      <c r="A807" s="80"/>
      <c r="B807" s="81"/>
      <c r="C807" s="80"/>
      <c r="D807" s="81"/>
      <c r="E807" s="83"/>
    </row>
    <row r="808" ht="22.5" customHeight="1">
      <c r="A808" s="80"/>
      <c r="B808" s="81"/>
      <c r="C808" s="80"/>
      <c r="D808" s="81"/>
      <c r="E808" s="83"/>
    </row>
    <row r="809" ht="22.5" customHeight="1">
      <c r="A809" s="80"/>
      <c r="B809" s="81"/>
      <c r="C809" s="80"/>
      <c r="D809" s="81"/>
      <c r="E809" s="83"/>
    </row>
    <row r="810" ht="22.5" customHeight="1">
      <c r="A810" s="80"/>
      <c r="B810" s="81"/>
      <c r="C810" s="80"/>
      <c r="D810" s="81"/>
      <c r="E810" s="83"/>
    </row>
    <row r="811" ht="22.5" customHeight="1">
      <c r="A811" s="80"/>
      <c r="B811" s="81"/>
      <c r="C811" s="80"/>
      <c r="D811" s="81"/>
      <c r="E811" s="83"/>
    </row>
    <row r="812" ht="22.5" customHeight="1">
      <c r="A812" s="80"/>
      <c r="B812" s="81"/>
      <c r="C812" s="80"/>
      <c r="D812" s="81"/>
      <c r="E812" s="83"/>
    </row>
    <row r="813" ht="22.5" customHeight="1">
      <c r="A813" s="80"/>
      <c r="B813" s="81"/>
      <c r="C813" s="80"/>
      <c r="D813" s="81"/>
      <c r="E813" s="83"/>
    </row>
    <row r="814" ht="22.5" customHeight="1">
      <c r="A814" s="80"/>
      <c r="B814" s="81"/>
      <c r="C814" s="80"/>
      <c r="D814" s="81"/>
      <c r="E814" s="83"/>
    </row>
    <row r="815" ht="22.5" customHeight="1">
      <c r="A815" s="80"/>
      <c r="B815" s="81"/>
      <c r="C815" s="80"/>
      <c r="D815" s="81"/>
      <c r="E815" s="83"/>
    </row>
    <row r="816" ht="22.5" customHeight="1">
      <c r="A816" s="80"/>
      <c r="B816" s="81"/>
      <c r="C816" s="80"/>
      <c r="D816" s="81"/>
      <c r="E816" s="83"/>
    </row>
    <row r="817" ht="22.5" customHeight="1">
      <c r="A817" s="80"/>
      <c r="B817" s="81"/>
      <c r="C817" s="80"/>
      <c r="D817" s="81"/>
      <c r="E817" s="83"/>
    </row>
    <row r="818" ht="22.5" customHeight="1">
      <c r="A818" s="80"/>
      <c r="B818" s="81"/>
      <c r="C818" s="80"/>
      <c r="D818" s="81"/>
      <c r="E818" s="83"/>
    </row>
    <row r="819" ht="22.5" customHeight="1">
      <c r="A819" s="80"/>
      <c r="B819" s="81"/>
      <c r="C819" s="80"/>
      <c r="D819" s="81"/>
      <c r="E819" s="83"/>
    </row>
    <row r="820" ht="22.5" customHeight="1">
      <c r="A820" s="80"/>
      <c r="B820" s="81"/>
      <c r="C820" s="80"/>
      <c r="D820" s="81"/>
      <c r="E820" s="83"/>
    </row>
    <row r="821" ht="22.5" customHeight="1">
      <c r="A821" s="80"/>
      <c r="B821" s="81"/>
      <c r="C821" s="80"/>
      <c r="D821" s="81"/>
      <c r="E821" s="83"/>
    </row>
    <row r="822" ht="22.5" customHeight="1">
      <c r="A822" s="80"/>
      <c r="B822" s="81"/>
      <c r="C822" s="80"/>
      <c r="D822" s="81"/>
      <c r="E822" s="83"/>
    </row>
    <row r="823" ht="22.5" customHeight="1">
      <c r="A823" s="80"/>
      <c r="B823" s="81"/>
      <c r="C823" s="80"/>
      <c r="D823" s="81"/>
      <c r="E823" s="83"/>
    </row>
    <row r="824" ht="22.5" customHeight="1">
      <c r="A824" s="80"/>
      <c r="B824" s="81"/>
      <c r="C824" s="80"/>
      <c r="D824" s="81"/>
      <c r="E824" s="83"/>
    </row>
    <row r="825" ht="22.5" customHeight="1">
      <c r="A825" s="80"/>
      <c r="B825" s="81"/>
      <c r="C825" s="80"/>
      <c r="D825" s="81"/>
      <c r="E825" s="83"/>
    </row>
    <row r="826" ht="22.5" customHeight="1">
      <c r="A826" s="80"/>
      <c r="B826" s="81"/>
      <c r="C826" s="80"/>
      <c r="D826" s="81"/>
      <c r="E826" s="83"/>
    </row>
    <row r="827" ht="22.5" customHeight="1">
      <c r="A827" s="80"/>
      <c r="B827" s="81"/>
      <c r="C827" s="80"/>
      <c r="D827" s="81"/>
      <c r="E827" s="83"/>
    </row>
    <row r="828" ht="22.5" customHeight="1">
      <c r="A828" s="80"/>
      <c r="B828" s="81"/>
      <c r="C828" s="80"/>
      <c r="D828" s="81"/>
      <c r="E828" s="83"/>
    </row>
    <row r="829" ht="22.5" customHeight="1">
      <c r="A829" s="80"/>
      <c r="B829" s="81"/>
      <c r="C829" s="80"/>
      <c r="D829" s="81"/>
      <c r="E829" s="83"/>
    </row>
    <row r="830" ht="22.5" customHeight="1">
      <c r="A830" s="80"/>
      <c r="B830" s="81"/>
      <c r="C830" s="80"/>
      <c r="D830" s="81"/>
      <c r="E830" s="83"/>
    </row>
    <row r="831" ht="22.5" customHeight="1">
      <c r="A831" s="80"/>
      <c r="B831" s="81"/>
      <c r="C831" s="80"/>
      <c r="D831" s="81"/>
      <c r="E831" s="83"/>
    </row>
    <row r="832" ht="22.5" customHeight="1">
      <c r="A832" s="80"/>
      <c r="B832" s="81"/>
      <c r="C832" s="80"/>
      <c r="D832" s="81"/>
      <c r="E832" s="83"/>
    </row>
    <row r="833" ht="22.5" customHeight="1">
      <c r="A833" s="80"/>
      <c r="B833" s="81"/>
      <c r="C833" s="80"/>
      <c r="D833" s="81"/>
      <c r="E833" s="83"/>
    </row>
    <row r="834" ht="22.5" customHeight="1">
      <c r="A834" s="80"/>
      <c r="B834" s="81"/>
      <c r="C834" s="80"/>
      <c r="D834" s="81"/>
      <c r="E834" s="83"/>
    </row>
    <row r="835" ht="22.5" customHeight="1">
      <c r="A835" s="80"/>
      <c r="B835" s="81"/>
      <c r="C835" s="80"/>
      <c r="D835" s="81"/>
      <c r="E835" s="83"/>
    </row>
    <row r="836" ht="22.5" customHeight="1">
      <c r="A836" s="80"/>
      <c r="B836" s="81"/>
      <c r="C836" s="80"/>
      <c r="D836" s="81"/>
      <c r="E836" s="83"/>
    </row>
    <row r="837" ht="22.5" customHeight="1">
      <c r="A837" s="80"/>
      <c r="B837" s="81"/>
      <c r="C837" s="80"/>
      <c r="D837" s="81"/>
      <c r="E837" s="83"/>
    </row>
    <row r="838" ht="22.5" customHeight="1">
      <c r="A838" s="80"/>
      <c r="B838" s="81"/>
      <c r="C838" s="80"/>
      <c r="D838" s="81"/>
      <c r="E838" s="83"/>
    </row>
    <row r="839" ht="22.5" customHeight="1">
      <c r="A839" s="80"/>
      <c r="B839" s="81"/>
      <c r="C839" s="80"/>
      <c r="D839" s="81"/>
      <c r="E839" s="83"/>
    </row>
    <row r="840" ht="22.5" customHeight="1">
      <c r="A840" s="80"/>
      <c r="B840" s="81"/>
      <c r="C840" s="80"/>
      <c r="D840" s="81"/>
      <c r="E840" s="83"/>
    </row>
    <row r="841" ht="22.5" customHeight="1">
      <c r="A841" s="80"/>
      <c r="B841" s="81"/>
      <c r="C841" s="80"/>
      <c r="D841" s="81"/>
      <c r="E841" s="83"/>
    </row>
    <row r="842" ht="22.5" customHeight="1">
      <c r="A842" s="80"/>
      <c r="B842" s="81"/>
      <c r="C842" s="80"/>
      <c r="D842" s="81"/>
      <c r="E842" s="83"/>
    </row>
    <row r="843" ht="22.5" customHeight="1">
      <c r="A843" s="80"/>
      <c r="B843" s="81"/>
      <c r="C843" s="80"/>
      <c r="D843" s="81"/>
      <c r="E843" s="83"/>
    </row>
    <row r="844" ht="22.5" customHeight="1">
      <c r="A844" s="80"/>
      <c r="B844" s="81"/>
      <c r="C844" s="80"/>
      <c r="D844" s="81"/>
      <c r="E844" s="83"/>
    </row>
    <row r="845" ht="22.5" customHeight="1">
      <c r="A845" s="80"/>
      <c r="B845" s="81"/>
      <c r="C845" s="80"/>
      <c r="D845" s="81"/>
      <c r="E845" s="83"/>
    </row>
    <row r="846" ht="22.5" customHeight="1">
      <c r="A846" s="80"/>
      <c r="B846" s="81"/>
      <c r="C846" s="80"/>
      <c r="D846" s="81"/>
      <c r="E846" s="83"/>
    </row>
    <row r="847" ht="22.5" customHeight="1">
      <c r="A847" s="80"/>
      <c r="B847" s="81"/>
      <c r="C847" s="80"/>
      <c r="D847" s="81"/>
      <c r="E847" s="83"/>
    </row>
    <row r="848" ht="22.5" customHeight="1">
      <c r="A848" s="80"/>
      <c r="B848" s="81"/>
      <c r="C848" s="80"/>
      <c r="D848" s="81"/>
      <c r="E848" s="83"/>
    </row>
    <row r="849" ht="22.5" customHeight="1">
      <c r="A849" s="80"/>
      <c r="B849" s="81"/>
      <c r="C849" s="80"/>
      <c r="D849" s="81"/>
      <c r="E849" s="83"/>
    </row>
    <row r="850" ht="22.5" customHeight="1">
      <c r="A850" s="80"/>
      <c r="B850" s="81"/>
      <c r="C850" s="80"/>
      <c r="D850" s="81"/>
      <c r="E850" s="83"/>
    </row>
    <row r="851" ht="22.5" customHeight="1">
      <c r="A851" s="80"/>
      <c r="B851" s="81"/>
      <c r="C851" s="80"/>
      <c r="D851" s="81"/>
      <c r="E851" s="83"/>
    </row>
    <row r="852" ht="22.5" customHeight="1">
      <c r="A852" s="80"/>
      <c r="B852" s="81"/>
      <c r="C852" s="80"/>
      <c r="D852" s="81"/>
      <c r="E852" s="83"/>
    </row>
    <row r="853" ht="22.5" customHeight="1">
      <c r="A853" s="80"/>
      <c r="B853" s="81"/>
      <c r="C853" s="80"/>
      <c r="D853" s="81"/>
      <c r="E853" s="83"/>
    </row>
    <row r="854" ht="22.5" customHeight="1">
      <c r="A854" s="80"/>
      <c r="B854" s="81"/>
      <c r="C854" s="80"/>
      <c r="D854" s="81"/>
      <c r="E854" s="83"/>
    </row>
    <row r="855" ht="22.5" customHeight="1">
      <c r="A855" s="80"/>
      <c r="B855" s="81"/>
      <c r="C855" s="80"/>
      <c r="D855" s="81"/>
      <c r="E855" s="83"/>
    </row>
    <row r="856" ht="22.5" customHeight="1">
      <c r="A856" s="80"/>
      <c r="B856" s="81"/>
      <c r="C856" s="80"/>
      <c r="D856" s="81"/>
      <c r="E856" s="83"/>
    </row>
    <row r="857" ht="22.5" customHeight="1">
      <c r="A857" s="80"/>
      <c r="B857" s="81"/>
      <c r="C857" s="80"/>
      <c r="D857" s="81"/>
      <c r="E857" s="83"/>
    </row>
    <row r="858" ht="22.5" customHeight="1">
      <c r="A858" s="80"/>
      <c r="B858" s="81"/>
      <c r="C858" s="80"/>
      <c r="D858" s="81"/>
      <c r="E858" s="83"/>
    </row>
    <row r="859" ht="22.5" customHeight="1">
      <c r="A859" s="80"/>
      <c r="B859" s="81"/>
      <c r="C859" s="80"/>
      <c r="D859" s="81"/>
      <c r="E859" s="83"/>
    </row>
    <row r="860" ht="22.5" customHeight="1">
      <c r="A860" s="80"/>
      <c r="B860" s="81"/>
      <c r="C860" s="80"/>
      <c r="D860" s="81"/>
      <c r="E860" s="83"/>
    </row>
    <row r="861" ht="22.5" customHeight="1">
      <c r="A861" s="80"/>
      <c r="B861" s="81"/>
      <c r="C861" s="80"/>
      <c r="D861" s="81"/>
      <c r="E861" s="83"/>
    </row>
    <row r="862" ht="22.5" customHeight="1">
      <c r="A862" s="80"/>
      <c r="B862" s="81"/>
      <c r="C862" s="80"/>
      <c r="D862" s="81"/>
      <c r="E862" s="83"/>
    </row>
    <row r="863" ht="22.5" customHeight="1">
      <c r="A863" s="80"/>
      <c r="B863" s="81"/>
      <c r="C863" s="80"/>
      <c r="D863" s="81"/>
      <c r="E863" s="83"/>
    </row>
    <row r="864" ht="22.5" customHeight="1">
      <c r="A864" s="80"/>
      <c r="B864" s="81"/>
      <c r="C864" s="80"/>
      <c r="D864" s="81"/>
      <c r="E864" s="83"/>
    </row>
    <row r="865" ht="22.5" customHeight="1">
      <c r="A865" s="80"/>
      <c r="B865" s="81"/>
      <c r="C865" s="80"/>
      <c r="D865" s="81"/>
      <c r="E865" s="83"/>
    </row>
    <row r="866" ht="22.5" customHeight="1">
      <c r="A866" s="80"/>
      <c r="B866" s="81"/>
      <c r="C866" s="80"/>
      <c r="D866" s="81"/>
      <c r="E866" s="83"/>
    </row>
    <row r="867" ht="22.5" customHeight="1">
      <c r="A867" s="80"/>
      <c r="B867" s="81"/>
      <c r="C867" s="80"/>
      <c r="D867" s="81"/>
      <c r="E867" s="83"/>
    </row>
    <row r="868" ht="22.5" customHeight="1">
      <c r="A868" s="80"/>
      <c r="B868" s="81"/>
      <c r="C868" s="80"/>
      <c r="D868" s="81"/>
      <c r="E868" s="83"/>
    </row>
    <row r="869" ht="22.5" customHeight="1">
      <c r="A869" s="80"/>
      <c r="B869" s="81"/>
      <c r="C869" s="80"/>
      <c r="D869" s="81"/>
      <c r="E869" s="83"/>
    </row>
    <row r="870" ht="22.5" customHeight="1">
      <c r="A870" s="80"/>
      <c r="B870" s="81"/>
      <c r="C870" s="80"/>
      <c r="D870" s="81"/>
      <c r="E870" s="83"/>
    </row>
    <row r="871" ht="22.5" customHeight="1">
      <c r="A871" s="80"/>
      <c r="B871" s="81"/>
      <c r="C871" s="80"/>
      <c r="D871" s="81"/>
      <c r="E871" s="83"/>
    </row>
    <row r="872" ht="22.5" customHeight="1">
      <c r="A872" s="80"/>
      <c r="B872" s="81"/>
      <c r="C872" s="80"/>
      <c r="D872" s="81"/>
      <c r="E872" s="83"/>
    </row>
    <row r="873" ht="22.5" customHeight="1">
      <c r="A873" s="80"/>
      <c r="B873" s="81"/>
      <c r="C873" s="80"/>
      <c r="D873" s="81"/>
      <c r="E873" s="83"/>
    </row>
    <row r="874" ht="22.5" customHeight="1">
      <c r="A874" s="80"/>
      <c r="B874" s="81"/>
      <c r="C874" s="80"/>
      <c r="D874" s="81"/>
      <c r="E874" s="83"/>
    </row>
    <row r="875" ht="22.5" customHeight="1">
      <c r="A875" s="80"/>
      <c r="B875" s="81"/>
      <c r="C875" s="80"/>
      <c r="D875" s="81"/>
      <c r="E875" s="83"/>
    </row>
    <row r="876" ht="22.5" customHeight="1">
      <c r="A876" s="80"/>
      <c r="B876" s="81"/>
      <c r="C876" s="80"/>
      <c r="D876" s="81"/>
      <c r="E876" s="83"/>
    </row>
    <row r="877" ht="22.5" customHeight="1">
      <c r="A877" s="80"/>
      <c r="B877" s="81"/>
      <c r="C877" s="80"/>
      <c r="D877" s="81"/>
      <c r="E877" s="83"/>
    </row>
    <row r="878" ht="22.5" customHeight="1">
      <c r="A878" s="80"/>
      <c r="B878" s="81"/>
      <c r="C878" s="80"/>
      <c r="D878" s="81"/>
      <c r="E878" s="83"/>
    </row>
    <row r="879" ht="22.5" customHeight="1">
      <c r="A879" s="80"/>
      <c r="B879" s="81"/>
      <c r="C879" s="80"/>
      <c r="D879" s="81"/>
      <c r="E879" s="83"/>
    </row>
    <row r="880" ht="22.5" customHeight="1">
      <c r="A880" s="80"/>
      <c r="B880" s="81"/>
      <c r="C880" s="80"/>
      <c r="D880" s="81"/>
      <c r="E880" s="83"/>
    </row>
    <row r="881" ht="22.5" customHeight="1">
      <c r="A881" s="80"/>
      <c r="B881" s="81"/>
      <c r="C881" s="80"/>
      <c r="D881" s="81"/>
      <c r="E881" s="83"/>
    </row>
    <row r="882" ht="22.5" customHeight="1">
      <c r="A882" s="80"/>
      <c r="B882" s="81"/>
      <c r="C882" s="80"/>
      <c r="D882" s="81"/>
      <c r="E882" s="83"/>
    </row>
    <row r="883" ht="22.5" customHeight="1">
      <c r="A883" s="80"/>
      <c r="B883" s="81"/>
      <c r="C883" s="80"/>
      <c r="D883" s="81"/>
      <c r="E883" s="83"/>
    </row>
    <row r="884" ht="22.5" customHeight="1">
      <c r="A884" s="80"/>
      <c r="B884" s="81"/>
      <c r="C884" s="80"/>
      <c r="D884" s="81"/>
      <c r="E884" s="83"/>
    </row>
    <row r="885" ht="22.5" customHeight="1">
      <c r="A885" s="80"/>
      <c r="B885" s="81"/>
      <c r="C885" s="80"/>
      <c r="D885" s="81"/>
      <c r="E885" s="83"/>
    </row>
    <row r="886" ht="22.5" customHeight="1">
      <c r="A886" s="80"/>
      <c r="B886" s="81"/>
      <c r="C886" s="80"/>
      <c r="D886" s="81"/>
      <c r="E886" s="83"/>
    </row>
    <row r="887" ht="22.5" customHeight="1">
      <c r="A887" s="80"/>
      <c r="B887" s="81"/>
      <c r="C887" s="80"/>
      <c r="D887" s="81"/>
      <c r="E887" s="83"/>
    </row>
    <row r="888" ht="22.5" customHeight="1">
      <c r="A888" s="80"/>
      <c r="B888" s="81"/>
      <c r="C888" s="80"/>
      <c r="D888" s="81"/>
      <c r="E888" s="83"/>
    </row>
    <row r="889" ht="22.5" customHeight="1">
      <c r="A889" s="80"/>
      <c r="B889" s="81"/>
      <c r="C889" s="80"/>
      <c r="D889" s="81"/>
      <c r="E889" s="83"/>
    </row>
    <row r="890" ht="22.5" customHeight="1">
      <c r="A890" s="80"/>
      <c r="B890" s="81"/>
      <c r="C890" s="80"/>
      <c r="D890" s="81"/>
      <c r="E890" s="83"/>
    </row>
    <row r="891" ht="22.5" customHeight="1">
      <c r="A891" s="80"/>
      <c r="B891" s="81"/>
      <c r="C891" s="80"/>
      <c r="D891" s="81"/>
      <c r="E891" s="83"/>
    </row>
    <row r="892" ht="22.5" customHeight="1">
      <c r="A892" s="80"/>
      <c r="B892" s="81"/>
      <c r="C892" s="80"/>
      <c r="D892" s="81"/>
      <c r="E892" s="83"/>
    </row>
    <row r="893" ht="22.5" customHeight="1">
      <c r="A893" s="80"/>
      <c r="B893" s="81"/>
      <c r="C893" s="80"/>
      <c r="D893" s="81"/>
      <c r="E893" s="83"/>
    </row>
    <row r="894" ht="22.5" customHeight="1">
      <c r="A894" s="80"/>
      <c r="B894" s="81"/>
      <c r="C894" s="80"/>
      <c r="D894" s="81"/>
      <c r="E894" s="83"/>
    </row>
    <row r="895" ht="22.5" customHeight="1">
      <c r="A895" s="80"/>
      <c r="B895" s="81"/>
      <c r="C895" s="80"/>
      <c r="D895" s="81"/>
      <c r="E895" s="83"/>
    </row>
    <row r="896" ht="22.5" customHeight="1">
      <c r="A896" s="80"/>
      <c r="B896" s="81"/>
      <c r="C896" s="80"/>
      <c r="D896" s="81"/>
      <c r="E896" s="83"/>
    </row>
    <row r="897" ht="22.5" customHeight="1">
      <c r="A897" s="80"/>
      <c r="B897" s="81"/>
      <c r="C897" s="80"/>
      <c r="D897" s="81"/>
      <c r="E897" s="83"/>
    </row>
    <row r="898" ht="22.5" customHeight="1">
      <c r="A898" s="80"/>
      <c r="B898" s="81"/>
      <c r="C898" s="80"/>
      <c r="D898" s="81"/>
      <c r="E898" s="83"/>
    </row>
    <row r="899" ht="22.5" customHeight="1">
      <c r="A899" s="80"/>
      <c r="B899" s="81"/>
      <c r="C899" s="80"/>
      <c r="D899" s="81"/>
      <c r="E899" s="83"/>
    </row>
    <row r="900" ht="22.5" customHeight="1">
      <c r="A900" s="80"/>
      <c r="B900" s="81"/>
      <c r="C900" s="80"/>
      <c r="D900" s="81"/>
      <c r="E900" s="83"/>
    </row>
    <row r="901" ht="22.5" customHeight="1">
      <c r="A901" s="80"/>
      <c r="B901" s="81"/>
      <c r="C901" s="80"/>
      <c r="D901" s="81"/>
      <c r="E901" s="83"/>
    </row>
    <row r="902" ht="22.5" customHeight="1">
      <c r="A902" s="80"/>
      <c r="B902" s="81"/>
      <c r="C902" s="80"/>
      <c r="D902" s="81"/>
      <c r="E902" s="83"/>
    </row>
    <row r="903" ht="22.5" customHeight="1">
      <c r="A903" s="80"/>
      <c r="B903" s="81"/>
      <c r="C903" s="80"/>
      <c r="D903" s="81"/>
      <c r="E903" s="83"/>
    </row>
    <row r="904" ht="22.5" customHeight="1">
      <c r="A904" s="80"/>
      <c r="B904" s="81"/>
      <c r="C904" s="80"/>
      <c r="D904" s="81"/>
      <c r="E904" s="83"/>
    </row>
    <row r="905" ht="22.5" customHeight="1">
      <c r="A905" s="80"/>
      <c r="B905" s="81"/>
      <c r="C905" s="80"/>
      <c r="D905" s="81"/>
      <c r="E905" s="83"/>
    </row>
    <row r="906" ht="22.5" customHeight="1">
      <c r="A906" s="80"/>
      <c r="B906" s="81"/>
      <c r="C906" s="80"/>
      <c r="D906" s="81"/>
      <c r="E906" s="83"/>
    </row>
    <row r="907" ht="22.5" customHeight="1">
      <c r="A907" s="80"/>
      <c r="B907" s="81"/>
      <c r="C907" s="80"/>
      <c r="D907" s="81"/>
      <c r="E907" s="83"/>
    </row>
    <row r="908" ht="22.5" customHeight="1">
      <c r="A908" s="80"/>
      <c r="B908" s="81"/>
      <c r="C908" s="80"/>
      <c r="D908" s="81"/>
      <c r="E908" s="83"/>
    </row>
    <row r="909" ht="22.5" customHeight="1">
      <c r="A909" s="80"/>
      <c r="B909" s="81"/>
      <c r="C909" s="80"/>
      <c r="D909" s="81"/>
      <c r="E909" s="83"/>
    </row>
    <row r="910" ht="22.5" customHeight="1">
      <c r="A910" s="80"/>
      <c r="B910" s="81"/>
      <c r="C910" s="80"/>
      <c r="D910" s="81"/>
      <c r="E910" s="83"/>
    </row>
    <row r="911" ht="22.5" customHeight="1">
      <c r="A911" s="80"/>
      <c r="B911" s="81"/>
      <c r="C911" s="80"/>
      <c r="D911" s="81"/>
      <c r="E911" s="83"/>
    </row>
    <row r="912" ht="22.5" customHeight="1">
      <c r="A912" s="80"/>
      <c r="B912" s="81"/>
      <c r="C912" s="80"/>
      <c r="D912" s="81"/>
      <c r="E912" s="83"/>
    </row>
    <row r="913" ht="22.5" customHeight="1">
      <c r="A913" s="80"/>
      <c r="B913" s="81"/>
      <c r="C913" s="80"/>
      <c r="D913" s="81"/>
      <c r="E913" s="83"/>
    </row>
    <row r="914" ht="22.5" customHeight="1">
      <c r="A914" s="80"/>
      <c r="B914" s="81"/>
      <c r="C914" s="80"/>
      <c r="D914" s="81"/>
      <c r="E914" s="83"/>
    </row>
    <row r="915" ht="22.5" customHeight="1">
      <c r="A915" s="80"/>
      <c r="B915" s="81"/>
      <c r="C915" s="80"/>
      <c r="D915" s="81"/>
      <c r="E915" s="83"/>
    </row>
    <row r="916" ht="22.5" customHeight="1">
      <c r="A916" s="80"/>
      <c r="B916" s="81"/>
      <c r="C916" s="80"/>
      <c r="D916" s="81"/>
      <c r="E916" s="83"/>
    </row>
    <row r="917" ht="22.5" customHeight="1">
      <c r="A917" s="80"/>
      <c r="B917" s="81"/>
      <c r="C917" s="80"/>
      <c r="D917" s="81"/>
      <c r="E917" s="83"/>
    </row>
    <row r="918" ht="22.5" customHeight="1">
      <c r="A918" s="80"/>
      <c r="B918" s="81"/>
      <c r="C918" s="80"/>
      <c r="D918" s="81"/>
      <c r="E918" s="83"/>
    </row>
    <row r="919" ht="22.5" customHeight="1">
      <c r="A919" s="80"/>
      <c r="B919" s="81"/>
      <c r="C919" s="80"/>
      <c r="D919" s="81"/>
      <c r="E919" s="83"/>
    </row>
    <row r="920" ht="22.5" customHeight="1">
      <c r="A920" s="80"/>
      <c r="B920" s="81"/>
      <c r="C920" s="80"/>
      <c r="D920" s="81"/>
      <c r="E920" s="83"/>
    </row>
    <row r="921" ht="22.5" customHeight="1">
      <c r="A921" s="80"/>
      <c r="B921" s="81"/>
      <c r="C921" s="80"/>
      <c r="D921" s="81"/>
      <c r="E921" s="83"/>
    </row>
    <row r="922" ht="22.5" customHeight="1">
      <c r="A922" s="80"/>
      <c r="B922" s="81"/>
      <c r="C922" s="80"/>
      <c r="D922" s="81"/>
      <c r="E922" s="83"/>
    </row>
    <row r="923" ht="22.5" customHeight="1">
      <c r="A923" s="80"/>
      <c r="B923" s="81"/>
      <c r="C923" s="80"/>
      <c r="D923" s="81"/>
      <c r="E923" s="83"/>
    </row>
    <row r="924" ht="22.5" customHeight="1">
      <c r="A924" s="80"/>
      <c r="B924" s="81"/>
      <c r="C924" s="80"/>
      <c r="D924" s="81"/>
      <c r="E924" s="83"/>
    </row>
    <row r="925" ht="22.5" customHeight="1">
      <c r="A925" s="80"/>
      <c r="B925" s="81"/>
      <c r="C925" s="80"/>
      <c r="D925" s="81"/>
      <c r="E925" s="83"/>
    </row>
    <row r="926" ht="22.5" customHeight="1">
      <c r="A926" s="80"/>
      <c r="B926" s="81"/>
      <c r="C926" s="80"/>
      <c r="D926" s="81"/>
      <c r="E926" s="83"/>
    </row>
    <row r="927" ht="22.5" customHeight="1">
      <c r="A927" s="80"/>
      <c r="B927" s="81"/>
      <c r="C927" s="80"/>
      <c r="D927" s="81"/>
      <c r="E927" s="83"/>
    </row>
    <row r="928" ht="22.5" customHeight="1">
      <c r="A928" s="80"/>
      <c r="B928" s="81"/>
      <c r="C928" s="80"/>
      <c r="D928" s="81"/>
      <c r="E928" s="83"/>
    </row>
    <row r="929" ht="22.5" customHeight="1">
      <c r="A929" s="80"/>
      <c r="B929" s="81"/>
      <c r="C929" s="80"/>
      <c r="D929" s="81"/>
      <c r="E929" s="83"/>
    </row>
    <row r="930" ht="22.5" customHeight="1">
      <c r="A930" s="80"/>
      <c r="B930" s="81"/>
      <c r="C930" s="80"/>
      <c r="D930" s="81"/>
      <c r="E930" s="83"/>
    </row>
    <row r="931" ht="22.5" customHeight="1">
      <c r="A931" s="80"/>
      <c r="B931" s="81"/>
      <c r="C931" s="80"/>
      <c r="D931" s="81"/>
      <c r="E931" s="83"/>
    </row>
    <row r="932" ht="22.5" customHeight="1">
      <c r="A932" s="80"/>
      <c r="B932" s="81"/>
      <c r="C932" s="80"/>
      <c r="D932" s="81"/>
      <c r="E932" s="83"/>
    </row>
    <row r="933" ht="22.5" customHeight="1">
      <c r="A933" s="80"/>
      <c r="B933" s="81"/>
      <c r="C933" s="80"/>
      <c r="D933" s="81"/>
      <c r="E933" s="83"/>
    </row>
    <row r="934" ht="22.5" customHeight="1">
      <c r="A934" s="80"/>
      <c r="B934" s="81"/>
      <c r="C934" s="80"/>
      <c r="D934" s="81"/>
      <c r="E934" s="83"/>
    </row>
    <row r="935" ht="22.5" customHeight="1">
      <c r="A935" s="80"/>
      <c r="B935" s="81"/>
      <c r="C935" s="80"/>
      <c r="D935" s="81"/>
      <c r="E935" s="83"/>
    </row>
    <row r="936" ht="22.5" customHeight="1">
      <c r="A936" s="80"/>
      <c r="B936" s="81"/>
      <c r="C936" s="80"/>
      <c r="D936" s="81"/>
      <c r="E936" s="83"/>
    </row>
    <row r="937" ht="22.5" customHeight="1">
      <c r="A937" s="80"/>
      <c r="B937" s="81"/>
      <c r="C937" s="80"/>
      <c r="D937" s="81"/>
      <c r="E937" s="83"/>
    </row>
    <row r="938" ht="22.5" customHeight="1">
      <c r="A938" s="80"/>
      <c r="B938" s="81"/>
      <c r="C938" s="80"/>
      <c r="D938" s="81"/>
      <c r="E938" s="83"/>
    </row>
    <row r="939" ht="22.5" customHeight="1">
      <c r="A939" s="80"/>
      <c r="B939" s="81"/>
      <c r="C939" s="80"/>
      <c r="D939" s="81"/>
      <c r="E939" s="83"/>
    </row>
    <row r="940" ht="22.5" customHeight="1">
      <c r="A940" s="80"/>
      <c r="B940" s="81"/>
      <c r="C940" s="80"/>
      <c r="D940" s="81"/>
      <c r="E940" s="83"/>
    </row>
    <row r="941" ht="22.5" customHeight="1">
      <c r="A941" s="80"/>
      <c r="B941" s="81"/>
      <c r="C941" s="80"/>
      <c r="D941" s="81"/>
      <c r="E941" s="83"/>
    </row>
    <row r="942" ht="22.5" customHeight="1">
      <c r="A942" s="80"/>
      <c r="B942" s="81"/>
      <c r="C942" s="80"/>
      <c r="D942" s="81"/>
      <c r="E942" s="83"/>
    </row>
    <row r="943" ht="22.5" customHeight="1">
      <c r="A943" s="80"/>
      <c r="B943" s="81"/>
      <c r="C943" s="80"/>
      <c r="D943" s="81"/>
      <c r="E943" s="83"/>
    </row>
    <row r="944" ht="22.5" customHeight="1">
      <c r="A944" s="80"/>
      <c r="B944" s="81"/>
      <c r="C944" s="80"/>
      <c r="D944" s="81"/>
      <c r="E944" s="83"/>
    </row>
    <row r="945" ht="22.5" customHeight="1">
      <c r="A945" s="80"/>
      <c r="B945" s="81"/>
      <c r="C945" s="80"/>
      <c r="D945" s="81"/>
      <c r="E945" s="83"/>
    </row>
    <row r="946" ht="22.5" customHeight="1">
      <c r="A946" s="80"/>
      <c r="B946" s="81"/>
      <c r="C946" s="80"/>
      <c r="D946" s="81"/>
      <c r="E946" s="83"/>
    </row>
    <row r="947" ht="22.5" customHeight="1">
      <c r="A947" s="80"/>
      <c r="B947" s="81"/>
      <c r="C947" s="80"/>
      <c r="D947" s="81"/>
      <c r="E947" s="83"/>
    </row>
    <row r="948" ht="22.5" customHeight="1">
      <c r="A948" s="80"/>
      <c r="B948" s="81"/>
      <c r="C948" s="80"/>
      <c r="D948" s="81"/>
      <c r="E948" s="83"/>
    </row>
    <row r="949" ht="22.5" customHeight="1">
      <c r="A949" s="80"/>
      <c r="B949" s="81"/>
      <c r="C949" s="80"/>
      <c r="D949" s="81"/>
      <c r="E949" s="83"/>
    </row>
    <row r="950" ht="22.5" customHeight="1">
      <c r="A950" s="80"/>
      <c r="B950" s="81"/>
      <c r="C950" s="80"/>
      <c r="D950" s="81"/>
      <c r="E950" s="83"/>
    </row>
    <row r="951" ht="22.5" customHeight="1">
      <c r="A951" s="80"/>
      <c r="B951" s="81"/>
      <c r="C951" s="80"/>
      <c r="D951" s="81"/>
      <c r="E951" s="83"/>
    </row>
    <row r="952" ht="22.5" customHeight="1">
      <c r="A952" s="80"/>
      <c r="B952" s="81"/>
      <c r="C952" s="80"/>
      <c r="D952" s="81"/>
      <c r="E952" s="83"/>
    </row>
    <row r="953" ht="22.5" customHeight="1">
      <c r="A953" s="80"/>
      <c r="B953" s="81"/>
      <c r="C953" s="80"/>
      <c r="D953" s="81"/>
      <c r="E953" s="83"/>
    </row>
    <row r="954" ht="22.5" customHeight="1">
      <c r="A954" s="80"/>
      <c r="B954" s="81"/>
      <c r="C954" s="80"/>
      <c r="D954" s="81"/>
      <c r="E954" s="83"/>
    </row>
    <row r="955" ht="22.5" customHeight="1">
      <c r="A955" s="80"/>
      <c r="B955" s="81"/>
      <c r="C955" s="80"/>
      <c r="D955" s="81"/>
      <c r="E955" s="83"/>
    </row>
    <row r="956" ht="22.5" customHeight="1">
      <c r="A956" s="80"/>
      <c r="B956" s="81"/>
      <c r="C956" s="80"/>
      <c r="D956" s="81"/>
      <c r="E956" s="83"/>
    </row>
    <row r="957" ht="22.5" customHeight="1">
      <c r="A957" s="80"/>
      <c r="B957" s="81"/>
      <c r="C957" s="80"/>
      <c r="D957" s="81"/>
      <c r="E957" s="83"/>
    </row>
    <row r="958" ht="22.5" customHeight="1">
      <c r="A958" s="80"/>
      <c r="B958" s="81"/>
      <c r="C958" s="80"/>
      <c r="D958" s="81"/>
      <c r="E958" s="83"/>
    </row>
    <row r="959" ht="22.5" customHeight="1">
      <c r="A959" s="80"/>
      <c r="B959" s="81"/>
      <c r="C959" s="80"/>
      <c r="D959" s="81"/>
      <c r="E959" s="83"/>
    </row>
    <row r="960" ht="22.5" customHeight="1">
      <c r="A960" s="80"/>
      <c r="B960" s="81"/>
      <c r="C960" s="80"/>
      <c r="D960" s="81"/>
      <c r="E960" s="83"/>
    </row>
    <row r="961" ht="22.5" customHeight="1">
      <c r="A961" s="80"/>
      <c r="B961" s="81"/>
      <c r="C961" s="80"/>
      <c r="D961" s="81"/>
      <c r="E961" s="83"/>
    </row>
    <row r="962" ht="22.5" customHeight="1">
      <c r="A962" s="80"/>
      <c r="B962" s="81"/>
      <c r="C962" s="80"/>
      <c r="D962" s="81"/>
      <c r="E962" s="83"/>
    </row>
    <row r="963" ht="22.5" customHeight="1">
      <c r="A963" s="80"/>
      <c r="B963" s="81"/>
      <c r="C963" s="80"/>
      <c r="D963" s="81"/>
      <c r="E963" s="83"/>
    </row>
    <row r="964" ht="22.5" customHeight="1">
      <c r="A964" s="80"/>
      <c r="B964" s="81"/>
      <c r="C964" s="80"/>
      <c r="D964" s="81"/>
      <c r="E964" s="83"/>
    </row>
    <row r="965" ht="22.5" customHeight="1">
      <c r="A965" s="80"/>
      <c r="B965" s="81"/>
      <c r="C965" s="80"/>
      <c r="D965" s="81"/>
      <c r="E965" s="83"/>
    </row>
    <row r="966" ht="22.5" customHeight="1">
      <c r="A966" s="80"/>
      <c r="B966" s="81"/>
      <c r="C966" s="80"/>
      <c r="D966" s="81"/>
      <c r="E966" s="83"/>
    </row>
    <row r="967" ht="22.5" customHeight="1">
      <c r="A967" s="80"/>
      <c r="B967" s="81"/>
      <c r="C967" s="80"/>
      <c r="D967" s="81"/>
      <c r="E967" s="83"/>
    </row>
    <row r="968" ht="22.5" customHeight="1">
      <c r="A968" s="80"/>
      <c r="B968" s="81"/>
      <c r="C968" s="80"/>
      <c r="D968" s="81"/>
      <c r="E968" s="83"/>
    </row>
    <row r="969" ht="22.5" customHeight="1">
      <c r="A969" s="80"/>
      <c r="B969" s="81"/>
      <c r="C969" s="80"/>
      <c r="D969" s="81"/>
      <c r="E969" s="83"/>
    </row>
    <row r="970" ht="22.5" customHeight="1">
      <c r="A970" s="80"/>
      <c r="B970" s="81"/>
      <c r="C970" s="80"/>
      <c r="D970" s="81"/>
      <c r="E970" s="83"/>
    </row>
    <row r="971" ht="22.5" customHeight="1">
      <c r="A971" s="80"/>
      <c r="B971" s="81"/>
      <c r="C971" s="80"/>
      <c r="D971" s="81"/>
      <c r="E971" s="83"/>
    </row>
    <row r="972" ht="22.5" customHeight="1">
      <c r="A972" s="80"/>
      <c r="B972" s="81"/>
      <c r="C972" s="80"/>
      <c r="D972" s="81"/>
      <c r="E972" s="83"/>
    </row>
    <row r="973" ht="22.5" customHeight="1">
      <c r="A973" s="80"/>
      <c r="B973" s="81"/>
      <c r="C973" s="80"/>
      <c r="D973" s="81"/>
      <c r="E973" s="83"/>
    </row>
    <row r="974" ht="22.5" customHeight="1">
      <c r="A974" s="80"/>
      <c r="B974" s="81"/>
      <c r="C974" s="80"/>
      <c r="D974" s="81"/>
      <c r="E974" s="83"/>
    </row>
    <row r="975" ht="22.5" customHeight="1">
      <c r="A975" s="80"/>
      <c r="B975" s="81"/>
      <c r="C975" s="80"/>
      <c r="D975" s="81"/>
      <c r="E975" s="83"/>
    </row>
    <row r="976" ht="22.5" customHeight="1">
      <c r="A976" s="80"/>
      <c r="B976" s="81"/>
      <c r="C976" s="80"/>
      <c r="D976" s="81"/>
      <c r="E976" s="83"/>
    </row>
    <row r="977" ht="22.5" customHeight="1">
      <c r="A977" s="80"/>
      <c r="B977" s="81"/>
      <c r="C977" s="80"/>
      <c r="D977" s="81"/>
      <c r="E977" s="83"/>
    </row>
    <row r="978" ht="22.5" customHeight="1">
      <c r="A978" s="80"/>
      <c r="B978" s="81"/>
      <c r="C978" s="80"/>
      <c r="D978" s="81"/>
      <c r="E978" s="83"/>
    </row>
    <row r="979" ht="22.5" customHeight="1">
      <c r="A979" s="80"/>
      <c r="B979" s="81"/>
      <c r="C979" s="80"/>
      <c r="D979" s="81"/>
      <c r="E979" s="83"/>
    </row>
    <row r="980" ht="22.5" customHeight="1">
      <c r="A980" s="80"/>
      <c r="B980" s="81"/>
      <c r="C980" s="80"/>
      <c r="D980" s="81"/>
      <c r="E980" s="83"/>
    </row>
    <row r="981" ht="22.5" customHeight="1">
      <c r="A981" s="80"/>
      <c r="B981" s="81"/>
      <c r="C981" s="80"/>
      <c r="D981" s="81"/>
      <c r="E981" s="83"/>
    </row>
    <row r="982" ht="22.5" customHeight="1">
      <c r="A982" s="80"/>
      <c r="B982" s="81"/>
      <c r="C982" s="80"/>
      <c r="D982" s="81"/>
      <c r="E982" s="83"/>
    </row>
    <row r="983" ht="22.5" customHeight="1">
      <c r="A983" s="80"/>
      <c r="B983" s="81"/>
      <c r="C983" s="80"/>
      <c r="D983" s="81"/>
      <c r="E983" s="83"/>
    </row>
    <row r="984" ht="22.5" customHeight="1">
      <c r="A984" s="80"/>
      <c r="B984" s="81"/>
      <c r="C984" s="80"/>
      <c r="D984" s="81"/>
      <c r="E984" s="83"/>
    </row>
    <row r="985" ht="22.5" customHeight="1">
      <c r="A985" s="80"/>
      <c r="B985" s="81"/>
      <c r="C985" s="80"/>
      <c r="D985" s="81"/>
      <c r="E985" s="83"/>
    </row>
    <row r="986" ht="22.5" customHeight="1">
      <c r="A986" s="80"/>
      <c r="B986" s="81"/>
      <c r="C986" s="80"/>
      <c r="D986" s="81"/>
      <c r="E986" s="83"/>
    </row>
    <row r="987" ht="22.5" customHeight="1">
      <c r="A987" s="80"/>
      <c r="B987" s="81"/>
      <c r="C987" s="80"/>
      <c r="D987" s="81"/>
      <c r="E987" s="83"/>
    </row>
    <row r="988" ht="22.5" customHeight="1">
      <c r="A988" s="80"/>
      <c r="B988" s="81"/>
      <c r="C988" s="80"/>
      <c r="D988" s="81"/>
      <c r="E988" s="83"/>
    </row>
  </sheetData>
  <dataValidations>
    <dataValidation allowBlank="1" showDropDown="1" sqref="A2:A988 C2:C988"/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43"/>
  </hyperlinks>
  <drawing r:id="rId39"/>
  <tableParts count="1">
    <tablePart r:id="rId4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0.5"/>
    <col customWidth="1" min="2" max="2" width="25.25"/>
    <col customWidth="1" min="3" max="3" width="19.13"/>
    <col customWidth="1" min="4" max="4" width="80.13"/>
    <col customWidth="1" min="5" max="5" width="94.5"/>
    <col customWidth="1" min="6" max="6" width="69.63"/>
    <col customWidth="1" min="7" max="7" width="54.25"/>
  </cols>
  <sheetData>
    <row r="1" ht="22.5" customHeight="1">
      <c r="A1" s="16" t="s">
        <v>184</v>
      </c>
      <c r="B1" s="16" t="s">
        <v>185</v>
      </c>
      <c r="C1" s="17" t="s">
        <v>187</v>
      </c>
      <c r="D1" s="17" t="s">
        <v>8643</v>
      </c>
      <c r="E1" s="16" t="s">
        <v>8644</v>
      </c>
      <c r="F1" s="16" t="s">
        <v>8645</v>
      </c>
      <c r="G1" s="16" t="s">
        <v>8646</v>
      </c>
    </row>
    <row r="2" ht="22.5" customHeight="1">
      <c r="A2" s="84" t="s">
        <v>15</v>
      </c>
      <c r="B2" s="84" t="s">
        <v>8647</v>
      </c>
      <c r="C2" s="85"/>
      <c r="D2" s="85" t="s">
        <v>8648</v>
      </c>
      <c r="E2" s="84"/>
      <c r="F2" s="84"/>
      <c r="G2" s="84"/>
    </row>
    <row r="3" ht="22.5" customHeight="1">
      <c r="A3" s="84" t="s">
        <v>15</v>
      </c>
      <c r="B3" s="84" t="s">
        <v>8649</v>
      </c>
      <c r="C3" s="85"/>
      <c r="D3" s="85" t="s">
        <v>8650</v>
      </c>
      <c r="E3" s="84"/>
      <c r="F3" s="84"/>
      <c r="G3" s="84"/>
    </row>
    <row r="4" ht="22.5" customHeight="1">
      <c r="A4" s="84" t="s">
        <v>27</v>
      </c>
      <c r="B4" s="84" t="s">
        <v>28</v>
      </c>
      <c r="C4" s="85"/>
      <c r="D4" s="85" t="s">
        <v>8651</v>
      </c>
      <c r="E4" s="84" t="s">
        <v>8652</v>
      </c>
      <c r="F4" s="84"/>
      <c r="G4" s="84" t="s">
        <v>8653</v>
      </c>
    </row>
    <row r="5" ht="22.5" customHeight="1">
      <c r="A5" s="84" t="s">
        <v>8654</v>
      </c>
      <c r="B5" s="84" t="s">
        <v>8655</v>
      </c>
      <c r="C5" s="85"/>
      <c r="D5" s="85" t="s">
        <v>8656</v>
      </c>
      <c r="E5" s="84"/>
      <c r="F5" s="84"/>
      <c r="G5" s="84"/>
    </row>
    <row r="6" ht="22.5" customHeight="1">
      <c r="A6" s="84" t="s">
        <v>12</v>
      </c>
      <c r="B6" s="84" t="s">
        <v>8655</v>
      </c>
      <c r="C6" s="85"/>
      <c r="D6" s="85"/>
      <c r="E6" s="84"/>
      <c r="F6" s="84"/>
      <c r="G6" s="84"/>
    </row>
    <row r="7" ht="22.5" customHeight="1">
      <c r="A7" s="84" t="s">
        <v>30</v>
      </c>
      <c r="B7" s="84" t="s">
        <v>32</v>
      </c>
      <c r="C7" s="85"/>
      <c r="D7" s="85"/>
      <c r="E7" s="84"/>
      <c r="F7" s="84"/>
      <c r="G7" s="84"/>
    </row>
    <row r="8" ht="22.5" customHeight="1">
      <c r="A8" s="84" t="s">
        <v>199</v>
      </c>
      <c r="B8" s="84" t="s">
        <v>200</v>
      </c>
      <c r="C8" s="85"/>
      <c r="D8" s="85" t="s">
        <v>8657</v>
      </c>
      <c r="E8" s="84" t="s">
        <v>8658</v>
      </c>
      <c r="F8" s="84"/>
      <c r="G8" s="84"/>
    </row>
    <row r="9" ht="22.5" customHeight="1">
      <c r="A9" s="84" t="s">
        <v>73</v>
      </c>
      <c r="B9" s="84" t="s">
        <v>201</v>
      </c>
      <c r="C9" s="85"/>
      <c r="D9" s="85"/>
      <c r="E9" s="84" t="s">
        <v>8659</v>
      </c>
      <c r="F9" s="84" t="s">
        <v>8660</v>
      </c>
      <c r="G9" s="84"/>
    </row>
    <row r="10" ht="22.5" customHeight="1">
      <c r="A10" s="84" t="s">
        <v>70</v>
      </c>
      <c r="B10" s="84" t="s">
        <v>203</v>
      </c>
      <c r="C10" s="85"/>
      <c r="D10" s="85" t="s">
        <v>8661</v>
      </c>
      <c r="E10" s="84" t="s">
        <v>8662</v>
      </c>
      <c r="F10" s="84"/>
      <c r="G10" s="84"/>
    </row>
    <row r="11" ht="22.5" customHeight="1">
      <c r="A11" s="84" t="s">
        <v>87</v>
      </c>
      <c r="B11" s="84" t="s">
        <v>213</v>
      </c>
      <c r="C11" s="85"/>
      <c r="D11" s="85" t="s">
        <v>8663</v>
      </c>
      <c r="E11" s="84" t="s">
        <v>8664</v>
      </c>
      <c r="F11" s="84"/>
      <c r="G11" s="84"/>
    </row>
    <row r="12" ht="22.5" customHeight="1">
      <c r="A12" s="84" t="s">
        <v>42</v>
      </c>
      <c r="B12" s="84" t="s">
        <v>43</v>
      </c>
      <c r="C12" s="85"/>
      <c r="D12" s="85" t="s">
        <v>8665</v>
      </c>
      <c r="E12" s="84"/>
      <c r="F12" s="84"/>
      <c r="G12" s="84"/>
    </row>
    <row r="13" ht="22.5" customHeight="1">
      <c r="A13" s="84" t="s">
        <v>44</v>
      </c>
      <c r="B13" s="84" t="s">
        <v>45</v>
      </c>
      <c r="C13" s="85"/>
      <c r="D13" s="85" t="s">
        <v>8666</v>
      </c>
      <c r="E13" s="84" t="s">
        <v>8667</v>
      </c>
      <c r="F13" s="84"/>
      <c r="G13" s="84"/>
    </row>
    <row r="14" ht="22.5" customHeight="1">
      <c r="A14" s="84" t="s">
        <v>217</v>
      </c>
      <c r="B14" s="84" t="s">
        <v>218</v>
      </c>
      <c r="C14" s="85"/>
      <c r="D14" s="85"/>
      <c r="E14" s="84"/>
      <c r="F14" s="84"/>
      <c r="G14" s="84"/>
    </row>
    <row r="15" ht="22.5" customHeight="1">
      <c r="A15" s="84" t="s">
        <v>47</v>
      </c>
      <c r="B15" s="84" t="s">
        <v>48</v>
      </c>
      <c r="C15" s="85"/>
      <c r="D15" s="85" t="s">
        <v>8668</v>
      </c>
      <c r="E15" s="84"/>
      <c r="F15" s="84"/>
      <c r="G15" s="84"/>
    </row>
    <row r="16" ht="22.5" customHeight="1">
      <c r="A16" s="84" t="s">
        <v>49</v>
      </c>
      <c r="B16" s="84" t="s">
        <v>50</v>
      </c>
      <c r="C16" s="85"/>
      <c r="D16" s="85" t="s">
        <v>8669</v>
      </c>
      <c r="E16" s="84"/>
      <c r="F16" s="84"/>
      <c r="G16" s="84"/>
    </row>
    <row r="17" ht="22.5" customHeight="1">
      <c r="A17" s="84" t="s">
        <v>49</v>
      </c>
      <c r="B17" s="84" t="s">
        <v>57</v>
      </c>
      <c r="C17" s="85"/>
      <c r="D17" s="85" t="s">
        <v>8670</v>
      </c>
      <c r="E17" s="84"/>
      <c r="F17" s="84"/>
      <c r="G17" s="84"/>
    </row>
    <row r="18" ht="22.5" customHeight="1">
      <c r="A18" s="84" t="s">
        <v>59</v>
      </c>
      <c r="B18" s="84" t="s">
        <v>60</v>
      </c>
      <c r="C18" s="85"/>
      <c r="D18" s="85" t="s">
        <v>8671</v>
      </c>
      <c r="E18" s="84"/>
      <c r="F18" s="84"/>
      <c r="G18" s="84"/>
    </row>
    <row r="19" ht="22.5" customHeight="1">
      <c r="A19" s="84" t="s">
        <v>62</v>
      </c>
      <c r="B19" s="84" t="s">
        <v>64</v>
      </c>
      <c r="C19" s="85"/>
      <c r="D19" s="85" t="s">
        <v>8672</v>
      </c>
      <c r="E19" s="84"/>
      <c r="F19" s="84"/>
      <c r="G19" s="84"/>
    </row>
    <row r="20" ht="22.5" customHeight="1">
      <c r="A20" s="84" t="s">
        <v>49</v>
      </c>
      <c r="B20" s="84" t="s">
        <v>65</v>
      </c>
      <c r="C20" s="85"/>
      <c r="D20" s="85" t="s">
        <v>8673</v>
      </c>
      <c r="E20" s="84"/>
      <c r="F20" s="84"/>
      <c r="G20" s="84"/>
    </row>
    <row r="21" ht="22.5" customHeight="1">
      <c r="A21" s="84" t="s">
        <v>222</v>
      </c>
      <c r="B21" s="84" t="s">
        <v>8674</v>
      </c>
      <c r="C21" s="85"/>
      <c r="D21" s="85"/>
      <c r="E21" s="84"/>
      <c r="F21" s="84"/>
      <c r="G21" s="84"/>
    </row>
    <row r="22" ht="22.5" customHeight="1">
      <c r="A22" s="84" t="s">
        <v>140</v>
      </c>
      <c r="B22" s="84" t="s">
        <v>226</v>
      </c>
      <c r="C22" s="85"/>
      <c r="D22" s="85"/>
      <c r="E22" s="84"/>
      <c r="F22" s="84"/>
      <c r="G22" s="84"/>
    </row>
    <row r="23" ht="22.5" customHeight="1">
      <c r="A23" s="84" t="s">
        <v>70</v>
      </c>
      <c r="B23" s="84" t="s">
        <v>71</v>
      </c>
      <c r="C23" s="85"/>
      <c r="D23" s="85" t="s">
        <v>8675</v>
      </c>
      <c r="E23" s="84"/>
      <c r="F23" s="84"/>
      <c r="G23" s="84"/>
    </row>
    <row r="24" ht="22.5" customHeight="1">
      <c r="A24" s="84" t="s">
        <v>47</v>
      </c>
      <c r="B24" s="84" t="s">
        <v>72</v>
      </c>
      <c r="C24" s="85"/>
      <c r="D24" s="85" t="s">
        <v>8676</v>
      </c>
      <c r="E24" s="84"/>
      <c r="F24" s="84"/>
      <c r="G24" s="84"/>
    </row>
    <row r="25" ht="22.5" customHeight="1">
      <c r="A25" s="84" t="s">
        <v>73</v>
      </c>
      <c r="B25" s="84" t="s">
        <v>8677</v>
      </c>
      <c r="C25" s="85"/>
      <c r="D25" s="85" t="s">
        <v>8678</v>
      </c>
      <c r="E25" s="84"/>
      <c r="F25" s="84"/>
      <c r="G25" s="84"/>
    </row>
    <row r="26" ht="22.5" customHeight="1">
      <c r="A26" s="84" t="s">
        <v>78</v>
      </c>
      <c r="B26" s="84" t="s">
        <v>79</v>
      </c>
      <c r="C26" s="85"/>
      <c r="D26" s="85" t="s">
        <v>8679</v>
      </c>
      <c r="E26" s="84"/>
      <c r="F26" s="84"/>
      <c r="G26" s="84"/>
    </row>
    <row r="27" ht="22.5" customHeight="1">
      <c r="A27" s="84" t="s">
        <v>8628</v>
      </c>
      <c r="B27" s="84" t="s">
        <v>83</v>
      </c>
      <c r="C27" s="85"/>
      <c r="D27" s="85" t="s">
        <v>8680</v>
      </c>
      <c r="E27" s="84"/>
      <c r="F27" s="84"/>
      <c r="G27" s="84"/>
    </row>
    <row r="28" ht="22.5" customHeight="1">
      <c r="A28" s="84" t="s">
        <v>80</v>
      </c>
      <c r="B28" s="84" t="s">
        <v>8681</v>
      </c>
      <c r="C28" s="85"/>
      <c r="D28" s="85"/>
      <c r="E28" s="84"/>
      <c r="F28" s="84"/>
      <c r="G28" s="84"/>
    </row>
    <row r="29" ht="22.5" customHeight="1">
      <c r="A29" s="84" t="s">
        <v>85</v>
      </c>
      <c r="B29" s="84" t="s">
        <v>86</v>
      </c>
      <c r="C29" s="85"/>
      <c r="D29" s="85" t="s">
        <v>8682</v>
      </c>
      <c r="E29" s="84"/>
      <c r="F29" s="84"/>
      <c r="G29" s="84"/>
    </row>
    <row r="30" ht="22.5" customHeight="1">
      <c r="A30" s="84" t="s">
        <v>87</v>
      </c>
      <c r="B30" s="84" t="s">
        <v>88</v>
      </c>
      <c r="C30" s="85"/>
      <c r="D30" s="85" t="s">
        <v>8683</v>
      </c>
      <c r="E30" s="84"/>
      <c r="F30" s="84"/>
      <c r="G30" s="84"/>
    </row>
    <row r="31" ht="22.5" customHeight="1">
      <c r="A31" s="84" t="s">
        <v>8595</v>
      </c>
      <c r="B31" s="84" t="s">
        <v>90</v>
      </c>
      <c r="C31" s="85"/>
      <c r="D31" s="85" t="s">
        <v>8684</v>
      </c>
      <c r="E31" s="84"/>
      <c r="F31" s="84"/>
      <c r="G31" s="84"/>
    </row>
    <row r="32" ht="22.5" customHeight="1">
      <c r="A32" s="84" t="s">
        <v>89</v>
      </c>
      <c r="B32" s="84" t="s">
        <v>90</v>
      </c>
      <c r="C32" s="85"/>
      <c r="D32" s="85" t="s">
        <v>8685</v>
      </c>
      <c r="E32" s="84"/>
      <c r="F32" s="84"/>
      <c r="G32" s="84"/>
    </row>
    <row r="33" ht="22.5" customHeight="1">
      <c r="A33" s="84" t="s">
        <v>85</v>
      </c>
      <c r="B33" s="84" t="s">
        <v>92</v>
      </c>
      <c r="C33" s="85"/>
      <c r="D33" s="85" t="s">
        <v>8686</v>
      </c>
      <c r="E33" s="84"/>
      <c r="F33" s="84"/>
      <c r="G33" s="84"/>
    </row>
    <row r="34" ht="22.5" customHeight="1">
      <c r="A34" s="84" t="s">
        <v>42</v>
      </c>
      <c r="B34" s="84" t="s">
        <v>230</v>
      </c>
      <c r="C34" s="85"/>
      <c r="D34" s="85" t="s">
        <v>8687</v>
      </c>
      <c r="E34" s="84"/>
      <c r="F34" s="84"/>
      <c r="G34" s="84"/>
    </row>
    <row r="35" ht="22.5" customHeight="1">
      <c r="A35" s="84" t="s">
        <v>78</v>
      </c>
      <c r="B35" s="84" t="s">
        <v>93</v>
      </c>
      <c r="C35" s="85"/>
      <c r="D35" s="85"/>
      <c r="E35" s="84"/>
      <c r="F35" s="84"/>
      <c r="G35" s="84"/>
    </row>
    <row r="36" ht="22.5" customHeight="1">
      <c r="A36" s="84" t="s">
        <v>232</v>
      </c>
      <c r="B36" s="84" t="s">
        <v>8688</v>
      </c>
      <c r="C36" s="85"/>
      <c r="D36" s="85" t="s">
        <v>8689</v>
      </c>
      <c r="E36" s="84"/>
      <c r="F36" s="84"/>
      <c r="G36" s="84"/>
    </row>
    <row r="37" ht="22.5" customHeight="1">
      <c r="A37" s="84" t="s">
        <v>70</v>
      </c>
      <c r="B37" s="84" t="s">
        <v>103</v>
      </c>
      <c r="C37" s="85"/>
      <c r="D37" s="85" t="s">
        <v>8690</v>
      </c>
      <c r="E37" s="84" t="s">
        <v>8691</v>
      </c>
      <c r="F37" s="84"/>
      <c r="G37" s="84"/>
    </row>
    <row r="38" ht="22.5" customHeight="1">
      <c r="A38" s="84" t="s">
        <v>70</v>
      </c>
      <c r="B38" s="84" t="s">
        <v>102</v>
      </c>
      <c r="C38" s="85"/>
      <c r="D38" s="85" t="s">
        <v>8692</v>
      </c>
      <c r="E38" s="84"/>
      <c r="F38" s="84"/>
      <c r="G38" s="84"/>
    </row>
    <row r="39" ht="22.5" customHeight="1">
      <c r="A39" s="84" t="s">
        <v>78</v>
      </c>
      <c r="B39" s="84" t="s">
        <v>105</v>
      </c>
      <c r="C39" s="85"/>
      <c r="D39" s="85" t="s">
        <v>8693</v>
      </c>
      <c r="E39" s="84"/>
      <c r="F39" s="84"/>
      <c r="G39" s="84"/>
    </row>
    <row r="40" ht="22.5" customHeight="1">
      <c r="A40" s="84" t="s">
        <v>85</v>
      </c>
      <c r="B40" s="84" t="s">
        <v>106</v>
      </c>
      <c r="C40" s="85"/>
      <c r="D40" s="85" t="s">
        <v>8694</v>
      </c>
      <c r="E40" s="84"/>
      <c r="F40" s="84"/>
      <c r="G40" s="84"/>
    </row>
    <row r="41" ht="22.5" customHeight="1">
      <c r="A41" s="84" t="s">
        <v>59</v>
      </c>
      <c r="B41" s="84" t="s">
        <v>104</v>
      </c>
      <c r="C41" s="85"/>
      <c r="D41" s="85" t="s">
        <v>8695</v>
      </c>
      <c r="E41" s="84"/>
      <c r="F41" s="84"/>
      <c r="G41" s="84"/>
    </row>
    <row r="42" ht="22.5" customHeight="1">
      <c r="A42" s="84" t="s">
        <v>47</v>
      </c>
      <c r="B42" s="84" t="s">
        <v>107</v>
      </c>
      <c r="C42" s="85"/>
      <c r="D42" s="85" t="s">
        <v>8696</v>
      </c>
      <c r="E42" s="84"/>
      <c r="F42" s="84"/>
      <c r="G42" s="84"/>
    </row>
    <row r="43" ht="22.5" customHeight="1">
      <c r="A43" s="84" t="s">
        <v>108</v>
      </c>
      <c r="B43" s="84" t="s">
        <v>109</v>
      </c>
      <c r="C43" s="85"/>
      <c r="D43" s="85" t="s">
        <v>8697</v>
      </c>
      <c r="E43" s="84"/>
      <c r="F43" s="84"/>
      <c r="G43" s="84"/>
    </row>
    <row r="44" ht="22.5" customHeight="1">
      <c r="A44" s="84" t="s">
        <v>234</v>
      </c>
      <c r="B44" s="84" t="s">
        <v>235</v>
      </c>
      <c r="C44" s="85"/>
      <c r="D44" s="85" t="s">
        <v>8698</v>
      </c>
      <c r="E44" s="84"/>
      <c r="F44" s="84"/>
      <c r="G44" s="84"/>
    </row>
    <row r="45" ht="22.5" customHeight="1">
      <c r="A45" s="84" t="s">
        <v>237</v>
      </c>
      <c r="B45" s="84" t="s">
        <v>238</v>
      </c>
      <c r="C45" s="85"/>
      <c r="D45" s="85" t="s">
        <v>8699</v>
      </c>
      <c r="E45" s="84"/>
      <c r="F45" s="84"/>
      <c r="G45" s="84"/>
    </row>
    <row r="46" ht="22.5" customHeight="1">
      <c r="A46" s="84" t="s">
        <v>59</v>
      </c>
      <c r="B46" s="84" t="s">
        <v>110</v>
      </c>
      <c r="C46" s="85"/>
      <c r="D46" s="85" t="s">
        <v>8700</v>
      </c>
      <c r="E46" s="84"/>
      <c r="F46" s="84"/>
      <c r="G46" s="84"/>
    </row>
    <row r="47" ht="22.5" customHeight="1">
      <c r="A47" s="84" t="s">
        <v>89</v>
      </c>
      <c r="B47" s="84" t="s">
        <v>111</v>
      </c>
      <c r="C47" s="85"/>
      <c r="D47" s="85" t="s">
        <v>8701</v>
      </c>
      <c r="E47" s="84"/>
      <c r="F47" s="84"/>
      <c r="G47" s="84"/>
    </row>
    <row r="48" ht="22.5" customHeight="1">
      <c r="A48" s="84" t="s">
        <v>85</v>
      </c>
      <c r="B48" s="84" t="s">
        <v>111</v>
      </c>
      <c r="C48" s="85"/>
      <c r="D48" s="85" t="s">
        <v>8702</v>
      </c>
      <c r="E48" s="84"/>
      <c r="F48" s="84"/>
      <c r="G48" s="84"/>
    </row>
    <row r="49" ht="22.5" customHeight="1">
      <c r="A49" s="84" t="s">
        <v>89</v>
      </c>
      <c r="B49" s="84" t="s">
        <v>115</v>
      </c>
      <c r="C49" s="85"/>
      <c r="D49" s="85" t="s">
        <v>8703</v>
      </c>
      <c r="E49" s="84"/>
      <c r="F49" s="84"/>
      <c r="G49" s="84"/>
    </row>
    <row r="50" ht="22.5" customHeight="1">
      <c r="A50" s="84" t="s">
        <v>59</v>
      </c>
      <c r="B50" s="84" t="s">
        <v>114</v>
      </c>
      <c r="C50" s="85"/>
      <c r="D50" s="85" t="s">
        <v>8704</v>
      </c>
      <c r="E50" s="84"/>
      <c r="F50" s="84"/>
      <c r="G50" s="84"/>
    </row>
    <row r="51" ht="22.5" customHeight="1">
      <c r="A51" s="84" t="s">
        <v>70</v>
      </c>
      <c r="B51" s="84" t="s">
        <v>116</v>
      </c>
      <c r="C51" s="85"/>
      <c r="D51" s="85" t="s">
        <v>8705</v>
      </c>
      <c r="E51" s="84"/>
      <c r="F51" s="84"/>
      <c r="G51" s="84"/>
    </row>
    <row r="52" ht="22.5" customHeight="1">
      <c r="A52" s="84" t="s">
        <v>95</v>
      </c>
      <c r="B52" s="84" t="s">
        <v>8706</v>
      </c>
      <c r="C52" s="85"/>
      <c r="D52" s="85" t="s">
        <v>8707</v>
      </c>
      <c r="E52" s="84"/>
      <c r="F52" s="84"/>
      <c r="G52" s="84"/>
    </row>
    <row r="53" ht="22.5" customHeight="1">
      <c r="A53" s="84" t="s">
        <v>85</v>
      </c>
      <c r="B53" s="84" t="s">
        <v>117</v>
      </c>
      <c r="C53" s="85"/>
      <c r="D53" s="85" t="s">
        <v>8708</v>
      </c>
      <c r="E53" s="84"/>
      <c r="F53" s="84"/>
      <c r="G53" s="84"/>
    </row>
    <row r="54" ht="22.5" customHeight="1">
      <c r="A54" s="84" t="s">
        <v>118</v>
      </c>
      <c r="B54" s="84" t="s">
        <v>8709</v>
      </c>
      <c r="C54" s="85"/>
      <c r="D54" s="85"/>
      <c r="E54" s="84"/>
      <c r="F54" s="84"/>
      <c r="G54" s="84"/>
    </row>
    <row r="55" ht="22.5" customHeight="1">
      <c r="A55" s="84" t="s">
        <v>67</v>
      </c>
      <c r="B55" s="84" t="s">
        <v>8710</v>
      </c>
      <c r="C55" s="85"/>
      <c r="D55" s="85" t="s">
        <v>8711</v>
      </c>
      <c r="E55" s="84"/>
      <c r="F55" s="84"/>
      <c r="G55" s="84"/>
    </row>
    <row r="56" ht="22.5" customHeight="1">
      <c r="A56" s="84" t="s">
        <v>89</v>
      </c>
      <c r="B56" s="84" t="s">
        <v>121</v>
      </c>
      <c r="C56" s="85"/>
      <c r="D56" s="85" t="s">
        <v>8712</v>
      </c>
      <c r="E56" s="84"/>
      <c r="F56" s="84"/>
      <c r="G56" s="84"/>
    </row>
    <row r="57" ht="22.5" customHeight="1">
      <c r="A57" s="84" t="s">
        <v>20</v>
      </c>
      <c r="B57" s="84" t="s">
        <v>23</v>
      </c>
      <c r="C57" s="85"/>
      <c r="D57" s="85" t="s">
        <v>8713</v>
      </c>
      <c r="E57" s="84"/>
      <c r="F57" s="84"/>
      <c r="G57" s="84"/>
    </row>
    <row r="58" ht="22.5" customHeight="1">
      <c r="A58" s="84" t="s">
        <v>123</v>
      </c>
      <c r="B58" s="84" t="s">
        <v>124</v>
      </c>
      <c r="C58" s="85"/>
      <c r="D58" s="85" t="s">
        <v>8714</v>
      </c>
      <c r="E58" s="84"/>
      <c r="F58" s="84"/>
      <c r="G58" s="84"/>
    </row>
    <row r="59" ht="22.5" customHeight="1">
      <c r="A59" s="84" t="s">
        <v>59</v>
      </c>
      <c r="B59" s="84" t="s">
        <v>122</v>
      </c>
      <c r="C59" s="85"/>
      <c r="D59" s="85" t="s">
        <v>8715</v>
      </c>
      <c r="E59" s="84"/>
      <c r="F59" s="84"/>
      <c r="G59" s="84"/>
    </row>
    <row r="60" ht="22.5" customHeight="1">
      <c r="A60" s="84" t="s">
        <v>47</v>
      </c>
      <c r="B60" s="84" t="s">
        <v>125</v>
      </c>
      <c r="C60" s="85"/>
      <c r="D60" s="85" t="s">
        <v>8716</v>
      </c>
      <c r="E60" s="84"/>
      <c r="F60" s="84"/>
      <c r="G60" s="84"/>
    </row>
    <row r="61" ht="22.5" customHeight="1">
      <c r="A61" s="84" t="s">
        <v>241</v>
      </c>
      <c r="B61" s="84" t="s">
        <v>242</v>
      </c>
      <c r="C61" s="85"/>
      <c r="D61" s="85" t="s">
        <v>8717</v>
      </c>
      <c r="E61" s="84"/>
      <c r="F61" s="84"/>
      <c r="G61" s="84"/>
    </row>
    <row r="62" ht="22.5" customHeight="1">
      <c r="A62" s="84" t="s">
        <v>126</v>
      </c>
      <c r="B62" s="84" t="s">
        <v>127</v>
      </c>
      <c r="C62" s="85"/>
      <c r="D62" s="85" t="s">
        <v>8718</v>
      </c>
      <c r="E62" s="84"/>
      <c r="F62" s="84"/>
      <c r="G62" s="84"/>
    </row>
    <row r="63" ht="22.5" customHeight="1">
      <c r="A63" s="84" t="s">
        <v>128</v>
      </c>
      <c r="B63" s="84" t="s">
        <v>129</v>
      </c>
      <c r="C63" s="85"/>
      <c r="D63" s="85" t="s">
        <v>8719</v>
      </c>
      <c r="E63" s="84"/>
      <c r="F63" s="84"/>
      <c r="G63" s="84"/>
    </row>
    <row r="64" ht="22.5" customHeight="1">
      <c r="A64" s="84" t="s">
        <v>49</v>
      </c>
      <c r="B64" s="84" t="s">
        <v>243</v>
      </c>
      <c r="C64" s="85"/>
      <c r="D64" s="85" t="s">
        <v>8720</v>
      </c>
      <c r="E64" s="84"/>
      <c r="F64" s="84"/>
      <c r="G64" s="84"/>
    </row>
    <row r="65" ht="22.5" customHeight="1">
      <c r="A65" s="84" t="s">
        <v>118</v>
      </c>
      <c r="B65" s="84" t="s">
        <v>8721</v>
      </c>
      <c r="C65" s="85"/>
      <c r="D65" s="85" t="s">
        <v>8722</v>
      </c>
      <c r="E65" s="84"/>
      <c r="F65" s="84"/>
      <c r="G65" s="84"/>
    </row>
    <row r="66" ht="22.5" customHeight="1">
      <c r="A66" s="84" t="s">
        <v>87</v>
      </c>
      <c r="B66" s="84" t="s">
        <v>8723</v>
      </c>
      <c r="C66" s="85"/>
      <c r="D66" s="85" t="s">
        <v>8724</v>
      </c>
      <c r="E66" s="84"/>
      <c r="F66" s="84"/>
      <c r="G66" s="84"/>
    </row>
    <row r="67" ht="22.5" customHeight="1">
      <c r="A67" s="84" t="s">
        <v>59</v>
      </c>
      <c r="B67" s="84" t="s">
        <v>130</v>
      </c>
      <c r="C67" s="85"/>
      <c r="D67" s="85" t="s">
        <v>8725</v>
      </c>
      <c r="E67" s="84"/>
      <c r="F67" s="84"/>
      <c r="G67" s="84"/>
    </row>
    <row r="68" ht="22.5" customHeight="1">
      <c r="A68" s="84" t="s">
        <v>87</v>
      </c>
      <c r="B68" s="84" t="s">
        <v>244</v>
      </c>
      <c r="C68" s="85"/>
      <c r="D68" s="85" t="s">
        <v>8726</v>
      </c>
      <c r="E68" s="84" t="s">
        <v>8691</v>
      </c>
      <c r="F68" s="84" t="s">
        <v>8690</v>
      </c>
      <c r="G68" s="84"/>
    </row>
    <row r="69" ht="22.5" customHeight="1">
      <c r="A69" s="84" t="s">
        <v>140</v>
      </c>
      <c r="B69" s="84" t="s">
        <v>248</v>
      </c>
      <c r="C69" s="85"/>
      <c r="D69" s="85" t="s">
        <v>8727</v>
      </c>
      <c r="E69" s="84"/>
      <c r="F69" s="84"/>
      <c r="G69" s="84"/>
    </row>
    <row r="70" ht="22.5" customHeight="1">
      <c r="A70" s="84" t="s">
        <v>78</v>
      </c>
      <c r="B70" s="84" t="s">
        <v>131</v>
      </c>
      <c r="C70" s="85"/>
      <c r="D70" s="85" t="s">
        <v>8728</v>
      </c>
      <c r="E70" s="84"/>
      <c r="F70" s="84"/>
      <c r="G70" s="84"/>
    </row>
    <row r="71" ht="22.5" customHeight="1">
      <c r="A71" s="84" t="s">
        <v>70</v>
      </c>
      <c r="B71" s="84" t="s">
        <v>132</v>
      </c>
      <c r="C71" s="85"/>
      <c r="D71" s="85" t="s">
        <v>8690</v>
      </c>
      <c r="E71" s="84" t="s">
        <v>8691</v>
      </c>
      <c r="F71" s="84"/>
      <c r="G71" s="84"/>
    </row>
    <row r="72" ht="22.5" customHeight="1">
      <c r="A72" s="84" t="s">
        <v>59</v>
      </c>
      <c r="B72" s="84" t="s">
        <v>133</v>
      </c>
      <c r="C72" s="85"/>
      <c r="D72" s="85" t="s">
        <v>8729</v>
      </c>
      <c r="E72" s="84"/>
      <c r="F72" s="84"/>
      <c r="G72" s="84"/>
    </row>
    <row r="73" ht="22.5" customHeight="1">
      <c r="A73" s="84" t="s">
        <v>140</v>
      </c>
      <c r="B73" s="84" t="s">
        <v>142</v>
      </c>
      <c r="C73" s="85"/>
      <c r="D73" s="85" t="s">
        <v>8730</v>
      </c>
      <c r="E73" s="84"/>
      <c r="F73" s="84"/>
      <c r="G73" s="84"/>
    </row>
    <row r="74" ht="22.5" customHeight="1">
      <c r="A74" s="84" t="s">
        <v>143</v>
      </c>
      <c r="B74" s="84" t="s">
        <v>144</v>
      </c>
      <c r="C74" s="85"/>
      <c r="D74" s="85" t="s">
        <v>8731</v>
      </c>
      <c r="E74" s="84"/>
      <c r="F74" s="84" t="s">
        <v>8732</v>
      </c>
      <c r="G74" s="84"/>
    </row>
    <row r="75" ht="22.5" customHeight="1">
      <c r="A75" s="84" t="s">
        <v>73</v>
      </c>
      <c r="B75" s="84" t="s">
        <v>76</v>
      </c>
      <c r="C75" s="85"/>
      <c r="D75" s="85"/>
      <c r="E75" s="84"/>
      <c r="F75" s="84"/>
      <c r="G75" s="84"/>
    </row>
    <row r="76" ht="22.5" customHeight="1">
      <c r="A76" s="84" t="s">
        <v>73</v>
      </c>
      <c r="B76" s="84" t="s">
        <v>136</v>
      </c>
      <c r="C76" s="85"/>
      <c r="D76" s="85" t="s">
        <v>8733</v>
      </c>
      <c r="E76" s="84" t="s">
        <v>8734</v>
      </c>
      <c r="F76" s="84" t="s">
        <v>8691</v>
      </c>
      <c r="G76" s="84"/>
    </row>
    <row r="77" ht="22.5" customHeight="1">
      <c r="A77" s="84" t="s">
        <v>70</v>
      </c>
      <c r="B77" s="84" t="s">
        <v>149</v>
      </c>
      <c r="C77" s="85"/>
      <c r="D77" s="85" t="s">
        <v>8735</v>
      </c>
      <c r="E77" s="84"/>
      <c r="F77" s="84"/>
      <c r="G77" s="84"/>
    </row>
    <row r="78" ht="22.5" customHeight="1">
      <c r="A78" s="84" t="s">
        <v>78</v>
      </c>
      <c r="B78" s="84" t="s">
        <v>150</v>
      </c>
      <c r="C78" s="85"/>
      <c r="D78" s="85" t="s">
        <v>8736</v>
      </c>
      <c r="E78" s="84"/>
      <c r="F78" s="84"/>
      <c r="G78" s="84"/>
    </row>
    <row r="79" ht="22.5" customHeight="1">
      <c r="A79" s="84" t="s">
        <v>44</v>
      </c>
      <c r="B79" s="84" t="s">
        <v>151</v>
      </c>
      <c r="C79" s="85"/>
      <c r="D79" s="85" t="s">
        <v>8737</v>
      </c>
      <c r="E79" s="84"/>
      <c r="F79" s="84"/>
      <c r="G79" s="84"/>
    </row>
    <row r="80" ht="22.5" customHeight="1">
      <c r="A80" s="84" t="s">
        <v>152</v>
      </c>
      <c r="B80" s="84" t="s">
        <v>153</v>
      </c>
      <c r="C80" s="85"/>
      <c r="D80" s="85" t="s">
        <v>8738</v>
      </c>
      <c r="E80" s="84"/>
      <c r="F80" s="84"/>
      <c r="G80" s="84"/>
    </row>
    <row r="81" ht="22.5" customHeight="1">
      <c r="A81" s="84" t="s">
        <v>89</v>
      </c>
      <c r="B81" s="84" t="s">
        <v>154</v>
      </c>
      <c r="C81" s="85"/>
      <c r="D81" s="85" t="s">
        <v>8739</v>
      </c>
      <c r="E81" s="84" t="s">
        <v>8740</v>
      </c>
      <c r="F81" s="84"/>
      <c r="G81" s="84"/>
    </row>
    <row r="82" ht="22.5" customHeight="1">
      <c r="A82" s="84" t="s">
        <v>89</v>
      </c>
      <c r="B82" s="84" t="s">
        <v>155</v>
      </c>
      <c r="C82" s="85"/>
      <c r="D82" s="85" t="s">
        <v>8741</v>
      </c>
      <c r="E82" s="84" t="s">
        <v>8742</v>
      </c>
      <c r="F82" s="84"/>
      <c r="G82" s="84"/>
    </row>
    <row r="83" ht="22.5" customHeight="1">
      <c r="A83" s="84" t="s">
        <v>15</v>
      </c>
      <c r="B83" s="84" t="s">
        <v>17</v>
      </c>
      <c r="C83" s="85"/>
      <c r="D83" s="85" t="s">
        <v>8743</v>
      </c>
      <c r="E83" s="84"/>
      <c r="F83" s="84"/>
      <c r="G83" s="84"/>
    </row>
    <row r="84" ht="22.5" customHeight="1">
      <c r="A84" s="84" t="s">
        <v>49</v>
      </c>
      <c r="B84" s="84" t="s">
        <v>157</v>
      </c>
      <c r="C84" s="85"/>
      <c r="D84" s="85" t="s">
        <v>8744</v>
      </c>
      <c r="E84" s="84"/>
      <c r="F84" s="84"/>
      <c r="G84" s="84"/>
    </row>
    <row r="85" ht="22.5" customHeight="1">
      <c r="A85" s="84" t="s">
        <v>62</v>
      </c>
      <c r="B85" s="84" t="s">
        <v>8745</v>
      </c>
      <c r="C85" s="85"/>
      <c r="D85" s="85"/>
      <c r="E85" s="84"/>
      <c r="F85" s="84"/>
      <c r="G85" s="84"/>
    </row>
    <row r="86" ht="22.5" customHeight="1">
      <c r="A86" s="84" t="s">
        <v>47</v>
      </c>
      <c r="B86" s="84" t="s">
        <v>158</v>
      </c>
      <c r="C86" s="85"/>
      <c r="D86" s="85" t="s">
        <v>8746</v>
      </c>
      <c r="E86" s="84"/>
      <c r="F86" s="84"/>
      <c r="G86" s="84"/>
    </row>
    <row r="87" ht="22.5" customHeight="1">
      <c r="A87" s="84" t="s">
        <v>67</v>
      </c>
      <c r="B87" s="84" t="s">
        <v>69</v>
      </c>
      <c r="C87" s="85"/>
      <c r="D87" s="85" t="s">
        <v>8747</v>
      </c>
      <c r="E87" s="84"/>
      <c r="F87" s="84"/>
      <c r="G87" s="84"/>
    </row>
    <row r="88" ht="22.5" customHeight="1">
      <c r="A88" s="84" t="s">
        <v>15</v>
      </c>
      <c r="B88" s="84" t="s">
        <v>19</v>
      </c>
      <c r="C88" s="85"/>
      <c r="D88" s="85" t="s">
        <v>8729</v>
      </c>
      <c r="E88" s="84"/>
      <c r="F88" s="84"/>
      <c r="G88" s="84"/>
    </row>
    <row r="89" ht="22.5" customHeight="1">
      <c r="A89" s="84" t="s">
        <v>164</v>
      </c>
      <c r="B89" s="84" t="s">
        <v>166</v>
      </c>
      <c r="C89" s="85"/>
      <c r="D89" s="85" t="s">
        <v>8748</v>
      </c>
      <c r="E89" s="84" t="s">
        <v>8749</v>
      </c>
      <c r="F89" s="84"/>
      <c r="G89" s="84"/>
    </row>
    <row r="90" ht="22.5" customHeight="1">
      <c r="A90" s="84" t="s">
        <v>42</v>
      </c>
      <c r="B90" s="84" t="s">
        <v>167</v>
      </c>
      <c r="C90" s="85"/>
      <c r="D90" s="85" t="s">
        <v>8750</v>
      </c>
      <c r="E90" s="84" t="s">
        <v>8751</v>
      </c>
      <c r="F90" s="84" t="s">
        <v>8752</v>
      </c>
      <c r="G90" s="84"/>
    </row>
    <row r="91" ht="22.5" customHeight="1">
      <c r="A91" s="84" t="s">
        <v>159</v>
      </c>
      <c r="B91" s="84" t="s">
        <v>162</v>
      </c>
      <c r="C91" s="85"/>
      <c r="D91" s="85" t="s">
        <v>8753</v>
      </c>
      <c r="E91" s="84" t="s">
        <v>8754</v>
      </c>
      <c r="F91" s="84" t="s">
        <v>8755</v>
      </c>
      <c r="G91" s="84"/>
    </row>
    <row r="92" ht="22.5" customHeight="1">
      <c r="A92" s="84" t="s">
        <v>168</v>
      </c>
      <c r="B92" s="84" t="s">
        <v>170</v>
      </c>
      <c r="C92" s="85"/>
      <c r="D92" s="85"/>
      <c r="E92" s="84"/>
      <c r="F92" s="84"/>
      <c r="G92" s="84"/>
    </row>
    <row r="93" ht="22.5" customHeight="1">
      <c r="A93" s="84" t="s">
        <v>47</v>
      </c>
      <c r="B93" s="84" t="s">
        <v>171</v>
      </c>
      <c r="C93" s="85"/>
      <c r="D93" s="85" t="s">
        <v>8756</v>
      </c>
      <c r="E93" s="84" t="s">
        <v>8757</v>
      </c>
      <c r="F93" s="84"/>
      <c r="G93" s="84"/>
    </row>
    <row r="94" ht="22.5" customHeight="1">
      <c r="A94" s="84" t="s">
        <v>118</v>
      </c>
      <c r="B94" s="84" t="s">
        <v>176</v>
      </c>
      <c r="C94" s="85"/>
      <c r="D94" s="85"/>
      <c r="E94" s="84"/>
      <c r="F94" s="84"/>
      <c r="G94" s="84"/>
    </row>
    <row r="95" ht="22.5" customHeight="1">
      <c r="A95" s="84" t="s">
        <v>168</v>
      </c>
      <c r="B95" s="84" t="s">
        <v>174</v>
      </c>
      <c r="C95" s="85"/>
      <c r="D95" s="85"/>
      <c r="E95" s="84"/>
      <c r="F95" s="84"/>
      <c r="G95" s="84"/>
    </row>
    <row r="96" ht="22.5" customHeight="1">
      <c r="A96" s="84" t="s">
        <v>181</v>
      </c>
      <c r="B96" s="84" t="s">
        <v>183</v>
      </c>
      <c r="C96" s="85"/>
      <c r="D96" s="85" t="s">
        <v>8758</v>
      </c>
      <c r="E96" s="84"/>
      <c r="F96" s="84"/>
      <c r="G96" s="84"/>
    </row>
    <row r="97" ht="22.5" customHeight="1">
      <c r="A97" s="84"/>
      <c r="B97" s="84"/>
      <c r="C97" s="85"/>
      <c r="D97" s="85"/>
      <c r="E97" s="84"/>
      <c r="F97" s="84"/>
      <c r="G97" s="84"/>
    </row>
    <row r="98" ht="22.5" customHeight="1">
      <c r="A98" s="84"/>
      <c r="B98" s="84"/>
      <c r="C98" s="85"/>
      <c r="D98" s="85"/>
      <c r="E98" s="84"/>
      <c r="F98" s="84"/>
      <c r="G98" s="84"/>
    </row>
    <row r="99" ht="22.5" customHeight="1">
      <c r="A99" s="84"/>
      <c r="B99" s="84"/>
      <c r="C99" s="85"/>
      <c r="D99" s="85"/>
      <c r="E99" s="84"/>
      <c r="F99" s="84"/>
      <c r="G99" s="84"/>
    </row>
    <row r="100" ht="22.5" customHeight="1">
      <c r="A100" s="84"/>
      <c r="B100" s="84"/>
      <c r="C100" s="85"/>
      <c r="D100" s="85"/>
      <c r="E100" s="84"/>
      <c r="F100" s="84"/>
      <c r="G100" s="84"/>
    </row>
    <row r="101" ht="22.5" customHeight="1">
      <c r="A101" s="84"/>
      <c r="B101" s="84"/>
      <c r="C101" s="85"/>
      <c r="D101" s="85"/>
      <c r="E101" s="84"/>
      <c r="F101" s="84"/>
      <c r="G101" s="84"/>
    </row>
    <row r="102" ht="22.5" customHeight="1">
      <c r="A102" s="84"/>
      <c r="B102" s="84"/>
      <c r="C102" s="85"/>
      <c r="D102" s="85"/>
      <c r="E102" s="84"/>
      <c r="F102" s="84"/>
      <c r="G102" s="84"/>
    </row>
    <row r="103" ht="22.5" customHeight="1">
      <c r="A103" s="84"/>
      <c r="B103" s="84"/>
      <c r="C103" s="85"/>
      <c r="D103" s="85"/>
      <c r="E103" s="84"/>
      <c r="F103" s="84"/>
      <c r="G103" s="84"/>
    </row>
    <row r="104" ht="22.5" customHeight="1">
      <c r="A104" s="84"/>
      <c r="B104" s="84"/>
      <c r="C104" s="85"/>
      <c r="D104" s="85"/>
      <c r="E104" s="84"/>
      <c r="F104" s="84"/>
      <c r="G104" s="84"/>
    </row>
    <row r="105" ht="22.5" customHeight="1">
      <c r="A105" s="84"/>
      <c r="B105" s="84"/>
      <c r="C105" s="85"/>
      <c r="D105" s="85"/>
      <c r="E105" s="84"/>
      <c r="F105" s="84"/>
      <c r="G105" s="84"/>
    </row>
    <row r="106" ht="22.5" customHeight="1">
      <c r="A106" s="84"/>
      <c r="B106" s="84"/>
      <c r="C106" s="85"/>
      <c r="D106" s="85"/>
      <c r="E106" s="84"/>
      <c r="F106" s="84"/>
      <c r="G106" s="84"/>
    </row>
    <row r="107" ht="22.5" customHeight="1">
      <c r="A107" s="84"/>
      <c r="B107" s="84"/>
      <c r="C107" s="85"/>
      <c r="D107" s="85"/>
      <c r="E107" s="84"/>
      <c r="F107" s="84"/>
      <c r="G107" s="84"/>
    </row>
    <row r="108" ht="22.5" customHeight="1">
      <c r="A108" s="84"/>
      <c r="B108" s="84"/>
      <c r="C108" s="85"/>
      <c r="D108" s="85"/>
      <c r="E108" s="84"/>
      <c r="F108" s="84"/>
      <c r="G108" s="84"/>
    </row>
    <row r="109" ht="22.5" customHeight="1">
      <c r="A109" s="84"/>
      <c r="B109" s="84"/>
      <c r="C109" s="85"/>
      <c r="D109" s="85"/>
      <c r="E109" s="84"/>
      <c r="F109" s="84"/>
      <c r="G109" s="84"/>
    </row>
    <row r="110" ht="22.5" customHeight="1">
      <c r="A110" s="84"/>
      <c r="B110" s="84"/>
      <c r="C110" s="85"/>
      <c r="D110" s="85"/>
      <c r="E110" s="84"/>
      <c r="F110" s="84"/>
      <c r="G110" s="84"/>
    </row>
    <row r="111" ht="22.5" customHeight="1">
      <c r="A111" s="84"/>
      <c r="B111" s="84"/>
      <c r="C111" s="85"/>
      <c r="D111" s="85"/>
      <c r="E111" s="84"/>
      <c r="F111" s="84"/>
      <c r="G111" s="84"/>
    </row>
    <row r="112" ht="22.5" customHeight="1">
      <c r="A112" s="84"/>
      <c r="B112" s="84"/>
      <c r="C112" s="85"/>
      <c r="D112" s="85"/>
      <c r="E112" s="84"/>
      <c r="F112" s="84"/>
      <c r="G112" s="84"/>
    </row>
    <row r="113" ht="22.5" customHeight="1">
      <c r="A113" s="84"/>
      <c r="B113" s="84"/>
      <c r="C113" s="85"/>
      <c r="D113" s="85"/>
      <c r="E113" s="84"/>
      <c r="F113" s="84"/>
      <c r="G113" s="84"/>
    </row>
    <row r="114" ht="22.5" customHeight="1">
      <c r="A114" s="84"/>
      <c r="B114" s="84"/>
      <c r="C114" s="85"/>
      <c r="D114" s="85"/>
      <c r="E114" s="84"/>
      <c r="F114" s="84"/>
      <c r="G114" s="84"/>
    </row>
    <row r="115" ht="22.5" customHeight="1">
      <c r="A115" s="84"/>
      <c r="B115" s="84"/>
      <c r="C115" s="85"/>
      <c r="D115" s="85"/>
      <c r="E115" s="84"/>
      <c r="F115" s="84"/>
      <c r="G115" s="84"/>
    </row>
    <row r="116" ht="22.5" customHeight="1">
      <c r="A116" s="84"/>
      <c r="B116" s="84"/>
      <c r="C116" s="85"/>
      <c r="D116" s="85"/>
      <c r="E116" s="84"/>
      <c r="F116" s="84"/>
      <c r="G116" s="84"/>
    </row>
    <row r="117" ht="22.5" customHeight="1">
      <c r="A117" s="84"/>
      <c r="B117" s="84"/>
      <c r="C117" s="85"/>
      <c r="D117" s="85"/>
      <c r="E117" s="84"/>
      <c r="F117" s="84"/>
      <c r="G117" s="84"/>
    </row>
    <row r="118" ht="22.5" customHeight="1">
      <c r="A118" s="84"/>
      <c r="B118" s="84"/>
      <c r="C118" s="85"/>
      <c r="D118" s="85"/>
      <c r="E118" s="84"/>
      <c r="F118" s="84"/>
      <c r="G118" s="84"/>
    </row>
    <row r="119" ht="22.5" customHeight="1">
      <c r="A119" s="84"/>
      <c r="B119" s="84"/>
      <c r="C119" s="85"/>
      <c r="D119" s="85"/>
      <c r="E119" s="84"/>
      <c r="F119" s="84"/>
      <c r="G119" s="84"/>
    </row>
    <row r="120" ht="22.5" customHeight="1">
      <c r="A120" s="84"/>
      <c r="B120" s="84"/>
      <c r="C120" s="85"/>
      <c r="D120" s="85"/>
      <c r="E120" s="84"/>
      <c r="F120" s="84"/>
      <c r="G120" s="84"/>
    </row>
    <row r="121" ht="22.5" customHeight="1">
      <c r="A121" s="84"/>
      <c r="B121" s="84"/>
      <c r="C121" s="85"/>
      <c r="D121" s="85"/>
      <c r="E121" s="84"/>
      <c r="F121" s="84"/>
      <c r="G121" s="84"/>
    </row>
    <row r="122" ht="22.5" customHeight="1">
      <c r="A122" s="84"/>
      <c r="B122" s="84"/>
      <c r="C122" s="85"/>
      <c r="D122" s="85"/>
      <c r="E122" s="84"/>
      <c r="F122" s="84"/>
      <c r="G122" s="84"/>
    </row>
    <row r="123" ht="22.5" customHeight="1">
      <c r="A123" s="84"/>
      <c r="B123" s="84"/>
      <c r="C123" s="85"/>
      <c r="D123" s="85"/>
      <c r="E123" s="84"/>
      <c r="F123" s="84"/>
      <c r="G123" s="84"/>
    </row>
    <row r="124" ht="22.5" customHeight="1">
      <c r="A124" s="84"/>
      <c r="B124" s="84"/>
      <c r="C124" s="85"/>
      <c r="D124" s="85"/>
      <c r="E124" s="84"/>
      <c r="F124" s="84"/>
      <c r="G124" s="84"/>
    </row>
    <row r="125" ht="22.5" customHeight="1">
      <c r="A125" s="84"/>
      <c r="B125" s="84"/>
      <c r="C125" s="85"/>
      <c r="D125" s="85"/>
      <c r="E125" s="84"/>
      <c r="F125" s="84"/>
      <c r="G125" s="84"/>
    </row>
    <row r="126" ht="22.5" customHeight="1">
      <c r="A126" s="84"/>
      <c r="B126" s="84"/>
      <c r="C126" s="85"/>
      <c r="D126" s="85"/>
      <c r="E126" s="84"/>
      <c r="F126" s="84"/>
      <c r="G126" s="84"/>
    </row>
    <row r="127" ht="22.5" customHeight="1">
      <c r="A127" s="84"/>
      <c r="B127" s="84"/>
      <c r="C127" s="85"/>
      <c r="D127" s="85"/>
      <c r="E127" s="84"/>
      <c r="F127" s="84"/>
      <c r="G127" s="84"/>
    </row>
    <row r="128" ht="22.5" customHeight="1">
      <c r="A128" s="84"/>
      <c r="B128" s="84"/>
      <c r="C128" s="85"/>
      <c r="D128" s="85"/>
      <c r="E128" s="84"/>
      <c r="F128" s="84"/>
      <c r="G128" s="84"/>
    </row>
    <row r="129" ht="22.5" customHeight="1">
      <c r="A129" s="84"/>
      <c r="B129" s="84"/>
      <c r="C129" s="85"/>
      <c r="D129" s="85"/>
      <c r="E129" s="84"/>
      <c r="F129" s="84"/>
      <c r="G129" s="84"/>
    </row>
    <row r="130" ht="22.5" customHeight="1">
      <c r="A130" s="84"/>
      <c r="B130" s="84"/>
      <c r="C130" s="85"/>
      <c r="D130" s="85"/>
      <c r="E130" s="84"/>
      <c r="F130" s="84"/>
      <c r="G130" s="84"/>
    </row>
    <row r="131" ht="22.5" customHeight="1">
      <c r="A131" s="84"/>
      <c r="B131" s="84"/>
      <c r="C131" s="85"/>
      <c r="D131" s="85"/>
      <c r="E131" s="84"/>
      <c r="F131" s="84"/>
      <c r="G131" s="84"/>
    </row>
    <row r="132" ht="22.5" customHeight="1">
      <c r="A132" s="84"/>
      <c r="B132" s="84"/>
      <c r="C132" s="85"/>
      <c r="D132" s="85"/>
      <c r="E132" s="84"/>
      <c r="F132" s="84"/>
      <c r="G132" s="84"/>
    </row>
    <row r="133" ht="22.5" customHeight="1">
      <c r="A133" s="84"/>
      <c r="B133" s="84"/>
      <c r="C133" s="85"/>
      <c r="D133" s="85"/>
      <c r="E133" s="84"/>
      <c r="F133" s="84"/>
      <c r="G133" s="84"/>
    </row>
    <row r="134" ht="22.5" customHeight="1">
      <c r="A134" s="84"/>
      <c r="B134" s="84"/>
      <c r="C134" s="85"/>
      <c r="D134" s="85"/>
      <c r="E134" s="84"/>
      <c r="F134" s="84"/>
      <c r="G134" s="84"/>
    </row>
    <row r="135" ht="22.5" customHeight="1">
      <c r="A135" s="84"/>
      <c r="B135" s="84"/>
      <c r="C135" s="85"/>
      <c r="D135" s="85"/>
      <c r="E135" s="84"/>
      <c r="F135" s="84"/>
      <c r="G135" s="84"/>
    </row>
    <row r="136" ht="22.5" customHeight="1">
      <c r="A136" s="84"/>
      <c r="B136" s="84"/>
      <c r="C136" s="85"/>
      <c r="D136" s="85"/>
      <c r="E136" s="84"/>
      <c r="F136" s="84"/>
      <c r="G136" s="84"/>
    </row>
    <row r="137" ht="22.5" customHeight="1">
      <c r="A137" s="84"/>
      <c r="B137" s="84"/>
      <c r="C137" s="85"/>
      <c r="D137" s="85"/>
      <c r="E137" s="84"/>
      <c r="F137" s="84"/>
      <c r="G137" s="84"/>
    </row>
    <row r="138" ht="22.5" customHeight="1">
      <c r="A138" s="84"/>
      <c r="B138" s="84"/>
      <c r="C138" s="85"/>
      <c r="D138" s="85"/>
      <c r="E138" s="84"/>
      <c r="F138" s="84"/>
      <c r="G138" s="84"/>
    </row>
    <row r="139" ht="22.5" customHeight="1">
      <c r="A139" s="84"/>
      <c r="B139" s="84"/>
      <c r="C139" s="85"/>
      <c r="D139" s="85"/>
      <c r="E139" s="84"/>
      <c r="F139" s="84"/>
      <c r="G139" s="84"/>
    </row>
    <row r="140" ht="22.5" customHeight="1">
      <c r="A140" s="84"/>
      <c r="B140" s="84"/>
      <c r="C140" s="85"/>
      <c r="D140" s="85"/>
      <c r="E140" s="84"/>
      <c r="F140" s="84"/>
      <c r="G140" s="84"/>
    </row>
    <row r="141" ht="22.5" customHeight="1">
      <c r="A141" s="84"/>
      <c r="B141" s="84"/>
      <c r="C141" s="85"/>
      <c r="D141" s="85"/>
      <c r="E141" s="84"/>
      <c r="F141" s="84"/>
      <c r="G141" s="84"/>
    </row>
    <row r="142" ht="22.5" customHeight="1">
      <c r="A142" s="84"/>
      <c r="B142" s="84"/>
      <c r="C142" s="85"/>
      <c r="D142" s="85"/>
      <c r="E142" s="84"/>
      <c r="F142" s="84"/>
      <c r="G142" s="84"/>
    </row>
    <row r="143" ht="22.5" customHeight="1">
      <c r="A143" s="84"/>
      <c r="B143" s="84"/>
      <c r="C143" s="85"/>
      <c r="D143" s="85"/>
      <c r="E143" s="84"/>
      <c r="F143" s="84"/>
      <c r="G143" s="84"/>
    </row>
    <row r="144" ht="22.5" customHeight="1">
      <c r="A144" s="84"/>
      <c r="B144" s="84"/>
      <c r="C144" s="85"/>
      <c r="D144" s="85"/>
      <c r="E144" s="84"/>
      <c r="F144" s="84"/>
      <c r="G144" s="84"/>
    </row>
    <row r="145" ht="22.5" customHeight="1">
      <c r="A145" s="84"/>
      <c r="B145" s="84"/>
      <c r="C145" s="85"/>
      <c r="D145" s="85"/>
      <c r="E145" s="84"/>
      <c r="F145" s="84"/>
      <c r="G145" s="84"/>
    </row>
    <row r="146" ht="22.5" customHeight="1">
      <c r="A146" s="84"/>
      <c r="B146" s="84"/>
      <c r="C146" s="85"/>
      <c r="D146" s="85"/>
      <c r="E146" s="84"/>
      <c r="F146" s="84"/>
      <c r="G146" s="84"/>
    </row>
    <row r="147" ht="22.5" customHeight="1">
      <c r="A147" s="84"/>
      <c r="B147" s="84"/>
      <c r="C147" s="85"/>
      <c r="D147" s="85"/>
      <c r="E147" s="84"/>
      <c r="F147" s="84"/>
      <c r="G147" s="84"/>
    </row>
    <row r="148" ht="22.5" customHeight="1">
      <c r="A148" s="84"/>
      <c r="B148" s="84"/>
      <c r="C148" s="85"/>
      <c r="D148" s="85"/>
      <c r="E148" s="84"/>
      <c r="F148" s="84"/>
      <c r="G148" s="84"/>
    </row>
    <row r="149" ht="22.5" customHeight="1">
      <c r="A149" s="84"/>
      <c r="B149" s="84"/>
      <c r="C149" s="85"/>
      <c r="D149" s="85"/>
      <c r="E149" s="84"/>
      <c r="F149" s="84"/>
      <c r="G149" s="84"/>
    </row>
    <row r="150" ht="22.5" customHeight="1">
      <c r="A150" s="84"/>
      <c r="B150" s="84"/>
      <c r="C150" s="85"/>
      <c r="D150" s="85"/>
      <c r="E150" s="84"/>
      <c r="F150" s="84"/>
      <c r="G150" s="84"/>
    </row>
    <row r="151" ht="22.5" customHeight="1">
      <c r="A151" s="84"/>
      <c r="B151" s="84"/>
      <c r="C151" s="85"/>
      <c r="D151" s="85"/>
      <c r="E151" s="84"/>
      <c r="F151" s="84"/>
      <c r="G151" s="84"/>
    </row>
    <row r="152" ht="22.5" customHeight="1">
      <c r="A152" s="84"/>
      <c r="B152" s="84"/>
      <c r="C152" s="85"/>
      <c r="D152" s="85"/>
      <c r="E152" s="84"/>
      <c r="F152" s="84"/>
      <c r="G152" s="84"/>
    </row>
    <row r="153" ht="22.5" customHeight="1">
      <c r="A153" s="84"/>
      <c r="B153" s="84"/>
      <c r="C153" s="85"/>
      <c r="D153" s="85"/>
      <c r="E153" s="84"/>
      <c r="F153" s="84"/>
      <c r="G153" s="84"/>
    </row>
    <row r="154" ht="22.5" customHeight="1">
      <c r="A154" s="84"/>
      <c r="B154" s="84"/>
      <c r="C154" s="85"/>
      <c r="D154" s="85"/>
      <c r="E154" s="84"/>
      <c r="F154" s="84"/>
      <c r="G154" s="84"/>
    </row>
    <row r="155" ht="22.5" customHeight="1">
      <c r="A155" s="84"/>
      <c r="B155" s="84"/>
      <c r="C155" s="85"/>
      <c r="D155" s="85"/>
      <c r="E155" s="84"/>
      <c r="F155" s="84"/>
      <c r="G155" s="84"/>
    </row>
    <row r="156" ht="22.5" customHeight="1">
      <c r="A156" s="84"/>
      <c r="B156" s="84"/>
      <c r="C156" s="85"/>
      <c r="D156" s="85"/>
      <c r="E156" s="84"/>
      <c r="F156" s="84"/>
      <c r="G156" s="84"/>
    </row>
    <row r="157" ht="22.5" customHeight="1">
      <c r="A157" s="84"/>
      <c r="B157" s="84"/>
      <c r="C157" s="85"/>
      <c r="D157" s="85"/>
      <c r="E157" s="84"/>
      <c r="F157" s="84"/>
      <c r="G157" s="84"/>
    </row>
    <row r="158" ht="22.5" customHeight="1">
      <c r="A158" s="84"/>
      <c r="B158" s="84"/>
      <c r="C158" s="85"/>
      <c r="D158" s="85"/>
      <c r="E158" s="84"/>
      <c r="F158" s="84"/>
      <c r="G158" s="84"/>
    </row>
    <row r="159" ht="22.5" customHeight="1">
      <c r="A159" s="84"/>
      <c r="B159" s="84"/>
      <c r="C159" s="85"/>
      <c r="D159" s="85"/>
      <c r="E159" s="84"/>
      <c r="F159" s="84"/>
      <c r="G159" s="84"/>
    </row>
    <row r="160" ht="22.5" customHeight="1">
      <c r="A160" s="84"/>
      <c r="B160" s="84"/>
      <c r="C160" s="85"/>
      <c r="D160" s="85"/>
      <c r="E160" s="84"/>
      <c r="F160" s="84"/>
      <c r="G160" s="84"/>
    </row>
    <row r="161" ht="22.5" customHeight="1">
      <c r="A161" s="84"/>
      <c r="B161" s="84"/>
      <c r="C161" s="85"/>
      <c r="D161" s="85"/>
      <c r="E161" s="84"/>
      <c r="F161" s="84"/>
      <c r="G161" s="84"/>
    </row>
    <row r="162" ht="22.5" customHeight="1">
      <c r="A162" s="84"/>
      <c r="B162" s="84"/>
      <c r="C162" s="85"/>
      <c r="D162" s="85"/>
      <c r="E162" s="84"/>
      <c r="F162" s="84"/>
      <c r="G162" s="84"/>
    </row>
    <row r="163" ht="22.5" customHeight="1">
      <c r="A163" s="84"/>
      <c r="B163" s="84"/>
      <c r="C163" s="85"/>
      <c r="D163" s="85"/>
      <c r="E163" s="84"/>
      <c r="F163" s="84"/>
      <c r="G163" s="84"/>
    </row>
    <row r="164" ht="22.5" customHeight="1">
      <c r="A164" s="84"/>
      <c r="B164" s="84"/>
      <c r="C164" s="85"/>
      <c r="D164" s="85"/>
      <c r="E164" s="84"/>
      <c r="F164" s="84"/>
      <c r="G164" s="84"/>
    </row>
    <row r="165" ht="22.5" customHeight="1">
      <c r="A165" s="84"/>
      <c r="B165" s="84"/>
      <c r="C165" s="85"/>
      <c r="D165" s="85"/>
      <c r="E165" s="84"/>
      <c r="F165" s="84"/>
      <c r="G165" s="84"/>
    </row>
    <row r="166" ht="22.5" customHeight="1">
      <c r="A166" s="84"/>
      <c r="B166" s="84"/>
      <c r="C166" s="85"/>
      <c r="D166" s="85"/>
      <c r="E166" s="84"/>
      <c r="F166" s="84"/>
      <c r="G166" s="84"/>
    </row>
    <row r="167" ht="22.5" customHeight="1">
      <c r="A167" s="84"/>
      <c r="B167" s="84"/>
      <c r="C167" s="85"/>
      <c r="D167" s="85"/>
      <c r="E167" s="84"/>
      <c r="F167" s="84"/>
      <c r="G167" s="84"/>
    </row>
    <row r="168" ht="22.5" customHeight="1">
      <c r="A168" s="84"/>
      <c r="B168" s="84"/>
      <c r="C168" s="85"/>
      <c r="D168" s="85"/>
      <c r="E168" s="84"/>
      <c r="F168" s="84"/>
      <c r="G168" s="84"/>
    </row>
    <row r="169" ht="22.5" customHeight="1">
      <c r="A169" s="84"/>
      <c r="B169" s="84"/>
      <c r="C169" s="85"/>
      <c r="D169" s="85"/>
      <c r="E169" s="84"/>
      <c r="F169" s="84"/>
      <c r="G169" s="84"/>
    </row>
    <row r="170" ht="22.5" customHeight="1">
      <c r="A170" s="84"/>
      <c r="B170" s="84"/>
      <c r="C170" s="85"/>
      <c r="D170" s="85"/>
      <c r="E170" s="84"/>
      <c r="F170" s="84"/>
      <c r="G170" s="84"/>
    </row>
    <row r="171" ht="22.5" customHeight="1">
      <c r="A171" s="84"/>
      <c r="B171" s="84"/>
      <c r="C171" s="85"/>
      <c r="D171" s="85"/>
      <c r="E171" s="84"/>
      <c r="F171" s="84"/>
      <c r="G171" s="84"/>
    </row>
    <row r="172" ht="22.5" customHeight="1">
      <c r="A172" s="84"/>
      <c r="B172" s="84"/>
      <c r="C172" s="85"/>
      <c r="D172" s="85"/>
      <c r="E172" s="84"/>
      <c r="F172" s="84"/>
      <c r="G172" s="84"/>
    </row>
    <row r="173" ht="22.5" customHeight="1">
      <c r="A173" s="84"/>
      <c r="B173" s="84"/>
      <c r="C173" s="85"/>
      <c r="D173" s="85"/>
      <c r="E173" s="84"/>
      <c r="F173" s="84"/>
      <c r="G173" s="84"/>
    </row>
    <row r="174" ht="22.5" customHeight="1">
      <c r="A174" s="84"/>
      <c r="B174" s="84"/>
      <c r="C174" s="85"/>
      <c r="D174" s="85"/>
      <c r="E174" s="84"/>
      <c r="F174" s="84"/>
      <c r="G174" s="84"/>
    </row>
    <row r="175" ht="22.5" customHeight="1">
      <c r="A175" s="84"/>
      <c r="B175" s="84"/>
      <c r="C175" s="85"/>
      <c r="D175" s="85"/>
      <c r="E175" s="84"/>
      <c r="F175" s="84"/>
      <c r="G175" s="84"/>
    </row>
    <row r="176" ht="22.5" customHeight="1">
      <c r="A176" s="84"/>
      <c r="B176" s="84"/>
      <c r="C176" s="85"/>
      <c r="D176" s="85"/>
      <c r="E176" s="84"/>
      <c r="F176" s="84"/>
      <c r="G176" s="84"/>
    </row>
    <row r="177" ht="22.5" customHeight="1">
      <c r="A177" s="84"/>
      <c r="B177" s="84"/>
      <c r="C177" s="85"/>
      <c r="D177" s="85"/>
      <c r="E177" s="84"/>
      <c r="F177" s="84"/>
      <c r="G177" s="84"/>
    </row>
    <row r="178" ht="22.5" customHeight="1">
      <c r="A178" s="84"/>
      <c r="B178" s="84"/>
      <c r="C178" s="85"/>
      <c r="D178" s="85"/>
      <c r="E178" s="84"/>
      <c r="F178" s="84"/>
      <c r="G178" s="84"/>
    </row>
    <row r="179" ht="22.5" customHeight="1">
      <c r="A179" s="84"/>
      <c r="B179" s="84"/>
      <c r="C179" s="85"/>
      <c r="D179" s="85"/>
      <c r="E179" s="84"/>
      <c r="F179" s="84"/>
      <c r="G179" s="84"/>
    </row>
    <row r="180" ht="22.5" customHeight="1">
      <c r="A180" s="84"/>
      <c r="B180" s="84"/>
      <c r="C180" s="85"/>
      <c r="D180" s="85"/>
      <c r="E180" s="84"/>
      <c r="F180" s="84"/>
      <c r="G180" s="84"/>
    </row>
    <row r="181" ht="22.5" customHeight="1">
      <c r="A181" s="84"/>
      <c r="B181" s="84"/>
      <c r="C181" s="85"/>
      <c r="D181" s="85"/>
      <c r="E181" s="84"/>
      <c r="F181" s="84"/>
      <c r="G181" s="84"/>
    </row>
    <row r="182" ht="22.5" customHeight="1">
      <c r="A182" s="84"/>
      <c r="B182" s="84"/>
      <c r="C182" s="85"/>
      <c r="D182" s="85"/>
      <c r="E182" s="84"/>
      <c r="F182" s="84"/>
      <c r="G182" s="84"/>
    </row>
    <row r="183" ht="22.5" customHeight="1">
      <c r="A183" s="84"/>
      <c r="B183" s="84"/>
      <c r="C183" s="85"/>
      <c r="D183" s="85"/>
      <c r="E183" s="84"/>
      <c r="F183" s="84"/>
      <c r="G183" s="84"/>
    </row>
    <row r="184" ht="22.5" customHeight="1">
      <c r="A184" s="84"/>
      <c r="B184" s="84"/>
      <c r="C184" s="85"/>
      <c r="D184" s="85"/>
      <c r="E184" s="84"/>
      <c r="F184" s="84"/>
      <c r="G184" s="84"/>
    </row>
    <row r="185" ht="22.5" customHeight="1">
      <c r="A185" s="84"/>
      <c r="B185" s="84"/>
      <c r="C185" s="85"/>
      <c r="D185" s="85"/>
      <c r="E185" s="84"/>
      <c r="F185" s="84"/>
      <c r="G185" s="84"/>
    </row>
    <row r="186" ht="22.5" customHeight="1">
      <c r="A186" s="84"/>
      <c r="B186" s="84"/>
      <c r="C186" s="85"/>
      <c r="D186" s="85"/>
      <c r="E186" s="84"/>
      <c r="F186" s="84"/>
      <c r="G186" s="84"/>
    </row>
    <row r="187" ht="22.5" customHeight="1">
      <c r="A187" s="84"/>
      <c r="B187" s="84"/>
      <c r="C187" s="85"/>
      <c r="D187" s="85"/>
      <c r="E187" s="84"/>
      <c r="F187" s="84"/>
      <c r="G187" s="84"/>
    </row>
    <row r="188" ht="22.5" customHeight="1">
      <c r="A188" s="84"/>
      <c r="B188" s="84"/>
      <c r="C188" s="85"/>
      <c r="D188" s="85"/>
      <c r="E188" s="84"/>
      <c r="F188" s="84"/>
      <c r="G188" s="84"/>
    </row>
    <row r="189" ht="22.5" customHeight="1">
      <c r="A189" s="84"/>
      <c r="B189" s="84"/>
      <c r="C189" s="85"/>
      <c r="D189" s="85"/>
      <c r="E189" s="84"/>
      <c r="F189" s="84"/>
      <c r="G189" s="84"/>
    </row>
    <row r="190" ht="22.5" customHeight="1">
      <c r="A190" s="84"/>
      <c r="B190" s="84"/>
      <c r="C190" s="85"/>
      <c r="D190" s="85"/>
      <c r="E190" s="84"/>
      <c r="F190" s="84"/>
      <c r="G190" s="84"/>
    </row>
    <row r="191" ht="22.5" customHeight="1">
      <c r="A191" s="84"/>
      <c r="B191" s="84"/>
      <c r="C191" s="85"/>
      <c r="D191" s="85"/>
      <c r="E191" s="84"/>
      <c r="F191" s="84"/>
      <c r="G191" s="84"/>
    </row>
    <row r="192" ht="22.5" customHeight="1">
      <c r="A192" s="84"/>
      <c r="B192" s="84"/>
      <c r="C192" s="85"/>
      <c r="D192" s="85"/>
      <c r="E192" s="84"/>
      <c r="F192" s="84"/>
      <c r="G192" s="84"/>
    </row>
    <row r="193" ht="22.5" customHeight="1">
      <c r="A193" s="84"/>
      <c r="B193" s="84"/>
      <c r="C193" s="85"/>
      <c r="D193" s="85"/>
      <c r="E193" s="84"/>
      <c r="F193" s="84"/>
      <c r="G193" s="84"/>
    </row>
    <row r="194" ht="22.5" customHeight="1">
      <c r="A194" s="84"/>
      <c r="B194" s="84"/>
      <c r="C194" s="85"/>
      <c r="D194" s="85"/>
      <c r="E194" s="84"/>
      <c r="F194" s="84"/>
      <c r="G194" s="84"/>
    </row>
    <row r="195" ht="22.5" customHeight="1">
      <c r="A195" s="84"/>
      <c r="B195" s="84"/>
      <c r="C195" s="85"/>
      <c r="D195" s="85"/>
      <c r="E195" s="84"/>
      <c r="F195" s="84"/>
      <c r="G195" s="84"/>
    </row>
    <row r="196" ht="22.5" customHeight="1">
      <c r="A196" s="84"/>
      <c r="B196" s="84"/>
      <c r="C196" s="85"/>
      <c r="D196" s="85"/>
      <c r="E196" s="84"/>
      <c r="F196" s="84"/>
      <c r="G196" s="84"/>
    </row>
    <row r="197" ht="22.5" customHeight="1">
      <c r="A197" s="84"/>
      <c r="B197" s="84"/>
      <c r="C197" s="85"/>
      <c r="D197" s="85"/>
      <c r="E197" s="84"/>
      <c r="F197" s="84"/>
      <c r="G197" s="84"/>
    </row>
    <row r="198" ht="22.5" customHeight="1">
      <c r="A198" s="84"/>
      <c r="B198" s="84"/>
      <c r="C198" s="85"/>
      <c r="D198" s="85"/>
      <c r="E198" s="84"/>
      <c r="F198" s="84"/>
      <c r="G198" s="84"/>
    </row>
    <row r="199" ht="22.5" customHeight="1">
      <c r="A199" s="84"/>
      <c r="B199" s="84"/>
      <c r="C199" s="85"/>
      <c r="D199" s="85"/>
      <c r="E199" s="84"/>
      <c r="F199" s="84"/>
      <c r="G199" s="84"/>
    </row>
    <row r="200" ht="22.5" customHeight="1">
      <c r="A200" s="84"/>
      <c r="B200" s="84"/>
      <c r="C200" s="85"/>
      <c r="D200" s="85"/>
      <c r="E200" s="84"/>
      <c r="F200" s="84"/>
      <c r="G200" s="84"/>
    </row>
    <row r="201" ht="22.5" customHeight="1">
      <c r="A201" s="84"/>
      <c r="B201" s="84"/>
      <c r="C201" s="85"/>
      <c r="D201" s="85"/>
      <c r="E201" s="84"/>
      <c r="F201" s="84"/>
      <c r="G201" s="84"/>
    </row>
    <row r="202" ht="22.5" customHeight="1">
      <c r="A202" s="84"/>
      <c r="B202" s="84"/>
      <c r="C202" s="85"/>
      <c r="D202" s="85"/>
      <c r="E202" s="84"/>
      <c r="F202" s="84"/>
      <c r="G202" s="84"/>
    </row>
    <row r="203" ht="22.5" customHeight="1">
      <c r="A203" s="84"/>
      <c r="B203" s="84"/>
      <c r="C203" s="85"/>
      <c r="D203" s="85"/>
      <c r="E203" s="84"/>
      <c r="F203" s="84"/>
      <c r="G203" s="84"/>
    </row>
    <row r="204" ht="22.5" customHeight="1">
      <c r="A204" s="84"/>
      <c r="B204" s="84"/>
      <c r="C204" s="85"/>
      <c r="D204" s="85"/>
      <c r="E204" s="84"/>
      <c r="F204" s="84"/>
      <c r="G204" s="84"/>
    </row>
    <row r="205" ht="22.5" customHeight="1">
      <c r="A205" s="84"/>
      <c r="B205" s="84"/>
      <c r="C205" s="85"/>
      <c r="D205" s="85"/>
      <c r="E205" s="84"/>
      <c r="F205" s="84"/>
      <c r="G205" s="84"/>
    </row>
    <row r="206" ht="22.5" customHeight="1">
      <c r="A206" s="84"/>
      <c r="B206" s="84"/>
      <c r="C206" s="85"/>
      <c r="D206" s="85"/>
      <c r="E206" s="84"/>
      <c r="F206" s="84"/>
      <c r="G206" s="84"/>
    </row>
    <row r="207" ht="22.5" customHeight="1">
      <c r="A207" s="84"/>
      <c r="B207" s="84"/>
      <c r="C207" s="85"/>
      <c r="D207" s="85"/>
      <c r="E207" s="84"/>
      <c r="F207" s="84"/>
      <c r="G207" s="84"/>
    </row>
    <row r="208" ht="22.5" customHeight="1">
      <c r="A208" s="84"/>
      <c r="B208" s="84"/>
      <c r="C208" s="85"/>
      <c r="D208" s="85"/>
      <c r="E208" s="84"/>
      <c r="F208" s="84"/>
      <c r="G208" s="84"/>
    </row>
    <row r="209" ht="22.5" customHeight="1">
      <c r="A209" s="84"/>
      <c r="B209" s="84"/>
      <c r="C209" s="85"/>
      <c r="D209" s="85"/>
      <c r="E209" s="84"/>
      <c r="F209" s="84"/>
      <c r="G209" s="84"/>
    </row>
    <row r="210" ht="22.5" customHeight="1">
      <c r="A210" s="84"/>
      <c r="B210" s="84"/>
      <c r="C210" s="85"/>
      <c r="D210" s="85"/>
      <c r="E210" s="84"/>
      <c r="F210" s="84"/>
      <c r="G210" s="84"/>
    </row>
    <row r="211" ht="22.5" customHeight="1">
      <c r="A211" s="84"/>
      <c r="B211" s="84"/>
      <c r="C211" s="85"/>
      <c r="D211" s="85"/>
      <c r="E211" s="84"/>
      <c r="F211" s="84"/>
      <c r="G211" s="84"/>
    </row>
    <row r="212" ht="22.5" customHeight="1">
      <c r="A212" s="84"/>
      <c r="B212" s="84"/>
      <c r="C212" s="85"/>
      <c r="D212" s="85"/>
      <c r="E212" s="84"/>
      <c r="F212" s="84"/>
      <c r="G212" s="84"/>
    </row>
    <row r="213" ht="22.5" customHeight="1">
      <c r="A213" s="84"/>
      <c r="B213" s="84"/>
      <c r="C213" s="85"/>
      <c r="D213" s="85"/>
      <c r="E213" s="84"/>
      <c r="F213" s="84"/>
      <c r="G213" s="84"/>
    </row>
    <row r="214" ht="22.5" customHeight="1">
      <c r="A214" s="84"/>
      <c r="B214" s="84"/>
      <c r="C214" s="85"/>
      <c r="D214" s="85"/>
      <c r="E214" s="84"/>
      <c r="F214" s="84"/>
      <c r="G214" s="84"/>
    </row>
    <row r="215" ht="22.5" customHeight="1">
      <c r="A215" s="84"/>
      <c r="B215" s="84"/>
      <c r="C215" s="85"/>
      <c r="D215" s="85"/>
      <c r="E215" s="84"/>
      <c r="F215" s="84"/>
      <c r="G215" s="84"/>
    </row>
    <row r="216" ht="22.5" customHeight="1">
      <c r="A216" s="84"/>
      <c r="B216" s="84"/>
      <c r="C216" s="85"/>
      <c r="D216" s="85"/>
      <c r="E216" s="84"/>
      <c r="F216" s="84"/>
      <c r="G216" s="84"/>
    </row>
    <row r="217" ht="22.5" customHeight="1">
      <c r="A217" s="84"/>
      <c r="B217" s="84"/>
      <c r="C217" s="85"/>
      <c r="D217" s="85"/>
      <c r="E217" s="84"/>
      <c r="F217" s="84"/>
      <c r="G217" s="84"/>
    </row>
    <row r="218" ht="22.5" customHeight="1">
      <c r="A218" s="84"/>
      <c r="B218" s="84"/>
      <c r="C218" s="85"/>
      <c r="D218" s="85"/>
      <c r="E218" s="84"/>
      <c r="F218" s="84"/>
      <c r="G218" s="84"/>
    </row>
    <row r="219" ht="22.5" customHeight="1">
      <c r="A219" s="84"/>
      <c r="B219" s="84"/>
      <c r="C219" s="85"/>
      <c r="D219" s="85"/>
      <c r="E219" s="84"/>
      <c r="F219" s="84"/>
      <c r="G219" s="84"/>
    </row>
    <row r="220" ht="22.5" customHeight="1">
      <c r="A220" s="84"/>
      <c r="B220" s="84"/>
      <c r="C220" s="85"/>
      <c r="D220" s="85"/>
      <c r="E220" s="84"/>
      <c r="F220" s="84"/>
      <c r="G220" s="84"/>
    </row>
    <row r="221" ht="22.5" customHeight="1">
      <c r="A221" s="84"/>
      <c r="B221" s="84"/>
      <c r="C221" s="85"/>
      <c r="D221" s="85"/>
      <c r="E221" s="84"/>
      <c r="F221" s="84"/>
      <c r="G221" s="84"/>
    </row>
    <row r="222" ht="22.5" customHeight="1">
      <c r="A222" s="84"/>
      <c r="B222" s="84"/>
      <c r="C222" s="85"/>
      <c r="D222" s="85"/>
      <c r="E222" s="84"/>
      <c r="F222" s="84"/>
      <c r="G222" s="84"/>
    </row>
    <row r="223" ht="22.5" customHeight="1">
      <c r="A223" s="84"/>
      <c r="B223" s="84"/>
      <c r="C223" s="85"/>
      <c r="D223" s="85"/>
      <c r="E223" s="84"/>
      <c r="F223" s="84"/>
      <c r="G223" s="84"/>
    </row>
    <row r="224" ht="22.5" customHeight="1">
      <c r="A224" s="84"/>
      <c r="B224" s="84"/>
      <c r="C224" s="85"/>
      <c r="D224" s="85"/>
      <c r="E224" s="84"/>
      <c r="F224" s="84"/>
      <c r="G224" s="84"/>
    </row>
    <row r="225" ht="22.5" customHeight="1">
      <c r="A225" s="84"/>
      <c r="B225" s="84"/>
      <c r="C225" s="85"/>
      <c r="D225" s="85"/>
      <c r="E225" s="84"/>
      <c r="F225" s="84"/>
      <c r="G225" s="84"/>
    </row>
    <row r="226" ht="22.5" customHeight="1">
      <c r="A226" s="84"/>
      <c r="B226" s="84"/>
      <c r="C226" s="85"/>
      <c r="D226" s="85"/>
      <c r="E226" s="84"/>
      <c r="F226" s="84"/>
      <c r="G226" s="84"/>
    </row>
    <row r="227" ht="22.5" customHeight="1">
      <c r="A227" s="84"/>
      <c r="B227" s="84"/>
      <c r="C227" s="85"/>
      <c r="D227" s="85"/>
      <c r="E227" s="84"/>
      <c r="F227" s="84"/>
      <c r="G227" s="84"/>
    </row>
    <row r="228" ht="22.5" customHeight="1">
      <c r="A228" s="84"/>
      <c r="B228" s="84"/>
      <c r="C228" s="85"/>
      <c r="D228" s="85"/>
      <c r="E228" s="84"/>
      <c r="F228" s="84"/>
      <c r="G228" s="84"/>
    </row>
    <row r="229" ht="22.5" customHeight="1">
      <c r="A229" s="84"/>
      <c r="B229" s="84"/>
      <c r="C229" s="85"/>
      <c r="D229" s="85"/>
      <c r="E229" s="84"/>
      <c r="F229" s="84"/>
      <c r="G229" s="84"/>
    </row>
    <row r="230" ht="22.5" customHeight="1">
      <c r="A230" s="84"/>
      <c r="B230" s="84"/>
      <c r="C230" s="85"/>
      <c r="D230" s="85"/>
      <c r="E230" s="84"/>
      <c r="F230" s="84"/>
      <c r="G230" s="84"/>
    </row>
    <row r="231" ht="22.5" customHeight="1">
      <c r="A231" s="84"/>
      <c r="B231" s="84"/>
      <c r="C231" s="85"/>
      <c r="D231" s="85"/>
      <c r="E231" s="84"/>
      <c r="F231" s="84"/>
      <c r="G231" s="84"/>
    </row>
    <row r="232" ht="22.5" customHeight="1">
      <c r="A232" s="84"/>
      <c r="B232" s="84"/>
      <c r="C232" s="85"/>
      <c r="D232" s="85"/>
      <c r="E232" s="84"/>
      <c r="F232" s="84"/>
      <c r="G232" s="84"/>
    </row>
    <row r="233" ht="22.5" customHeight="1">
      <c r="A233" s="84"/>
      <c r="B233" s="84"/>
      <c r="C233" s="85"/>
      <c r="D233" s="85"/>
      <c r="E233" s="84"/>
      <c r="F233" s="84"/>
      <c r="G233" s="84"/>
    </row>
    <row r="234" ht="22.5" customHeight="1">
      <c r="A234" s="84"/>
      <c r="B234" s="84"/>
      <c r="C234" s="85"/>
      <c r="D234" s="85"/>
      <c r="E234" s="84"/>
      <c r="F234" s="84"/>
      <c r="G234" s="84"/>
    </row>
    <row r="235" ht="22.5" customHeight="1">
      <c r="A235" s="84"/>
      <c r="B235" s="84"/>
      <c r="C235" s="85"/>
      <c r="D235" s="85"/>
      <c r="E235" s="84"/>
      <c r="F235" s="84"/>
      <c r="G235" s="84"/>
    </row>
    <row r="236" ht="22.5" customHeight="1">
      <c r="A236" s="84"/>
      <c r="B236" s="84"/>
      <c r="C236" s="85"/>
      <c r="D236" s="85"/>
      <c r="E236" s="84"/>
      <c r="F236" s="84"/>
      <c r="G236" s="84"/>
    </row>
    <row r="237" ht="22.5" customHeight="1">
      <c r="A237" s="84"/>
      <c r="B237" s="84"/>
      <c r="C237" s="85"/>
      <c r="D237" s="85"/>
      <c r="E237" s="84"/>
      <c r="F237" s="84"/>
      <c r="G237" s="84"/>
    </row>
    <row r="238" ht="22.5" customHeight="1">
      <c r="A238" s="84"/>
      <c r="B238" s="84"/>
      <c r="C238" s="85"/>
      <c r="D238" s="85"/>
      <c r="E238" s="84"/>
      <c r="F238" s="84"/>
      <c r="G238" s="84"/>
    </row>
    <row r="239" ht="22.5" customHeight="1">
      <c r="A239" s="84"/>
      <c r="B239" s="84"/>
      <c r="C239" s="85"/>
      <c r="D239" s="85"/>
      <c r="E239" s="84"/>
      <c r="F239" s="84"/>
      <c r="G239" s="84"/>
    </row>
    <row r="240" ht="22.5" customHeight="1">
      <c r="A240" s="84"/>
      <c r="B240" s="84"/>
      <c r="C240" s="85"/>
      <c r="D240" s="85"/>
      <c r="E240" s="84"/>
      <c r="F240" s="84"/>
      <c r="G240" s="84"/>
    </row>
    <row r="241" ht="22.5" customHeight="1">
      <c r="A241" s="84"/>
      <c r="B241" s="84"/>
      <c r="C241" s="85"/>
      <c r="D241" s="85"/>
      <c r="E241" s="84"/>
      <c r="F241" s="84"/>
      <c r="G241" s="84"/>
    </row>
    <row r="242" ht="22.5" customHeight="1">
      <c r="A242" s="84"/>
      <c r="B242" s="84"/>
      <c r="C242" s="85"/>
      <c r="D242" s="85"/>
      <c r="E242" s="84"/>
      <c r="F242" s="84"/>
      <c r="G242" s="84"/>
    </row>
    <row r="243" ht="22.5" customHeight="1">
      <c r="A243" s="84"/>
      <c r="B243" s="84"/>
      <c r="C243" s="85"/>
      <c r="D243" s="85"/>
      <c r="E243" s="84"/>
      <c r="F243" s="84"/>
      <c r="G243" s="84"/>
    </row>
    <row r="244" ht="22.5" customHeight="1">
      <c r="A244" s="84"/>
      <c r="B244" s="84"/>
      <c r="C244" s="85"/>
      <c r="D244" s="85"/>
      <c r="E244" s="84"/>
      <c r="F244" s="84"/>
      <c r="G244" s="84"/>
    </row>
    <row r="245" ht="22.5" customHeight="1">
      <c r="A245" s="84"/>
      <c r="B245" s="84"/>
      <c r="C245" s="85"/>
      <c r="D245" s="85"/>
      <c r="E245" s="84"/>
      <c r="F245" s="84"/>
      <c r="G245" s="84"/>
    </row>
    <row r="246" ht="22.5" customHeight="1">
      <c r="A246" s="84"/>
      <c r="B246" s="84"/>
      <c r="C246" s="85"/>
      <c r="D246" s="85"/>
      <c r="E246" s="84"/>
      <c r="F246" s="84"/>
      <c r="G246" s="84"/>
    </row>
    <row r="247" ht="22.5" customHeight="1">
      <c r="A247" s="84"/>
      <c r="B247" s="84"/>
      <c r="C247" s="85"/>
      <c r="D247" s="85"/>
      <c r="E247" s="84"/>
      <c r="F247" s="84"/>
      <c r="G247" s="84"/>
    </row>
    <row r="248" ht="22.5" customHeight="1">
      <c r="A248" s="84"/>
      <c r="B248" s="84"/>
      <c r="C248" s="85"/>
      <c r="D248" s="85"/>
      <c r="E248" s="84"/>
      <c r="F248" s="84"/>
      <c r="G248" s="84"/>
    </row>
    <row r="249" ht="22.5" customHeight="1">
      <c r="A249" s="84"/>
      <c r="B249" s="84"/>
      <c r="C249" s="85"/>
      <c r="D249" s="85"/>
      <c r="E249" s="84"/>
      <c r="F249" s="84"/>
      <c r="G249" s="84"/>
    </row>
    <row r="250" ht="22.5" customHeight="1">
      <c r="A250" s="84"/>
      <c r="B250" s="84"/>
      <c r="C250" s="85"/>
      <c r="D250" s="85"/>
      <c r="E250" s="84"/>
      <c r="F250" s="84"/>
      <c r="G250" s="84"/>
    </row>
    <row r="251" ht="22.5" customHeight="1">
      <c r="A251" s="84"/>
      <c r="B251" s="84"/>
      <c r="C251" s="85"/>
      <c r="D251" s="85"/>
      <c r="E251" s="84"/>
      <c r="F251" s="84"/>
      <c r="G251" s="84"/>
    </row>
    <row r="252" ht="22.5" customHeight="1">
      <c r="A252" s="84"/>
      <c r="B252" s="84"/>
      <c r="C252" s="85"/>
      <c r="D252" s="85"/>
      <c r="E252" s="84"/>
      <c r="F252" s="84"/>
      <c r="G252" s="84"/>
    </row>
    <row r="253" ht="22.5" customHeight="1">
      <c r="A253" s="84"/>
      <c r="B253" s="84"/>
      <c r="C253" s="85"/>
      <c r="D253" s="85"/>
      <c r="E253" s="84"/>
      <c r="F253" s="84"/>
      <c r="G253" s="84"/>
    </row>
    <row r="254" ht="22.5" customHeight="1">
      <c r="A254" s="84"/>
      <c r="B254" s="84"/>
      <c r="C254" s="85"/>
      <c r="D254" s="85"/>
      <c r="E254" s="84"/>
      <c r="F254" s="84"/>
      <c r="G254" s="84"/>
    </row>
    <row r="255" ht="22.5" customHeight="1">
      <c r="A255" s="84"/>
      <c r="B255" s="84"/>
      <c r="C255" s="85"/>
      <c r="D255" s="85"/>
      <c r="E255" s="84"/>
      <c r="F255" s="84"/>
      <c r="G255" s="84"/>
    </row>
    <row r="256" ht="22.5" customHeight="1">
      <c r="A256" s="84"/>
      <c r="B256" s="84"/>
      <c r="C256" s="85"/>
      <c r="D256" s="85"/>
      <c r="E256" s="84"/>
      <c r="F256" s="84"/>
      <c r="G256" s="84"/>
    </row>
    <row r="257" ht="22.5" customHeight="1">
      <c r="A257" s="84"/>
      <c r="B257" s="84"/>
      <c r="C257" s="85"/>
      <c r="D257" s="85"/>
      <c r="E257" s="84"/>
      <c r="F257" s="84"/>
      <c r="G257" s="84"/>
    </row>
    <row r="258" ht="22.5" customHeight="1">
      <c r="A258" s="84"/>
      <c r="B258" s="84"/>
      <c r="C258" s="85"/>
      <c r="D258" s="85"/>
      <c r="E258" s="84"/>
      <c r="F258" s="84"/>
      <c r="G258" s="84"/>
    </row>
    <row r="259" ht="22.5" customHeight="1">
      <c r="A259" s="84"/>
      <c r="B259" s="84"/>
      <c r="C259" s="85"/>
      <c r="D259" s="85"/>
      <c r="E259" s="84"/>
      <c r="F259" s="84"/>
      <c r="G259" s="84"/>
    </row>
    <row r="260" ht="22.5" customHeight="1">
      <c r="A260" s="84"/>
      <c r="B260" s="84"/>
      <c r="C260" s="85"/>
      <c r="D260" s="85"/>
      <c r="E260" s="84"/>
      <c r="F260" s="84"/>
      <c r="G260" s="84"/>
    </row>
    <row r="261" ht="22.5" customHeight="1">
      <c r="A261" s="84"/>
      <c r="B261" s="84"/>
      <c r="C261" s="85"/>
      <c r="D261" s="85"/>
      <c r="E261" s="84"/>
      <c r="F261" s="84"/>
      <c r="G261" s="84"/>
    </row>
    <row r="262" ht="22.5" customHeight="1">
      <c r="A262" s="84"/>
      <c r="B262" s="84"/>
      <c r="C262" s="85"/>
      <c r="D262" s="85"/>
      <c r="E262" s="84"/>
      <c r="F262" s="84"/>
      <c r="G262" s="84"/>
    </row>
    <row r="263" ht="22.5" customHeight="1">
      <c r="A263" s="84"/>
      <c r="B263" s="84"/>
      <c r="C263" s="85"/>
      <c r="D263" s="85"/>
      <c r="E263" s="84"/>
      <c r="F263" s="84"/>
      <c r="G263" s="84"/>
    </row>
    <row r="264" ht="22.5" customHeight="1">
      <c r="A264" s="84"/>
      <c r="B264" s="84"/>
      <c r="C264" s="85"/>
      <c r="D264" s="85"/>
      <c r="E264" s="84"/>
      <c r="F264" s="84"/>
      <c r="G264" s="84"/>
    </row>
    <row r="265" ht="22.5" customHeight="1">
      <c r="A265" s="84"/>
      <c r="B265" s="84"/>
      <c r="C265" s="85"/>
      <c r="D265" s="85"/>
      <c r="E265" s="84"/>
      <c r="F265" s="84"/>
      <c r="G265" s="84"/>
    </row>
    <row r="266" ht="22.5" customHeight="1">
      <c r="A266" s="84"/>
      <c r="B266" s="84"/>
      <c r="C266" s="85"/>
      <c r="D266" s="85"/>
      <c r="E266" s="84"/>
      <c r="F266" s="84"/>
      <c r="G266" s="84"/>
    </row>
    <row r="267" ht="22.5" customHeight="1">
      <c r="A267" s="84"/>
      <c r="B267" s="84"/>
      <c r="C267" s="85"/>
      <c r="D267" s="85"/>
      <c r="E267" s="84"/>
      <c r="F267" s="84"/>
      <c r="G267" s="84"/>
    </row>
    <row r="268" ht="22.5" customHeight="1">
      <c r="A268" s="84"/>
      <c r="B268" s="84"/>
      <c r="C268" s="85"/>
      <c r="D268" s="85"/>
      <c r="E268" s="84"/>
      <c r="F268" s="84"/>
      <c r="G268" s="84"/>
    </row>
    <row r="269" ht="22.5" customHeight="1">
      <c r="A269" s="84"/>
      <c r="B269" s="84"/>
      <c r="C269" s="85"/>
      <c r="D269" s="85"/>
      <c r="E269" s="84"/>
      <c r="F269" s="84"/>
      <c r="G269" s="84"/>
    </row>
    <row r="270" ht="22.5" customHeight="1">
      <c r="A270" s="84"/>
      <c r="B270" s="84"/>
      <c r="C270" s="85"/>
      <c r="D270" s="85"/>
      <c r="E270" s="84"/>
      <c r="F270" s="84"/>
      <c r="G270" s="84"/>
    </row>
    <row r="271" ht="22.5" customHeight="1">
      <c r="A271" s="84"/>
      <c r="B271" s="84"/>
      <c r="C271" s="85"/>
      <c r="D271" s="85"/>
      <c r="E271" s="84"/>
      <c r="F271" s="84"/>
      <c r="G271" s="84"/>
    </row>
    <row r="272" ht="22.5" customHeight="1">
      <c r="A272" s="84"/>
      <c r="B272" s="84"/>
      <c r="C272" s="85"/>
      <c r="D272" s="85"/>
      <c r="E272" s="84"/>
      <c r="F272" s="84"/>
      <c r="G272" s="84"/>
    </row>
    <row r="273" ht="22.5" customHeight="1">
      <c r="A273" s="84"/>
      <c r="B273" s="84"/>
      <c r="C273" s="85"/>
      <c r="D273" s="85"/>
      <c r="E273" s="84"/>
      <c r="F273" s="84"/>
      <c r="G273" s="84"/>
    </row>
    <row r="274" ht="22.5" customHeight="1">
      <c r="A274" s="84"/>
      <c r="B274" s="84"/>
      <c r="C274" s="85"/>
      <c r="D274" s="85"/>
      <c r="E274" s="84"/>
      <c r="F274" s="84"/>
      <c r="G274" s="84"/>
    </row>
    <row r="275" ht="22.5" customHeight="1">
      <c r="A275" s="84"/>
      <c r="B275" s="84"/>
      <c r="C275" s="85"/>
      <c r="D275" s="85"/>
      <c r="E275" s="84"/>
      <c r="F275" s="84"/>
      <c r="G275" s="84"/>
    </row>
    <row r="276" ht="22.5" customHeight="1">
      <c r="A276" s="84"/>
      <c r="B276" s="84"/>
      <c r="C276" s="85"/>
      <c r="D276" s="85"/>
      <c r="E276" s="84"/>
      <c r="F276" s="84"/>
      <c r="G276" s="84"/>
    </row>
    <row r="277" ht="22.5" customHeight="1">
      <c r="A277" s="84"/>
      <c r="B277" s="84"/>
      <c r="C277" s="85"/>
      <c r="D277" s="85"/>
      <c r="E277" s="84"/>
      <c r="F277" s="84"/>
      <c r="G277" s="84"/>
    </row>
    <row r="278" ht="22.5" customHeight="1">
      <c r="A278" s="84"/>
      <c r="B278" s="84"/>
      <c r="C278" s="85"/>
      <c r="D278" s="85"/>
      <c r="E278" s="84"/>
      <c r="F278" s="84"/>
      <c r="G278" s="84"/>
    </row>
    <row r="279" ht="22.5" customHeight="1">
      <c r="A279" s="84"/>
      <c r="B279" s="84"/>
      <c r="C279" s="85"/>
      <c r="D279" s="85"/>
      <c r="E279" s="84"/>
      <c r="F279" s="84"/>
      <c r="G279" s="84"/>
    </row>
    <row r="280" ht="22.5" customHeight="1">
      <c r="A280" s="84"/>
      <c r="B280" s="84"/>
      <c r="C280" s="85"/>
      <c r="D280" s="85"/>
      <c r="E280" s="84"/>
      <c r="F280" s="84"/>
      <c r="G280" s="84"/>
    </row>
    <row r="281" ht="22.5" customHeight="1">
      <c r="A281" s="84"/>
      <c r="B281" s="84"/>
      <c r="C281" s="85"/>
      <c r="D281" s="85"/>
      <c r="E281" s="84"/>
      <c r="F281" s="84"/>
      <c r="G281" s="84"/>
    </row>
    <row r="282" ht="22.5" customHeight="1">
      <c r="A282" s="84"/>
      <c r="B282" s="84"/>
      <c r="C282" s="85"/>
      <c r="D282" s="85"/>
      <c r="E282" s="84"/>
      <c r="F282" s="84"/>
      <c r="G282" s="84"/>
    </row>
    <row r="283" ht="22.5" customHeight="1">
      <c r="A283" s="84"/>
      <c r="B283" s="84"/>
      <c r="C283" s="85"/>
      <c r="D283" s="85"/>
      <c r="E283" s="84"/>
      <c r="F283" s="84"/>
      <c r="G283" s="84"/>
    </row>
    <row r="284" ht="22.5" customHeight="1">
      <c r="A284" s="84"/>
      <c r="B284" s="84"/>
      <c r="C284" s="85"/>
      <c r="D284" s="85"/>
      <c r="E284" s="84"/>
      <c r="F284" s="84"/>
      <c r="G284" s="84"/>
    </row>
    <row r="285" ht="22.5" customHeight="1">
      <c r="A285" s="84"/>
      <c r="B285" s="84"/>
      <c r="C285" s="85"/>
      <c r="D285" s="85"/>
      <c r="E285" s="84"/>
      <c r="F285" s="84"/>
      <c r="G285" s="84"/>
    </row>
    <row r="286" ht="22.5" customHeight="1">
      <c r="A286" s="84"/>
      <c r="B286" s="84"/>
      <c r="C286" s="85"/>
      <c r="D286" s="85"/>
      <c r="E286" s="84"/>
      <c r="F286" s="84"/>
      <c r="G286" s="84"/>
    </row>
    <row r="287" ht="22.5" customHeight="1">
      <c r="A287" s="84"/>
      <c r="B287" s="84"/>
      <c r="C287" s="85"/>
      <c r="D287" s="85"/>
      <c r="E287" s="84"/>
      <c r="F287" s="84"/>
      <c r="G287" s="84"/>
    </row>
    <row r="288" ht="22.5" customHeight="1">
      <c r="A288" s="84"/>
      <c r="B288" s="84"/>
      <c r="C288" s="85"/>
      <c r="D288" s="85"/>
      <c r="E288" s="84"/>
      <c r="F288" s="84"/>
      <c r="G288" s="84"/>
    </row>
    <row r="289" ht="22.5" customHeight="1">
      <c r="A289" s="84"/>
      <c r="B289" s="84"/>
      <c r="C289" s="85"/>
      <c r="D289" s="85"/>
      <c r="E289" s="84"/>
      <c r="F289" s="84"/>
      <c r="G289" s="84"/>
    </row>
    <row r="290" ht="22.5" customHeight="1">
      <c r="A290" s="84"/>
      <c r="B290" s="84"/>
      <c r="C290" s="85"/>
      <c r="D290" s="85"/>
      <c r="E290" s="84"/>
      <c r="F290" s="84"/>
      <c r="G290" s="84"/>
    </row>
    <row r="291" ht="22.5" customHeight="1">
      <c r="A291" s="84"/>
      <c r="B291" s="84"/>
      <c r="C291" s="85"/>
      <c r="D291" s="85"/>
      <c r="E291" s="84"/>
      <c r="F291" s="84"/>
      <c r="G291" s="84"/>
    </row>
    <row r="292" ht="22.5" customHeight="1">
      <c r="A292" s="84"/>
      <c r="B292" s="84"/>
      <c r="C292" s="85"/>
      <c r="D292" s="85"/>
      <c r="E292" s="84"/>
      <c r="F292" s="84"/>
      <c r="G292" s="84"/>
    </row>
    <row r="293" ht="22.5" customHeight="1">
      <c r="A293" s="84"/>
      <c r="B293" s="84"/>
      <c r="C293" s="85"/>
      <c r="D293" s="85"/>
      <c r="E293" s="84"/>
      <c r="F293" s="84"/>
      <c r="G293" s="84"/>
    </row>
    <row r="294" ht="22.5" customHeight="1">
      <c r="A294" s="84"/>
      <c r="B294" s="84"/>
      <c r="C294" s="85"/>
      <c r="D294" s="85"/>
      <c r="E294" s="84"/>
      <c r="F294" s="84"/>
      <c r="G294" s="84"/>
    </row>
    <row r="295" ht="22.5" customHeight="1">
      <c r="A295" s="84"/>
      <c r="B295" s="84"/>
      <c r="C295" s="85"/>
      <c r="D295" s="85"/>
      <c r="E295" s="84"/>
      <c r="F295" s="84"/>
      <c r="G295" s="84"/>
    </row>
    <row r="296" ht="22.5" customHeight="1">
      <c r="A296" s="84"/>
      <c r="B296" s="84"/>
      <c r="C296" s="85"/>
      <c r="D296" s="85"/>
      <c r="E296" s="84"/>
      <c r="F296" s="84"/>
      <c r="G296" s="84"/>
    </row>
    <row r="297" ht="22.5" customHeight="1">
      <c r="A297" s="84"/>
      <c r="B297" s="84"/>
      <c r="C297" s="85"/>
      <c r="D297" s="85"/>
      <c r="E297" s="84"/>
      <c r="F297" s="84"/>
      <c r="G297" s="84"/>
    </row>
    <row r="298" ht="22.5" customHeight="1">
      <c r="A298" s="84"/>
      <c r="B298" s="84"/>
      <c r="C298" s="85"/>
      <c r="D298" s="85"/>
      <c r="E298" s="84"/>
      <c r="F298" s="84"/>
      <c r="G298" s="84"/>
    </row>
    <row r="299" ht="22.5" customHeight="1">
      <c r="A299" s="84"/>
      <c r="B299" s="84"/>
      <c r="C299" s="85"/>
      <c r="D299" s="85"/>
      <c r="E299" s="84"/>
      <c r="F299" s="84"/>
      <c r="G299" s="84"/>
    </row>
    <row r="300" ht="22.5" customHeight="1">
      <c r="A300" s="84"/>
      <c r="B300" s="84"/>
      <c r="C300" s="85"/>
      <c r="D300" s="85"/>
      <c r="E300" s="84"/>
      <c r="F300" s="84"/>
      <c r="G300" s="84"/>
    </row>
    <row r="301" ht="22.5" customHeight="1">
      <c r="A301" s="84"/>
      <c r="B301" s="84"/>
      <c r="C301" s="85"/>
      <c r="D301" s="85"/>
      <c r="E301" s="84"/>
      <c r="F301" s="84"/>
      <c r="G301" s="84"/>
    </row>
    <row r="302" ht="22.5" customHeight="1">
      <c r="A302" s="84"/>
      <c r="B302" s="84"/>
      <c r="C302" s="85"/>
      <c r="D302" s="85"/>
      <c r="E302" s="84"/>
      <c r="F302" s="84"/>
      <c r="G302" s="84"/>
    </row>
    <row r="303" ht="22.5" customHeight="1">
      <c r="A303" s="84"/>
      <c r="B303" s="84"/>
      <c r="C303" s="85"/>
      <c r="D303" s="85"/>
      <c r="E303" s="84"/>
      <c r="F303" s="84"/>
      <c r="G303" s="84"/>
    </row>
    <row r="304" ht="22.5" customHeight="1">
      <c r="A304" s="84"/>
      <c r="B304" s="84"/>
      <c r="C304" s="85"/>
      <c r="D304" s="85"/>
      <c r="E304" s="84"/>
      <c r="F304" s="84"/>
      <c r="G304" s="84"/>
    </row>
    <row r="305" ht="22.5" customHeight="1">
      <c r="A305" s="84"/>
      <c r="B305" s="84"/>
      <c r="C305" s="85"/>
      <c r="D305" s="85"/>
      <c r="E305" s="84"/>
      <c r="F305" s="84"/>
      <c r="G305" s="84"/>
    </row>
    <row r="306" ht="22.5" customHeight="1">
      <c r="A306" s="84"/>
      <c r="B306" s="84"/>
      <c r="C306" s="85"/>
      <c r="D306" s="85"/>
      <c r="E306" s="84"/>
      <c r="F306" s="84"/>
      <c r="G306" s="84"/>
    </row>
    <row r="307" ht="22.5" customHeight="1">
      <c r="A307" s="84"/>
      <c r="B307" s="84"/>
      <c r="C307" s="85"/>
      <c r="D307" s="85"/>
      <c r="E307" s="84"/>
      <c r="F307" s="84"/>
      <c r="G307" s="84"/>
    </row>
    <row r="308" ht="22.5" customHeight="1">
      <c r="A308" s="84"/>
      <c r="B308" s="84"/>
      <c r="C308" s="85"/>
      <c r="D308" s="85"/>
      <c r="E308" s="84"/>
      <c r="F308" s="84"/>
      <c r="G308" s="84"/>
    </row>
    <row r="309" ht="22.5" customHeight="1">
      <c r="A309" s="84"/>
      <c r="B309" s="84"/>
      <c r="C309" s="85"/>
      <c r="D309" s="85"/>
      <c r="E309" s="84"/>
      <c r="F309" s="84"/>
      <c r="G309" s="84"/>
    </row>
    <row r="310" ht="22.5" customHeight="1">
      <c r="A310" s="84"/>
      <c r="B310" s="84"/>
      <c r="C310" s="85"/>
      <c r="D310" s="85"/>
      <c r="E310" s="84"/>
      <c r="F310" s="84"/>
      <c r="G310" s="84"/>
    </row>
    <row r="311" ht="22.5" customHeight="1">
      <c r="A311" s="84"/>
      <c r="B311" s="84"/>
      <c r="C311" s="85"/>
      <c r="D311" s="85"/>
      <c r="E311" s="84"/>
      <c r="F311" s="84"/>
      <c r="G311" s="84"/>
    </row>
    <row r="312" ht="22.5" customHeight="1">
      <c r="A312" s="84"/>
      <c r="B312" s="84"/>
      <c r="C312" s="85"/>
      <c r="D312" s="85"/>
      <c r="E312" s="84"/>
      <c r="F312" s="84"/>
      <c r="G312" s="84"/>
    </row>
    <row r="313" ht="22.5" customHeight="1">
      <c r="A313" s="84"/>
      <c r="B313" s="84"/>
      <c r="C313" s="85"/>
      <c r="D313" s="85"/>
      <c r="E313" s="84"/>
      <c r="F313" s="84"/>
      <c r="G313" s="84"/>
    </row>
    <row r="314" ht="22.5" customHeight="1">
      <c r="A314" s="84"/>
      <c r="B314" s="84"/>
      <c r="C314" s="85"/>
      <c r="D314" s="85"/>
      <c r="E314" s="84"/>
      <c r="F314" s="84"/>
      <c r="G314" s="84"/>
    </row>
    <row r="315" ht="22.5" customHeight="1">
      <c r="A315" s="84"/>
      <c r="B315" s="84"/>
      <c r="C315" s="85"/>
      <c r="D315" s="85"/>
      <c r="E315" s="84"/>
      <c r="F315" s="84"/>
      <c r="G315" s="84"/>
    </row>
    <row r="316" ht="22.5" customHeight="1">
      <c r="A316" s="84"/>
      <c r="B316" s="84"/>
      <c r="C316" s="85"/>
      <c r="D316" s="85"/>
      <c r="E316" s="84"/>
      <c r="F316" s="84"/>
      <c r="G316" s="84"/>
    </row>
    <row r="317" ht="22.5" customHeight="1">
      <c r="A317" s="84"/>
      <c r="B317" s="84"/>
      <c r="C317" s="85"/>
      <c r="D317" s="85"/>
      <c r="E317" s="84"/>
      <c r="F317" s="84"/>
      <c r="G317" s="84"/>
    </row>
    <row r="318" ht="22.5" customHeight="1">
      <c r="A318" s="84"/>
      <c r="B318" s="84"/>
      <c r="C318" s="85"/>
      <c r="D318" s="85"/>
      <c r="E318" s="84"/>
      <c r="F318" s="84"/>
      <c r="G318" s="84"/>
    </row>
    <row r="319" ht="22.5" customHeight="1">
      <c r="A319" s="84"/>
      <c r="B319" s="84"/>
      <c r="C319" s="85"/>
      <c r="D319" s="85"/>
      <c r="E319" s="84"/>
      <c r="F319" s="84"/>
      <c r="G319" s="84"/>
    </row>
    <row r="320" ht="22.5" customHeight="1">
      <c r="A320" s="84"/>
      <c r="B320" s="84"/>
      <c r="C320" s="85"/>
      <c r="D320" s="85"/>
      <c r="E320" s="84"/>
      <c r="F320" s="84"/>
      <c r="G320" s="84"/>
    </row>
    <row r="321" ht="22.5" customHeight="1">
      <c r="A321" s="84"/>
      <c r="B321" s="84"/>
      <c r="C321" s="85"/>
      <c r="D321" s="85"/>
      <c r="E321" s="84"/>
      <c r="F321" s="84"/>
      <c r="G321" s="84"/>
    </row>
    <row r="322" ht="22.5" customHeight="1">
      <c r="A322" s="84"/>
      <c r="B322" s="84"/>
      <c r="C322" s="85"/>
      <c r="D322" s="85"/>
      <c r="E322" s="84"/>
      <c r="F322" s="84"/>
      <c r="G322" s="84"/>
    </row>
    <row r="323" ht="22.5" customHeight="1">
      <c r="A323" s="84"/>
      <c r="B323" s="84"/>
      <c r="C323" s="85"/>
      <c r="D323" s="85"/>
      <c r="E323" s="84"/>
      <c r="F323" s="84"/>
      <c r="G323" s="84"/>
    </row>
    <row r="324" ht="22.5" customHeight="1">
      <c r="A324" s="84"/>
      <c r="B324" s="84"/>
      <c r="C324" s="85"/>
      <c r="D324" s="85"/>
      <c r="E324" s="84"/>
      <c r="F324" s="84"/>
      <c r="G324" s="84"/>
    </row>
    <row r="325" ht="22.5" customHeight="1">
      <c r="A325" s="84"/>
      <c r="B325" s="84"/>
      <c r="C325" s="85"/>
      <c r="D325" s="85"/>
      <c r="E325" s="84"/>
      <c r="F325" s="84"/>
      <c r="G325" s="84"/>
    </row>
    <row r="326" ht="22.5" customHeight="1">
      <c r="A326" s="84"/>
      <c r="B326" s="84"/>
      <c r="C326" s="85"/>
      <c r="D326" s="85"/>
      <c r="E326" s="84"/>
      <c r="F326" s="84"/>
      <c r="G326" s="84"/>
    </row>
    <row r="327" ht="22.5" customHeight="1">
      <c r="A327" s="84"/>
      <c r="B327" s="84"/>
      <c r="C327" s="85"/>
      <c r="D327" s="85"/>
      <c r="E327" s="84"/>
      <c r="F327" s="84"/>
      <c r="G327" s="84"/>
    </row>
    <row r="328" ht="22.5" customHeight="1">
      <c r="A328" s="84"/>
      <c r="B328" s="84"/>
      <c r="C328" s="85"/>
      <c r="D328" s="85"/>
      <c r="E328" s="84"/>
      <c r="F328" s="84"/>
      <c r="G328" s="84"/>
    </row>
    <row r="329" ht="22.5" customHeight="1">
      <c r="A329" s="84"/>
      <c r="B329" s="84"/>
      <c r="C329" s="85"/>
      <c r="D329" s="85"/>
      <c r="E329" s="84"/>
      <c r="F329" s="84"/>
      <c r="G329" s="84"/>
    </row>
    <row r="330" ht="22.5" customHeight="1">
      <c r="A330" s="84"/>
      <c r="B330" s="84"/>
      <c r="C330" s="85"/>
      <c r="D330" s="85"/>
      <c r="E330" s="84"/>
      <c r="F330" s="84"/>
      <c r="G330" s="84"/>
    </row>
    <row r="331" ht="22.5" customHeight="1">
      <c r="A331" s="84"/>
      <c r="B331" s="84"/>
      <c r="C331" s="85"/>
      <c r="D331" s="85"/>
      <c r="E331" s="84"/>
      <c r="F331" s="84"/>
      <c r="G331" s="84"/>
    </row>
    <row r="332" ht="22.5" customHeight="1">
      <c r="A332" s="84"/>
      <c r="B332" s="84"/>
      <c r="C332" s="85"/>
      <c r="D332" s="85"/>
      <c r="E332" s="84"/>
      <c r="F332" s="84"/>
      <c r="G332" s="84"/>
    </row>
    <row r="333" ht="22.5" customHeight="1">
      <c r="A333" s="84"/>
      <c r="B333" s="84"/>
      <c r="C333" s="85"/>
      <c r="D333" s="85"/>
      <c r="E333" s="84"/>
      <c r="F333" s="84"/>
      <c r="G333" s="84"/>
    </row>
    <row r="334" ht="22.5" customHeight="1">
      <c r="A334" s="84"/>
      <c r="B334" s="84"/>
      <c r="C334" s="85"/>
      <c r="D334" s="85"/>
      <c r="E334" s="84"/>
      <c r="F334" s="84"/>
      <c r="G334" s="84"/>
    </row>
    <row r="335" ht="22.5" customHeight="1">
      <c r="A335" s="84"/>
      <c r="B335" s="84"/>
      <c r="C335" s="85"/>
      <c r="D335" s="85"/>
      <c r="E335" s="84"/>
      <c r="F335" s="84"/>
      <c r="G335" s="84"/>
    </row>
    <row r="336" ht="22.5" customHeight="1">
      <c r="A336" s="84"/>
      <c r="B336" s="84"/>
      <c r="C336" s="85"/>
      <c r="D336" s="85"/>
      <c r="E336" s="84"/>
      <c r="F336" s="84"/>
      <c r="G336" s="84"/>
    </row>
    <row r="337" ht="22.5" customHeight="1">
      <c r="A337" s="84"/>
      <c r="B337" s="84"/>
      <c r="C337" s="85"/>
      <c r="D337" s="85"/>
      <c r="E337" s="84"/>
      <c r="F337" s="84"/>
      <c r="G337" s="84"/>
    </row>
    <row r="338" ht="22.5" customHeight="1">
      <c r="A338" s="84"/>
      <c r="B338" s="84"/>
      <c r="C338" s="85"/>
      <c r="D338" s="85"/>
      <c r="E338" s="84"/>
      <c r="F338" s="84"/>
      <c r="G338" s="84"/>
    </row>
    <row r="339" ht="22.5" customHeight="1">
      <c r="A339" s="84"/>
      <c r="B339" s="84"/>
      <c r="C339" s="85"/>
      <c r="D339" s="85"/>
      <c r="E339" s="84"/>
      <c r="F339" s="84"/>
      <c r="G339" s="84"/>
    </row>
    <row r="340" ht="22.5" customHeight="1">
      <c r="A340" s="84"/>
      <c r="B340" s="84"/>
      <c r="C340" s="85"/>
      <c r="D340" s="85"/>
      <c r="E340" s="84"/>
      <c r="F340" s="84"/>
      <c r="G340" s="84"/>
    </row>
    <row r="341" ht="22.5" customHeight="1">
      <c r="A341" s="84"/>
      <c r="B341" s="84"/>
      <c r="C341" s="85"/>
      <c r="D341" s="85"/>
      <c r="E341" s="84"/>
      <c r="F341" s="84"/>
      <c r="G341" s="84"/>
    </row>
    <row r="342" ht="22.5" customHeight="1">
      <c r="A342" s="84"/>
      <c r="B342" s="84"/>
      <c r="C342" s="85"/>
      <c r="D342" s="85"/>
      <c r="E342" s="84"/>
      <c r="F342" s="84"/>
      <c r="G342" s="84"/>
    </row>
    <row r="343" ht="22.5" customHeight="1">
      <c r="A343" s="84"/>
      <c r="B343" s="84"/>
      <c r="C343" s="85"/>
      <c r="D343" s="85"/>
      <c r="E343" s="84"/>
      <c r="F343" s="84"/>
      <c r="G343" s="84"/>
    </row>
    <row r="344" ht="22.5" customHeight="1">
      <c r="A344" s="84"/>
      <c r="B344" s="84"/>
      <c r="C344" s="85"/>
      <c r="D344" s="85"/>
      <c r="E344" s="84"/>
      <c r="F344" s="84"/>
      <c r="G344" s="84"/>
    </row>
    <row r="345" ht="22.5" customHeight="1">
      <c r="A345" s="84"/>
      <c r="B345" s="84"/>
      <c r="C345" s="85"/>
      <c r="D345" s="85"/>
      <c r="E345" s="84"/>
      <c r="F345" s="84"/>
      <c r="G345" s="84"/>
    </row>
    <row r="346" ht="22.5" customHeight="1">
      <c r="A346" s="84"/>
      <c r="B346" s="84"/>
      <c r="C346" s="85"/>
      <c r="D346" s="85"/>
      <c r="E346" s="84"/>
      <c r="F346" s="84"/>
      <c r="G346" s="84"/>
    </row>
    <row r="347" ht="22.5" customHeight="1">
      <c r="A347" s="84"/>
      <c r="B347" s="84"/>
      <c r="C347" s="85"/>
      <c r="D347" s="85"/>
      <c r="E347" s="84"/>
      <c r="F347" s="84"/>
      <c r="G347" s="84"/>
    </row>
    <row r="348" ht="22.5" customHeight="1">
      <c r="A348" s="84"/>
      <c r="B348" s="84"/>
      <c r="C348" s="85"/>
      <c r="D348" s="85"/>
      <c r="E348" s="84"/>
      <c r="F348" s="84"/>
      <c r="G348" s="84"/>
    </row>
    <row r="349" ht="22.5" customHeight="1">
      <c r="A349" s="84"/>
      <c r="B349" s="84"/>
      <c r="C349" s="85"/>
      <c r="D349" s="85"/>
      <c r="E349" s="84"/>
      <c r="F349" s="84"/>
      <c r="G349" s="84"/>
    </row>
    <row r="350" ht="22.5" customHeight="1">
      <c r="A350" s="84"/>
      <c r="B350" s="84"/>
      <c r="C350" s="85"/>
      <c r="D350" s="85"/>
      <c r="E350" s="84"/>
      <c r="F350" s="84"/>
      <c r="G350" s="84"/>
    </row>
    <row r="351" ht="22.5" customHeight="1">
      <c r="A351" s="84"/>
      <c r="B351" s="84"/>
      <c r="C351" s="85"/>
      <c r="D351" s="85"/>
      <c r="E351" s="84"/>
      <c r="F351" s="84"/>
      <c r="G351" s="84"/>
    </row>
    <row r="352" ht="22.5" customHeight="1">
      <c r="A352" s="84"/>
      <c r="B352" s="84"/>
      <c r="C352" s="85"/>
      <c r="D352" s="85"/>
      <c r="E352" s="84"/>
      <c r="F352" s="84"/>
      <c r="G352" s="84"/>
    </row>
    <row r="353" ht="22.5" customHeight="1">
      <c r="A353" s="84"/>
      <c r="B353" s="84"/>
      <c r="C353" s="85"/>
      <c r="D353" s="85"/>
      <c r="E353" s="84"/>
      <c r="F353" s="84"/>
      <c r="G353" s="84"/>
    </row>
    <row r="354" ht="22.5" customHeight="1">
      <c r="A354" s="84"/>
      <c r="B354" s="84"/>
      <c r="C354" s="85"/>
      <c r="D354" s="85"/>
      <c r="E354" s="84"/>
      <c r="F354" s="84"/>
      <c r="G354" s="84"/>
    </row>
    <row r="355" ht="22.5" customHeight="1">
      <c r="A355" s="84"/>
      <c r="B355" s="84"/>
      <c r="C355" s="85"/>
      <c r="D355" s="85"/>
      <c r="E355" s="84"/>
      <c r="F355" s="84"/>
      <c r="G355" s="84"/>
    </row>
    <row r="356" ht="22.5" customHeight="1">
      <c r="A356" s="84"/>
      <c r="B356" s="84"/>
      <c r="C356" s="85"/>
      <c r="D356" s="85"/>
      <c r="E356" s="84"/>
      <c r="F356" s="84"/>
      <c r="G356" s="84"/>
    </row>
    <row r="357" ht="22.5" customHeight="1">
      <c r="A357" s="84"/>
      <c r="B357" s="84"/>
      <c r="C357" s="85"/>
      <c r="D357" s="85"/>
      <c r="E357" s="84"/>
      <c r="F357" s="84"/>
      <c r="G357" s="84"/>
    </row>
    <row r="358" ht="22.5" customHeight="1">
      <c r="A358" s="84"/>
      <c r="B358" s="84"/>
      <c r="C358" s="85"/>
      <c r="D358" s="85"/>
      <c r="E358" s="84"/>
      <c r="F358" s="84"/>
      <c r="G358" s="84"/>
    </row>
    <row r="359" ht="22.5" customHeight="1">
      <c r="A359" s="84"/>
      <c r="B359" s="84"/>
      <c r="C359" s="85"/>
      <c r="D359" s="85"/>
      <c r="E359" s="84"/>
      <c r="F359" s="84"/>
      <c r="G359" s="84"/>
    </row>
    <row r="360" ht="22.5" customHeight="1">
      <c r="A360" s="84"/>
      <c r="B360" s="84"/>
      <c r="C360" s="85"/>
      <c r="D360" s="85"/>
      <c r="E360" s="84"/>
      <c r="F360" s="84"/>
      <c r="G360" s="84"/>
    </row>
    <row r="361" ht="22.5" customHeight="1">
      <c r="A361" s="84"/>
      <c r="B361" s="84"/>
      <c r="C361" s="85"/>
      <c r="D361" s="85"/>
      <c r="E361" s="84"/>
      <c r="F361" s="84"/>
      <c r="G361" s="84"/>
    </row>
    <row r="362" ht="22.5" customHeight="1">
      <c r="A362" s="84"/>
      <c r="B362" s="84"/>
      <c r="C362" s="85"/>
      <c r="D362" s="85"/>
      <c r="E362" s="84"/>
      <c r="F362" s="84"/>
      <c r="G362" s="84"/>
    </row>
    <row r="363" ht="22.5" customHeight="1">
      <c r="A363" s="84"/>
      <c r="B363" s="84"/>
      <c r="C363" s="85"/>
      <c r="D363" s="85"/>
      <c r="E363" s="84"/>
      <c r="F363" s="84"/>
      <c r="G363" s="84"/>
    </row>
    <row r="364" ht="22.5" customHeight="1">
      <c r="A364" s="84"/>
      <c r="B364" s="84"/>
      <c r="C364" s="85"/>
      <c r="D364" s="85"/>
      <c r="E364" s="84"/>
      <c r="F364" s="84"/>
      <c r="G364" s="84"/>
    </row>
    <row r="365" ht="22.5" customHeight="1">
      <c r="A365" s="84"/>
      <c r="B365" s="84"/>
      <c r="C365" s="85"/>
      <c r="D365" s="85"/>
      <c r="E365" s="84"/>
      <c r="F365" s="84"/>
      <c r="G365" s="84"/>
    </row>
    <row r="366" ht="22.5" customHeight="1">
      <c r="A366" s="84"/>
      <c r="B366" s="84"/>
      <c r="C366" s="85"/>
      <c r="D366" s="85"/>
      <c r="E366" s="84"/>
      <c r="F366" s="84"/>
      <c r="G366" s="84"/>
    </row>
    <row r="367" ht="22.5" customHeight="1">
      <c r="A367" s="84"/>
      <c r="B367" s="84"/>
      <c r="C367" s="85"/>
      <c r="D367" s="85"/>
      <c r="E367" s="84"/>
      <c r="F367" s="84"/>
      <c r="G367" s="84"/>
    </row>
    <row r="368" ht="22.5" customHeight="1">
      <c r="A368" s="84"/>
      <c r="B368" s="84"/>
      <c r="C368" s="85"/>
      <c r="D368" s="85"/>
      <c r="E368" s="84"/>
      <c r="F368" s="84"/>
      <c r="G368" s="84"/>
    </row>
    <row r="369" ht="22.5" customHeight="1">
      <c r="A369" s="84"/>
      <c r="B369" s="84"/>
      <c r="C369" s="85"/>
      <c r="D369" s="85"/>
      <c r="E369" s="84"/>
      <c r="F369" s="84"/>
      <c r="G369" s="84"/>
    </row>
    <row r="370" ht="22.5" customHeight="1">
      <c r="A370" s="84"/>
      <c r="B370" s="84"/>
      <c r="C370" s="85"/>
      <c r="D370" s="85"/>
      <c r="E370" s="84"/>
      <c r="F370" s="84"/>
      <c r="G370" s="84"/>
    </row>
    <row r="371" ht="22.5" customHeight="1">
      <c r="A371" s="84"/>
      <c r="B371" s="84"/>
      <c r="C371" s="85"/>
      <c r="D371" s="85"/>
      <c r="E371" s="84"/>
      <c r="F371" s="84"/>
      <c r="G371" s="84"/>
    </row>
    <row r="372" ht="22.5" customHeight="1">
      <c r="A372" s="84"/>
      <c r="B372" s="84"/>
      <c r="C372" s="85"/>
      <c r="D372" s="85"/>
      <c r="E372" s="84"/>
      <c r="F372" s="84"/>
      <c r="G372" s="84"/>
    </row>
    <row r="373" ht="22.5" customHeight="1">
      <c r="A373" s="84"/>
      <c r="B373" s="84"/>
      <c r="C373" s="85"/>
      <c r="D373" s="85"/>
      <c r="E373" s="84"/>
      <c r="F373" s="84"/>
      <c r="G373" s="84"/>
    </row>
    <row r="374" ht="22.5" customHeight="1">
      <c r="A374" s="84"/>
      <c r="B374" s="84"/>
      <c r="C374" s="85"/>
      <c r="D374" s="85"/>
      <c r="E374" s="84"/>
      <c r="F374" s="84"/>
      <c r="G374" s="84"/>
    </row>
    <row r="375" ht="22.5" customHeight="1">
      <c r="A375" s="84"/>
      <c r="B375" s="84"/>
      <c r="C375" s="85"/>
      <c r="D375" s="85"/>
      <c r="E375" s="84"/>
      <c r="F375" s="84"/>
      <c r="G375" s="84"/>
    </row>
    <row r="376" ht="22.5" customHeight="1">
      <c r="A376" s="84"/>
      <c r="B376" s="84"/>
      <c r="C376" s="85"/>
      <c r="D376" s="85"/>
      <c r="E376" s="84"/>
      <c r="F376" s="84"/>
      <c r="G376" s="84"/>
    </row>
    <row r="377" ht="22.5" customHeight="1">
      <c r="A377" s="84"/>
      <c r="B377" s="84"/>
      <c r="C377" s="85"/>
      <c r="D377" s="85"/>
      <c r="E377" s="84"/>
      <c r="F377" s="84"/>
      <c r="G377" s="84"/>
    </row>
    <row r="378" ht="22.5" customHeight="1">
      <c r="A378" s="84"/>
      <c r="B378" s="84"/>
      <c r="C378" s="85"/>
      <c r="D378" s="85"/>
      <c r="E378" s="84"/>
      <c r="F378" s="84"/>
      <c r="G378" s="84"/>
    </row>
    <row r="379" ht="22.5" customHeight="1">
      <c r="A379" s="84"/>
      <c r="B379" s="84"/>
      <c r="C379" s="85"/>
      <c r="D379" s="85"/>
      <c r="E379" s="84"/>
      <c r="F379" s="84"/>
      <c r="G379" s="84"/>
    </row>
    <row r="380" ht="22.5" customHeight="1">
      <c r="A380" s="84"/>
      <c r="B380" s="84"/>
      <c r="C380" s="85"/>
      <c r="D380" s="85"/>
      <c r="E380" s="84"/>
      <c r="F380" s="84"/>
      <c r="G380" s="84"/>
    </row>
    <row r="381" ht="22.5" customHeight="1">
      <c r="A381" s="84"/>
      <c r="B381" s="84"/>
      <c r="C381" s="85"/>
      <c r="D381" s="85"/>
      <c r="E381" s="84"/>
      <c r="F381" s="84"/>
      <c r="G381" s="84"/>
    </row>
    <row r="382" ht="22.5" customHeight="1">
      <c r="A382" s="84"/>
      <c r="B382" s="84"/>
      <c r="C382" s="85"/>
      <c r="D382" s="85"/>
      <c r="E382" s="84"/>
      <c r="F382" s="84"/>
      <c r="G382" s="84"/>
    </row>
    <row r="383" ht="22.5" customHeight="1">
      <c r="A383" s="84"/>
      <c r="B383" s="84"/>
      <c r="C383" s="85"/>
      <c r="D383" s="85"/>
      <c r="E383" s="84"/>
      <c r="F383" s="84"/>
      <c r="G383" s="84"/>
    </row>
    <row r="384" ht="22.5" customHeight="1">
      <c r="A384" s="84"/>
      <c r="B384" s="84"/>
      <c r="C384" s="85"/>
      <c r="D384" s="85"/>
      <c r="E384" s="84"/>
      <c r="F384" s="84"/>
      <c r="G384" s="84"/>
    </row>
    <row r="385" ht="22.5" customHeight="1">
      <c r="A385" s="84"/>
      <c r="B385" s="84"/>
      <c r="C385" s="85"/>
      <c r="D385" s="85"/>
      <c r="E385" s="84"/>
      <c r="F385" s="84"/>
      <c r="G385" s="84"/>
    </row>
    <row r="386" ht="22.5" customHeight="1">
      <c r="A386" s="84"/>
      <c r="B386" s="84"/>
      <c r="C386" s="85"/>
      <c r="D386" s="85"/>
      <c r="E386" s="84"/>
      <c r="F386" s="84"/>
      <c r="G386" s="84"/>
    </row>
    <row r="387" ht="22.5" customHeight="1">
      <c r="A387" s="84"/>
      <c r="B387" s="84"/>
      <c r="C387" s="85"/>
      <c r="D387" s="85"/>
      <c r="E387" s="84"/>
      <c r="F387" s="84"/>
      <c r="G387" s="84"/>
    </row>
    <row r="388" ht="22.5" customHeight="1">
      <c r="A388" s="84"/>
      <c r="B388" s="84"/>
      <c r="C388" s="85"/>
      <c r="D388" s="85"/>
      <c r="E388" s="84"/>
      <c r="F388" s="84"/>
      <c r="G388" s="84"/>
    </row>
    <row r="389" ht="22.5" customHeight="1">
      <c r="A389" s="84"/>
      <c r="B389" s="84"/>
      <c r="C389" s="85"/>
      <c r="D389" s="85"/>
      <c r="E389" s="84"/>
      <c r="F389" s="84"/>
      <c r="G389" s="84"/>
    </row>
    <row r="390" ht="22.5" customHeight="1">
      <c r="A390" s="84"/>
      <c r="B390" s="84"/>
      <c r="C390" s="85"/>
      <c r="D390" s="85"/>
      <c r="E390" s="84"/>
      <c r="F390" s="84"/>
      <c r="G390" s="84"/>
    </row>
    <row r="391" ht="22.5" customHeight="1">
      <c r="A391" s="84"/>
      <c r="B391" s="84"/>
      <c r="C391" s="85"/>
      <c r="D391" s="85"/>
      <c r="E391" s="84"/>
      <c r="F391" s="84"/>
      <c r="G391" s="84"/>
    </row>
    <row r="392" ht="22.5" customHeight="1">
      <c r="A392" s="84"/>
      <c r="B392" s="84"/>
      <c r="C392" s="85"/>
      <c r="D392" s="85"/>
      <c r="E392" s="84"/>
      <c r="F392" s="84"/>
      <c r="G392" s="84"/>
    </row>
    <row r="393" ht="22.5" customHeight="1">
      <c r="A393" s="84"/>
      <c r="B393" s="84"/>
      <c r="C393" s="85"/>
      <c r="D393" s="85"/>
      <c r="E393" s="84"/>
      <c r="F393" s="84"/>
      <c r="G393" s="84"/>
    </row>
    <row r="394" ht="22.5" customHeight="1">
      <c r="A394" s="84"/>
      <c r="B394" s="84"/>
      <c r="C394" s="85"/>
      <c r="D394" s="85"/>
      <c r="E394" s="84"/>
      <c r="F394" s="84"/>
      <c r="G394" s="84"/>
    </row>
    <row r="395" ht="22.5" customHeight="1">
      <c r="A395" s="84"/>
      <c r="B395" s="84"/>
      <c r="C395" s="85"/>
      <c r="D395" s="85"/>
      <c r="E395" s="84"/>
      <c r="F395" s="84"/>
      <c r="G395" s="84"/>
    </row>
    <row r="396" ht="22.5" customHeight="1">
      <c r="A396" s="84"/>
      <c r="B396" s="84"/>
      <c r="C396" s="85"/>
      <c r="D396" s="85"/>
      <c r="E396" s="84"/>
      <c r="F396" s="84"/>
      <c r="G396" s="84"/>
    </row>
    <row r="397" ht="22.5" customHeight="1">
      <c r="A397" s="84"/>
      <c r="B397" s="84"/>
      <c r="C397" s="85"/>
      <c r="D397" s="85"/>
      <c r="E397" s="84"/>
      <c r="F397" s="84"/>
      <c r="G397" s="84"/>
    </row>
    <row r="398" ht="22.5" customHeight="1">
      <c r="A398" s="84"/>
      <c r="B398" s="84"/>
      <c r="C398" s="85"/>
      <c r="D398" s="85"/>
      <c r="E398" s="84"/>
      <c r="F398" s="84"/>
      <c r="G398" s="84"/>
    </row>
    <row r="399" ht="22.5" customHeight="1">
      <c r="A399" s="84"/>
      <c r="B399" s="84"/>
      <c r="C399" s="85"/>
      <c r="D399" s="85"/>
      <c r="E399" s="84"/>
      <c r="F399" s="84"/>
      <c r="G399" s="84"/>
    </row>
    <row r="400" ht="22.5" customHeight="1">
      <c r="A400" s="84"/>
      <c r="B400" s="84"/>
      <c r="C400" s="85"/>
      <c r="D400" s="85"/>
      <c r="E400" s="84"/>
      <c r="F400" s="84"/>
      <c r="G400" s="84"/>
    </row>
    <row r="401" ht="22.5" customHeight="1">
      <c r="A401" s="84"/>
      <c r="B401" s="84"/>
      <c r="C401" s="85"/>
      <c r="D401" s="85"/>
      <c r="E401" s="84"/>
      <c r="F401" s="84"/>
      <c r="G401" s="84"/>
    </row>
    <row r="402" ht="22.5" customHeight="1">
      <c r="A402" s="84"/>
      <c r="B402" s="84"/>
      <c r="C402" s="85"/>
      <c r="D402" s="85"/>
      <c r="E402" s="84"/>
      <c r="F402" s="84"/>
      <c r="G402" s="84"/>
    </row>
    <row r="403" ht="22.5" customHeight="1">
      <c r="A403" s="84"/>
      <c r="B403" s="84"/>
      <c r="C403" s="85"/>
      <c r="D403" s="85"/>
      <c r="E403" s="84"/>
      <c r="F403" s="84"/>
      <c r="G403" s="84"/>
    </row>
    <row r="404" ht="22.5" customHeight="1">
      <c r="A404" s="84"/>
      <c r="B404" s="84"/>
      <c r="C404" s="85"/>
      <c r="D404" s="85"/>
      <c r="E404" s="84"/>
      <c r="F404" s="84"/>
      <c r="G404" s="84"/>
    </row>
    <row r="405" ht="22.5" customHeight="1">
      <c r="A405" s="84"/>
      <c r="B405" s="84"/>
      <c r="C405" s="85"/>
      <c r="D405" s="85"/>
      <c r="E405" s="84"/>
      <c r="F405" s="84"/>
      <c r="G405" s="84"/>
    </row>
    <row r="406" ht="22.5" customHeight="1">
      <c r="A406" s="84"/>
      <c r="B406" s="84"/>
      <c r="C406" s="85"/>
      <c r="D406" s="85"/>
      <c r="E406" s="84"/>
      <c r="F406" s="84"/>
      <c r="G406" s="84"/>
    </row>
    <row r="407" ht="22.5" customHeight="1">
      <c r="A407" s="84"/>
      <c r="B407" s="84"/>
      <c r="C407" s="85"/>
      <c r="D407" s="85"/>
      <c r="E407" s="84"/>
      <c r="F407" s="84"/>
      <c r="G407" s="84"/>
    </row>
    <row r="408" ht="22.5" customHeight="1">
      <c r="A408" s="84"/>
      <c r="B408" s="84"/>
      <c r="C408" s="85"/>
      <c r="D408" s="85"/>
      <c r="E408" s="84"/>
      <c r="F408" s="84"/>
      <c r="G408" s="84"/>
    </row>
    <row r="409" ht="22.5" customHeight="1">
      <c r="A409" s="84"/>
      <c r="B409" s="84"/>
      <c r="C409" s="85"/>
      <c r="D409" s="85"/>
      <c r="E409" s="84"/>
      <c r="F409" s="84"/>
      <c r="G409" s="84"/>
    </row>
    <row r="410" ht="22.5" customHeight="1">
      <c r="A410" s="84"/>
      <c r="B410" s="84"/>
      <c r="C410" s="85"/>
      <c r="D410" s="85"/>
      <c r="E410" s="84"/>
      <c r="F410" s="84"/>
      <c r="G410" s="84"/>
    </row>
    <row r="411" ht="22.5" customHeight="1">
      <c r="A411" s="84"/>
      <c r="B411" s="84"/>
      <c r="C411" s="85"/>
      <c r="D411" s="85"/>
      <c r="E411" s="84"/>
      <c r="F411" s="84"/>
      <c r="G411" s="84"/>
    </row>
    <row r="412" ht="22.5" customHeight="1">
      <c r="A412" s="84"/>
      <c r="B412" s="84"/>
      <c r="C412" s="85"/>
      <c r="D412" s="85"/>
      <c r="E412" s="84"/>
      <c r="F412" s="84"/>
      <c r="G412" s="84"/>
    </row>
    <row r="413" ht="22.5" customHeight="1">
      <c r="A413" s="84"/>
      <c r="B413" s="84"/>
      <c r="C413" s="85"/>
      <c r="D413" s="85"/>
      <c r="E413" s="84"/>
      <c r="F413" s="84"/>
      <c r="G413" s="84"/>
    </row>
    <row r="414" ht="22.5" customHeight="1">
      <c r="A414" s="84"/>
      <c r="B414" s="84"/>
      <c r="C414" s="85"/>
      <c r="D414" s="85"/>
      <c r="E414" s="84"/>
      <c r="F414" s="84"/>
      <c r="G414" s="84"/>
    </row>
    <row r="415" ht="22.5" customHeight="1">
      <c r="A415" s="84"/>
      <c r="B415" s="84"/>
      <c r="C415" s="85"/>
      <c r="D415" s="85"/>
      <c r="E415" s="84"/>
      <c r="F415" s="84"/>
      <c r="G415" s="84"/>
    </row>
    <row r="416" ht="22.5" customHeight="1">
      <c r="A416" s="84"/>
      <c r="B416" s="84"/>
      <c r="C416" s="85"/>
      <c r="D416" s="85"/>
      <c r="E416" s="84"/>
      <c r="F416" s="84"/>
      <c r="G416" s="84"/>
    </row>
    <row r="417" ht="22.5" customHeight="1">
      <c r="A417" s="84"/>
      <c r="B417" s="84"/>
      <c r="C417" s="85"/>
      <c r="D417" s="85"/>
      <c r="E417" s="84"/>
      <c r="F417" s="84"/>
      <c r="G417" s="84"/>
    </row>
    <row r="418" ht="22.5" customHeight="1">
      <c r="A418" s="84"/>
      <c r="B418" s="84"/>
      <c r="C418" s="85"/>
      <c r="D418" s="85"/>
      <c r="E418" s="84"/>
      <c r="F418" s="84"/>
      <c r="G418" s="84"/>
    </row>
    <row r="419" ht="22.5" customHeight="1">
      <c r="A419" s="84"/>
      <c r="B419" s="84"/>
      <c r="C419" s="85"/>
      <c r="D419" s="85"/>
      <c r="E419" s="84"/>
      <c r="F419" s="84"/>
      <c r="G419" s="84"/>
    </row>
    <row r="420" ht="22.5" customHeight="1">
      <c r="A420" s="84"/>
      <c r="B420" s="84"/>
      <c r="C420" s="85"/>
      <c r="D420" s="85"/>
      <c r="E420" s="84"/>
      <c r="F420" s="84"/>
      <c r="G420" s="84"/>
    </row>
    <row r="421" ht="22.5" customHeight="1">
      <c r="A421" s="84"/>
      <c r="B421" s="84"/>
      <c r="C421" s="85"/>
      <c r="D421" s="85"/>
      <c r="E421" s="84"/>
      <c r="F421" s="84"/>
      <c r="G421" s="84"/>
    </row>
    <row r="422" ht="22.5" customHeight="1">
      <c r="A422" s="84"/>
      <c r="B422" s="84"/>
      <c r="C422" s="85"/>
      <c r="D422" s="85"/>
      <c r="E422" s="84"/>
      <c r="F422" s="84"/>
      <c r="G422" s="84"/>
    </row>
    <row r="423" ht="22.5" customHeight="1">
      <c r="A423" s="84"/>
      <c r="B423" s="84"/>
      <c r="C423" s="85"/>
      <c r="D423" s="85"/>
      <c r="E423" s="84"/>
      <c r="F423" s="84"/>
      <c r="G423" s="84"/>
    </row>
    <row r="424" ht="22.5" customHeight="1">
      <c r="A424" s="84"/>
      <c r="B424" s="84"/>
      <c r="C424" s="85"/>
      <c r="D424" s="85"/>
      <c r="E424" s="84"/>
      <c r="F424" s="84"/>
      <c r="G424" s="84"/>
    </row>
    <row r="425" ht="22.5" customHeight="1">
      <c r="A425" s="84"/>
      <c r="B425" s="84"/>
      <c r="C425" s="85"/>
      <c r="D425" s="85"/>
      <c r="E425" s="84"/>
      <c r="F425" s="84"/>
      <c r="G425" s="84"/>
    </row>
    <row r="426" ht="22.5" customHeight="1">
      <c r="A426" s="84"/>
      <c r="B426" s="84"/>
      <c r="C426" s="85"/>
      <c r="D426" s="85"/>
      <c r="E426" s="84"/>
      <c r="F426" s="84"/>
      <c r="G426" s="84"/>
    </row>
    <row r="427" ht="22.5" customHeight="1">
      <c r="A427" s="84"/>
      <c r="B427" s="84"/>
      <c r="C427" s="85"/>
      <c r="D427" s="85"/>
      <c r="E427" s="84"/>
      <c r="F427" s="84"/>
      <c r="G427" s="84"/>
    </row>
    <row r="428" ht="22.5" customHeight="1">
      <c r="A428" s="84"/>
      <c r="B428" s="84"/>
      <c r="C428" s="85"/>
      <c r="D428" s="85"/>
      <c r="E428" s="84"/>
      <c r="F428" s="84"/>
      <c r="G428" s="84"/>
    </row>
    <row r="429" ht="22.5" customHeight="1">
      <c r="A429" s="84"/>
      <c r="B429" s="84"/>
      <c r="C429" s="85"/>
      <c r="D429" s="85"/>
      <c r="E429" s="84"/>
      <c r="F429" s="84"/>
      <c r="G429" s="84"/>
    </row>
    <row r="430" ht="22.5" customHeight="1">
      <c r="A430" s="84"/>
      <c r="B430" s="84"/>
      <c r="C430" s="85"/>
      <c r="D430" s="85"/>
      <c r="E430" s="84"/>
      <c r="F430" s="84"/>
      <c r="G430" s="84"/>
    </row>
    <row r="431" ht="22.5" customHeight="1">
      <c r="A431" s="84"/>
      <c r="B431" s="84"/>
      <c r="C431" s="85"/>
      <c r="D431" s="85"/>
      <c r="E431" s="84"/>
      <c r="F431" s="84"/>
      <c r="G431" s="84"/>
    </row>
    <row r="432" ht="22.5" customHeight="1">
      <c r="A432" s="84"/>
      <c r="B432" s="84"/>
      <c r="C432" s="85"/>
      <c r="D432" s="85"/>
      <c r="E432" s="84"/>
      <c r="F432" s="84"/>
      <c r="G432" s="84"/>
    </row>
    <row r="433" ht="22.5" customHeight="1">
      <c r="A433" s="84"/>
      <c r="B433" s="84"/>
      <c r="C433" s="85"/>
      <c r="D433" s="85"/>
      <c r="E433" s="84"/>
      <c r="F433" s="84"/>
      <c r="G433" s="84"/>
    </row>
    <row r="434" ht="22.5" customHeight="1">
      <c r="A434" s="84"/>
      <c r="B434" s="84"/>
      <c r="C434" s="85"/>
      <c r="D434" s="85"/>
      <c r="E434" s="84"/>
      <c r="F434" s="84"/>
      <c r="G434" s="84"/>
    </row>
    <row r="435" ht="22.5" customHeight="1">
      <c r="A435" s="84"/>
      <c r="B435" s="84"/>
      <c r="C435" s="85"/>
      <c r="D435" s="85"/>
      <c r="E435" s="84"/>
      <c r="F435" s="84"/>
      <c r="G435" s="84"/>
    </row>
    <row r="436" ht="22.5" customHeight="1">
      <c r="A436" s="84"/>
      <c r="B436" s="84"/>
      <c r="C436" s="85"/>
      <c r="D436" s="85"/>
      <c r="E436" s="84"/>
      <c r="F436" s="84"/>
      <c r="G436" s="84"/>
    </row>
    <row r="437" ht="22.5" customHeight="1">
      <c r="A437" s="84"/>
      <c r="B437" s="84"/>
      <c r="C437" s="85"/>
      <c r="D437" s="85"/>
      <c r="E437" s="84"/>
      <c r="F437" s="84"/>
      <c r="G437" s="84"/>
    </row>
    <row r="438" ht="22.5" customHeight="1">
      <c r="A438" s="84"/>
      <c r="B438" s="84"/>
      <c r="C438" s="85"/>
      <c r="D438" s="85"/>
      <c r="E438" s="84"/>
      <c r="F438" s="84"/>
      <c r="G438" s="84"/>
    </row>
    <row r="439" ht="22.5" customHeight="1">
      <c r="A439" s="84"/>
      <c r="B439" s="84"/>
      <c r="C439" s="85"/>
      <c r="D439" s="85"/>
      <c r="E439" s="84"/>
      <c r="F439" s="84"/>
      <c r="G439" s="84"/>
    </row>
    <row r="440" ht="22.5" customHeight="1">
      <c r="A440" s="84"/>
      <c r="B440" s="84"/>
      <c r="C440" s="85"/>
      <c r="D440" s="85"/>
      <c r="E440" s="84"/>
      <c r="F440" s="84"/>
      <c r="G440" s="84"/>
    </row>
    <row r="441" ht="22.5" customHeight="1">
      <c r="A441" s="84"/>
      <c r="B441" s="84"/>
      <c r="C441" s="85"/>
      <c r="D441" s="85"/>
      <c r="E441" s="84"/>
      <c r="F441" s="84"/>
      <c r="G441" s="84"/>
    </row>
    <row r="442" ht="22.5" customHeight="1">
      <c r="A442" s="84"/>
      <c r="B442" s="84"/>
      <c r="C442" s="85"/>
      <c r="D442" s="85"/>
      <c r="E442" s="84"/>
      <c r="F442" s="84"/>
      <c r="G442" s="84"/>
    </row>
    <row r="443" ht="22.5" customHeight="1">
      <c r="A443" s="84"/>
      <c r="B443" s="84"/>
      <c r="C443" s="85"/>
      <c r="D443" s="85"/>
      <c r="E443" s="84"/>
      <c r="F443" s="84"/>
      <c r="G443" s="84"/>
    </row>
    <row r="444" ht="22.5" customHeight="1">
      <c r="A444" s="84"/>
      <c r="B444" s="84"/>
      <c r="C444" s="85"/>
      <c r="D444" s="85"/>
      <c r="E444" s="84"/>
      <c r="F444" s="84"/>
      <c r="G444" s="84"/>
    </row>
    <row r="445" ht="22.5" customHeight="1">
      <c r="A445" s="84"/>
      <c r="B445" s="84"/>
      <c r="C445" s="85"/>
      <c r="D445" s="85"/>
      <c r="E445" s="84"/>
      <c r="F445" s="84"/>
      <c r="G445" s="84"/>
    </row>
    <row r="446" ht="22.5" customHeight="1">
      <c r="A446" s="84"/>
      <c r="B446" s="84"/>
      <c r="C446" s="85"/>
      <c r="D446" s="85"/>
      <c r="E446" s="84"/>
      <c r="F446" s="84"/>
      <c r="G446" s="84"/>
    </row>
    <row r="447" ht="22.5" customHeight="1">
      <c r="A447" s="84"/>
      <c r="B447" s="84"/>
      <c r="C447" s="85"/>
      <c r="D447" s="85"/>
      <c r="E447" s="84"/>
      <c r="F447" s="84"/>
      <c r="G447" s="84"/>
    </row>
    <row r="448" ht="22.5" customHeight="1">
      <c r="A448" s="84"/>
      <c r="B448" s="84"/>
      <c r="C448" s="85"/>
      <c r="D448" s="85"/>
      <c r="E448" s="84"/>
      <c r="F448" s="84"/>
      <c r="G448" s="84"/>
    </row>
    <row r="449" ht="22.5" customHeight="1">
      <c r="A449" s="84"/>
      <c r="B449" s="84"/>
      <c r="C449" s="85"/>
      <c r="D449" s="85"/>
      <c r="E449" s="84"/>
      <c r="F449" s="84"/>
      <c r="G449" s="84"/>
    </row>
    <row r="450" ht="22.5" customHeight="1">
      <c r="A450" s="84"/>
      <c r="B450" s="84"/>
      <c r="C450" s="85"/>
      <c r="D450" s="85"/>
      <c r="E450" s="84"/>
      <c r="F450" s="84"/>
      <c r="G450" s="84"/>
    </row>
    <row r="451" ht="22.5" customHeight="1">
      <c r="A451" s="84"/>
      <c r="B451" s="84"/>
      <c r="C451" s="85"/>
      <c r="D451" s="85"/>
      <c r="E451" s="84"/>
      <c r="F451" s="84"/>
      <c r="G451" s="84"/>
    </row>
    <row r="452" ht="22.5" customHeight="1">
      <c r="A452" s="84"/>
      <c r="B452" s="84"/>
      <c r="C452" s="85"/>
      <c r="D452" s="85"/>
      <c r="E452" s="84"/>
      <c r="F452" s="84"/>
      <c r="G452" s="84"/>
    </row>
    <row r="453" ht="22.5" customHeight="1">
      <c r="A453" s="84"/>
      <c r="B453" s="84"/>
      <c r="C453" s="85"/>
      <c r="D453" s="85"/>
      <c r="E453" s="84"/>
      <c r="F453" s="84"/>
      <c r="G453" s="84"/>
    </row>
    <row r="454" ht="22.5" customHeight="1">
      <c r="A454" s="84"/>
      <c r="B454" s="84"/>
      <c r="C454" s="85"/>
      <c r="D454" s="85"/>
      <c r="E454" s="84"/>
      <c r="F454" s="84"/>
      <c r="G454" s="84"/>
    </row>
    <row r="455" ht="22.5" customHeight="1">
      <c r="A455" s="84"/>
      <c r="B455" s="84"/>
      <c r="C455" s="85"/>
      <c r="D455" s="85"/>
      <c r="E455" s="84"/>
      <c r="F455" s="84"/>
      <c r="G455" s="84"/>
    </row>
    <row r="456" ht="22.5" customHeight="1">
      <c r="A456" s="84"/>
      <c r="B456" s="84"/>
      <c r="C456" s="85"/>
      <c r="D456" s="85"/>
      <c r="E456" s="84"/>
      <c r="F456" s="84"/>
      <c r="G456" s="84"/>
    </row>
    <row r="457" ht="22.5" customHeight="1">
      <c r="A457" s="84"/>
      <c r="B457" s="84"/>
      <c r="C457" s="85"/>
      <c r="D457" s="85"/>
      <c r="E457" s="84"/>
      <c r="F457" s="84"/>
      <c r="G457" s="84"/>
    </row>
    <row r="458" ht="22.5" customHeight="1">
      <c r="A458" s="84"/>
      <c r="B458" s="84"/>
      <c r="C458" s="85"/>
      <c r="D458" s="85"/>
      <c r="E458" s="84"/>
      <c r="F458" s="84"/>
      <c r="G458" s="84"/>
    </row>
    <row r="459" ht="22.5" customHeight="1">
      <c r="A459" s="84"/>
      <c r="B459" s="84"/>
      <c r="C459" s="85"/>
      <c r="D459" s="85"/>
      <c r="E459" s="84"/>
      <c r="F459" s="84"/>
      <c r="G459" s="84"/>
    </row>
    <row r="460" ht="22.5" customHeight="1">
      <c r="A460" s="84"/>
      <c r="B460" s="84"/>
      <c r="C460" s="85"/>
      <c r="D460" s="85"/>
      <c r="E460" s="84"/>
      <c r="F460" s="84"/>
      <c r="G460" s="84"/>
    </row>
    <row r="461" ht="22.5" customHeight="1">
      <c r="A461" s="84"/>
      <c r="B461" s="84"/>
      <c r="C461" s="85"/>
      <c r="D461" s="85"/>
      <c r="E461" s="84"/>
      <c r="F461" s="84"/>
      <c r="G461" s="84"/>
    </row>
    <row r="462" ht="22.5" customHeight="1">
      <c r="A462" s="84"/>
      <c r="B462" s="84"/>
      <c r="C462" s="85"/>
      <c r="D462" s="85"/>
      <c r="E462" s="84"/>
      <c r="F462" s="84"/>
      <c r="G462" s="84"/>
    </row>
    <row r="463" ht="22.5" customHeight="1">
      <c r="A463" s="84"/>
      <c r="B463" s="84"/>
      <c r="C463" s="85"/>
      <c r="D463" s="85"/>
      <c r="E463" s="84"/>
      <c r="F463" s="84"/>
      <c r="G463" s="84"/>
    </row>
    <row r="464" ht="22.5" customHeight="1">
      <c r="A464" s="84"/>
      <c r="B464" s="84"/>
      <c r="C464" s="85"/>
      <c r="D464" s="85"/>
      <c r="E464" s="84"/>
      <c r="F464" s="84"/>
      <c r="G464" s="84"/>
    </row>
    <row r="465" ht="22.5" customHeight="1">
      <c r="A465" s="84"/>
      <c r="B465" s="84"/>
      <c r="C465" s="85"/>
      <c r="D465" s="85"/>
      <c r="E465" s="84"/>
      <c r="F465" s="84"/>
      <c r="G465" s="84"/>
    </row>
    <row r="466" ht="22.5" customHeight="1">
      <c r="A466" s="84"/>
      <c r="B466" s="84"/>
      <c r="C466" s="85"/>
      <c r="D466" s="85"/>
      <c r="E466" s="84"/>
      <c r="F466" s="84"/>
      <c r="G466" s="84"/>
    </row>
    <row r="467" ht="22.5" customHeight="1">
      <c r="A467" s="84"/>
      <c r="B467" s="84"/>
      <c r="C467" s="85"/>
      <c r="D467" s="85"/>
      <c r="E467" s="84"/>
      <c r="F467" s="84"/>
      <c r="G467" s="84"/>
    </row>
    <row r="468" ht="22.5" customHeight="1">
      <c r="A468" s="84"/>
      <c r="B468" s="84"/>
      <c r="C468" s="85"/>
      <c r="D468" s="85"/>
      <c r="E468" s="84"/>
      <c r="F468" s="84"/>
      <c r="G468" s="84"/>
    </row>
    <row r="469" ht="22.5" customHeight="1">
      <c r="A469" s="84"/>
      <c r="B469" s="84"/>
      <c r="C469" s="85"/>
      <c r="D469" s="85"/>
      <c r="E469" s="84"/>
      <c r="F469" s="84"/>
      <c r="G469" s="84"/>
    </row>
    <row r="470" ht="22.5" customHeight="1">
      <c r="A470" s="84"/>
      <c r="B470" s="84"/>
      <c r="C470" s="85"/>
      <c r="D470" s="85"/>
      <c r="E470" s="84"/>
      <c r="F470" s="84"/>
      <c r="G470" s="84"/>
    </row>
    <row r="471" ht="22.5" customHeight="1">
      <c r="A471" s="84"/>
      <c r="B471" s="84"/>
      <c r="C471" s="85"/>
      <c r="D471" s="85"/>
      <c r="E471" s="84"/>
      <c r="F471" s="84"/>
      <c r="G471" s="84"/>
    </row>
    <row r="472" ht="22.5" customHeight="1">
      <c r="A472" s="84"/>
      <c r="B472" s="84"/>
      <c r="C472" s="85"/>
      <c r="D472" s="85"/>
      <c r="E472" s="84"/>
      <c r="F472" s="84"/>
      <c r="G472" s="84"/>
    </row>
    <row r="473" ht="22.5" customHeight="1">
      <c r="A473" s="84"/>
      <c r="B473" s="84"/>
      <c r="C473" s="85"/>
      <c r="D473" s="85"/>
      <c r="E473" s="84"/>
      <c r="F473" s="84"/>
      <c r="G473" s="84"/>
    </row>
    <row r="474" ht="22.5" customHeight="1">
      <c r="A474" s="84"/>
      <c r="B474" s="84"/>
      <c r="C474" s="85"/>
      <c r="D474" s="85"/>
      <c r="E474" s="84"/>
      <c r="F474" s="84"/>
      <c r="G474" s="84"/>
    </row>
    <row r="475" ht="22.5" customHeight="1">
      <c r="A475" s="84"/>
      <c r="B475" s="84"/>
      <c r="C475" s="85"/>
      <c r="D475" s="85"/>
      <c r="E475" s="84"/>
      <c r="F475" s="84"/>
      <c r="G475" s="84"/>
    </row>
    <row r="476" ht="22.5" customHeight="1">
      <c r="A476" s="84"/>
      <c r="B476" s="84"/>
      <c r="C476" s="85"/>
      <c r="D476" s="85"/>
      <c r="E476" s="84"/>
      <c r="F476" s="84"/>
      <c r="G476" s="84"/>
    </row>
    <row r="477" ht="22.5" customHeight="1">
      <c r="A477" s="84"/>
      <c r="B477" s="84"/>
      <c r="C477" s="85"/>
      <c r="D477" s="85"/>
      <c r="E477" s="84"/>
      <c r="F477" s="84"/>
      <c r="G477" s="84"/>
    </row>
    <row r="478" ht="22.5" customHeight="1">
      <c r="A478" s="84"/>
      <c r="B478" s="84"/>
      <c r="C478" s="85"/>
      <c r="D478" s="85"/>
      <c r="E478" s="84"/>
      <c r="F478" s="84"/>
      <c r="G478" s="84"/>
    </row>
    <row r="479" ht="22.5" customHeight="1">
      <c r="A479" s="84"/>
      <c r="B479" s="84"/>
      <c r="C479" s="85"/>
      <c r="D479" s="85"/>
      <c r="E479" s="84"/>
      <c r="F479" s="84"/>
      <c r="G479" s="84"/>
    </row>
    <row r="480" ht="22.5" customHeight="1">
      <c r="A480" s="84"/>
      <c r="B480" s="84"/>
      <c r="C480" s="85"/>
      <c r="D480" s="85"/>
      <c r="E480" s="84"/>
      <c r="F480" s="84"/>
      <c r="G480" s="84"/>
    </row>
    <row r="481" ht="22.5" customHeight="1">
      <c r="A481" s="84"/>
      <c r="B481" s="84"/>
      <c r="C481" s="85"/>
      <c r="D481" s="85"/>
      <c r="E481" s="84"/>
      <c r="F481" s="84"/>
      <c r="G481" s="84"/>
    </row>
    <row r="482" ht="22.5" customHeight="1">
      <c r="A482" s="84"/>
      <c r="B482" s="84"/>
      <c r="C482" s="85"/>
      <c r="D482" s="85"/>
      <c r="E482" s="84"/>
      <c r="F482" s="84"/>
      <c r="G482" s="84"/>
    </row>
    <row r="483" ht="22.5" customHeight="1">
      <c r="A483" s="84"/>
      <c r="B483" s="84"/>
      <c r="C483" s="85"/>
      <c r="D483" s="85"/>
      <c r="E483" s="84"/>
      <c r="F483" s="84"/>
      <c r="G483" s="84"/>
    </row>
    <row r="484" ht="22.5" customHeight="1">
      <c r="A484" s="84"/>
      <c r="B484" s="84"/>
      <c r="C484" s="85"/>
      <c r="D484" s="85"/>
      <c r="E484" s="84"/>
      <c r="F484" s="84"/>
      <c r="G484" s="84"/>
    </row>
    <row r="485" ht="22.5" customHeight="1">
      <c r="A485" s="84"/>
      <c r="B485" s="84"/>
      <c r="C485" s="85"/>
      <c r="D485" s="85"/>
      <c r="E485" s="84"/>
      <c r="F485" s="84"/>
      <c r="G485" s="84"/>
    </row>
    <row r="486" ht="22.5" customHeight="1">
      <c r="A486" s="84"/>
      <c r="B486" s="84"/>
      <c r="C486" s="85"/>
      <c r="D486" s="85"/>
      <c r="E486" s="84"/>
      <c r="F486" s="84"/>
      <c r="G486" s="84"/>
    </row>
    <row r="487" ht="22.5" customHeight="1">
      <c r="A487" s="84"/>
      <c r="B487" s="84"/>
      <c r="C487" s="85"/>
      <c r="D487" s="85"/>
      <c r="E487" s="84"/>
      <c r="F487" s="84"/>
      <c r="G487" s="84"/>
    </row>
    <row r="488" ht="22.5" customHeight="1">
      <c r="A488" s="84"/>
      <c r="B488" s="84"/>
      <c r="C488" s="85"/>
      <c r="D488" s="85"/>
      <c r="E488" s="84"/>
      <c r="F488" s="84"/>
      <c r="G488" s="84"/>
    </row>
    <row r="489" ht="22.5" customHeight="1">
      <c r="A489" s="84"/>
      <c r="B489" s="84"/>
      <c r="C489" s="85"/>
      <c r="D489" s="85"/>
      <c r="E489" s="84"/>
      <c r="F489" s="84"/>
      <c r="G489" s="84"/>
    </row>
    <row r="490" ht="22.5" customHeight="1">
      <c r="A490" s="84"/>
      <c r="B490" s="84"/>
      <c r="C490" s="85"/>
      <c r="D490" s="85"/>
      <c r="E490" s="84"/>
      <c r="F490" s="84"/>
      <c r="G490" s="84"/>
    </row>
    <row r="491" ht="22.5" customHeight="1">
      <c r="A491" s="84"/>
      <c r="B491" s="84"/>
      <c r="C491" s="85"/>
      <c r="D491" s="85"/>
      <c r="E491" s="84"/>
      <c r="F491" s="84"/>
      <c r="G491" s="84"/>
    </row>
    <row r="492" ht="22.5" customHeight="1">
      <c r="A492" s="84"/>
      <c r="B492" s="84"/>
      <c r="C492" s="85"/>
      <c r="D492" s="85"/>
      <c r="E492" s="84"/>
      <c r="F492" s="84"/>
      <c r="G492" s="84"/>
    </row>
    <row r="493" ht="22.5" customHeight="1">
      <c r="A493" s="84"/>
      <c r="B493" s="84"/>
      <c r="C493" s="85"/>
      <c r="D493" s="85"/>
      <c r="E493" s="84"/>
      <c r="F493" s="84"/>
      <c r="G493" s="84"/>
    </row>
    <row r="494" ht="22.5" customHeight="1">
      <c r="A494" s="84"/>
      <c r="B494" s="84"/>
      <c r="C494" s="85"/>
      <c r="D494" s="85"/>
      <c r="E494" s="84"/>
      <c r="F494" s="84"/>
      <c r="G494" s="84"/>
    </row>
    <row r="495" ht="22.5" customHeight="1">
      <c r="A495" s="84"/>
      <c r="B495" s="84"/>
      <c r="C495" s="85"/>
      <c r="D495" s="85"/>
      <c r="E495" s="84"/>
      <c r="F495" s="84"/>
      <c r="G495" s="84"/>
    </row>
    <row r="496" ht="22.5" customHeight="1">
      <c r="A496" s="84"/>
      <c r="B496" s="84"/>
      <c r="C496" s="85"/>
      <c r="D496" s="85"/>
      <c r="E496" s="84"/>
      <c r="F496" s="84"/>
      <c r="G496" s="84"/>
    </row>
    <row r="497" ht="22.5" customHeight="1">
      <c r="A497" s="84"/>
      <c r="B497" s="84"/>
      <c r="C497" s="85"/>
      <c r="D497" s="85"/>
      <c r="E497" s="84"/>
      <c r="F497" s="84"/>
      <c r="G497" s="84"/>
    </row>
    <row r="498" ht="22.5" customHeight="1">
      <c r="A498" s="84"/>
      <c r="B498" s="84"/>
      <c r="C498" s="85"/>
      <c r="D498" s="85"/>
      <c r="E498" s="84"/>
      <c r="F498" s="84"/>
      <c r="G498" s="84"/>
    </row>
    <row r="499" ht="22.5" customHeight="1">
      <c r="A499" s="84"/>
      <c r="B499" s="84"/>
      <c r="C499" s="85"/>
      <c r="D499" s="85"/>
      <c r="E499" s="84"/>
      <c r="F499" s="84"/>
      <c r="G499" s="84"/>
    </row>
    <row r="500" ht="22.5" customHeight="1">
      <c r="A500" s="84"/>
      <c r="B500" s="84"/>
      <c r="C500" s="85"/>
      <c r="D500" s="85"/>
      <c r="E500" s="84"/>
      <c r="F500" s="84"/>
      <c r="G500" s="84"/>
    </row>
    <row r="501" ht="22.5" customHeight="1">
      <c r="A501" s="84"/>
      <c r="B501" s="84"/>
      <c r="C501" s="85"/>
      <c r="D501" s="85"/>
      <c r="E501" s="84"/>
      <c r="F501" s="84"/>
      <c r="G501" s="84"/>
    </row>
    <row r="502" ht="22.5" customHeight="1">
      <c r="A502" s="84"/>
      <c r="B502" s="84"/>
      <c r="C502" s="85"/>
      <c r="D502" s="85"/>
      <c r="E502" s="84"/>
      <c r="F502" s="84"/>
      <c r="G502" s="84"/>
    </row>
    <row r="503" ht="22.5" customHeight="1">
      <c r="A503" s="84"/>
      <c r="B503" s="84"/>
      <c r="C503" s="85"/>
      <c r="D503" s="85"/>
      <c r="E503" s="84"/>
      <c r="F503" s="84"/>
      <c r="G503" s="84"/>
    </row>
    <row r="504" ht="22.5" customHeight="1">
      <c r="A504" s="84"/>
      <c r="B504" s="84"/>
      <c r="C504" s="85"/>
      <c r="D504" s="85"/>
      <c r="E504" s="84"/>
      <c r="F504" s="84"/>
      <c r="G504" s="84"/>
    </row>
    <row r="505" ht="22.5" customHeight="1">
      <c r="A505" s="84"/>
      <c r="B505" s="84"/>
      <c r="C505" s="85"/>
      <c r="D505" s="85"/>
      <c r="E505" s="84"/>
      <c r="F505" s="84"/>
      <c r="G505" s="84"/>
    </row>
    <row r="506" ht="22.5" customHeight="1">
      <c r="A506" s="84"/>
      <c r="B506" s="84"/>
      <c r="C506" s="85"/>
      <c r="D506" s="85"/>
      <c r="E506" s="84"/>
      <c r="F506" s="84"/>
      <c r="G506" s="84"/>
    </row>
    <row r="507" ht="22.5" customHeight="1">
      <c r="A507" s="84"/>
      <c r="B507" s="84"/>
      <c r="C507" s="85"/>
      <c r="D507" s="85"/>
      <c r="E507" s="84"/>
      <c r="F507" s="84"/>
      <c r="G507" s="84"/>
    </row>
    <row r="508" ht="22.5" customHeight="1">
      <c r="A508" s="84"/>
      <c r="B508" s="84"/>
      <c r="C508" s="85"/>
      <c r="D508" s="85"/>
      <c r="E508" s="84"/>
      <c r="F508" s="84"/>
      <c r="G508" s="84"/>
    </row>
    <row r="509" ht="22.5" customHeight="1">
      <c r="A509" s="84"/>
      <c r="B509" s="84"/>
      <c r="C509" s="85"/>
      <c r="D509" s="85"/>
      <c r="E509" s="84"/>
      <c r="F509" s="84"/>
      <c r="G509" s="84"/>
    </row>
    <row r="510" ht="22.5" customHeight="1">
      <c r="A510" s="84"/>
      <c r="B510" s="84"/>
      <c r="C510" s="85"/>
      <c r="D510" s="85"/>
      <c r="E510" s="84"/>
      <c r="F510" s="84"/>
      <c r="G510" s="84"/>
    </row>
    <row r="511" ht="22.5" customHeight="1">
      <c r="A511" s="84"/>
      <c r="B511" s="84"/>
      <c r="C511" s="85"/>
      <c r="D511" s="85"/>
      <c r="E511" s="84"/>
      <c r="F511" s="84"/>
      <c r="G511" s="84"/>
    </row>
    <row r="512" ht="22.5" customHeight="1">
      <c r="A512" s="84"/>
      <c r="B512" s="84"/>
      <c r="C512" s="85"/>
      <c r="D512" s="85"/>
      <c r="E512" s="84"/>
      <c r="F512" s="84"/>
      <c r="G512" s="84"/>
    </row>
    <row r="513" ht="22.5" customHeight="1">
      <c r="A513" s="84"/>
      <c r="B513" s="84"/>
      <c r="C513" s="85"/>
      <c r="D513" s="85"/>
      <c r="E513" s="84"/>
      <c r="F513" s="84"/>
      <c r="G513" s="84"/>
    </row>
    <row r="514" ht="22.5" customHeight="1">
      <c r="A514" s="84"/>
      <c r="B514" s="84"/>
      <c r="C514" s="85"/>
      <c r="D514" s="85"/>
      <c r="E514" s="84"/>
      <c r="F514" s="84"/>
      <c r="G514" s="84"/>
    </row>
    <row r="515" ht="22.5" customHeight="1">
      <c r="A515" s="84"/>
      <c r="B515" s="84"/>
      <c r="C515" s="85"/>
      <c r="D515" s="85"/>
      <c r="E515" s="84"/>
      <c r="F515" s="84"/>
      <c r="G515" s="84"/>
    </row>
    <row r="516" ht="22.5" customHeight="1">
      <c r="A516" s="84"/>
      <c r="B516" s="84"/>
      <c r="C516" s="85"/>
      <c r="D516" s="85"/>
      <c r="E516" s="84"/>
      <c r="F516" s="84"/>
      <c r="G516" s="84"/>
    </row>
    <row r="517" ht="22.5" customHeight="1">
      <c r="A517" s="84"/>
      <c r="B517" s="84"/>
      <c r="C517" s="85"/>
      <c r="D517" s="85"/>
      <c r="E517" s="84"/>
      <c r="F517" s="84"/>
      <c r="G517" s="84"/>
    </row>
    <row r="518" ht="22.5" customHeight="1">
      <c r="A518" s="84"/>
      <c r="B518" s="84"/>
      <c r="C518" s="85"/>
      <c r="D518" s="85"/>
      <c r="E518" s="84"/>
      <c r="F518" s="84"/>
      <c r="G518" s="84"/>
    </row>
    <row r="519" ht="22.5" customHeight="1">
      <c r="A519" s="84"/>
      <c r="B519" s="84"/>
      <c r="C519" s="85"/>
      <c r="D519" s="85"/>
      <c r="E519" s="84"/>
      <c r="F519" s="84"/>
      <c r="G519" s="84"/>
    </row>
    <row r="520" ht="22.5" customHeight="1">
      <c r="A520" s="84"/>
      <c r="B520" s="84"/>
      <c r="C520" s="85"/>
      <c r="D520" s="85"/>
      <c r="E520" s="84"/>
      <c r="F520" s="84"/>
      <c r="G520" s="84"/>
    </row>
    <row r="521" ht="22.5" customHeight="1">
      <c r="A521" s="84"/>
      <c r="B521" s="84"/>
      <c r="C521" s="85"/>
      <c r="D521" s="85"/>
      <c r="E521" s="84"/>
      <c r="F521" s="84"/>
      <c r="G521" s="84"/>
    </row>
    <row r="522" ht="22.5" customHeight="1">
      <c r="A522" s="84"/>
      <c r="B522" s="84"/>
      <c r="C522" s="85"/>
      <c r="D522" s="85"/>
      <c r="E522" s="84"/>
      <c r="F522" s="84"/>
      <c r="G522" s="84"/>
    </row>
    <row r="523" ht="22.5" customHeight="1">
      <c r="A523" s="84"/>
      <c r="B523" s="84"/>
      <c r="C523" s="85"/>
      <c r="D523" s="85"/>
      <c r="E523" s="84"/>
      <c r="F523" s="84"/>
      <c r="G523" s="84"/>
    </row>
    <row r="524" ht="22.5" customHeight="1">
      <c r="A524" s="84"/>
      <c r="B524" s="84"/>
      <c r="C524" s="85"/>
      <c r="D524" s="85"/>
      <c r="E524" s="84"/>
      <c r="F524" s="84"/>
      <c r="G524" s="84"/>
    </row>
    <row r="525" ht="22.5" customHeight="1">
      <c r="A525" s="84"/>
      <c r="B525" s="84"/>
      <c r="C525" s="85"/>
      <c r="D525" s="85"/>
      <c r="E525" s="84"/>
      <c r="F525" s="84"/>
      <c r="G525" s="84"/>
    </row>
    <row r="526" ht="22.5" customHeight="1">
      <c r="A526" s="84"/>
      <c r="B526" s="84"/>
      <c r="C526" s="85"/>
      <c r="D526" s="85"/>
      <c r="E526" s="84"/>
      <c r="F526" s="84"/>
      <c r="G526" s="84"/>
    </row>
    <row r="527" ht="22.5" customHeight="1">
      <c r="A527" s="84"/>
      <c r="B527" s="84"/>
      <c r="C527" s="85"/>
      <c r="D527" s="85"/>
      <c r="E527" s="84"/>
      <c r="F527" s="84"/>
      <c r="G527" s="84"/>
    </row>
    <row r="528" ht="22.5" customHeight="1">
      <c r="A528" s="84"/>
      <c r="B528" s="84"/>
      <c r="C528" s="85"/>
      <c r="D528" s="85"/>
      <c r="E528" s="84"/>
      <c r="F528" s="84"/>
      <c r="G528" s="84"/>
    </row>
    <row r="529" ht="22.5" customHeight="1">
      <c r="A529" s="84"/>
      <c r="B529" s="84"/>
      <c r="C529" s="85"/>
      <c r="D529" s="85"/>
      <c r="E529" s="84"/>
      <c r="F529" s="84"/>
      <c r="G529" s="84"/>
    </row>
    <row r="530" ht="22.5" customHeight="1">
      <c r="A530" s="84"/>
      <c r="B530" s="84"/>
      <c r="C530" s="85"/>
      <c r="D530" s="85"/>
      <c r="E530" s="84"/>
      <c r="F530" s="84"/>
      <c r="G530" s="84"/>
    </row>
    <row r="531" ht="22.5" customHeight="1">
      <c r="A531" s="84"/>
      <c r="B531" s="84"/>
      <c r="C531" s="85"/>
      <c r="D531" s="85"/>
      <c r="E531" s="84"/>
      <c r="F531" s="84"/>
      <c r="G531" s="84"/>
    </row>
    <row r="532" ht="22.5" customHeight="1">
      <c r="A532" s="84"/>
      <c r="B532" s="84"/>
      <c r="C532" s="85"/>
      <c r="D532" s="85"/>
      <c r="E532" s="84"/>
      <c r="F532" s="84"/>
      <c r="G532" s="84"/>
    </row>
    <row r="533" ht="22.5" customHeight="1">
      <c r="A533" s="84"/>
      <c r="B533" s="84"/>
      <c r="C533" s="85"/>
      <c r="D533" s="85"/>
      <c r="E533" s="84"/>
      <c r="F533" s="84"/>
      <c r="G533" s="84"/>
    </row>
    <row r="534" ht="22.5" customHeight="1">
      <c r="A534" s="84"/>
      <c r="B534" s="84"/>
      <c r="C534" s="85"/>
      <c r="D534" s="85"/>
      <c r="E534" s="84"/>
      <c r="F534" s="84"/>
      <c r="G534" s="84"/>
    </row>
    <row r="535" ht="22.5" customHeight="1">
      <c r="A535" s="84"/>
      <c r="B535" s="84"/>
      <c r="C535" s="85"/>
      <c r="D535" s="85"/>
      <c r="E535" s="84"/>
      <c r="F535" s="84"/>
      <c r="G535" s="84"/>
    </row>
    <row r="536" ht="22.5" customHeight="1">
      <c r="A536" s="84"/>
      <c r="B536" s="84"/>
      <c r="C536" s="85"/>
      <c r="D536" s="85"/>
      <c r="E536" s="84"/>
      <c r="F536" s="84"/>
      <c r="G536" s="84"/>
    </row>
    <row r="537" ht="22.5" customHeight="1">
      <c r="A537" s="84"/>
      <c r="B537" s="84"/>
      <c r="C537" s="85"/>
      <c r="D537" s="85"/>
      <c r="E537" s="84"/>
      <c r="F537" s="84"/>
      <c r="G537" s="84"/>
    </row>
    <row r="538" ht="22.5" customHeight="1">
      <c r="A538" s="84"/>
      <c r="B538" s="84"/>
      <c r="C538" s="85"/>
      <c r="D538" s="85"/>
      <c r="E538" s="84"/>
      <c r="F538" s="84"/>
      <c r="G538" s="84"/>
    </row>
    <row r="539" ht="22.5" customHeight="1">
      <c r="A539" s="84"/>
      <c r="B539" s="84"/>
      <c r="C539" s="85"/>
      <c r="D539" s="85"/>
      <c r="E539" s="84"/>
      <c r="F539" s="84"/>
      <c r="G539" s="84"/>
    </row>
    <row r="540" ht="22.5" customHeight="1">
      <c r="A540" s="84"/>
      <c r="B540" s="84"/>
      <c r="C540" s="85"/>
      <c r="D540" s="85"/>
      <c r="E540" s="84"/>
      <c r="F540" s="84"/>
      <c r="G540" s="84"/>
    </row>
    <row r="541" ht="22.5" customHeight="1">
      <c r="A541" s="84"/>
      <c r="B541" s="84"/>
      <c r="C541" s="85"/>
      <c r="D541" s="85"/>
      <c r="E541" s="84"/>
      <c r="F541" s="84"/>
      <c r="G541" s="84"/>
    </row>
    <row r="542" ht="22.5" customHeight="1">
      <c r="A542" s="84"/>
      <c r="B542" s="84"/>
      <c r="C542" s="85"/>
      <c r="D542" s="85"/>
      <c r="E542" s="84"/>
      <c r="F542" s="84"/>
      <c r="G542" s="84"/>
    </row>
    <row r="543" ht="22.5" customHeight="1">
      <c r="A543" s="84"/>
      <c r="B543" s="84"/>
      <c r="C543" s="85"/>
      <c r="D543" s="85"/>
      <c r="E543" s="84"/>
      <c r="F543" s="84"/>
      <c r="G543" s="84"/>
    </row>
    <row r="544" ht="22.5" customHeight="1">
      <c r="A544" s="84"/>
      <c r="B544" s="84"/>
      <c r="C544" s="85"/>
      <c r="D544" s="85"/>
      <c r="E544" s="84"/>
      <c r="F544" s="84"/>
      <c r="G544" s="84"/>
    </row>
    <row r="545" ht="22.5" customHeight="1">
      <c r="A545" s="84"/>
      <c r="B545" s="84"/>
      <c r="C545" s="85"/>
      <c r="D545" s="85"/>
      <c r="E545" s="84"/>
      <c r="F545" s="84"/>
      <c r="G545" s="84"/>
    </row>
    <row r="546" ht="22.5" customHeight="1">
      <c r="A546" s="84"/>
      <c r="B546" s="84"/>
      <c r="C546" s="85"/>
      <c r="D546" s="85"/>
      <c r="E546" s="84"/>
      <c r="F546" s="84"/>
      <c r="G546" s="84"/>
    </row>
    <row r="547" ht="22.5" customHeight="1">
      <c r="A547" s="84"/>
      <c r="B547" s="84"/>
      <c r="C547" s="85"/>
      <c r="D547" s="85"/>
      <c r="E547" s="84"/>
      <c r="F547" s="84"/>
      <c r="G547" s="84"/>
    </row>
    <row r="548" ht="22.5" customHeight="1">
      <c r="A548" s="84"/>
      <c r="B548" s="84"/>
      <c r="C548" s="85"/>
      <c r="D548" s="85"/>
      <c r="E548" s="84"/>
      <c r="F548" s="84"/>
      <c r="G548" s="84"/>
    </row>
    <row r="549" ht="22.5" customHeight="1">
      <c r="A549" s="84"/>
      <c r="B549" s="84"/>
      <c r="C549" s="85"/>
      <c r="D549" s="85"/>
      <c r="E549" s="84"/>
      <c r="F549" s="84"/>
      <c r="G549" s="84"/>
    </row>
    <row r="550" ht="22.5" customHeight="1">
      <c r="A550" s="84"/>
      <c r="B550" s="84"/>
      <c r="C550" s="85"/>
      <c r="D550" s="85"/>
      <c r="E550" s="84"/>
      <c r="F550" s="84"/>
      <c r="G550" s="84"/>
    </row>
    <row r="551" ht="22.5" customHeight="1">
      <c r="A551" s="84"/>
      <c r="B551" s="84"/>
      <c r="C551" s="85"/>
      <c r="D551" s="85"/>
      <c r="E551" s="84"/>
      <c r="F551" s="84"/>
      <c r="G551" s="84"/>
    </row>
    <row r="552" ht="22.5" customHeight="1">
      <c r="A552" s="84"/>
      <c r="B552" s="84"/>
      <c r="C552" s="85"/>
      <c r="D552" s="85"/>
      <c r="E552" s="84"/>
      <c r="F552" s="84"/>
      <c r="G552" s="84"/>
    </row>
    <row r="553" ht="22.5" customHeight="1">
      <c r="A553" s="84"/>
      <c r="B553" s="84"/>
      <c r="C553" s="85"/>
      <c r="D553" s="85"/>
      <c r="E553" s="84"/>
      <c r="F553" s="84"/>
      <c r="G553" s="84"/>
    </row>
    <row r="554" ht="22.5" customHeight="1">
      <c r="A554" s="84"/>
      <c r="B554" s="84"/>
      <c r="C554" s="85"/>
      <c r="D554" s="85"/>
      <c r="E554" s="84"/>
      <c r="F554" s="84"/>
      <c r="G554" s="84"/>
    </row>
    <row r="555" ht="22.5" customHeight="1">
      <c r="A555" s="84"/>
      <c r="B555" s="84"/>
      <c r="C555" s="85"/>
      <c r="D555" s="85"/>
      <c r="E555" s="84"/>
      <c r="F555" s="84"/>
      <c r="G555" s="84"/>
    </row>
    <row r="556" ht="22.5" customHeight="1">
      <c r="A556" s="84"/>
      <c r="B556" s="84"/>
      <c r="C556" s="85"/>
      <c r="D556" s="85"/>
      <c r="E556" s="84"/>
      <c r="F556" s="84"/>
      <c r="G556" s="84"/>
    </row>
    <row r="557" ht="22.5" customHeight="1">
      <c r="A557" s="84"/>
      <c r="B557" s="84"/>
      <c r="C557" s="85"/>
      <c r="D557" s="85"/>
      <c r="E557" s="84"/>
      <c r="F557" s="84"/>
      <c r="G557" s="84"/>
    </row>
    <row r="558" ht="22.5" customHeight="1">
      <c r="A558" s="84"/>
      <c r="B558" s="84"/>
      <c r="C558" s="85"/>
      <c r="D558" s="85"/>
      <c r="E558" s="84"/>
      <c r="F558" s="84"/>
      <c r="G558" s="84"/>
    </row>
    <row r="559" ht="22.5" customHeight="1">
      <c r="A559" s="84"/>
      <c r="B559" s="84"/>
      <c r="C559" s="85"/>
      <c r="D559" s="85"/>
      <c r="E559" s="84"/>
      <c r="F559" s="84"/>
      <c r="G559" s="84"/>
    </row>
    <row r="560" ht="22.5" customHeight="1">
      <c r="A560" s="84"/>
      <c r="B560" s="84"/>
      <c r="C560" s="85"/>
      <c r="D560" s="85"/>
      <c r="E560" s="84"/>
      <c r="F560" s="84"/>
      <c r="G560" s="84"/>
    </row>
    <row r="561" ht="22.5" customHeight="1">
      <c r="A561" s="84"/>
      <c r="B561" s="84"/>
      <c r="C561" s="85"/>
      <c r="D561" s="85"/>
      <c r="E561" s="84"/>
      <c r="F561" s="84"/>
      <c r="G561" s="84"/>
    </row>
    <row r="562" ht="22.5" customHeight="1">
      <c r="A562" s="84"/>
      <c r="B562" s="84"/>
      <c r="C562" s="85"/>
      <c r="D562" s="85"/>
      <c r="E562" s="84"/>
      <c r="F562" s="84"/>
      <c r="G562" s="84"/>
    </row>
    <row r="563" ht="22.5" customHeight="1">
      <c r="A563" s="84"/>
      <c r="B563" s="84"/>
      <c r="C563" s="85"/>
      <c r="D563" s="85"/>
      <c r="E563" s="84"/>
      <c r="F563" s="84"/>
      <c r="G563" s="84"/>
    </row>
    <row r="564" ht="22.5" customHeight="1">
      <c r="A564" s="84"/>
      <c r="B564" s="84"/>
      <c r="C564" s="85"/>
      <c r="D564" s="85"/>
      <c r="E564" s="84"/>
      <c r="F564" s="84"/>
      <c r="G564" s="84"/>
    </row>
    <row r="565" ht="22.5" customHeight="1">
      <c r="A565" s="84"/>
      <c r="B565" s="84"/>
      <c r="C565" s="85"/>
      <c r="D565" s="85"/>
      <c r="E565" s="84"/>
      <c r="F565" s="84"/>
      <c r="G565" s="84"/>
    </row>
    <row r="566" ht="22.5" customHeight="1">
      <c r="A566" s="84"/>
      <c r="B566" s="84"/>
      <c r="C566" s="85"/>
      <c r="D566" s="85"/>
      <c r="E566" s="84"/>
      <c r="F566" s="84"/>
      <c r="G566" s="84"/>
    </row>
    <row r="567" ht="22.5" customHeight="1">
      <c r="A567" s="84"/>
      <c r="B567" s="84"/>
      <c r="C567" s="85"/>
      <c r="D567" s="85"/>
      <c r="E567" s="84"/>
      <c r="F567" s="84"/>
      <c r="G567" s="84"/>
    </row>
    <row r="568" ht="22.5" customHeight="1">
      <c r="A568" s="84"/>
      <c r="B568" s="84"/>
      <c r="C568" s="85"/>
      <c r="D568" s="85"/>
      <c r="E568" s="84"/>
      <c r="F568" s="84"/>
      <c r="G568" s="84"/>
    </row>
    <row r="569" ht="22.5" customHeight="1">
      <c r="A569" s="84"/>
      <c r="B569" s="84"/>
      <c r="C569" s="85"/>
      <c r="D569" s="85"/>
      <c r="E569" s="84"/>
      <c r="F569" s="84"/>
      <c r="G569" s="84"/>
    </row>
    <row r="570" ht="22.5" customHeight="1">
      <c r="A570" s="84"/>
      <c r="B570" s="84"/>
      <c r="C570" s="85"/>
      <c r="D570" s="85"/>
      <c r="E570" s="84"/>
      <c r="F570" s="84"/>
      <c r="G570" s="84"/>
    </row>
    <row r="571" ht="22.5" customHeight="1">
      <c r="A571" s="84"/>
      <c r="B571" s="84"/>
      <c r="C571" s="85"/>
      <c r="D571" s="85"/>
      <c r="E571" s="84"/>
      <c r="F571" s="84"/>
      <c r="G571" s="84"/>
    </row>
    <row r="572" ht="22.5" customHeight="1">
      <c r="A572" s="84"/>
      <c r="B572" s="84"/>
      <c r="C572" s="85"/>
      <c r="D572" s="85"/>
      <c r="E572" s="84"/>
      <c r="F572" s="84"/>
      <c r="G572" s="84"/>
    </row>
    <row r="573" ht="22.5" customHeight="1">
      <c r="A573" s="84"/>
      <c r="B573" s="84"/>
      <c r="C573" s="85"/>
      <c r="D573" s="85"/>
      <c r="E573" s="84"/>
      <c r="F573" s="84"/>
      <c r="G573" s="84"/>
    </row>
    <row r="574" ht="22.5" customHeight="1">
      <c r="A574" s="84"/>
      <c r="B574" s="84"/>
      <c r="C574" s="85"/>
      <c r="D574" s="85"/>
      <c r="E574" s="84"/>
      <c r="F574" s="84"/>
      <c r="G574" s="84"/>
    </row>
    <row r="575" ht="22.5" customHeight="1">
      <c r="A575" s="84"/>
      <c r="B575" s="84"/>
      <c r="C575" s="85"/>
      <c r="D575" s="85"/>
      <c r="E575" s="84"/>
      <c r="F575" s="84"/>
      <c r="G575" s="84"/>
    </row>
    <row r="576" ht="22.5" customHeight="1">
      <c r="A576" s="84"/>
      <c r="B576" s="84"/>
      <c r="C576" s="85"/>
      <c r="D576" s="85"/>
      <c r="E576" s="84"/>
      <c r="F576" s="84"/>
      <c r="G576" s="84"/>
    </row>
    <row r="577" ht="22.5" customHeight="1">
      <c r="A577" s="84"/>
      <c r="B577" s="84"/>
      <c r="C577" s="85"/>
      <c r="D577" s="85"/>
      <c r="E577" s="84"/>
      <c r="F577" s="84"/>
      <c r="G577" s="84"/>
    </row>
    <row r="578" ht="22.5" customHeight="1">
      <c r="A578" s="84"/>
      <c r="B578" s="84"/>
      <c r="C578" s="85"/>
      <c r="D578" s="85"/>
      <c r="E578" s="84"/>
      <c r="F578" s="84"/>
      <c r="G578" s="84"/>
    </row>
    <row r="579" ht="22.5" customHeight="1">
      <c r="A579" s="84"/>
      <c r="B579" s="84"/>
      <c r="C579" s="85"/>
      <c r="D579" s="85"/>
      <c r="E579" s="84"/>
      <c r="F579" s="84"/>
      <c r="G579" s="84"/>
    </row>
    <row r="580" ht="22.5" customHeight="1">
      <c r="A580" s="84"/>
      <c r="B580" s="84"/>
      <c r="C580" s="85"/>
      <c r="D580" s="85"/>
      <c r="E580" s="84"/>
      <c r="F580" s="84"/>
      <c r="G580" s="84"/>
    </row>
    <row r="581" ht="22.5" customHeight="1">
      <c r="A581" s="84"/>
      <c r="B581" s="84"/>
      <c r="C581" s="85"/>
      <c r="D581" s="85"/>
      <c r="E581" s="84"/>
      <c r="F581" s="84"/>
      <c r="G581" s="84"/>
    </row>
    <row r="582" ht="22.5" customHeight="1">
      <c r="A582" s="84"/>
      <c r="B582" s="84"/>
      <c r="C582" s="85"/>
      <c r="D582" s="85"/>
      <c r="E582" s="84"/>
      <c r="F582" s="84"/>
      <c r="G582" s="84"/>
    </row>
    <row r="583" ht="22.5" customHeight="1">
      <c r="A583" s="84"/>
      <c r="B583" s="84"/>
      <c r="C583" s="85"/>
      <c r="D583" s="85"/>
      <c r="E583" s="84"/>
      <c r="F583" s="84"/>
      <c r="G583" s="84"/>
    </row>
    <row r="584" ht="22.5" customHeight="1">
      <c r="A584" s="84"/>
      <c r="B584" s="84"/>
      <c r="C584" s="85"/>
      <c r="D584" s="85"/>
      <c r="E584" s="84"/>
      <c r="F584" s="84"/>
      <c r="G584" s="84"/>
    </row>
    <row r="585" ht="22.5" customHeight="1">
      <c r="A585" s="84"/>
      <c r="B585" s="84"/>
      <c r="C585" s="85"/>
      <c r="D585" s="85"/>
      <c r="E585" s="84"/>
      <c r="F585" s="84"/>
      <c r="G585" s="84"/>
    </row>
    <row r="586" ht="22.5" customHeight="1">
      <c r="A586" s="84"/>
      <c r="B586" s="84"/>
      <c r="C586" s="85"/>
      <c r="D586" s="85"/>
      <c r="E586" s="84"/>
      <c r="F586" s="84"/>
      <c r="G586" s="84"/>
    </row>
    <row r="587" ht="22.5" customHeight="1">
      <c r="A587" s="84"/>
      <c r="B587" s="84"/>
      <c r="C587" s="85"/>
      <c r="D587" s="85"/>
      <c r="E587" s="84"/>
      <c r="F587" s="84"/>
      <c r="G587" s="84"/>
    </row>
    <row r="588" ht="22.5" customHeight="1">
      <c r="A588" s="84"/>
      <c r="B588" s="84"/>
      <c r="C588" s="85"/>
      <c r="D588" s="85"/>
      <c r="E588" s="84"/>
      <c r="F588" s="84"/>
      <c r="G588" s="84"/>
    </row>
    <row r="589" ht="22.5" customHeight="1">
      <c r="A589" s="84"/>
      <c r="B589" s="84"/>
      <c r="C589" s="85"/>
      <c r="D589" s="85"/>
      <c r="E589" s="84"/>
      <c r="F589" s="84"/>
      <c r="G589" s="84"/>
    </row>
    <row r="590" ht="22.5" customHeight="1">
      <c r="A590" s="84"/>
      <c r="B590" s="84"/>
      <c r="C590" s="85"/>
      <c r="D590" s="85"/>
      <c r="E590" s="84"/>
      <c r="F590" s="84"/>
      <c r="G590" s="84"/>
    </row>
    <row r="591" ht="22.5" customHeight="1">
      <c r="A591" s="84"/>
      <c r="B591" s="84"/>
      <c r="C591" s="85"/>
      <c r="D591" s="85"/>
      <c r="E591" s="84"/>
      <c r="F591" s="84"/>
      <c r="G591" s="84"/>
    </row>
    <row r="592" ht="22.5" customHeight="1">
      <c r="A592" s="84"/>
      <c r="B592" s="84"/>
      <c r="C592" s="85"/>
      <c r="D592" s="85"/>
      <c r="E592" s="84"/>
      <c r="F592" s="84"/>
      <c r="G592" s="84"/>
    </row>
    <row r="593" ht="22.5" customHeight="1">
      <c r="A593" s="84"/>
      <c r="B593" s="84"/>
      <c r="C593" s="85"/>
      <c r="D593" s="85"/>
      <c r="E593" s="84"/>
      <c r="F593" s="84"/>
      <c r="G593" s="84"/>
    </row>
    <row r="594" ht="22.5" customHeight="1">
      <c r="A594" s="84"/>
      <c r="B594" s="84"/>
      <c r="C594" s="85"/>
      <c r="D594" s="85"/>
      <c r="E594" s="84"/>
      <c r="F594" s="84"/>
      <c r="G594" s="84"/>
    </row>
    <row r="595" ht="22.5" customHeight="1">
      <c r="A595" s="84"/>
      <c r="B595" s="84"/>
      <c r="C595" s="85"/>
      <c r="D595" s="85"/>
      <c r="E595" s="84"/>
      <c r="F595" s="84"/>
      <c r="G595" s="84"/>
    </row>
    <row r="596" ht="22.5" customHeight="1">
      <c r="A596" s="84"/>
      <c r="B596" s="84"/>
      <c r="C596" s="85"/>
      <c r="D596" s="85"/>
      <c r="E596" s="84"/>
      <c r="F596" s="84"/>
      <c r="G596" s="84"/>
    </row>
    <row r="597" ht="22.5" customHeight="1">
      <c r="A597" s="84"/>
      <c r="B597" s="84"/>
      <c r="C597" s="85"/>
      <c r="D597" s="85"/>
      <c r="E597" s="84"/>
      <c r="F597" s="84"/>
      <c r="G597" s="84"/>
    </row>
    <row r="598" ht="22.5" customHeight="1">
      <c r="A598" s="84"/>
      <c r="B598" s="84"/>
      <c r="C598" s="85"/>
      <c r="D598" s="85"/>
      <c r="E598" s="84"/>
      <c r="F598" s="84"/>
      <c r="G598" s="84"/>
    </row>
    <row r="599" ht="22.5" customHeight="1">
      <c r="A599" s="84"/>
      <c r="B599" s="84"/>
      <c r="C599" s="85"/>
      <c r="D599" s="85"/>
      <c r="E599" s="84"/>
      <c r="F599" s="84"/>
      <c r="G599" s="84"/>
    </row>
    <row r="600" ht="22.5" customHeight="1">
      <c r="A600" s="84"/>
      <c r="B600" s="84"/>
      <c r="C600" s="85"/>
      <c r="D600" s="85"/>
      <c r="E600" s="84"/>
      <c r="F600" s="84"/>
      <c r="G600" s="84"/>
    </row>
    <row r="601" ht="22.5" customHeight="1">
      <c r="A601" s="84"/>
      <c r="B601" s="84"/>
      <c r="C601" s="85"/>
      <c r="D601" s="85"/>
      <c r="E601" s="84"/>
      <c r="F601" s="84"/>
      <c r="G601" s="84"/>
    </row>
    <row r="602" ht="22.5" customHeight="1">
      <c r="A602" s="84"/>
      <c r="B602" s="84"/>
      <c r="C602" s="85"/>
      <c r="D602" s="85"/>
      <c r="E602" s="84"/>
      <c r="F602" s="84"/>
      <c r="G602" s="84"/>
    </row>
    <row r="603" ht="22.5" customHeight="1">
      <c r="A603" s="84"/>
      <c r="B603" s="84"/>
      <c r="C603" s="85"/>
      <c r="D603" s="85"/>
      <c r="E603" s="84"/>
      <c r="F603" s="84"/>
      <c r="G603" s="84"/>
    </row>
    <row r="604" ht="22.5" customHeight="1">
      <c r="A604" s="84"/>
      <c r="B604" s="84"/>
      <c r="C604" s="85"/>
      <c r="D604" s="85"/>
      <c r="E604" s="84"/>
      <c r="F604" s="84"/>
      <c r="G604" s="84"/>
    </row>
    <row r="605" ht="22.5" customHeight="1">
      <c r="A605" s="84"/>
      <c r="B605" s="84"/>
      <c r="C605" s="85"/>
      <c r="D605" s="85"/>
      <c r="E605" s="84"/>
      <c r="F605" s="84"/>
      <c r="G605" s="84"/>
    </row>
    <row r="606" ht="22.5" customHeight="1">
      <c r="A606" s="84"/>
      <c r="B606" s="84"/>
      <c r="C606" s="85"/>
      <c r="D606" s="85"/>
      <c r="E606" s="84"/>
      <c r="F606" s="84"/>
      <c r="G606" s="84"/>
    </row>
    <row r="607" ht="22.5" customHeight="1">
      <c r="A607" s="84"/>
      <c r="B607" s="84"/>
      <c r="C607" s="85"/>
      <c r="D607" s="85"/>
      <c r="E607" s="84"/>
      <c r="F607" s="84"/>
      <c r="G607" s="84"/>
    </row>
    <row r="608" ht="22.5" customHeight="1">
      <c r="A608" s="84"/>
      <c r="B608" s="84"/>
      <c r="C608" s="85"/>
      <c r="D608" s="85"/>
      <c r="E608" s="84"/>
      <c r="F608" s="84"/>
      <c r="G608" s="84"/>
    </row>
    <row r="609" ht="22.5" customHeight="1">
      <c r="A609" s="84"/>
      <c r="B609" s="84"/>
      <c r="C609" s="85"/>
      <c r="D609" s="85"/>
      <c r="E609" s="84"/>
      <c r="F609" s="84"/>
      <c r="G609" s="84"/>
    </row>
    <row r="610" ht="22.5" customHeight="1">
      <c r="A610" s="84"/>
      <c r="B610" s="84"/>
      <c r="C610" s="85"/>
      <c r="D610" s="85"/>
      <c r="E610" s="84"/>
      <c r="F610" s="84"/>
      <c r="G610" s="84"/>
    </row>
    <row r="611" ht="22.5" customHeight="1">
      <c r="A611" s="84"/>
      <c r="B611" s="84"/>
      <c r="C611" s="85"/>
      <c r="D611" s="85"/>
      <c r="E611" s="84"/>
      <c r="F611" s="84"/>
      <c r="G611" s="84"/>
    </row>
    <row r="612" ht="22.5" customHeight="1">
      <c r="A612" s="84"/>
      <c r="B612" s="84"/>
      <c r="C612" s="85"/>
      <c r="D612" s="85"/>
      <c r="E612" s="84"/>
      <c r="F612" s="84"/>
      <c r="G612" s="84"/>
    </row>
    <row r="613" ht="22.5" customHeight="1">
      <c r="A613" s="84"/>
      <c r="B613" s="84"/>
      <c r="C613" s="85"/>
      <c r="D613" s="85"/>
      <c r="E613" s="84"/>
      <c r="F613" s="84"/>
      <c r="G613" s="84"/>
    </row>
    <row r="614" ht="22.5" customHeight="1">
      <c r="A614" s="84"/>
      <c r="B614" s="84"/>
      <c r="C614" s="85"/>
      <c r="D614" s="85"/>
      <c r="E614" s="84"/>
      <c r="F614" s="84"/>
      <c r="G614" s="84"/>
    </row>
    <row r="615" ht="22.5" customHeight="1">
      <c r="A615" s="84"/>
      <c r="B615" s="84"/>
      <c r="C615" s="85"/>
      <c r="D615" s="85"/>
      <c r="E615" s="84"/>
      <c r="F615" s="84"/>
      <c r="G615" s="84"/>
    </row>
    <row r="616" ht="22.5" customHeight="1">
      <c r="A616" s="84"/>
      <c r="B616" s="84"/>
      <c r="C616" s="85"/>
      <c r="D616" s="85"/>
      <c r="E616" s="84"/>
      <c r="F616" s="84"/>
      <c r="G616" s="84"/>
    </row>
    <row r="617" ht="22.5" customHeight="1">
      <c r="A617" s="84"/>
      <c r="B617" s="84"/>
      <c r="C617" s="85"/>
      <c r="D617" s="85"/>
      <c r="E617" s="84"/>
      <c r="F617" s="84"/>
      <c r="G617" s="84"/>
    </row>
    <row r="618" ht="22.5" customHeight="1">
      <c r="A618" s="84"/>
      <c r="B618" s="84"/>
      <c r="C618" s="85"/>
      <c r="D618" s="85"/>
      <c r="E618" s="84"/>
      <c r="F618" s="84"/>
      <c r="G618" s="84"/>
    </row>
    <row r="619" ht="22.5" customHeight="1">
      <c r="A619" s="84"/>
      <c r="B619" s="84"/>
      <c r="C619" s="85"/>
      <c r="D619" s="85"/>
      <c r="E619" s="84"/>
      <c r="F619" s="84"/>
      <c r="G619" s="84"/>
    </row>
    <row r="620" ht="22.5" customHeight="1">
      <c r="A620" s="84"/>
      <c r="B620" s="84"/>
      <c r="C620" s="85"/>
      <c r="D620" s="85"/>
      <c r="E620" s="84"/>
      <c r="F620" s="84"/>
      <c r="G620" s="84"/>
    </row>
    <row r="621" ht="22.5" customHeight="1">
      <c r="A621" s="84"/>
      <c r="B621" s="84"/>
      <c r="C621" s="85"/>
      <c r="D621" s="85"/>
      <c r="E621" s="84"/>
      <c r="F621" s="84"/>
      <c r="G621" s="84"/>
    </row>
    <row r="622" ht="22.5" customHeight="1">
      <c r="A622" s="84"/>
      <c r="B622" s="84"/>
      <c r="C622" s="85"/>
      <c r="D622" s="85"/>
      <c r="E622" s="84"/>
      <c r="F622" s="84"/>
      <c r="G622" s="84"/>
    </row>
    <row r="623" ht="22.5" customHeight="1">
      <c r="A623" s="84"/>
      <c r="B623" s="84"/>
      <c r="C623" s="85"/>
      <c r="D623" s="85"/>
      <c r="E623" s="84"/>
      <c r="F623" s="84"/>
      <c r="G623" s="84"/>
    </row>
    <row r="624" ht="22.5" customHeight="1">
      <c r="A624" s="84"/>
      <c r="B624" s="84"/>
      <c r="C624" s="85"/>
      <c r="D624" s="85"/>
      <c r="E624" s="84"/>
      <c r="F624" s="84"/>
      <c r="G624" s="84"/>
    </row>
    <row r="625" ht="22.5" customHeight="1">
      <c r="A625" s="84"/>
      <c r="B625" s="84"/>
      <c r="C625" s="85"/>
      <c r="D625" s="85"/>
      <c r="E625" s="84"/>
      <c r="F625" s="84"/>
      <c r="G625" s="84"/>
    </row>
    <row r="626" ht="22.5" customHeight="1">
      <c r="A626" s="84"/>
      <c r="B626" s="84"/>
      <c r="C626" s="85"/>
      <c r="D626" s="85"/>
      <c r="E626" s="84"/>
      <c r="F626" s="84"/>
      <c r="G626" s="84"/>
    </row>
    <row r="627" ht="22.5" customHeight="1">
      <c r="A627" s="84"/>
      <c r="B627" s="84"/>
      <c r="C627" s="85"/>
      <c r="D627" s="85"/>
      <c r="E627" s="84"/>
      <c r="F627" s="84"/>
      <c r="G627" s="84"/>
    </row>
    <row r="628" ht="22.5" customHeight="1">
      <c r="A628" s="84"/>
      <c r="B628" s="84"/>
      <c r="C628" s="85"/>
      <c r="D628" s="85"/>
      <c r="E628" s="84"/>
      <c r="F628" s="84"/>
      <c r="G628" s="84"/>
    </row>
    <row r="629" ht="22.5" customHeight="1">
      <c r="A629" s="84"/>
      <c r="B629" s="84"/>
      <c r="C629" s="85"/>
      <c r="D629" s="85"/>
      <c r="E629" s="84"/>
      <c r="F629" s="84"/>
      <c r="G629" s="84"/>
    </row>
    <row r="630" ht="22.5" customHeight="1">
      <c r="A630" s="84"/>
      <c r="B630" s="84"/>
      <c r="C630" s="85"/>
      <c r="D630" s="85"/>
      <c r="E630" s="84"/>
      <c r="F630" s="84"/>
      <c r="G630" s="84"/>
    </row>
    <row r="631" ht="22.5" customHeight="1">
      <c r="A631" s="84"/>
      <c r="B631" s="84"/>
      <c r="C631" s="85"/>
      <c r="D631" s="85"/>
      <c r="E631" s="84"/>
      <c r="F631" s="84"/>
      <c r="G631" s="84"/>
    </row>
    <row r="632" ht="22.5" customHeight="1">
      <c r="A632" s="84"/>
      <c r="B632" s="84"/>
      <c r="C632" s="85"/>
      <c r="D632" s="85"/>
      <c r="E632" s="84"/>
      <c r="F632" s="84"/>
      <c r="G632" s="84"/>
    </row>
    <row r="633" ht="22.5" customHeight="1">
      <c r="A633" s="84"/>
      <c r="B633" s="84"/>
      <c r="C633" s="85"/>
      <c r="D633" s="85"/>
      <c r="E633" s="84"/>
      <c r="F633" s="84"/>
      <c r="G633" s="84"/>
    </row>
    <row r="634" ht="22.5" customHeight="1">
      <c r="A634" s="84"/>
      <c r="B634" s="84"/>
      <c r="C634" s="85"/>
      <c r="D634" s="85"/>
      <c r="E634" s="84"/>
      <c r="F634" s="84"/>
      <c r="G634" s="84"/>
    </row>
    <row r="635" ht="22.5" customHeight="1">
      <c r="A635" s="84"/>
      <c r="B635" s="84"/>
      <c r="C635" s="85"/>
      <c r="D635" s="85"/>
      <c r="E635" s="84"/>
      <c r="F635" s="84"/>
      <c r="G635" s="84"/>
    </row>
    <row r="636" ht="22.5" customHeight="1">
      <c r="A636" s="84"/>
      <c r="B636" s="84"/>
      <c r="C636" s="85"/>
      <c r="D636" s="85"/>
      <c r="E636" s="84"/>
      <c r="F636" s="84"/>
      <c r="G636" s="84"/>
    </row>
    <row r="637" ht="22.5" customHeight="1">
      <c r="A637" s="84"/>
      <c r="B637" s="84"/>
      <c r="C637" s="85"/>
      <c r="D637" s="85"/>
      <c r="E637" s="84"/>
      <c r="F637" s="84"/>
      <c r="G637" s="84"/>
    </row>
    <row r="638" ht="22.5" customHeight="1">
      <c r="A638" s="84"/>
      <c r="B638" s="84"/>
      <c r="C638" s="85"/>
      <c r="D638" s="85"/>
      <c r="E638" s="84"/>
      <c r="F638" s="84"/>
      <c r="G638" s="84"/>
    </row>
    <row r="639" ht="22.5" customHeight="1">
      <c r="A639" s="84"/>
      <c r="B639" s="84"/>
      <c r="C639" s="85"/>
      <c r="D639" s="85"/>
      <c r="E639" s="84"/>
      <c r="F639" s="84"/>
      <c r="G639" s="84"/>
    </row>
    <row r="640" ht="22.5" customHeight="1">
      <c r="A640" s="84"/>
      <c r="B640" s="84"/>
      <c r="C640" s="85"/>
      <c r="D640" s="85"/>
      <c r="E640" s="84"/>
      <c r="F640" s="84"/>
      <c r="G640" s="84"/>
    </row>
    <row r="641" ht="22.5" customHeight="1">
      <c r="A641" s="84"/>
      <c r="B641" s="84"/>
      <c r="C641" s="85"/>
      <c r="D641" s="85"/>
      <c r="E641" s="84"/>
      <c r="F641" s="84"/>
      <c r="G641" s="84"/>
    </row>
    <row r="642" ht="22.5" customHeight="1">
      <c r="A642" s="84"/>
      <c r="B642" s="84"/>
      <c r="C642" s="85"/>
      <c r="D642" s="85"/>
      <c r="E642" s="84"/>
      <c r="F642" s="84"/>
      <c r="G642" s="84"/>
    </row>
    <row r="643" ht="22.5" customHeight="1">
      <c r="A643" s="84"/>
      <c r="B643" s="84"/>
      <c r="C643" s="85"/>
      <c r="D643" s="85"/>
      <c r="E643" s="84"/>
      <c r="F643" s="84"/>
      <c r="G643" s="84"/>
    </row>
    <row r="644" ht="22.5" customHeight="1">
      <c r="A644" s="84"/>
      <c r="B644" s="84"/>
      <c r="C644" s="85"/>
      <c r="D644" s="85"/>
      <c r="E644" s="84"/>
      <c r="F644" s="84"/>
      <c r="G644" s="84"/>
    </row>
    <row r="645" ht="22.5" customHeight="1">
      <c r="A645" s="84"/>
      <c r="B645" s="84"/>
      <c r="C645" s="85"/>
      <c r="D645" s="85"/>
      <c r="E645" s="84"/>
      <c r="F645" s="84"/>
      <c r="G645" s="84"/>
    </row>
    <row r="646" ht="22.5" customHeight="1">
      <c r="A646" s="84"/>
      <c r="B646" s="84"/>
      <c r="C646" s="85"/>
      <c r="D646" s="85"/>
      <c r="E646" s="84"/>
      <c r="F646" s="84"/>
      <c r="G646" s="84"/>
    </row>
    <row r="647" ht="22.5" customHeight="1">
      <c r="A647" s="84"/>
      <c r="B647" s="84"/>
      <c r="C647" s="85"/>
      <c r="D647" s="85"/>
      <c r="E647" s="84"/>
      <c r="F647" s="84"/>
      <c r="G647" s="84"/>
    </row>
    <row r="648" ht="22.5" customHeight="1">
      <c r="A648" s="84"/>
      <c r="B648" s="84"/>
      <c r="C648" s="85"/>
      <c r="D648" s="85"/>
      <c r="E648" s="84"/>
      <c r="F648" s="84"/>
      <c r="G648" s="84"/>
    </row>
    <row r="649" ht="22.5" customHeight="1">
      <c r="A649" s="84"/>
      <c r="B649" s="84"/>
      <c r="C649" s="85"/>
      <c r="D649" s="85"/>
      <c r="E649" s="84"/>
      <c r="F649" s="84"/>
      <c r="G649" s="84"/>
    </row>
    <row r="650" ht="22.5" customHeight="1">
      <c r="A650" s="84"/>
      <c r="B650" s="84"/>
      <c r="C650" s="85"/>
      <c r="D650" s="85"/>
      <c r="E650" s="84"/>
      <c r="F650" s="84"/>
      <c r="G650" s="84"/>
    </row>
    <row r="651" ht="22.5" customHeight="1">
      <c r="A651" s="84"/>
      <c r="B651" s="84"/>
      <c r="C651" s="85"/>
      <c r="D651" s="85"/>
      <c r="E651" s="84"/>
      <c r="F651" s="84"/>
      <c r="G651" s="84"/>
    </row>
    <row r="652" ht="22.5" customHeight="1">
      <c r="A652" s="84"/>
      <c r="B652" s="84"/>
      <c r="C652" s="85"/>
      <c r="D652" s="85"/>
      <c r="E652" s="84"/>
      <c r="F652" s="84"/>
      <c r="G652" s="84"/>
    </row>
    <row r="653" ht="22.5" customHeight="1">
      <c r="A653" s="84"/>
      <c r="B653" s="84"/>
      <c r="C653" s="85"/>
      <c r="D653" s="85"/>
      <c r="E653" s="84"/>
      <c r="F653" s="84"/>
      <c r="G653" s="84"/>
    </row>
    <row r="654" ht="22.5" customHeight="1">
      <c r="A654" s="84"/>
      <c r="B654" s="84"/>
      <c r="C654" s="85"/>
      <c r="D654" s="85"/>
      <c r="E654" s="84"/>
      <c r="F654" s="84"/>
      <c r="G654" s="84"/>
    </row>
    <row r="655" ht="22.5" customHeight="1">
      <c r="A655" s="84"/>
      <c r="B655" s="84"/>
      <c r="C655" s="85"/>
      <c r="D655" s="85"/>
      <c r="E655" s="84"/>
      <c r="F655" s="84"/>
      <c r="G655" s="84"/>
    </row>
    <row r="656" ht="22.5" customHeight="1">
      <c r="A656" s="84"/>
      <c r="B656" s="84"/>
      <c r="C656" s="85"/>
      <c r="D656" s="85"/>
      <c r="E656" s="84"/>
      <c r="F656" s="84"/>
      <c r="G656" s="84"/>
    </row>
    <row r="657" ht="22.5" customHeight="1">
      <c r="A657" s="84"/>
      <c r="B657" s="84"/>
      <c r="C657" s="85"/>
      <c r="D657" s="85"/>
      <c r="E657" s="84"/>
      <c r="F657" s="84"/>
      <c r="G657" s="84"/>
    </row>
    <row r="658" ht="22.5" customHeight="1">
      <c r="A658" s="84"/>
      <c r="B658" s="84"/>
      <c r="C658" s="85"/>
      <c r="D658" s="85"/>
      <c r="E658" s="84"/>
      <c r="F658" s="84"/>
      <c r="G658" s="84"/>
    </row>
    <row r="659" ht="22.5" customHeight="1">
      <c r="A659" s="84"/>
      <c r="B659" s="84"/>
      <c r="C659" s="85"/>
      <c r="D659" s="85"/>
      <c r="E659" s="84"/>
      <c r="F659" s="84"/>
      <c r="G659" s="84"/>
    </row>
    <row r="660" ht="22.5" customHeight="1">
      <c r="A660" s="84"/>
      <c r="B660" s="84"/>
      <c r="C660" s="85"/>
      <c r="D660" s="85"/>
      <c r="E660" s="84"/>
      <c r="F660" s="84"/>
      <c r="G660" s="84"/>
    </row>
    <row r="661" ht="22.5" customHeight="1">
      <c r="A661" s="84"/>
      <c r="B661" s="84"/>
      <c r="C661" s="85"/>
      <c r="D661" s="85"/>
      <c r="E661" s="84"/>
      <c r="F661" s="84"/>
      <c r="G661" s="84"/>
    </row>
    <row r="662" ht="22.5" customHeight="1">
      <c r="A662" s="84"/>
      <c r="B662" s="84"/>
      <c r="C662" s="85"/>
      <c r="D662" s="85"/>
      <c r="E662" s="84"/>
      <c r="F662" s="84"/>
      <c r="G662" s="84"/>
    </row>
    <row r="663" ht="22.5" customHeight="1">
      <c r="A663" s="84"/>
      <c r="B663" s="84"/>
      <c r="C663" s="85"/>
      <c r="D663" s="85"/>
      <c r="E663" s="84"/>
      <c r="F663" s="84"/>
      <c r="G663" s="84"/>
    </row>
    <row r="664" ht="22.5" customHeight="1">
      <c r="A664" s="84"/>
      <c r="B664" s="84"/>
      <c r="C664" s="85"/>
      <c r="D664" s="85"/>
      <c r="E664" s="84"/>
      <c r="F664" s="84"/>
      <c r="G664" s="84"/>
    </row>
    <row r="665" ht="22.5" customHeight="1">
      <c r="A665" s="84"/>
      <c r="B665" s="84"/>
      <c r="C665" s="85"/>
      <c r="D665" s="85"/>
      <c r="E665" s="84"/>
      <c r="F665" s="84"/>
      <c r="G665" s="84"/>
    </row>
    <row r="666" ht="22.5" customHeight="1">
      <c r="A666" s="84"/>
      <c r="B666" s="84"/>
      <c r="C666" s="85"/>
      <c r="D666" s="85"/>
      <c r="E666" s="84"/>
      <c r="F666" s="84"/>
      <c r="G666" s="84"/>
    </row>
    <row r="667" ht="22.5" customHeight="1">
      <c r="A667" s="84"/>
      <c r="B667" s="84"/>
      <c r="C667" s="85"/>
      <c r="D667" s="85"/>
      <c r="E667" s="84"/>
      <c r="F667" s="84"/>
      <c r="G667" s="84"/>
    </row>
    <row r="668" ht="22.5" customHeight="1">
      <c r="A668" s="84"/>
      <c r="B668" s="84"/>
      <c r="C668" s="85"/>
      <c r="D668" s="85"/>
      <c r="E668" s="84"/>
      <c r="F668" s="84"/>
      <c r="G668" s="84"/>
    </row>
    <row r="669" ht="22.5" customHeight="1">
      <c r="A669" s="84"/>
      <c r="B669" s="84"/>
      <c r="C669" s="85"/>
      <c r="D669" s="85"/>
      <c r="E669" s="84"/>
      <c r="F669" s="84"/>
      <c r="G669" s="84"/>
    </row>
    <row r="670" ht="22.5" customHeight="1">
      <c r="A670" s="84"/>
      <c r="B670" s="84"/>
      <c r="C670" s="85"/>
      <c r="D670" s="85"/>
      <c r="E670" s="84"/>
      <c r="F670" s="84"/>
      <c r="G670" s="84"/>
    </row>
    <row r="671" ht="22.5" customHeight="1">
      <c r="A671" s="84"/>
      <c r="B671" s="84"/>
      <c r="C671" s="85"/>
      <c r="D671" s="85"/>
      <c r="E671" s="84"/>
      <c r="F671" s="84"/>
      <c r="G671" s="84"/>
    </row>
    <row r="672" ht="22.5" customHeight="1">
      <c r="A672" s="84"/>
      <c r="B672" s="84"/>
      <c r="C672" s="85"/>
      <c r="D672" s="85"/>
      <c r="E672" s="84"/>
      <c r="F672" s="84"/>
      <c r="G672" s="84"/>
    </row>
    <row r="673" ht="22.5" customHeight="1">
      <c r="A673" s="84"/>
      <c r="B673" s="84"/>
      <c r="C673" s="85"/>
      <c r="D673" s="85"/>
      <c r="E673" s="84"/>
      <c r="F673" s="84"/>
      <c r="G673" s="84"/>
    </row>
    <row r="674" ht="22.5" customHeight="1">
      <c r="A674" s="84"/>
      <c r="B674" s="84"/>
      <c r="C674" s="85"/>
      <c r="D674" s="85"/>
      <c r="E674" s="84"/>
      <c r="F674" s="84"/>
      <c r="G674" s="84"/>
    </row>
    <row r="675" ht="22.5" customHeight="1">
      <c r="A675" s="84"/>
      <c r="B675" s="84"/>
      <c r="C675" s="85"/>
      <c r="D675" s="85"/>
      <c r="E675" s="84"/>
      <c r="F675" s="84"/>
      <c r="G675" s="84"/>
    </row>
    <row r="676" ht="22.5" customHeight="1">
      <c r="A676" s="84"/>
      <c r="B676" s="84"/>
      <c r="C676" s="85"/>
      <c r="D676" s="85"/>
      <c r="E676" s="84"/>
      <c r="F676" s="84"/>
      <c r="G676" s="84"/>
    </row>
    <row r="677" ht="22.5" customHeight="1">
      <c r="A677" s="84"/>
      <c r="B677" s="84"/>
      <c r="C677" s="85"/>
      <c r="D677" s="85"/>
      <c r="E677" s="84"/>
      <c r="F677" s="84"/>
      <c r="G677" s="84"/>
    </row>
    <row r="678" ht="22.5" customHeight="1">
      <c r="A678" s="84"/>
      <c r="B678" s="84"/>
      <c r="C678" s="85"/>
      <c r="D678" s="85"/>
      <c r="E678" s="84"/>
      <c r="F678" s="84"/>
      <c r="G678" s="84"/>
    </row>
    <row r="679" ht="22.5" customHeight="1">
      <c r="A679" s="84"/>
      <c r="B679" s="84"/>
      <c r="C679" s="85"/>
      <c r="D679" s="85"/>
      <c r="E679" s="84"/>
      <c r="F679" s="84"/>
      <c r="G679" s="84"/>
    </row>
    <row r="680" ht="22.5" customHeight="1">
      <c r="A680" s="84"/>
      <c r="B680" s="84"/>
      <c r="C680" s="85"/>
      <c r="D680" s="85"/>
      <c r="E680" s="84"/>
      <c r="F680" s="84"/>
      <c r="G680" s="84"/>
    </row>
    <row r="681" ht="22.5" customHeight="1">
      <c r="A681" s="84"/>
      <c r="B681" s="84"/>
      <c r="C681" s="85"/>
      <c r="D681" s="85"/>
      <c r="E681" s="84"/>
      <c r="F681" s="84"/>
      <c r="G681" s="84"/>
    </row>
    <row r="682" ht="22.5" customHeight="1">
      <c r="A682" s="84"/>
      <c r="B682" s="84"/>
      <c r="C682" s="85"/>
      <c r="D682" s="85"/>
      <c r="E682" s="84"/>
      <c r="F682" s="84"/>
      <c r="G682" s="84"/>
    </row>
    <row r="683" ht="22.5" customHeight="1">
      <c r="A683" s="84"/>
      <c r="B683" s="84"/>
      <c r="C683" s="85"/>
      <c r="D683" s="85"/>
      <c r="E683" s="84"/>
      <c r="F683" s="84"/>
      <c r="G683" s="84"/>
    </row>
    <row r="684" ht="22.5" customHeight="1">
      <c r="A684" s="84"/>
      <c r="B684" s="84"/>
      <c r="C684" s="85"/>
      <c r="D684" s="85"/>
      <c r="E684" s="84"/>
      <c r="F684" s="84"/>
      <c r="G684" s="84"/>
    </row>
    <row r="685" ht="22.5" customHeight="1">
      <c r="A685" s="84"/>
      <c r="B685" s="84"/>
      <c r="C685" s="85"/>
      <c r="D685" s="85"/>
      <c r="E685" s="84"/>
      <c r="F685" s="84"/>
      <c r="G685" s="84"/>
    </row>
    <row r="686" ht="22.5" customHeight="1">
      <c r="A686" s="84"/>
      <c r="B686" s="84"/>
      <c r="C686" s="85"/>
      <c r="D686" s="85"/>
      <c r="E686" s="84"/>
      <c r="F686" s="84"/>
      <c r="G686" s="84"/>
    </row>
    <row r="687" ht="22.5" customHeight="1">
      <c r="A687" s="84"/>
      <c r="B687" s="84"/>
      <c r="C687" s="85"/>
      <c r="D687" s="85"/>
      <c r="E687" s="84"/>
      <c r="F687" s="84"/>
      <c r="G687" s="84"/>
    </row>
    <row r="688" ht="22.5" customHeight="1">
      <c r="A688" s="84"/>
      <c r="B688" s="84"/>
      <c r="C688" s="85"/>
      <c r="D688" s="85"/>
      <c r="E688" s="84"/>
      <c r="F688" s="84"/>
      <c r="G688" s="84"/>
    </row>
    <row r="689" ht="22.5" customHeight="1">
      <c r="A689" s="84"/>
      <c r="B689" s="84"/>
      <c r="C689" s="85"/>
      <c r="D689" s="85"/>
      <c r="E689" s="84"/>
      <c r="F689" s="84"/>
      <c r="G689" s="84"/>
    </row>
    <row r="690" ht="22.5" customHeight="1">
      <c r="A690" s="84"/>
      <c r="B690" s="84"/>
      <c r="C690" s="85"/>
      <c r="D690" s="85"/>
      <c r="E690" s="84"/>
      <c r="F690" s="84"/>
      <c r="G690" s="84"/>
    </row>
    <row r="691" ht="22.5" customHeight="1">
      <c r="A691" s="84"/>
      <c r="B691" s="84"/>
      <c r="C691" s="85"/>
      <c r="D691" s="85"/>
      <c r="E691" s="84"/>
      <c r="F691" s="84"/>
      <c r="G691" s="84"/>
    </row>
    <row r="692" ht="22.5" customHeight="1">
      <c r="A692" s="84"/>
      <c r="B692" s="84"/>
      <c r="C692" s="85"/>
      <c r="D692" s="85"/>
      <c r="E692" s="84"/>
      <c r="F692" s="84"/>
      <c r="G692" s="84"/>
    </row>
    <row r="693" ht="22.5" customHeight="1">
      <c r="A693" s="84"/>
      <c r="B693" s="84"/>
      <c r="C693" s="85"/>
      <c r="D693" s="85"/>
      <c r="E693" s="84"/>
      <c r="F693" s="84"/>
      <c r="G693" s="84"/>
    </row>
    <row r="694" ht="22.5" customHeight="1">
      <c r="A694" s="84"/>
      <c r="B694" s="84"/>
      <c r="C694" s="85"/>
      <c r="D694" s="85"/>
      <c r="E694" s="84"/>
      <c r="F694" s="84"/>
      <c r="G694" s="84"/>
    </row>
    <row r="695" ht="22.5" customHeight="1">
      <c r="A695" s="84"/>
      <c r="B695" s="84"/>
      <c r="C695" s="85"/>
      <c r="D695" s="85"/>
      <c r="E695" s="84"/>
      <c r="F695" s="84"/>
      <c r="G695" s="84"/>
    </row>
    <row r="696" ht="22.5" customHeight="1">
      <c r="A696" s="84"/>
      <c r="B696" s="84"/>
      <c r="C696" s="85"/>
      <c r="D696" s="85"/>
      <c r="E696" s="84"/>
      <c r="F696" s="84"/>
      <c r="G696" s="84"/>
    </row>
    <row r="697" ht="22.5" customHeight="1">
      <c r="A697" s="84"/>
      <c r="B697" s="84"/>
      <c r="C697" s="85"/>
      <c r="D697" s="85"/>
      <c r="E697" s="84"/>
      <c r="F697" s="84"/>
      <c r="G697" s="84"/>
    </row>
    <row r="698" ht="22.5" customHeight="1">
      <c r="A698" s="84"/>
      <c r="B698" s="84"/>
      <c r="C698" s="85"/>
      <c r="D698" s="85"/>
      <c r="E698" s="84"/>
      <c r="F698" s="84"/>
      <c r="G698" s="84"/>
    </row>
    <row r="699" ht="22.5" customHeight="1">
      <c r="A699" s="84"/>
      <c r="B699" s="84"/>
      <c r="C699" s="85"/>
      <c r="D699" s="85"/>
      <c r="E699" s="84"/>
      <c r="F699" s="84"/>
      <c r="G699" s="84"/>
    </row>
    <row r="700" ht="22.5" customHeight="1">
      <c r="A700" s="84"/>
      <c r="B700" s="84"/>
      <c r="C700" s="85"/>
      <c r="D700" s="85"/>
      <c r="E700" s="84"/>
      <c r="F700" s="84"/>
      <c r="G700" s="84"/>
    </row>
    <row r="701" ht="22.5" customHeight="1">
      <c r="A701" s="84"/>
      <c r="B701" s="84"/>
      <c r="C701" s="85"/>
      <c r="D701" s="85"/>
      <c r="E701" s="84"/>
      <c r="F701" s="84"/>
      <c r="G701" s="84"/>
    </row>
    <row r="702" ht="22.5" customHeight="1">
      <c r="A702" s="84"/>
      <c r="B702" s="84"/>
      <c r="C702" s="85"/>
      <c r="D702" s="85"/>
      <c r="E702" s="84"/>
      <c r="F702" s="84"/>
      <c r="G702" s="84"/>
    </row>
    <row r="703" ht="22.5" customHeight="1">
      <c r="A703" s="84"/>
      <c r="B703" s="84"/>
      <c r="C703" s="85"/>
      <c r="D703" s="85"/>
      <c r="E703" s="84"/>
      <c r="F703" s="84"/>
      <c r="G703" s="84"/>
    </row>
    <row r="704" ht="22.5" customHeight="1">
      <c r="A704" s="84"/>
      <c r="B704" s="84"/>
      <c r="C704" s="85"/>
      <c r="D704" s="85"/>
      <c r="E704" s="84"/>
      <c r="F704" s="84"/>
      <c r="G704" s="84"/>
    </row>
    <row r="705" ht="22.5" customHeight="1">
      <c r="A705" s="84"/>
      <c r="B705" s="84"/>
      <c r="C705" s="85"/>
      <c r="D705" s="85"/>
      <c r="E705" s="84"/>
      <c r="F705" s="84"/>
      <c r="G705" s="84"/>
    </row>
    <row r="706" ht="22.5" customHeight="1">
      <c r="A706" s="84"/>
      <c r="B706" s="84"/>
      <c r="C706" s="85"/>
      <c r="D706" s="85"/>
      <c r="E706" s="84"/>
      <c r="F706" s="84"/>
      <c r="G706" s="84"/>
    </row>
    <row r="707" ht="22.5" customHeight="1">
      <c r="A707" s="84"/>
      <c r="B707" s="84"/>
      <c r="C707" s="85"/>
      <c r="D707" s="85"/>
      <c r="E707" s="84"/>
      <c r="F707" s="84"/>
      <c r="G707" s="84"/>
    </row>
    <row r="708" ht="22.5" customHeight="1">
      <c r="A708" s="84"/>
      <c r="B708" s="84"/>
      <c r="C708" s="85"/>
      <c r="D708" s="85"/>
      <c r="E708" s="84"/>
      <c r="F708" s="84"/>
      <c r="G708" s="84"/>
    </row>
    <row r="709" ht="22.5" customHeight="1">
      <c r="A709" s="84"/>
      <c r="B709" s="84"/>
      <c r="C709" s="85"/>
      <c r="D709" s="85"/>
      <c r="E709" s="84"/>
      <c r="F709" s="84"/>
      <c r="G709" s="84"/>
    </row>
    <row r="710" ht="22.5" customHeight="1">
      <c r="A710" s="84"/>
      <c r="B710" s="84"/>
      <c r="C710" s="85"/>
      <c r="D710" s="85"/>
      <c r="E710" s="84"/>
      <c r="F710" s="84"/>
      <c r="G710" s="84"/>
    </row>
    <row r="711" ht="22.5" customHeight="1">
      <c r="A711" s="84"/>
      <c r="B711" s="84"/>
      <c r="C711" s="85"/>
      <c r="D711" s="85"/>
      <c r="E711" s="84"/>
      <c r="F711" s="84"/>
      <c r="G711" s="84"/>
    </row>
    <row r="712" ht="22.5" customHeight="1">
      <c r="A712" s="84"/>
      <c r="B712" s="84"/>
      <c r="C712" s="85"/>
      <c r="D712" s="85"/>
      <c r="E712" s="84"/>
      <c r="F712" s="84"/>
      <c r="G712" s="84"/>
    </row>
    <row r="713" ht="22.5" customHeight="1">
      <c r="A713" s="84"/>
      <c r="B713" s="84"/>
      <c r="C713" s="85"/>
      <c r="D713" s="85"/>
      <c r="E713" s="84"/>
      <c r="F713" s="84"/>
      <c r="G713" s="84"/>
    </row>
    <row r="714" ht="22.5" customHeight="1">
      <c r="A714" s="84"/>
      <c r="B714" s="84"/>
      <c r="C714" s="85"/>
      <c r="D714" s="85"/>
      <c r="E714" s="84"/>
      <c r="F714" s="84"/>
      <c r="G714" s="84"/>
    </row>
    <row r="715" ht="22.5" customHeight="1">
      <c r="A715" s="84"/>
      <c r="B715" s="84"/>
      <c r="C715" s="85"/>
      <c r="D715" s="85"/>
      <c r="E715" s="84"/>
      <c r="F715" s="84"/>
      <c r="G715" s="84"/>
    </row>
    <row r="716" ht="22.5" customHeight="1">
      <c r="A716" s="84"/>
      <c r="B716" s="84"/>
      <c r="C716" s="85"/>
      <c r="D716" s="85"/>
      <c r="E716" s="84"/>
      <c r="F716" s="84"/>
      <c r="G716" s="84"/>
    </row>
    <row r="717" ht="22.5" customHeight="1">
      <c r="A717" s="84"/>
      <c r="B717" s="84"/>
      <c r="C717" s="85"/>
      <c r="D717" s="85"/>
      <c r="E717" s="84"/>
      <c r="F717" s="84"/>
      <c r="G717" s="84"/>
    </row>
    <row r="718" ht="22.5" customHeight="1">
      <c r="A718" s="84"/>
      <c r="B718" s="84"/>
      <c r="C718" s="85"/>
      <c r="D718" s="85"/>
      <c r="E718" s="84"/>
      <c r="F718" s="84"/>
      <c r="G718" s="84"/>
    </row>
    <row r="719" ht="22.5" customHeight="1">
      <c r="A719" s="84"/>
      <c r="B719" s="84"/>
      <c r="C719" s="85"/>
      <c r="D719" s="85"/>
      <c r="E719" s="84"/>
      <c r="F719" s="84"/>
      <c r="G719" s="84"/>
    </row>
    <row r="720" ht="22.5" customHeight="1">
      <c r="A720" s="84"/>
      <c r="B720" s="84"/>
      <c r="C720" s="85"/>
      <c r="D720" s="85"/>
      <c r="E720" s="84"/>
      <c r="F720" s="84"/>
      <c r="G720" s="84"/>
    </row>
    <row r="721" ht="22.5" customHeight="1">
      <c r="A721" s="84"/>
      <c r="B721" s="84"/>
      <c r="C721" s="85"/>
      <c r="D721" s="85"/>
      <c r="E721" s="84"/>
      <c r="F721" s="84"/>
      <c r="G721" s="84"/>
    </row>
    <row r="722" ht="22.5" customHeight="1">
      <c r="A722" s="84"/>
      <c r="B722" s="84"/>
      <c r="C722" s="85"/>
      <c r="D722" s="85"/>
      <c r="E722" s="84"/>
      <c r="F722" s="84"/>
      <c r="G722" s="84"/>
    </row>
    <row r="723" ht="22.5" customHeight="1">
      <c r="A723" s="84"/>
      <c r="B723" s="84"/>
      <c r="C723" s="85"/>
      <c r="D723" s="85"/>
      <c r="E723" s="84"/>
      <c r="F723" s="84"/>
      <c r="G723" s="84"/>
    </row>
    <row r="724" ht="22.5" customHeight="1">
      <c r="A724" s="84"/>
      <c r="B724" s="84"/>
      <c r="C724" s="85"/>
      <c r="D724" s="85"/>
      <c r="E724" s="84"/>
      <c r="F724" s="84"/>
      <c r="G724" s="84"/>
    </row>
    <row r="725" ht="22.5" customHeight="1">
      <c r="A725" s="84"/>
      <c r="B725" s="84"/>
      <c r="C725" s="85"/>
      <c r="D725" s="85"/>
      <c r="E725" s="84"/>
      <c r="F725" s="84"/>
      <c r="G725" s="84"/>
    </row>
    <row r="726" ht="22.5" customHeight="1">
      <c r="A726" s="84"/>
      <c r="B726" s="84"/>
      <c r="C726" s="85"/>
      <c r="D726" s="85"/>
      <c r="E726" s="84"/>
      <c r="F726" s="84"/>
      <c r="G726" s="84"/>
    </row>
    <row r="727" ht="22.5" customHeight="1">
      <c r="A727" s="84"/>
      <c r="B727" s="84"/>
      <c r="C727" s="85"/>
      <c r="D727" s="85"/>
      <c r="E727" s="84"/>
      <c r="F727" s="84"/>
      <c r="G727" s="84"/>
    </row>
    <row r="728" ht="22.5" customHeight="1">
      <c r="A728" s="84"/>
      <c r="B728" s="84"/>
      <c r="C728" s="85"/>
      <c r="D728" s="85"/>
      <c r="E728" s="84"/>
      <c r="F728" s="84"/>
      <c r="G728" s="84"/>
    </row>
    <row r="729" ht="22.5" customHeight="1">
      <c r="A729" s="84"/>
      <c r="B729" s="84"/>
      <c r="C729" s="85"/>
      <c r="D729" s="85"/>
      <c r="E729" s="84"/>
      <c r="F729" s="84"/>
      <c r="G729" s="84"/>
    </row>
    <row r="730" ht="22.5" customHeight="1">
      <c r="A730" s="84"/>
      <c r="B730" s="84"/>
      <c r="C730" s="85"/>
      <c r="D730" s="85"/>
      <c r="E730" s="84"/>
      <c r="F730" s="84"/>
      <c r="G730" s="84"/>
    </row>
    <row r="731" ht="22.5" customHeight="1">
      <c r="A731" s="84"/>
      <c r="B731" s="84"/>
      <c r="C731" s="85"/>
      <c r="D731" s="85"/>
      <c r="E731" s="84"/>
      <c r="F731" s="84"/>
      <c r="G731" s="84"/>
    </row>
    <row r="732" ht="22.5" customHeight="1">
      <c r="A732" s="84"/>
      <c r="B732" s="84"/>
      <c r="C732" s="85"/>
      <c r="D732" s="85"/>
      <c r="E732" s="84"/>
      <c r="F732" s="84"/>
      <c r="G732" s="84"/>
    </row>
    <row r="733" ht="22.5" customHeight="1">
      <c r="A733" s="84"/>
      <c r="B733" s="84"/>
      <c r="C733" s="85"/>
      <c r="D733" s="85"/>
      <c r="E733" s="84"/>
      <c r="F733" s="84"/>
      <c r="G733" s="84"/>
    </row>
    <row r="734" ht="22.5" customHeight="1">
      <c r="A734" s="84"/>
      <c r="B734" s="84"/>
      <c r="C734" s="85"/>
      <c r="D734" s="85"/>
      <c r="E734" s="84"/>
      <c r="F734" s="84"/>
      <c r="G734" s="84"/>
    </row>
    <row r="735" ht="22.5" customHeight="1">
      <c r="A735" s="84"/>
      <c r="B735" s="84"/>
      <c r="C735" s="85"/>
      <c r="D735" s="85"/>
      <c r="E735" s="84"/>
      <c r="F735" s="84"/>
      <c r="G735" s="84"/>
    </row>
    <row r="736" ht="22.5" customHeight="1">
      <c r="A736" s="84"/>
      <c r="B736" s="84"/>
      <c r="C736" s="85"/>
      <c r="D736" s="85"/>
      <c r="E736" s="84"/>
      <c r="F736" s="84"/>
      <c r="G736" s="84"/>
    </row>
    <row r="737" ht="22.5" customHeight="1">
      <c r="A737" s="84"/>
      <c r="B737" s="84"/>
      <c r="C737" s="85"/>
      <c r="D737" s="85"/>
      <c r="E737" s="84"/>
      <c r="F737" s="84"/>
      <c r="G737" s="84"/>
    </row>
    <row r="738" ht="22.5" customHeight="1">
      <c r="A738" s="84"/>
      <c r="B738" s="84"/>
      <c r="C738" s="85"/>
      <c r="D738" s="85"/>
      <c r="E738" s="84"/>
      <c r="F738" s="84"/>
      <c r="G738" s="84"/>
    </row>
    <row r="739" ht="22.5" customHeight="1">
      <c r="A739" s="84"/>
      <c r="B739" s="84"/>
      <c r="C739" s="85"/>
      <c r="D739" s="85"/>
      <c r="E739" s="84"/>
      <c r="F739" s="84"/>
      <c r="G739" s="84"/>
    </row>
    <row r="740" ht="22.5" customHeight="1">
      <c r="A740" s="84"/>
      <c r="B740" s="84"/>
      <c r="C740" s="85"/>
      <c r="D740" s="85"/>
      <c r="E740" s="84"/>
      <c r="F740" s="84"/>
      <c r="G740" s="84"/>
    </row>
    <row r="741" ht="22.5" customHeight="1">
      <c r="A741" s="84"/>
      <c r="B741" s="84"/>
      <c r="C741" s="85"/>
      <c r="D741" s="85"/>
      <c r="E741" s="84"/>
      <c r="F741" s="84"/>
      <c r="G741" s="84"/>
    </row>
    <row r="742" ht="22.5" customHeight="1">
      <c r="A742" s="84"/>
      <c r="B742" s="84"/>
      <c r="C742" s="85"/>
      <c r="D742" s="85"/>
      <c r="E742" s="84"/>
      <c r="F742" s="84"/>
      <c r="G742" s="84"/>
    </row>
    <row r="743" ht="22.5" customHeight="1">
      <c r="A743" s="84"/>
      <c r="B743" s="84"/>
      <c r="C743" s="85"/>
      <c r="D743" s="85"/>
      <c r="E743" s="84"/>
      <c r="F743" s="84"/>
      <c r="G743" s="84"/>
    </row>
    <row r="744" ht="22.5" customHeight="1">
      <c r="A744" s="84"/>
      <c r="B744" s="84"/>
      <c r="C744" s="85"/>
      <c r="D744" s="85"/>
      <c r="E744" s="84"/>
      <c r="F744" s="84"/>
      <c r="G744" s="84"/>
    </row>
    <row r="745" ht="22.5" customHeight="1">
      <c r="A745" s="84"/>
      <c r="B745" s="84"/>
      <c r="C745" s="85"/>
      <c r="D745" s="85"/>
      <c r="E745" s="84"/>
      <c r="F745" s="84"/>
      <c r="G745" s="84"/>
    </row>
    <row r="746" ht="22.5" customHeight="1">
      <c r="A746" s="84"/>
      <c r="B746" s="84"/>
      <c r="C746" s="85"/>
      <c r="D746" s="85"/>
      <c r="E746" s="84"/>
      <c r="F746" s="84"/>
      <c r="G746" s="84"/>
    </row>
    <row r="747" ht="22.5" customHeight="1">
      <c r="A747" s="84"/>
      <c r="B747" s="84"/>
      <c r="C747" s="85"/>
      <c r="D747" s="85"/>
      <c r="E747" s="84"/>
      <c r="F747" s="84"/>
      <c r="G747" s="84"/>
    </row>
    <row r="748" ht="22.5" customHeight="1">
      <c r="A748" s="84"/>
      <c r="B748" s="84"/>
      <c r="C748" s="85"/>
      <c r="D748" s="85"/>
      <c r="E748" s="84"/>
      <c r="F748" s="84"/>
      <c r="G748" s="84"/>
    </row>
    <row r="749" ht="22.5" customHeight="1">
      <c r="A749" s="84"/>
      <c r="B749" s="84"/>
      <c r="C749" s="85"/>
      <c r="D749" s="85"/>
      <c r="E749" s="84"/>
      <c r="F749" s="84"/>
      <c r="G749" s="84"/>
    </row>
    <row r="750" ht="22.5" customHeight="1">
      <c r="A750" s="84"/>
      <c r="B750" s="84"/>
      <c r="C750" s="85"/>
      <c r="D750" s="85"/>
      <c r="E750" s="84"/>
      <c r="F750" s="84"/>
      <c r="G750" s="84"/>
    </row>
    <row r="751" ht="22.5" customHeight="1">
      <c r="A751" s="84"/>
      <c r="B751" s="84"/>
      <c r="C751" s="85"/>
      <c r="D751" s="85"/>
      <c r="E751" s="84"/>
      <c r="F751" s="84"/>
      <c r="G751" s="84"/>
    </row>
    <row r="752" ht="22.5" customHeight="1">
      <c r="A752" s="84"/>
      <c r="B752" s="84"/>
      <c r="C752" s="85"/>
      <c r="D752" s="85"/>
      <c r="E752" s="84"/>
      <c r="F752" s="84"/>
      <c r="G752" s="84"/>
    </row>
    <row r="753" ht="22.5" customHeight="1">
      <c r="A753" s="84"/>
      <c r="B753" s="84"/>
      <c r="C753" s="85"/>
      <c r="D753" s="85"/>
      <c r="E753" s="84"/>
      <c r="F753" s="84"/>
      <c r="G753" s="84"/>
    </row>
    <row r="754" ht="22.5" customHeight="1">
      <c r="A754" s="84"/>
      <c r="B754" s="84"/>
      <c r="C754" s="85"/>
      <c r="D754" s="85"/>
      <c r="E754" s="84"/>
      <c r="F754" s="84"/>
      <c r="G754" s="84"/>
    </row>
    <row r="755" ht="22.5" customHeight="1">
      <c r="A755" s="84"/>
      <c r="B755" s="84"/>
      <c r="C755" s="85"/>
      <c r="D755" s="85"/>
      <c r="E755" s="84"/>
      <c r="F755" s="84"/>
      <c r="G755" s="84"/>
    </row>
    <row r="756" ht="22.5" customHeight="1">
      <c r="A756" s="84"/>
      <c r="B756" s="84"/>
      <c r="C756" s="85"/>
      <c r="D756" s="85"/>
      <c r="E756" s="84"/>
      <c r="F756" s="84"/>
      <c r="G756" s="84"/>
    </row>
    <row r="757" ht="22.5" customHeight="1">
      <c r="A757" s="84"/>
      <c r="B757" s="84"/>
      <c r="C757" s="85"/>
      <c r="D757" s="85"/>
      <c r="E757" s="84"/>
      <c r="F757" s="84"/>
      <c r="G757" s="84"/>
    </row>
    <row r="758" ht="22.5" customHeight="1">
      <c r="A758" s="84"/>
      <c r="B758" s="84"/>
      <c r="C758" s="85"/>
      <c r="D758" s="85"/>
      <c r="E758" s="84"/>
      <c r="F758" s="84"/>
      <c r="G758" s="84"/>
    </row>
    <row r="759" ht="22.5" customHeight="1">
      <c r="A759" s="84"/>
      <c r="B759" s="84"/>
      <c r="C759" s="85"/>
      <c r="D759" s="85"/>
      <c r="E759" s="84"/>
      <c r="F759" s="84"/>
      <c r="G759" s="84"/>
    </row>
    <row r="760" ht="22.5" customHeight="1">
      <c r="A760" s="84"/>
      <c r="B760" s="84"/>
      <c r="C760" s="85"/>
      <c r="D760" s="85"/>
      <c r="E760" s="84"/>
      <c r="F760" s="84"/>
      <c r="G760" s="84"/>
    </row>
    <row r="761" ht="22.5" customHeight="1">
      <c r="A761" s="84"/>
      <c r="B761" s="84"/>
      <c r="C761" s="85"/>
      <c r="D761" s="85"/>
      <c r="E761" s="84"/>
      <c r="F761" s="84"/>
      <c r="G761" s="84"/>
    </row>
    <row r="762" ht="22.5" customHeight="1">
      <c r="A762" s="84"/>
      <c r="B762" s="84"/>
      <c r="C762" s="85"/>
      <c r="D762" s="85"/>
      <c r="E762" s="84"/>
      <c r="F762" s="84"/>
      <c r="G762" s="84"/>
    </row>
    <row r="763" ht="22.5" customHeight="1">
      <c r="A763" s="84"/>
      <c r="B763" s="84"/>
      <c r="C763" s="85"/>
      <c r="D763" s="85"/>
      <c r="E763" s="84"/>
      <c r="F763" s="84"/>
      <c r="G763" s="84"/>
    </row>
    <row r="764" ht="22.5" customHeight="1">
      <c r="A764" s="84"/>
      <c r="B764" s="84"/>
      <c r="C764" s="85"/>
      <c r="D764" s="85"/>
      <c r="E764" s="84"/>
      <c r="F764" s="84"/>
      <c r="G764" s="84"/>
    </row>
    <row r="765" ht="22.5" customHeight="1">
      <c r="A765" s="84"/>
      <c r="B765" s="84"/>
      <c r="C765" s="85"/>
      <c r="D765" s="85"/>
      <c r="E765" s="84"/>
      <c r="F765" s="84"/>
      <c r="G765" s="84"/>
    </row>
    <row r="766" ht="22.5" customHeight="1">
      <c r="A766" s="84"/>
      <c r="B766" s="84"/>
      <c r="C766" s="85"/>
      <c r="D766" s="85"/>
      <c r="E766" s="84"/>
      <c r="F766" s="84"/>
      <c r="G766" s="84"/>
    </row>
    <row r="767" ht="22.5" customHeight="1">
      <c r="A767" s="84"/>
      <c r="B767" s="84"/>
      <c r="C767" s="85"/>
      <c r="D767" s="85"/>
      <c r="E767" s="84"/>
      <c r="F767" s="84"/>
      <c r="G767" s="84"/>
    </row>
    <row r="768" ht="22.5" customHeight="1">
      <c r="A768" s="84"/>
      <c r="B768" s="84"/>
      <c r="C768" s="85"/>
      <c r="D768" s="85"/>
      <c r="E768" s="84"/>
      <c r="F768" s="84"/>
      <c r="G768" s="84"/>
    </row>
    <row r="769" ht="22.5" customHeight="1">
      <c r="A769" s="84"/>
      <c r="B769" s="84"/>
      <c r="C769" s="85"/>
      <c r="D769" s="85"/>
      <c r="E769" s="84"/>
      <c r="F769" s="84"/>
      <c r="G769" s="84"/>
    </row>
    <row r="770" ht="22.5" customHeight="1">
      <c r="A770" s="84"/>
      <c r="B770" s="84"/>
      <c r="C770" s="85"/>
      <c r="D770" s="85"/>
      <c r="E770" s="84"/>
      <c r="F770" s="84"/>
      <c r="G770" s="84"/>
    </row>
    <row r="771" ht="22.5" customHeight="1">
      <c r="A771" s="84"/>
      <c r="B771" s="84"/>
      <c r="C771" s="85"/>
      <c r="D771" s="85"/>
      <c r="E771" s="84"/>
      <c r="F771" s="84"/>
      <c r="G771" s="84"/>
    </row>
    <row r="772" ht="22.5" customHeight="1">
      <c r="A772" s="84"/>
      <c r="B772" s="84"/>
      <c r="C772" s="85"/>
      <c r="D772" s="85"/>
      <c r="E772" s="84"/>
      <c r="F772" s="84"/>
      <c r="G772" s="84"/>
    </row>
    <row r="773" ht="22.5" customHeight="1">
      <c r="A773" s="84"/>
      <c r="B773" s="84"/>
      <c r="C773" s="85"/>
      <c r="D773" s="85"/>
      <c r="E773" s="84"/>
      <c r="F773" s="84"/>
      <c r="G773" s="84"/>
    </row>
    <row r="774" ht="22.5" customHeight="1">
      <c r="A774" s="84"/>
      <c r="B774" s="84"/>
      <c r="C774" s="85"/>
      <c r="D774" s="85"/>
      <c r="E774" s="84"/>
      <c r="F774" s="84"/>
      <c r="G774" s="84"/>
    </row>
    <row r="775" ht="22.5" customHeight="1">
      <c r="A775" s="84"/>
      <c r="B775" s="84"/>
      <c r="C775" s="85"/>
      <c r="D775" s="85"/>
      <c r="E775" s="84"/>
      <c r="F775" s="84"/>
      <c r="G775" s="84"/>
    </row>
    <row r="776" ht="22.5" customHeight="1">
      <c r="A776" s="84"/>
      <c r="B776" s="84"/>
      <c r="C776" s="85"/>
      <c r="D776" s="85"/>
      <c r="E776" s="84"/>
      <c r="F776" s="84"/>
      <c r="G776" s="84"/>
    </row>
    <row r="777" ht="22.5" customHeight="1">
      <c r="A777" s="84"/>
      <c r="B777" s="84"/>
      <c r="C777" s="85"/>
      <c r="D777" s="85"/>
      <c r="E777" s="84"/>
      <c r="F777" s="84"/>
      <c r="G777" s="84"/>
    </row>
    <row r="778" ht="22.5" customHeight="1">
      <c r="A778" s="84"/>
      <c r="B778" s="84"/>
      <c r="C778" s="85"/>
      <c r="D778" s="85"/>
      <c r="E778" s="84"/>
      <c r="F778" s="84"/>
      <c r="G778" s="84"/>
    </row>
    <row r="779" ht="22.5" customHeight="1">
      <c r="A779" s="84"/>
      <c r="B779" s="84"/>
      <c r="C779" s="85"/>
      <c r="D779" s="85"/>
      <c r="E779" s="84"/>
      <c r="F779" s="84"/>
      <c r="G779" s="84"/>
    </row>
    <row r="780" ht="22.5" customHeight="1">
      <c r="A780" s="84"/>
      <c r="B780" s="84"/>
      <c r="C780" s="85"/>
      <c r="D780" s="85"/>
      <c r="E780" s="84"/>
      <c r="F780" s="84"/>
      <c r="G780" s="84"/>
    </row>
    <row r="781" ht="22.5" customHeight="1">
      <c r="A781" s="84"/>
      <c r="B781" s="84"/>
      <c r="C781" s="85"/>
      <c r="D781" s="85"/>
      <c r="E781" s="84"/>
      <c r="F781" s="84"/>
      <c r="G781" s="84"/>
    </row>
    <row r="782" ht="22.5" customHeight="1">
      <c r="A782" s="84"/>
      <c r="B782" s="84"/>
      <c r="C782" s="85"/>
      <c r="D782" s="85"/>
      <c r="E782" s="84"/>
      <c r="F782" s="84"/>
      <c r="G782" s="84"/>
    </row>
    <row r="783" ht="22.5" customHeight="1">
      <c r="A783" s="84"/>
      <c r="B783" s="84"/>
      <c r="C783" s="85"/>
      <c r="D783" s="85"/>
      <c r="E783" s="84"/>
      <c r="F783" s="84"/>
      <c r="G783" s="84"/>
    </row>
    <row r="784" ht="22.5" customHeight="1">
      <c r="A784" s="84"/>
      <c r="B784" s="84"/>
      <c r="C784" s="85"/>
      <c r="D784" s="85"/>
      <c r="E784" s="84"/>
      <c r="F784" s="84"/>
      <c r="G784" s="84"/>
    </row>
    <row r="785" ht="22.5" customHeight="1">
      <c r="A785" s="84"/>
      <c r="B785" s="84"/>
      <c r="C785" s="85"/>
      <c r="D785" s="85"/>
      <c r="E785" s="84"/>
      <c r="F785" s="84"/>
      <c r="G785" s="84"/>
    </row>
    <row r="786" ht="22.5" customHeight="1">
      <c r="A786" s="84"/>
      <c r="B786" s="84"/>
      <c r="C786" s="85"/>
      <c r="D786" s="85"/>
      <c r="E786" s="84"/>
      <c r="F786" s="84"/>
      <c r="G786" s="84"/>
    </row>
    <row r="787" ht="22.5" customHeight="1">
      <c r="A787" s="84"/>
      <c r="B787" s="84"/>
      <c r="C787" s="85"/>
      <c r="D787" s="85"/>
      <c r="E787" s="84"/>
      <c r="F787" s="84"/>
      <c r="G787" s="84"/>
    </row>
    <row r="788" ht="22.5" customHeight="1">
      <c r="A788" s="84"/>
      <c r="B788" s="84"/>
      <c r="C788" s="85"/>
      <c r="D788" s="85"/>
      <c r="E788" s="84"/>
      <c r="F788" s="84"/>
      <c r="G788" s="84"/>
    </row>
    <row r="789" ht="22.5" customHeight="1">
      <c r="A789" s="84"/>
      <c r="B789" s="84"/>
      <c r="C789" s="85"/>
      <c r="D789" s="85"/>
      <c r="E789" s="84"/>
      <c r="F789" s="84"/>
      <c r="G789" s="84"/>
    </row>
    <row r="790" ht="22.5" customHeight="1">
      <c r="A790" s="84"/>
      <c r="B790" s="84"/>
      <c r="C790" s="85"/>
      <c r="D790" s="85"/>
      <c r="E790" s="84"/>
      <c r="F790" s="84"/>
      <c r="G790" s="84"/>
    </row>
    <row r="791" ht="22.5" customHeight="1">
      <c r="A791" s="84"/>
      <c r="B791" s="84"/>
      <c r="C791" s="85"/>
      <c r="D791" s="85"/>
      <c r="E791" s="84"/>
      <c r="F791" s="84"/>
      <c r="G791" s="84"/>
    </row>
    <row r="792" ht="22.5" customHeight="1">
      <c r="A792" s="84"/>
      <c r="B792" s="84"/>
      <c r="C792" s="85"/>
      <c r="D792" s="85"/>
      <c r="E792" s="84"/>
      <c r="F792" s="84"/>
      <c r="G792" s="84"/>
    </row>
    <row r="793" ht="22.5" customHeight="1">
      <c r="A793" s="84"/>
      <c r="B793" s="84"/>
      <c r="C793" s="85"/>
      <c r="D793" s="85"/>
      <c r="E793" s="84"/>
      <c r="F793" s="84"/>
      <c r="G793" s="84"/>
    </row>
    <row r="794" ht="22.5" customHeight="1">
      <c r="A794" s="84"/>
      <c r="B794" s="84"/>
      <c r="C794" s="85"/>
      <c r="D794" s="85"/>
      <c r="E794" s="84"/>
      <c r="F794" s="84"/>
      <c r="G794" s="84"/>
    </row>
    <row r="795" ht="22.5" customHeight="1">
      <c r="A795" s="84"/>
      <c r="B795" s="84"/>
      <c r="C795" s="85"/>
      <c r="D795" s="85"/>
      <c r="E795" s="84"/>
      <c r="F795" s="84"/>
      <c r="G795" s="84"/>
    </row>
    <row r="796" ht="22.5" customHeight="1">
      <c r="A796" s="84"/>
      <c r="B796" s="84"/>
      <c r="C796" s="85"/>
      <c r="D796" s="85"/>
      <c r="E796" s="84"/>
      <c r="F796" s="84"/>
      <c r="G796" s="84"/>
    </row>
    <row r="797" ht="22.5" customHeight="1">
      <c r="A797" s="84"/>
      <c r="B797" s="84"/>
      <c r="C797" s="85"/>
      <c r="D797" s="85"/>
      <c r="E797" s="84"/>
      <c r="F797" s="84"/>
      <c r="G797" s="84"/>
    </row>
    <row r="798" ht="22.5" customHeight="1">
      <c r="A798" s="84"/>
      <c r="B798" s="84"/>
      <c r="C798" s="85"/>
      <c r="D798" s="85"/>
      <c r="E798" s="84"/>
      <c r="F798" s="84"/>
      <c r="G798" s="84"/>
    </row>
    <row r="799" ht="22.5" customHeight="1">
      <c r="A799" s="84"/>
      <c r="B799" s="84"/>
      <c r="C799" s="85"/>
      <c r="D799" s="85"/>
      <c r="E799" s="84"/>
      <c r="F799" s="84"/>
      <c r="G799" s="84"/>
    </row>
    <row r="800" ht="22.5" customHeight="1">
      <c r="A800" s="84"/>
      <c r="B800" s="84"/>
      <c r="C800" s="85"/>
      <c r="D800" s="85"/>
      <c r="E800" s="84"/>
      <c r="F800" s="84"/>
      <c r="G800" s="84"/>
    </row>
    <row r="801" ht="22.5" customHeight="1">
      <c r="A801" s="84"/>
      <c r="B801" s="84"/>
      <c r="C801" s="85"/>
      <c r="D801" s="85"/>
      <c r="E801" s="84"/>
      <c r="F801" s="84"/>
      <c r="G801" s="84"/>
    </row>
    <row r="802" ht="22.5" customHeight="1">
      <c r="A802" s="84"/>
      <c r="B802" s="84"/>
      <c r="C802" s="85"/>
      <c r="D802" s="85"/>
      <c r="E802" s="84"/>
      <c r="F802" s="84"/>
      <c r="G802" s="84"/>
    </row>
    <row r="803" ht="22.5" customHeight="1">
      <c r="A803" s="84"/>
      <c r="B803" s="84"/>
      <c r="C803" s="85"/>
      <c r="D803" s="85"/>
      <c r="E803" s="84"/>
      <c r="F803" s="84"/>
      <c r="G803" s="84"/>
    </row>
    <row r="804" ht="22.5" customHeight="1">
      <c r="A804" s="84"/>
      <c r="B804" s="84"/>
      <c r="C804" s="85"/>
      <c r="D804" s="85"/>
      <c r="E804" s="84"/>
      <c r="F804" s="84"/>
      <c r="G804" s="84"/>
    </row>
    <row r="805" ht="22.5" customHeight="1">
      <c r="A805" s="84"/>
      <c r="B805" s="84"/>
      <c r="C805" s="85"/>
      <c r="D805" s="85"/>
      <c r="E805" s="84"/>
      <c r="F805" s="84"/>
      <c r="G805" s="84"/>
    </row>
    <row r="806" ht="22.5" customHeight="1">
      <c r="A806" s="84"/>
      <c r="B806" s="84"/>
      <c r="C806" s="85"/>
      <c r="D806" s="85"/>
      <c r="E806" s="84"/>
      <c r="F806" s="84"/>
      <c r="G806" s="84"/>
    </row>
    <row r="807" ht="22.5" customHeight="1">
      <c r="A807" s="84"/>
      <c r="B807" s="84"/>
      <c r="C807" s="85"/>
      <c r="D807" s="85"/>
      <c r="E807" s="84"/>
      <c r="F807" s="84"/>
      <c r="G807" s="84"/>
    </row>
    <row r="808" ht="22.5" customHeight="1">
      <c r="A808" s="84"/>
      <c r="B808" s="84"/>
      <c r="C808" s="85"/>
      <c r="D808" s="85"/>
      <c r="E808" s="84"/>
      <c r="F808" s="84"/>
      <c r="G808" s="84"/>
    </row>
    <row r="809" ht="22.5" customHeight="1">
      <c r="A809" s="84"/>
      <c r="B809" s="84"/>
      <c r="C809" s="85"/>
      <c r="D809" s="85"/>
      <c r="E809" s="84"/>
      <c r="F809" s="84"/>
      <c r="G809" s="84"/>
    </row>
    <row r="810" ht="22.5" customHeight="1">
      <c r="A810" s="84"/>
      <c r="B810" s="84"/>
      <c r="C810" s="85"/>
      <c r="D810" s="85"/>
      <c r="E810" s="84"/>
      <c r="F810" s="84"/>
      <c r="G810" s="84"/>
    </row>
    <row r="811" ht="22.5" customHeight="1">
      <c r="A811" s="84"/>
      <c r="B811" s="84"/>
      <c r="C811" s="85"/>
      <c r="D811" s="85"/>
      <c r="E811" s="84"/>
      <c r="F811" s="84"/>
      <c r="G811" s="84"/>
    </row>
    <row r="812" ht="22.5" customHeight="1">
      <c r="A812" s="84"/>
      <c r="B812" s="84"/>
      <c r="C812" s="85"/>
      <c r="D812" s="85"/>
      <c r="E812" s="84"/>
      <c r="F812" s="84"/>
      <c r="G812" s="84"/>
    </row>
    <row r="813" ht="22.5" customHeight="1">
      <c r="A813" s="84"/>
      <c r="B813" s="84"/>
      <c r="C813" s="85"/>
      <c r="D813" s="85"/>
      <c r="E813" s="84"/>
      <c r="F813" s="84"/>
      <c r="G813" s="84"/>
    </row>
    <row r="814" ht="22.5" customHeight="1">
      <c r="A814" s="84"/>
      <c r="B814" s="84"/>
      <c r="C814" s="85"/>
      <c r="D814" s="85"/>
      <c r="E814" s="84"/>
      <c r="F814" s="84"/>
      <c r="G814" s="84"/>
    </row>
    <row r="815" ht="22.5" customHeight="1">
      <c r="A815" s="84"/>
      <c r="B815" s="84"/>
      <c r="C815" s="85"/>
      <c r="D815" s="85"/>
      <c r="E815" s="84"/>
      <c r="F815" s="84"/>
      <c r="G815" s="84"/>
    </row>
    <row r="816" ht="22.5" customHeight="1">
      <c r="A816" s="84"/>
      <c r="B816" s="84"/>
      <c r="C816" s="85"/>
      <c r="D816" s="85"/>
      <c r="E816" s="84"/>
      <c r="F816" s="84"/>
      <c r="G816" s="84"/>
    </row>
    <row r="817" ht="22.5" customHeight="1">
      <c r="A817" s="84"/>
      <c r="B817" s="84"/>
      <c r="C817" s="85"/>
      <c r="D817" s="85"/>
      <c r="E817" s="84"/>
      <c r="F817" s="84"/>
      <c r="G817" s="84"/>
    </row>
    <row r="818" ht="22.5" customHeight="1">
      <c r="A818" s="84"/>
      <c r="B818" s="84"/>
      <c r="C818" s="85"/>
      <c r="D818" s="85"/>
      <c r="E818" s="84"/>
      <c r="F818" s="84"/>
      <c r="G818" s="84"/>
    </row>
    <row r="819" ht="22.5" customHeight="1">
      <c r="A819" s="84"/>
      <c r="B819" s="84"/>
      <c r="C819" s="85"/>
      <c r="D819" s="85"/>
      <c r="E819" s="84"/>
      <c r="F819" s="84"/>
      <c r="G819" s="84"/>
    </row>
    <row r="820" ht="22.5" customHeight="1">
      <c r="A820" s="84"/>
      <c r="B820" s="84"/>
      <c r="C820" s="85"/>
      <c r="D820" s="85"/>
      <c r="E820" s="84"/>
      <c r="F820" s="84"/>
      <c r="G820" s="84"/>
    </row>
    <row r="821" ht="22.5" customHeight="1">
      <c r="A821" s="84"/>
      <c r="B821" s="84"/>
      <c r="C821" s="85"/>
      <c r="D821" s="85"/>
      <c r="E821" s="84"/>
      <c r="F821" s="84"/>
      <c r="G821" s="84"/>
    </row>
    <row r="822" ht="22.5" customHeight="1">
      <c r="A822" s="84"/>
      <c r="B822" s="84"/>
      <c r="C822" s="85"/>
      <c r="D822" s="85"/>
      <c r="E822" s="84"/>
      <c r="F822" s="84"/>
      <c r="G822" s="84"/>
    </row>
    <row r="823" ht="22.5" customHeight="1">
      <c r="A823" s="84"/>
      <c r="B823" s="84"/>
      <c r="C823" s="85"/>
      <c r="D823" s="85"/>
      <c r="E823" s="84"/>
      <c r="F823" s="84"/>
      <c r="G823" s="84"/>
    </row>
    <row r="824" ht="22.5" customHeight="1">
      <c r="A824" s="84"/>
      <c r="B824" s="84"/>
      <c r="C824" s="85"/>
      <c r="D824" s="85"/>
      <c r="E824" s="84"/>
      <c r="F824" s="84"/>
      <c r="G824" s="84"/>
    </row>
    <row r="825" ht="22.5" customHeight="1">
      <c r="A825" s="84"/>
      <c r="B825" s="84"/>
      <c r="C825" s="85"/>
      <c r="D825" s="85"/>
      <c r="E825" s="84"/>
      <c r="F825" s="84"/>
      <c r="G825" s="84"/>
    </row>
    <row r="826" ht="22.5" customHeight="1">
      <c r="A826" s="84"/>
      <c r="B826" s="84"/>
      <c r="C826" s="85"/>
      <c r="D826" s="85"/>
      <c r="E826" s="84"/>
      <c r="F826" s="84"/>
      <c r="G826" s="84"/>
    </row>
    <row r="827" ht="22.5" customHeight="1">
      <c r="A827" s="84"/>
      <c r="B827" s="84"/>
      <c r="C827" s="85"/>
      <c r="D827" s="85"/>
      <c r="E827" s="84"/>
      <c r="F827" s="84"/>
      <c r="G827" s="84"/>
    </row>
    <row r="828" ht="22.5" customHeight="1">
      <c r="A828" s="84"/>
      <c r="B828" s="84"/>
      <c r="C828" s="85"/>
      <c r="D828" s="85"/>
      <c r="E828" s="84"/>
      <c r="F828" s="84"/>
      <c r="G828" s="84"/>
    </row>
    <row r="829" ht="22.5" customHeight="1">
      <c r="A829" s="84"/>
      <c r="B829" s="84"/>
      <c r="C829" s="85"/>
      <c r="D829" s="85"/>
      <c r="E829" s="84"/>
      <c r="F829" s="84"/>
      <c r="G829" s="84"/>
    </row>
    <row r="830" ht="22.5" customHeight="1">
      <c r="A830" s="84"/>
      <c r="B830" s="84"/>
      <c r="C830" s="85"/>
      <c r="D830" s="85"/>
      <c r="E830" s="84"/>
      <c r="F830" s="84"/>
      <c r="G830" s="84"/>
    </row>
    <row r="831" ht="22.5" customHeight="1">
      <c r="A831" s="84"/>
      <c r="B831" s="84"/>
      <c r="C831" s="85"/>
      <c r="D831" s="85"/>
      <c r="E831" s="84"/>
      <c r="F831" s="84"/>
      <c r="G831" s="84"/>
    </row>
    <row r="832" ht="22.5" customHeight="1">
      <c r="A832" s="84"/>
      <c r="B832" s="84"/>
      <c r="C832" s="85"/>
      <c r="D832" s="85"/>
      <c r="E832" s="84"/>
      <c r="F832" s="84"/>
      <c r="G832" s="84"/>
    </row>
    <row r="833" ht="22.5" customHeight="1">
      <c r="A833" s="84"/>
      <c r="B833" s="84"/>
      <c r="C833" s="85"/>
      <c r="D833" s="85"/>
      <c r="E833" s="84"/>
      <c r="F833" s="84"/>
      <c r="G833" s="84"/>
    </row>
    <row r="834" ht="22.5" customHeight="1">
      <c r="A834" s="84"/>
      <c r="B834" s="84"/>
      <c r="C834" s="85"/>
      <c r="D834" s="85"/>
      <c r="E834" s="84"/>
      <c r="F834" s="84"/>
      <c r="G834" s="84"/>
    </row>
    <row r="835" ht="22.5" customHeight="1">
      <c r="A835" s="84"/>
      <c r="B835" s="84"/>
      <c r="C835" s="85"/>
      <c r="D835" s="85"/>
      <c r="E835" s="84"/>
      <c r="F835" s="84"/>
      <c r="G835" s="84"/>
    </row>
    <row r="836" ht="22.5" customHeight="1">
      <c r="A836" s="84"/>
      <c r="B836" s="84"/>
      <c r="C836" s="85"/>
      <c r="D836" s="85"/>
      <c r="E836" s="84"/>
      <c r="F836" s="84"/>
      <c r="G836" s="84"/>
    </row>
    <row r="837" ht="22.5" customHeight="1">
      <c r="A837" s="84"/>
      <c r="B837" s="84"/>
      <c r="C837" s="85"/>
      <c r="D837" s="85"/>
      <c r="E837" s="84"/>
      <c r="F837" s="84"/>
      <c r="G837" s="84"/>
    </row>
    <row r="838" ht="22.5" customHeight="1">
      <c r="A838" s="84"/>
      <c r="B838" s="84"/>
      <c r="C838" s="85"/>
      <c r="D838" s="85"/>
      <c r="E838" s="84"/>
      <c r="F838" s="84"/>
      <c r="G838" s="84"/>
    </row>
    <row r="839" ht="22.5" customHeight="1">
      <c r="A839" s="84"/>
      <c r="B839" s="84"/>
      <c r="C839" s="85"/>
      <c r="D839" s="85"/>
      <c r="E839" s="84"/>
      <c r="F839" s="84"/>
      <c r="G839" s="84"/>
    </row>
    <row r="840" ht="22.5" customHeight="1">
      <c r="A840" s="84"/>
      <c r="B840" s="84"/>
      <c r="C840" s="85"/>
      <c r="D840" s="85"/>
      <c r="E840" s="84"/>
      <c r="F840" s="84"/>
      <c r="G840" s="84"/>
    </row>
    <row r="841" ht="22.5" customHeight="1">
      <c r="A841" s="84"/>
      <c r="B841" s="84"/>
      <c r="C841" s="85"/>
      <c r="D841" s="85"/>
      <c r="E841" s="84"/>
      <c r="F841" s="84"/>
      <c r="G841" s="84"/>
    </row>
    <row r="842" ht="22.5" customHeight="1">
      <c r="A842" s="84"/>
      <c r="B842" s="84"/>
      <c r="C842" s="85"/>
      <c r="D842" s="85"/>
      <c r="E842" s="84"/>
      <c r="F842" s="84"/>
      <c r="G842" s="84"/>
    </row>
    <row r="843" ht="22.5" customHeight="1">
      <c r="A843" s="84"/>
      <c r="B843" s="84"/>
      <c r="C843" s="85"/>
      <c r="D843" s="85"/>
      <c r="E843" s="84"/>
      <c r="F843" s="84"/>
      <c r="G843" s="84"/>
    </row>
    <row r="844" ht="22.5" customHeight="1">
      <c r="A844" s="84"/>
      <c r="B844" s="84"/>
      <c r="C844" s="85"/>
      <c r="D844" s="85"/>
      <c r="E844" s="84"/>
      <c r="F844" s="84"/>
      <c r="G844" s="84"/>
    </row>
    <row r="845" ht="22.5" customHeight="1">
      <c r="A845" s="84"/>
      <c r="B845" s="84"/>
      <c r="C845" s="85"/>
      <c r="D845" s="85"/>
      <c r="E845" s="84"/>
      <c r="F845" s="84"/>
      <c r="G845" s="84"/>
    </row>
    <row r="846" ht="22.5" customHeight="1">
      <c r="A846" s="84"/>
      <c r="B846" s="84"/>
      <c r="C846" s="85"/>
      <c r="D846" s="85"/>
      <c r="E846" s="84"/>
      <c r="F846" s="84"/>
      <c r="G846" s="84"/>
    </row>
    <row r="847" ht="22.5" customHeight="1">
      <c r="A847" s="84"/>
      <c r="B847" s="84"/>
      <c r="C847" s="85"/>
      <c r="D847" s="85"/>
      <c r="E847" s="84"/>
      <c r="F847" s="84"/>
      <c r="G847" s="84"/>
    </row>
    <row r="848" ht="22.5" customHeight="1">
      <c r="A848" s="84"/>
      <c r="B848" s="84"/>
      <c r="C848" s="85"/>
      <c r="D848" s="85"/>
      <c r="E848" s="84"/>
      <c r="F848" s="84"/>
      <c r="G848" s="84"/>
    </row>
    <row r="849" ht="22.5" customHeight="1">
      <c r="A849" s="84"/>
      <c r="B849" s="84"/>
      <c r="C849" s="85"/>
      <c r="D849" s="85"/>
      <c r="E849" s="84"/>
      <c r="F849" s="84"/>
      <c r="G849" s="84"/>
    </row>
    <row r="850" ht="22.5" customHeight="1">
      <c r="A850" s="84"/>
      <c r="B850" s="84"/>
      <c r="C850" s="85"/>
      <c r="D850" s="85"/>
      <c r="E850" s="84"/>
      <c r="F850" s="84"/>
      <c r="G850" s="84"/>
    </row>
    <row r="851" ht="22.5" customHeight="1">
      <c r="A851" s="84"/>
      <c r="B851" s="84"/>
      <c r="C851" s="85"/>
      <c r="D851" s="85"/>
      <c r="E851" s="84"/>
      <c r="F851" s="84"/>
      <c r="G851" s="84"/>
    </row>
    <row r="852" ht="22.5" customHeight="1">
      <c r="A852" s="84"/>
      <c r="B852" s="84"/>
      <c r="C852" s="85"/>
      <c r="D852" s="85"/>
      <c r="E852" s="84"/>
      <c r="F852" s="84"/>
      <c r="G852" s="84"/>
    </row>
    <row r="853" ht="22.5" customHeight="1">
      <c r="A853" s="84"/>
      <c r="B853" s="84"/>
      <c r="C853" s="85"/>
      <c r="D853" s="85"/>
      <c r="E853" s="84"/>
      <c r="F853" s="84"/>
      <c r="G853" s="84"/>
    </row>
    <row r="854" ht="22.5" customHeight="1">
      <c r="A854" s="84"/>
      <c r="B854" s="84"/>
      <c r="C854" s="85"/>
      <c r="D854" s="85"/>
      <c r="E854" s="84"/>
      <c r="F854" s="84"/>
      <c r="G854" s="84"/>
    </row>
    <row r="855" ht="22.5" customHeight="1">
      <c r="A855" s="84"/>
      <c r="B855" s="84"/>
      <c r="C855" s="85"/>
      <c r="D855" s="85"/>
      <c r="E855" s="84"/>
      <c r="F855" s="84"/>
      <c r="G855" s="84"/>
    </row>
    <row r="856" ht="22.5" customHeight="1">
      <c r="A856" s="84"/>
      <c r="B856" s="84"/>
      <c r="C856" s="85"/>
      <c r="D856" s="85"/>
      <c r="E856" s="84"/>
      <c r="F856" s="84"/>
      <c r="G856" s="84"/>
    </row>
    <row r="857" ht="22.5" customHeight="1">
      <c r="A857" s="84"/>
      <c r="B857" s="84"/>
      <c r="C857" s="85"/>
      <c r="D857" s="85"/>
      <c r="E857" s="84"/>
      <c r="F857" s="84"/>
      <c r="G857" s="84"/>
    </row>
    <row r="858" ht="22.5" customHeight="1">
      <c r="A858" s="84"/>
      <c r="B858" s="84"/>
      <c r="C858" s="85"/>
      <c r="D858" s="85"/>
      <c r="E858" s="84"/>
      <c r="F858" s="84"/>
      <c r="G858" s="84"/>
    </row>
    <row r="859" ht="22.5" customHeight="1">
      <c r="A859" s="84"/>
      <c r="B859" s="84"/>
      <c r="C859" s="85"/>
      <c r="D859" s="85"/>
      <c r="E859" s="84"/>
      <c r="F859" s="84"/>
      <c r="G859" s="84"/>
    </row>
    <row r="860" ht="22.5" customHeight="1">
      <c r="A860" s="84"/>
      <c r="B860" s="84"/>
      <c r="C860" s="85"/>
      <c r="D860" s="85"/>
      <c r="E860" s="84"/>
      <c r="F860" s="84"/>
      <c r="G860" s="84"/>
    </row>
    <row r="861" ht="22.5" customHeight="1">
      <c r="A861" s="84"/>
      <c r="B861" s="84"/>
      <c r="C861" s="85"/>
      <c r="D861" s="85"/>
      <c r="E861" s="84"/>
      <c r="F861" s="84"/>
      <c r="G861" s="84"/>
    </row>
    <row r="862" ht="22.5" customHeight="1">
      <c r="A862" s="84"/>
      <c r="B862" s="84"/>
      <c r="C862" s="85"/>
      <c r="D862" s="85"/>
      <c r="E862" s="84"/>
      <c r="F862" s="84"/>
      <c r="G862" s="84"/>
    </row>
    <row r="863" ht="22.5" customHeight="1">
      <c r="A863" s="84"/>
      <c r="B863" s="84"/>
      <c r="C863" s="85"/>
      <c r="D863" s="85"/>
      <c r="E863" s="84"/>
      <c r="F863" s="84"/>
      <c r="G863" s="84"/>
    </row>
    <row r="864" ht="22.5" customHeight="1">
      <c r="A864" s="84"/>
      <c r="B864" s="84"/>
      <c r="C864" s="85"/>
      <c r="D864" s="85"/>
      <c r="E864" s="84"/>
      <c r="F864" s="84"/>
      <c r="G864" s="84"/>
    </row>
    <row r="865" ht="22.5" customHeight="1">
      <c r="A865" s="84"/>
      <c r="B865" s="84"/>
      <c r="C865" s="85"/>
      <c r="D865" s="85"/>
      <c r="E865" s="84"/>
      <c r="F865" s="84"/>
      <c r="G865" s="84"/>
    </row>
    <row r="866" ht="22.5" customHeight="1">
      <c r="A866" s="84"/>
      <c r="B866" s="84"/>
      <c r="C866" s="85"/>
      <c r="D866" s="85"/>
      <c r="E866" s="84"/>
      <c r="F866" s="84"/>
      <c r="G866" s="84"/>
    </row>
    <row r="867" ht="22.5" customHeight="1">
      <c r="A867" s="84"/>
      <c r="B867" s="84"/>
      <c r="C867" s="85"/>
      <c r="D867" s="85"/>
      <c r="E867" s="84"/>
      <c r="F867" s="84"/>
      <c r="G867" s="84"/>
    </row>
    <row r="868" ht="22.5" customHeight="1">
      <c r="A868" s="84"/>
      <c r="B868" s="84"/>
      <c r="C868" s="85"/>
      <c r="D868" s="85"/>
      <c r="E868" s="84"/>
      <c r="F868" s="84"/>
      <c r="G868" s="84"/>
    </row>
    <row r="869" ht="22.5" customHeight="1">
      <c r="A869" s="84"/>
      <c r="B869" s="84"/>
      <c r="C869" s="85"/>
      <c r="D869" s="85"/>
      <c r="E869" s="84"/>
      <c r="F869" s="84"/>
      <c r="G869" s="84"/>
    </row>
    <row r="870" ht="22.5" customHeight="1">
      <c r="A870" s="84"/>
      <c r="B870" s="84"/>
      <c r="C870" s="85"/>
      <c r="D870" s="85"/>
      <c r="E870" s="84"/>
      <c r="F870" s="84"/>
      <c r="G870" s="84"/>
    </row>
    <row r="871" ht="22.5" customHeight="1">
      <c r="A871" s="84"/>
      <c r="B871" s="84"/>
      <c r="C871" s="85"/>
      <c r="D871" s="85"/>
      <c r="E871" s="84"/>
      <c r="F871" s="84"/>
      <c r="G871" s="84"/>
    </row>
    <row r="872" ht="22.5" customHeight="1">
      <c r="A872" s="84"/>
      <c r="B872" s="84"/>
      <c r="C872" s="85"/>
      <c r="D872" s="85"/>
      <c r="E872" s="84"/>
      <c r="F872" s="84"/>
      <c r="G872" s="84"/>
    </row>
    <row r="873" ht="22.5" customHeight="1">
      <c r="A873" s="84"/>
      <c r="B873" s="84"/>
      <c r="C873" s="85"/>
      <c r="D873" s="85"/>
      <c r="E873" s="84"/>
      <c r="F873" s="84"/>
      <c r="G873" s="84"/>
    </row>
    <row r="874" ht="22.5" customHeight="1">
      <c r="A874" s="84"/>
      <c r="B874" s="84"/>
      <c r="C874" s="85"/>
      <c r="D874" s="85"/>
      <c r="E874" s="84"/>
      <c r="F874" s="84"/>
      <c r="G874" s="84"/>
    </row>
    <row r="875" ht="22.5" customHeight="1">
      <c r="A875" s="84"/>
      <c r="B875" s="84"/>
      <c r="C875" s="85"/>
      <c r="D875" s="85"/>
      <c r="E875" s="84"/>
      <c r="F875" s="84"/>
      <c r="G875" s="84"/>
    </row>
    <row r="876" ht="22.5" customHeight="1">
      <c r="A876" s="84"/>
      <c r="B876" s="84"/>
      <c r="C876" s="85"/>
      <c r="D876" s="85"/>
      <c r="E876" s="84"/>
      <c r="F876" s="84"/>
      <c r="G876" s="84"/>
    </row>
    <row r="877" ht="22.5" customHeight="1">
      <c r="A877" s="84"/>
      <c r="B877" s="84"/>
      <c r="C877" s="85"/>
      <c r="D877" s="85"/>
      <c r="E877" s="84"/>
      <c r="F877" s="84"/>
      <c r="G877" s="84"/>
    </row>
    <row r="878" ht="22.5" customHeight="1">
      <c r="A878" s="84"/>
      <c r="B878" s="84"/>
      <c r="C878" s="85"/>
      <c r="D878" s="85"/>
      <c r="E878" s="84"/>
      <c r="F878" s="84"/>
      <c r="G878" s="84"/>
    </row>
    <row r="879" ht="22.5" customHeight="1">
      <c r="A879" s="84"/>
      <c r="B879" s="84"/>
      <c r="C879" s="85"/>
      <c r="D879" s="85"/>
      <c r="E879" s="84"/>
      <c r="F879" s="84"/>
      <c r="G879" s="84"/>
    </row>
    <row r="880" ht="22.5" customHeight="1">
      <c r="A880" s="84"/>
      <c r="B880" s="84"/>
      <c r="C880" s="85"/>
      <c r="D880" s="85"/>
      <c r="E880" s="84"/>
      <c r="F880" s="84"/>
      <c r="G880" s="84"/>
    </row>
    <row r="881" ht="22.5" customHeight="1">
      <c r="A881" s="84"/>
      <c r="B881" s="84"/>
      <c r="C881" s="85"/>
      <c r="D881" s="85"/>
      <c r="E881" s="84"/>
      <c r="F881" s="84"/>
      <c r="G881" s="84"/>
    </row>
    <row r="882" ht="22.5" customHeight="1">
      <c r="A882" s="84"/>
      <c r="B882" s="84"/>
      <c r="C882" s="85"/>
      <c r="D882" s="85"/>
      <c r="E882" s="84"/>
      <c r="F882" s="84"/>
      <c r="G882" s="84"/>
    </row>
    <row r="883" ht="22.5" customHeight="1">
      <c r="A883" s="84"/>
      <c r="B883" s="84"/>
      <c r="C883" s="85"/>
      <c r="D883" s="85"/>
      <c r="E883" s="84"/>
      <c r="F883" s="84"/>
      <c r="G883" s="84"/>
    </row>
    <row r="884" ht="22.5" customHeight="1">
      <c r="A884" s="84"/>
      <c r="B884" s="84"/>
      <c r="C884" s="85"/>
      <c r="D884" s="85"/>
      <c r="E884" s="84"/>
      <c r="F884" s="84"/>
      <c r="G884" s="84"/>
    </row>
    <row r="885" ht="22.5" customHeight="1">
      <c r="A885" s="84"/>
      <c r="B885" s="84"/>
      <c r="C885" s="85"/>
      <c r="D885" s="85"/>
      <c r="E885" s="84"/>
      <c r="F885" s="84"/>
      <c r="G885" s="84"/>
    </row>
    <row r="886" ht="22.5" customHeight="1">
      <c r="A886" s="84"/>
      <c r="B886" s="84"/>
      <c r="C886" s="85"/>
      <c r="D886" s="85"/>
      <c r="E886" s="84"/>
      <c r="F886" s="84"/>
      <c r="G886" s="84"/>
    </row>
    <row r="887" ht="22.5" customHeight="1">
      <c r="A887" s="84"/>
      <c r="B887" s="84"/>
      <c r="C887" s="85"/>
      <c r="D887" s="85"/>
      <c r="E887" s="84"/>
      <c r="F887" s="84"/>
      <c r="G887" s="84"/>
    </row>
    <row r="888" ht="22.5" customHeight="1">
      <c r="A888" s="84"/>
      <c r="B888" s="84"/>
      <c r="C888" s="85"/>
      <c r="D888" s="85"/>
      <c r="E888" s="84"/>
      <c r="F888" s="84"/>
      <c r="G888" s="84"/>
    </row>
    <row r="889" ht="22.5" customHeight="1">
      <c r="A889" s="84"/>
      <c r="B889" s="84"/>
      <c r="C889" s="85"/>
      <c r="D889" s="85"/>
      <c r="E889" s="84"/>
      <c r="F889" s="84"/>
      <c r="G889" s="84"/>
    </row>
    <row r="890" ht="22.5" customHeight="1">
      <c r="A890" s="84"/>
      <c r="B890" s="84"/>
      <c r="C890" s="85"/>
      <c r="D890" s="85"/>
      <c r="E890" s="84"/>
      <c r="F890" s="84"/>
      <c r="G890" s="84"/>
    </row>
    <row r="891" ht="22.5" customHeight="1">
      <c r="A891" s="84"/>
      <c r="B891" s="84"/>
      <c r="C891" s="85"/>
      <c r="D891" s="85"/>
      <c r="E891" s="84"/>
      <c r="F891" s="84"/>
      <c r="G891" s="84"/>
    </row>
    <row r="892" ht="22.5" customHeight="1">
      <c r="A892" s="84"/>
      <c r="B892" s="84"/>
      <c r="C892" s="85"/>
      <c r="D892" s="85"/>
      <c r="E892" s="84"/>
      <c r="F892" s="84"/>
      <c r="G892" s="84"/>
    </row>
    <row r="893" ht="22.5" customHeight="1">
      <c r="A893" s="84"/>
      <c r="B893" s="84"/>
      <c r="C893" s="85"/>
      <c r="D893" s="85"/>
      <c r="E893" s="84"/>
      <c r="F893" s="84"/>
      <c r="G893" s="84"/>
    </row>
    <row r="894" ht="22.5" customHeight="1">
      <c r="A894" s="84"/>
      <c r="B894" s="84"/>
      <c r="C894" s="85"/>
      <c r="D894" s="85"/>
      <c r="E894" s="84"/>
      <c r="F894" s="84"/>
      <c r="G894" s="84"/>
    </row>
    <row r="895" ht="22.5" customHeight="1">
      <c r="A895" s="84"/>
      <c r="B895" s="84"/>
      <c r="C895" s="85"/>
      <c r="D895" s="85"/>
      <c r="E895" s="84"/>
      <c r="F895" s="84"/>
      <c r="G895" s="84"/>
    </row>
    <row r="896" ht="22.5" customHeight="1">
      <c r="A896" s="84"/>
      <c r="B896" s="84"/>
      <c r="C896" s="85"/>
      <c r="D896" s="85"/>
      <c r="E896" s="84"/>
      <c r="F896" s="84"/>
      <c r="G896" s="84"/>
    </row>
    <row r="897" ht="22.5" customHeight="1">
      <c r="A897" s="84"/>
      <c r="B897" s="84"/>
      <c r="C897" s="85"/>
      <c r="D897" s="85"/>
      <c r="E897" s="84"/>
      <c r="F897" s="84"/>
      <c r="G897" s="84"/>
    </row>
    <row r="898" ht="22.5" customHeight="1">
      <c r="A898" s="84"/>
      <c r="B898" s="84"/>
      <c r="C898" s="85"/>
      <c r="D898" s="85"/>
      <c r="E898" s="84"/>
      <c r="F898" s="84"/>
      <c r="G898" s="84"/>
    </row>
    <row r="899" ht="22.5" customHeight="1">
      <c r="A899" s="84"/>
      <c r="B899" s="84"/>
      <c r="C899" s="85"/>
      <c r="D899" s="85"/>
      <c r="E899" s="84"/>
      <c r="F899" s="84"/>
      <c r="G899" s="84"/>
    </row>
    <row r="900" ht="22.5" customHeight="1">
      <c r="A900" s="84"/>
      <c r="B900" s="84"/>
      <c r="C900" s="85"/>
      <c r="D900" s="85"/>
      <c r="E900" s="84"/>
      <c r="F900" s="84"/>
      <c r="G900" s="84"/>
    </row>
    <row r="901" ht="22.5" customHeight="1">
      <c r="A901" s="84"/>
      <c r="B901" s="84"/>
      <c r="C901" s="85"/>
      <c r="D901" s="85"/>
      <c r="E901" s="84"/>
      <c r="F901" s="84"/>
      <c r="G901" s="84"/>
    </row>
    <row r="902" ht="22.5" customHeight="1">
      <c r="A902" s="84"/>
      <c r="B902" s="84"/>
      <c r="C902" s="85"/>
      <c r="D902" s="85"/>
      <c r="E902" s="84"/>
      <c r="F902" s="84"/>
      <c r="G902" s="84"/>
    </row>
    <row r="903" ht="22.5" customHeight="1">
      <c r="A903" s="84"/>
      <c r="B903" s="84"/>
      <c r="C903" s="85"/>
      <c r="D903" s="85"/>
      <c r="E903" s="84"/>
      <c r="F903" s="84"/>
      <c r="G903" s="84"/>
    </row>
    <row r="904" ht="22.5" customHeight="1">
      <c r="A904" s="84"/>
      <c r="B904" s="84"/>
      <c r="C904" s="85"/>
      <c r="D904" s="85"/>
      <c r="E904" s="84"/>
      <c r="F904" s="84"/>
      <c r="G904" s="84"/>
    </row>
    <row r="905" ht="22.5" customHeight="1">
      <c r="A905" s="84"/>
      <c r="B905" s="84"/>
      <c r="C905" s="85"/>
      <c r="D905" s="85"/>
      <c r="E905" s="84"/>
      <c r="F905" s="84"/>
      <c r="G905" s="84"/>
    </row>
    <row r="906" ht="22.5" customHeight="1">
      <c r="A906" s="84"/>
      <c r="B906" s="84"/>
      <c r="C906" s="85"/>
      <c r="D906" s="85"/>
      <c r="E906" s="84"/>
      <c r="F906" s="84"/>
      <c r="G906" s="84"/>
    </row>
    <row r="907" ht="22.5" customHeight="1">
      <c r="A907" s="84"/>
      <c r="B907" s="84"/>
      <c r="C907" s="85"/>
      <c r="D907" s="85"/>
      <c r="E907" s="84"/>
      <c r="F907" s="84"/>
      <c r="G907" s="84"/>
    </row>
    <row r="908" ht="22.5" customHeight="1">
      <c r="A908" s="84"/>
      <c r="B908" s="84"/>
      <c r="C908" s="85"/>
      <c r="D908" s="85"/>
      <c r="E908" s="84"/>
      <c r="F908" s="84"/>
      <c r="G908" s="84"/>
    </row>
    <row r="909" ht="22.5" customHeight="1">
      <c r="A909" s="84"/>
      <c r="B909" s="84"/>
      <c r="C909" s="85"/>
      <c r="D909" s="85"/>
      <c r="E909" s="84"/>
      <c r="F909" s="84"/>
      <c r="G909" s="84"/>
    </row>
    <row r="910" ht="22.5" customHeight="1">
      <c r="A910" s="84"/>
      <c r="B910" s="84"/>
      <c r="C910" s="85"/>
      <c r="D910" s="85"/>
      <c r="E910" s="84"/>
      <c r="F910" s="84"/>
      <c r="G910" s="84"/>
    </row>
    <row r="911" ht="22.5" customHeight="1">
      <c r="A911" s="84"/>
      <c r="B911" s="84"/>
      <c r="C911" s="85"/>
      <c r="D911" s="85"/>
      <c r="E911" s="84"/>
      <c r="F911" s="84"/>
      <c r="G911" s="84"/>
    </row>
    <row r="912" ht="22.5" customHeight="1">
      <c r="A912" s="84"/>
      <c r="B912" s="84"/>
      <c r="C912" s="85"/>
      <c r="D912" s="85"/>
      <c r="E912" s="84"/>
      <c r="F912" s="84"/>
      <c r="G912" s="84"/>
    </row>
    <row r="913" ht="22.5" customHeight="1">
      <c r="A913" s="84"/>
      <c r="B913" s="84"/>
      <c r="C913" s="85"/>
      <c r="D913" s="85"/>
      <c r="E913" s="84"/>
      <c r="F913" s="84"/>
      <c r="G913" s="84"/>
    </row>
    <row r="914" ht="22.5" customHeight="1">
      <c r="A914" s="84"/>
      <c r="B914" s="84"/>
      <c r="C914" s="85"/>
      <c r="D914" s="85"/>
      <c r="E914" s="84"/>
      <c r="F914" s="84"/>
      <c r="G914" s="84"/>
    </row>
    <row r="915" ht="22.5" customHeight="1">
      <c r="A915" s="84"/>
      <c r="B915" s="84"/>
      <c r="C915" s="85"/>
      <c r="D915" s="85"/>
      <c r="E915" s="84"/>
      <c r="F915" s="84"/>
      <c r="G915" s="84"/>
    </row>
    <row r="916" ht="22.5" customHeight="1">
      <c r="A916" s="84"/>
      <c r="B916" s="84"/>
      <c r="C916" s="85"/>
      <c r="D916" s="85"/>
      <c r="E916" s="84"/>
      <c r="F916" s="84"/>
      <c r="G916" s="84"/>
    </row>
    <row r="917" ht="22.5" customHeight="1">
      <c r="A917" s="84"/>
      <c r="B917" s="84"/>
      <c r="C917" s="85"/>
      <c r="D917" s="85"/>
      <c r="E917" s="84"/>
      <c r="F917" s="84"/>
      <c r="G917" s="84"/>
    </row>
    <row r="918" ht="22.5" customHeight="1">
      <c r="A918" s="84"/>
      <c r="B918" s="84"/>
      <c r="C918" s="85"/>
      <c r="D918" s="85"/>
      <c r="E918" s="84"/>
      <c r="F918" s="84"/>
      <c r="G918" s="84"/>
    </row>
    <row r="919" ht="22.5" customHeight="1">
      <c r="A919" s="84"/>
      <c r="B919" s="84"/>
      <c r="C919" s="85"/>
      <c r="D919" s="85"/>
      <c r="E919" s="84"/>
      <c r="F919" s="84"/>
      <c r="G919" s="84"/>
    </row>
    <row r="920" ht="22.5" customHeight="1">
      <c r="A920" s="84"/>
      <c r="B920" s="84"/>
      <c r="C920" s="85"/>
      <c r="D920" s="85"/>
      <c r="E920" s="84"/>
      <c r="F920" s="84"/>
      <c r="G920" s="84"/>
    </row>
    <row r="921" ht="22.5" customHeight="1">
      <c r="A921" s="84"/>
      <c r="B921" s="84"/>
      <c r="C921" s="85"/>
      <c r="D921" s="85"/>
      <c r="E921" s="84"/>
      <c r="F921" s="84"/>
      <c r="G921" s="84"/>
    </row>
    <row r="922" ht="22.5" customHeight="1">
      <c r="A922" s="84"/>
      <c r="B922" s="84"/>
      <c r="C922" s="85"/>
      <c r="D922" s="85"/>
      <c r="E922" s="84"/>
      <c r="F922" s="84"/>
      <c r="G922" s="84"/>
    </row>
    <row r="923" ht="22.5" customHeight="1">
      <c r="A923" s="84"/>
      <c r="B923" s="84"/>
      <c r="C923" s="85"/>
      <c r="D923" s="85"/>
      <c r="E923" s="84"/>
      <c r="F923" s="84"/>
      <c r="G923" s="84"/>
    </row>
    <row r="924" ht="22.5" customHeight="1">
      <c r="A924" s="84"/>
      <c r="B924" s="84"/>
      <c r="C924" s="85"/>
      <c r="D924" s="85"/>
      <c r="E924" s="84"/>
      <c r="F924" s="84"/>
      <c r="G924" s="84"/>
    </row>
    <row r="925" ht="22.5" customHeight="1">
      <c r="A925" s="84"/>
      <c r="B925" s="84"/>
      <c r="C925" s="85"/>
      <c r="D925" s="85"/>
      <c r="E925" s="84"/>
      <c r="F925" s="84"/>
      <c r="G925" s="84"/>
    </row>
    <row r="926" ht="22.5" customHeight="1">
      <c r="A926" s="84"/>
      <c r="B926" s="84"/>
      <c r="C926" s="85"/>
      <c r="D926" s="85"/>
      <c r="E926" s="84"/>
      <c r="F926" s="84"/>
      <c r="G926" s="84"/>
    </row>
    <row r="927" ht="22.5" customHeight="1">
      <c r="A927" s="84"/>
      <c r="B927" s="84"/>
      <c r="C927" s="85"/>
      <c r="D927" s="85"/>
      <c r="E927" s="84"/>
      <c r="F927" s="84"/>
      <c r="G927" s="84"/>
    </row>
    <row r="928" ht="22.5" customHeight="1">
      <c r="A928" s="84"/>
      <c r="B928" s="84"/>
      <c r="C928" s="85"/>
      <c r="D928" s="85"/>
      <c r="E928" s="84"/>
      <c r="F928" s="84"/>
      <c r="G928" s="84"/>
    </row>
    <row r="929" ht="22.5" customHeight="1">
      <c r="A929" s="84"/>
      <c r="B929" s="84"/>
      <c r="C929" s="85"/>
      <c r="D929" s="85"/>
      <c r="E929" s="84"/>
      <c r="F929" s="84"/>
      <c r="G929" s="84"/>
    </row>
    <row r="930" ht="22.5" customHeight="1">
      <c r="A930" s="84"/>
      <c r="B930" s="84"/>
      <c r="C930" s="85"/>
      <c r="D930" s="85"/>
      <c r="E930" s="84"/>
      <c r="F930" s="84"/>
      <c r="G930" s="84"/>
    </row>
    <row r="931" ht="22.5" customHeight="1">
      <c r="A931" s="84"/>
      <c r="B931" s="84"/>
      <c r="C931" s="85"/>
      <c r="D931" s="85"/>
      <c r="E931" s="84"/>
      <c r="F931" s="84"/>
      <c r="G931" s="84"/>
    </row>
    <row r="932" ht="22.5" customHeight="1">
      <c r="A932" s="84"/>
      <c r="B932" s="84"/>
      <c r="C932" s="85"/>
      <c r="D932" s="85"/>
      <c r="E932" s="84"/>
      <c r="F932" s="84"/>
      <c r="G932" s="84"/>
    </row>
    <row r="933" ht="22.5" customHeight="1">
      <c r="A933" s="84"/>
      <c r="B933" s="84"/>
      <c r="C933" s="85"/>
      <c r="D933" s="85"/>
      <c r="E933" s="84"/>
      <c r="F933" s="84"/>
      <c r="G933" s="84"/>
    </row>
    <row r="934" ht="22.5" customHeight="1">
      <c r="A934" s="84"/>
      <c r="B934" s="84"/>
      <c r="C934" s="85"/>
      <c r="D934" s="85"/>
      <c r="E934" s="84"/>
      <c r="F934" s="84"/>
      <c r="G934" s="84"/>
    </row>
    <row r="935" ht="22.5" customHeight="1">
      <c r="A935" s="84"/>
      <c r="B935" s="84"/>
      <c r="C935" s="85"/>
      <c r="D935" s="85"/>
      <c r="E935" s="84"/>
      <c r="F935" s="84"/>
      <c r="G935" s="84"/>
    </row>
    <row r="936" ht="22.5" customHeight="1">
      <c r="A936" s="84"/>
      <c r="B936" s="84"/>
      <c r="C936" s="85"/>
      <c r="D936" s="85"/>
      <c r="E936" s="84"/>
      <c r="F936" s="84"/>
      <c r="G936" s="84"/>
    </row>
    <row r="937" ht="22.5" customHeight="1">
      <c r="A937" s="84"/>
      <c r="B937" s="84"/>
      <c r="C937" s="85"/>
      <c r="D937" s="85"/>
      <c r="E937" s="84"/>
      <c r="F937" s="84"/>
      <c r="G937" s="84"/>
    </row>
    <row r="938" ht="22.5" customHeight="1">
      <c r="A938" s="84"/>
      <c r="B938" s="84"/>
      <c r="C938" s="85"/>
      <c r="D938" s="85"/>
      <c r="E938" s="84"/>
      <c r="F938" s="84"/>
      <c r="G938" s="84"/>
    </row>
    <row r="939" ht="22.5" customHeight="1">
      <c r="A939" s="84"/>
      <c r="B939" s="84"/>
      <c r="C939" s="85"/>
      <c r="D939" s="85"/>
      <c r="E939" s="84"/>
      <c r="F939" s="84"/>
      <c r="G939" s="84"/>
    </row>
    <row r="940" ht="22.5" customHeight="1">
      <c r="A940" s="84"/>
      <c r="B940" s="84"/>
      <c r="C940" s="85"/>
      <c r="D940" s="85"/>
      <c r="E940" s="84"/>
      <c r="F940" s="84"/>
      <c r="G940" s="84"/>
    </row>
    <row r="941" ht="22.5" customHeight="1">
      <c r="A941" s="84"/>
      <c r="B941" s="84"/>
      <c r="C941" s="85"/>
      <c r="D941" s="85"/>
      <c r="E941" s="84"/>
      <c r="F941" s="84"/>
      <c r="G941" s="84"/>
    </row>
    <row r="942" ht="22.5" customHeight="1">
      <c r="A942" s="84"/>
      <c r="B942" s="84"/>
      <c r="C942" s="85"/>
      <c r="D942" s="85"/>
      <c r="E942" s="84"/>
      <c r="F942" s="84"/>
      <c r="G942" s="84"/>
    </row>
    <row r="943" ht="22.5" customHeight="1">
      <c r="A943" s="84"/>
      <c r="B943" s="84"/>
      <c r="C943" s="85"/>
      <c r="D943" s="85"/>
      <c r="E943" s="84"/>
      <c r="F943" s="84"/>
      <c r="G943" s="84"/>
    </row>
    <row r="944" ht="22.5" customHeight="1">
      <c r="A944" s="84"/>
      <c r="B944" s="84"/>
      <c r="C944" s="85"/>
      <c r="D944" s="85"/>
      <c r="E944" s="84"/>
      <c r="F944" s="84"/>
      <c r="G944" s="84"/>
    </row>
    <row r="945" ht="22.5" customHeight="1">
      <c r="A945" s="84"/>
      <c r="B945" s="84"/>
      <c r="C945" s="85"/>
      <c r="D945" s="85"/>
      <c r="E945" s="84"/>
      <c r="F945" s="84"/>
      <c r="G945" s="84"/>
    </row>
    <row r="946" ht="22.5" customHeight="1">
      <c r="A946" s="84"/>
      <c r="B946" s="84"/>
      <c r="C946" s="85"/>
      <c r="D946" s="85"/>
      <c r="E946" s="84"/>
      <c r="F946" s="84"/>
      <c r="G946" s="84"/>
    </row>
    <row r="947" ht="22.5" customHeight="1">
      <c r="A947" s="84"/>
      <c r="B947" s="84"/>
      <c r="C947" s="85"/>
      <c r="D947" s="85"/>
      <c r="E947" s="84"/>
      <c r="F947" s="84"/>
      <c r="G947" s="84"/>
    </row>
    <row r="948" ht="22.5" customHeight="1">
      <c r="A948" s="84"/>
      <c r="B948" s="84"/>
      <c r="C948" s="85"/>
      <c r="D948" s="85"/>
      <c r="E948" s="84"/>
      <c r="F948" s="84"/>
      <c r="G948" s="84"/>
    </row>
    <row r="949" ht="22.5" customHeight="1">
      <c r="A949" s="84"/>
      <c r="B949" s="84"/>
      <c r="C949" s="85"/>
      <c r="D949" s="85"/>
      <c r="E949" s="84"/>
      <c r="F949" s="84"/>
      <c r="G949" s="84"/>
    </row>
    <row r="950" ht="22.5" customHeight="1">
      <c r="A950" s="84"/>
      <c r="B950" s="84"/>
      <c r="C950" s="85"/>
      <c r="D950" s="85"/>
      <c r="E950" s="84"/>
      <c r="F950" s="84"/>
      <c r="G950" s="84"/>
    </row>
    <row r="951" ht="22.5" customHeight="1">
      <c r="A951" s="84"/>
      <c r="B951" s="84"/>
      <c r="C951" s="85"/>
      <c r="D951" s="85"/>
      <c r="E951" s="84"/>
      <c r="F951" s="84"/>
      <c r="G951" s="84"/>
    </row>
    <row r="952" ht="22.5" customHeight="1">
      <c r="A952" s="84"/>
      <c r="B952" s="84"/>
      <c r="C952" s="85"/>
      <c r="D952" s="85"/>
      <c r="E952" s="84"/>
      <c r="F952" s="84"/>
      <c r="G952" s="84"/>
    </row>
    <row r="953" ht="22.5" customHeight="1">
      <c r="A953" s="84"/>
      <c r="B953" s="84"/>
      <c r="C953" s="85"/>
      <c r="D953" s="85"/>
      <c r="E953" s="84"/>
      <c r="F953" s="84"/>
      <c r="G953" s="84"/>
    </row>
    <row r="954" ht="22.5" customHeight="1">
      <c r="A954" s="84"/>
      <c r="B954" s="84"/>
      <c r="C954" s="85"/>
      <c r="D954" s="85"/>
      <c r="E954" s="84"/>
      <c r="F954" s="84"/>
      <c r="G954" s="84"/>
    </row>
    <row r="955" ht="22.5" customHeight="1">
      <c r="A955" s="84"/>
      <c r="B955" s="84"/>
      <c r="C955" s="85"/>
      <c r="D955" s="85"/>
      <c r="E955" s="84"/>
      <c r="F955" s="84"/>
      <c r="G955" s="84"/>
    </row>
    <row r="956" ht="22.5" customHeight="1">
      <c r="A956" s="84"/>
      <c r="B956" s="84"/>
      <c r="C956" s="85"/>
      <c r="D956" s="85"/>
      <c r="E956" s="84"/>
      <c r="F956" s="84"/>
      <c r="G956" s="84"/>
    </row>
    <row r="957" ht="22.5" customHeight="1">
      <c r="A957" s="84"/>
      <c r="B957" s="84"/>
      <c r="C957" s="85"/>
      <c r="D957" s="85"/>
      <c r="E957" s="84"/>
      <c r="F957" s="84"/>
      <c r="G957" s="84"/>
    </row>
    <row r="958" ht="22.5" customHeight="1">
      <c r="A958" s="84"/>
      <c r="B958" s="84"/>
      <c r="C958" s="85"/>
      <c r="D958" s="85"/>
      <c r="E958" s="84"/>
      <c r="F958" s="84"/>
      <c r="G958" s="84"/>
    </row>
    <row r="959" ht="22.5" customHeight="1">
      <c r="A959" s="84"/>
      <c r="B959" s="84"/>
      <c r="C959" s="85"/>
      <c r="D959" s="85"/>
      <c r="E959" s="84"/>
      <c r="F959" s="84"/>
      <c r="G959" s="84"/>
    </row>
    <row r="960" ht="22.5" customHeight="1">
      <c r="A960" s="84"/>
      <c r="B960" s="84"/>
      <c r="C960" s="85"/>
      <c r="D960" s="85"/>
      <c r="E960" s="84"/>
      <c r="F960" s="84"/>
      <c r="G960" s="84"/>
    </row>
    <row r="961" ht="22.5" customHeight="1">
      <c r="A961" s="84"/>
      <c r="B961" s="84"/>
      <c r="C961" s="85"/>
      <c r="D961" s="85"/>
      <c r="E961" s="84"/>
      <c r="F961" s="84"/>
      <c r="G961" s="84"/>
    </row>
    <row r="962" ht="22.5" customHeight="1">
      <c r="A962" s="84"/>
      <c r="B962" s="84"/>
      <c r="C962" s="85"/>
      <c r="D962" s="85"/>
      <c r="E962" s="84"/>
      <c r="F962" s="84"/>
      <c r="G962" s="84"/>
    </row>
    <row r="963" ht="22.5" customHeight="1">
      <c r="A963" s="84"/>
      <c r="B963" s="84"/>
      <c r="C963" s="85"/>
      <c r="D963" s="85"/>
      <c r="E963" s="84"/>
      <c r="F963" s="84"/>
      <c r="G963" s="84"/>
    </row>
    <row r="964" ht="22.5" customHeight="1">
      <c r="A964" s="84"/>
      <c r="B964" s="84"/>
      <c r="C964" s="85"/>
      <c r="D964" s="85"/>
      <c r="E964" s="84"/>
      <c r="F964" s="84"/>
      <c r="G964" s="84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9.75"/>
    <col customWidth="1" min="2" max="2" width="15.0"/>
    <col customWidth="1" min="3" max="3" width="28.5"/>
    <col customWidth="1" min="4" max="4" width="19.25"/>
    <col customWidth="1" min="5" max="5" width="26.25"/>
    <col customWidth="1" min="6" max="6" width="19.38"/>
    <col customWidth="1" min="7" max="7" width="18.63"/>
    <col customWidth="1" min="8" max="8" width="15.75"/>
    <col customWidth="1" min="9" max="9" width="19.88"/>
    <col customWidth="1" min="10" max="10" width="19.13"/>
  </cols>
  <sheetData>
    <row r="1" ht="22.5" customHeight="1">
      <c r="A1" s="16" t="s">
        <v>8759</v>
      </c>
      <c r="B1" s="16" t="s">
        <v>8760</v>
      </c>
      <c r="C1" s="16" t="s">
        <v>8761</v>
      </c>
      <c r="D1" s="16" t="s">
        <v>8762</v>
      </c>
      <c r="E1" s="16" t="s">
        <v>8763</v>
      </c>
      <c r="F1" s="16" t="s">
        <v>8764</v>
      </c>
      <c r="G1" s="16" t="s">
        <v>8765</v>
      </c>
      <c r="H1" s="16" t="s">
        <v>8766</v>
      </c>
      <c r="I1" s="16" t="s">
        <v>8767</v>
      </c>
      <c r="J1" s="16" t="s">
        <v>187</v>
      </c>
    </row>
    <row r="2" ht="22.5" customHeight="1">
      <c r="A2" s="3"/>
      <c r="B2" s="3"/>
      <c r="C2" s="3"/>
      <c r="D2" s="86"/>
      <c r="E2" s="86"/>
      <c r="F2" s="86"/>
      <c r="G2" s="86"/>
      <c r="H2" s="86"/>
      <c r="I2" s="86"/>
      <c r="J2" s="3"/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1.0" topLeftCell="K2" activePane="bottomRight" state="frozen"/>
      <selection activeCell="K1" sqref="K1" pane="topRight"/>
      <selection activeCell="A2" sqref="A2" pane="bottomLeft"/>
      <selection activeCell="K2" sqref="K2" pane="bottomRight"/>
    </sheetView>
  </sheetViews>
  <sheetFormatPr customHeight="1" defaultColWidth="12.63" defaultRowHeight="15.75"/>
  <cols>
    <col customWidth="1" min="1" max="1" width="23.75"/>
    <col customWidth="1" min="2" max="2" width="15.75"/>
    <col customWidth="1" min="3" max="3" width="20.0"/>
    <col customWidth="1" min="4" max="4" width="17.0"/>
    <col customWidth="1" min="5" max="6" width="16.38"/>
    <col customWidth="1" min="7" max="7" width="14.5"/>
    <col customWidth="1" min="8" max="8" width="24.88"/>
    <col customWidth="1" min="9" max="10" width="23.5"/>
    <col customWidth="1" min="11" max="11" width="15.88"/>
    <col customWidth="1" min="15" max="16" width="9.25"/>
    <col customWidth="1" min="17" max="17" width="8.38"/>
    <col customWidth="1" min="18" max="18" width="12.5"/>
    <col customWidth="1" min="19" max="19" width="10.25"/>
    <col customWidth="1" min="20" max="20" width="11.0"/>
    <col customWidth="1" min="21" max="21" width="9.88"/>
    <col customWidth="1" min="22" max="22" width="12.5"/>
    <col customWidth="1" min="23" max="23" width="9.0"/>
    <col customWidth="1" min="24" max="24" width="11.0"/>
    <col customWidth="1" min="25" max="25" width="10.25"/>
    <col customWidth="1" min="26" max="26" width="7.13"/>
    <col customWidth="1" min="27" max="27" width="8.88"/>
    <col customWidth="1" min="28" max="28" width="12.63"/>
    <col customWidth="1" min="29" max="29" width="9.25"/>
    <col customWidth="1" min="30" max="32" width="12.13"/>
  </cols>
  <sheetData>
    <row r="1" ht="74.25" customHeight="1">
      <c r="A1" s="87"/>
      <c r="B1" s="87"/>
      <c r="C1" s="87"/>
      <c r="D1" s="87"/>
      <c r="E1" s="87"/>
      <c r="F1" s="87"/>
      <c r="G1" s="88" t="s">
        <v>8768</v>
      </c>
      <c r="J1" s="87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</row>
    <row r="2">
      <c r="A2" s="90" t="s">
        <v>8769</v>
      </c>
      <c r="B2" s="91"/>
      <c r="C2" s="91"/>
      <c r="D2" s="91"/>
      <c r="E2" s="91"/>
      <c r="F2" s="91"/>
      <c r="G2" s="91"/>
      <c r="H2" s="92"/>
      <c r="I2" s="93"/>
      <c r="J2" s="94"/>
    </row>
    <row r="3">
      <c r="A3" s="95" t="s">
        <v>8310</v>
      </c>
      <c r="B3" s="95" t="s">
        <v>8770</v>
      </c>
      <c r="C3" s="96" t="s">
        <v>8771</v>
      </c>
      <c r="D3" s="96" t="s">
        <v>8772</v>
      </c>
      <c r="E3" s="96" t="s">
        <v>8773</v>
      </c>
      <c r="F3" s="95" t="s">
        <v>8774</v>
      </c>
      <c r="G3" s="95" t="s">
        <v>8775</v>
      </c>
      <c r="H3" s="95" t="s">
        <v>8776</v>
      </c>
      <c r="I3" s="97"/>
      <c r="J3" s="97"/>
      <c r="L3" s="98" t="s">
        <v>8777</v>
      </c>
      <c r="M3" s="98" t="s">
        <v>8778</v>
      </c>
      <c r="O3" s="99" t="s">
        <v>8779</v>
      </c>
      <c r="P3" s="100" t="s">
        <v>8780</v>
      </c>
      <c r="Q3" s="101" t="s">
        <v>8781</v>
      </c>
      <c r="R3" s="100" t="s">
        <v>8782</v>
      </c>
      <c r="S3" s="102" t="s">
        <v>8783</v>
      </c>
      <c r="T3" s="102" t="s">
        <v>8784</v>
      </c>
      <c r="U3" s="102" t="s">
        <v>8785</v>
      </c>
      <c r="V3" s="102" t="s">
        <v>8786</v>
      </c>
      <c r="W3" s="102" t="s">
        <v>8787</v>
      </c>
      <c r="X3" s="102" t="s">
        <v>8788</v>
      </c>
      <c r="Y3" s="103" t="s">
        <v>8789</v>
      </c>
      <c r="Z3" s="103" t="s">
        <v>8790</v>
      </c>
      <c r="AA3" s="104" t="s">
        <v>8791</v>
      </c>
      <c r="AB3" s="104" t="s">
        <v>8792</v>
      </c>
      <c r="AC3" s="104" t="s">
        <v>8793</v>
      </c>
      <c r="AD3" s="104" t="s">
        <v>8794</v>
      </c>
      <c r="AE3" s="105" t="s">
        <v>8777</v>
      </c>
      <c r="AF3" s="105" t="s">
        <v>8778</v>
      </c>
    </row>
    <row r="4">
      <c r="A4" s="106" t="s">
        <v>8277</v>
      </c>
      <c r="B4" s="107">
        <v>7.86</v>
      </c>
      <c r="C4" s="108">
        <v>3000.0</v>
      </c>
      <c r="D4" s="108">
        <v>1200.0</v>
      </c>
      <c r="E4" s="108">
        <v>9.5</v>
      </c>
      <c r="F4" s="109">
        <f t="shared" ref="F4:F6" si="5">C4/1000*D4/1000*E4*B4</f>
        <v>268.812</v>
      </c>
      <c r="G4" s="110">
        <v>7.1</v>
      </c>
      <c r="H4" s="110">
        <f t="array" ref="H4">IF(ISERROR(MATCH(E4,'Configurações Máquina de corte'!A:A,0)),
     INDEX('Configurações Máquina de corte'!D:D, MATCH(E4,'Configurações Máquina de corte'!A:A,1)+1),
     INDEX('Configurações Máquina de corte'!D:D, MATCH(E4,'Configurações Máquina de corte'!A:A,0))
)
</f>
        <v>10.8275</v>
      </c>
      <c r="I4" s="111"/>
      <c r="J4" s="97"/>
      <c r="K4" s="106" t="s">
        <v>8277</v>
      </c>
      <c r="L4" s="110">
        <f t="shared" ref="L4:L9" si="6">M4/E12</f>
        <v>31.65669724</v>
      </c>
      <c r="M4" s="112">
        <f t="shared" ref="M4:M9" si="7">I36</f>
        <v>189.9401834</v>
      </c>
      <c r="O4" s="110">
        <f t="shared" ref="O4:O9" si="8">H4</f>
        <v>10.8275</v>
      </c>
      <c r="P4" s="113">
        <f t="shared" ref="P4:R4" si="1">H12</f>
        <v>1.745532468</v>
      </c>
      <c r="Q4" s="113">
        <f t="shared" si="1"/>
        <v>10.47319481</v>
      </c>
      <c r="R4" s="114">
        <f t="shared" si="1"/>
        <v>113.3985168</v>
      </c>
      <c r="S4" s="115">
        <f t="shared" ref="S4:S9" si="10">D20</f>
        <v>1</v>
      </c>
      <c r="T4" s="116">
        <f t="shared" ref="T4:V4" si="2">F20</f>
        <v>0.145</v>
      </c>
      <c r="U4" s="116">
        <f t="shared" si="2"/>
        <v>8</v>
      </c>
      <c r="V4" s="116">
        <f t="shared" si="2"/>
        <v>0.2783333333</v>
      </c>
      <c r="W4" s="110">
        <f t="shared" ref="W4:W9" si="12">B20</f>
        <v>275</v>
      </c>
      <c r="X4" s="114">
        <f t="shared" ref="X4:X9" si="13">I20</f>
        <v>76.54166667</v>
      </c>
      <c r="Y4" s="117">
        <f t="shared" ref="Y4:AA4" si="3">D28</f>
        <v>0</v>
      </c>
      <c r="Z4" s="118">
        <f t="shared" si="3"/>
        <v>0</v>
      </c>
      <c r="AA4" s="115">
        <f t="shared" si="3"/>
        <v>6</v>
      </c>
      <c r="AB4" s="116">
        <f t="shared" ref="AB4:AB9" si="15">H28</f>
        <v>0</v>
      </c>
      <c r="AC4" s="110">
        <f t="shared" ref="AC4:AC9" si="16">B28</f>
        <v>200</v>
      </c>
      <c r="AD4" s="116">
        <f t="shared" ref="AD4:AD9" si="17">I28</f>
        <v>0</v>
      </c>
      <c r="AE4" s="110">
        <f t="shared" ref="AE4:AF4" si="4">L4</f>
        <v>31.65669724</v>
      </c>
      <c r="AF4" s="112">
        <f t="shared" si="4"/>
        <v>189.9401834</v>
      </c>
    </row>
    <row r="5">
      <c r="A5" s="106" t="s">
        <v>8795</v>
      </c>
      <c r="B5" s="107">
        <v>2.81</v>
      </c>
      <c r="C5" s="108">
        <v>3000.0</v>
      </c>
      <c r="D5" s="108">
        <v>1200.0</v>
      </c>
      <c r="E5" s="108">
        <v>1.0</v>
      </c>
      <c r="F5" s="109">
        <f t="shared" si="5"/>
        <v>10.116</v>
      </c>
      <c r="G5" s="110">
        <v>40.0</v>
      </c>
      <c r="H5" s="110">
        <f t="array" ref="H5">IF(ISERROR(MATCH(E5,'Configurações Máquina de corte'!G:G,0)),
     INDEX('Configurações Máquina de corte'!J:J, MATCH(E5,'Configurações Máquina de corte'!G:G,1)+1),
     INDEX('Configurações Máquina de corte'!J:J, MATCH(E5,'Configurações Máquina de corte'!G:G,0))
)
</f>
        <v>52</v>
      </c>
      <c r="I5" s="111"/>
      <c r="J5" s="97"/>
      <c r="K5" s="106" t="s">
        <v>8795</v>
      </c>
      <c r="L5" s="110">
        <f t="shared" si="6"/>
        <v>609.4833889</v>
      </c>
      <c r="M5" s="112">
        <f t="shared" si="7"/>
        <v>609.4833889</v>
      </c>
      <c r="O5" s="110">
        <f t="shared" si="8"/>
        <v>52</v>
      </c>
      <c r="P5" s="113">
        <f t="shared" ref="P5:R5" si="9">H13</f>
        <v>10.116</v>
      </c>
      <c r="Q5" s="113">
        <f t="shared" si="9"/>
        <v>10.116</v>
      </c>
      <c r="R5" s="114">
        <f t="shared" si="9"/>
        <v>526.032</v>
      </c>
      <c r="S5" s="115">
        <f t="shared" si="10"/>
        <v>1</v>
      </c>
      <c r="T5" s="116">
        <f t="shared" ref="T5:V5" si="11">F21</f>
        <v>0.01861111111</v>
      </c>
      <c r="U5" s="116">
        <f t="shared" si="11"/>
        <v>4</v>
      </c>
      <c r="V5" s="116">
        <f t="shared" si="11"/>
        <v>0.08527777778</v>
      </c>
      <c r="W5" s="110">
        <f t="shared" si="12"/>
        <v>275</v>
      </c>
      <c r="X5" s="114">
        <f t="shared" si="13"/>
        <v>23.45138889</v>
      </c>
      <c r="Y5" s="117">
        <f t="shared" ref="Y5:AA5" si="14">D29</f>
        <v>4</v>
      </c>
      <c r="Z5" s="118">
        <f t="shared" si="14"/>
        <v>30</v>
      </c>
      <c r="AA5" s="115">
        <f t="shared" si="14"/>
        <v>1</v>
      </c>
      <c r="AB5" s="116">
        <f t="shared" si="15"/>
        <v>0.2</v>
      </c>
      <c r="AC5" s="110">
        <f t="shared" si="16"/>
        <v>300</v>
      </c>
      <c r="AD5" s="116">
        <f t="shared" si="17"/>
        <v>60</v>
      </c>
      <c r="AE5" s="110">
        <f t="shared" ref="AE5:AF5" si="18">L5</f>
        <v>609.4833889</v>
      </c>
      <c r="AF5" s="112">
        <f t="shared" si="18"/>
        <v>609.4833889</v>
      </c>
    </row>
    <row r="6">
      <c r="A6" s="106" t="s">
        <v>8796</v>
      </c>
      <c r="B6" s="107">
        <v>7.86</v>
      </c>
      <c r="C6" s="108">
        <v>3000.0</v>
      </c>
      <c r="D6" s="108">
        <v>1200.0</v>
      </c>
      <c r="E6" s="108">
        <v>1.0</v>
      </c>
      <c r="F6" s="109">
        <f t="shared" si="5"/>
        <v>28.296</v>
      </c>
      <c r="G6" s="110">
        <v>26.0</v>
      </c>
      <c r="H6" s="110">
        <f t="array" ref="H6">IF(ISERROR(MATCH(E6,'Configurações Máquina de corte'!M:M,0)),
     INDEX('Configurações Máquina de corte'!P:P, MATCH(E6,'Configurações Máquina de corte'!M:M,1)+1),
     INDEX('Configurações Máquina de corte'!P:P, MATCH(E6,'Configurações Máquina de corte'!M:M,0))
)
</f>
        <v>33.8</v>
      </c>
      <c r="I6" s="111"/>
      <c r="J6" s="97"/>
      <c r="K6" s="106" t="s">
        <v>8796</v>
      </c>
      <c r="L6" s="110">
        <f t="shared" si="6"/>
        <v>206.3043444</v>
      </c>
      <c r="M6" s="112">
        <f t="shared" si="7"/>
        <v>206.3043444</v>
      </c>
      <c r="O6" s="110">
        <f t="shared" si="8"/>
        <v>33.8</v>
      </c>
      <c r="P6" s="113">
        <f t="shared" ref="P6:R6" si="19">H14</f>
        <v>1.048</v>
      </c>
      <c r="Q6" s="113">
        <f t="shared" si="19"/>
        <v>1.048</v>
      </c>
      <c r="R6" s="114">
        <f t="shared" si="19"/>
        <v>35.4224</v>
      </c>
      <c r="S6" s="115">
        <f t="shared" si="10"/>
        <v>1</v>
      </c>
      <c r="T6" s="116">
        <f t="shared" ref="T6:V6" si="20">F22</f>
        <v>0.5547222222</v>
      </c>
      <c r="U6" s="116">
        <f t="shared" si="20"/>
        <v>4</v>
      </c>
      <c r="V6" s="116">
        <f t="shared" si="20"/>
        <v>0.6213888889</v>
      </c>
      <c r="W6" s="110">
        <f t="shared" si="12"/>
        <v>275</v>
      </c>
      <c r="X6" s="114">
        <f t="shared" si="13"/>
        <v>170.8819444</v>
      </c>
      <c r="Y6" s="117">
        <f t="shared" ref="Y6:AA6" si="21">D30</f>
        <v>0</v>
      </c>
      <c r="Z6" s="118">
        <f t="shared" si="21"/>
        <v>0</v>
      </c>
      <c r="AA6" s="115">
        <f t="shared" si="21"/>
        <v>1</v>
      </c>
      <c r="AB6" s="116">
        <f t="shared" si="15"/>
        <v>0</v>
      </c>
      <c r="AC6" s="110">
        <f t="shared" si="16"/>
        <v>200</v>
      </c>
      <c r="AD6" s="116">
        <f t="shared" si="17"/>
        <v>0</v>
      </c>
      <c r="AE6" s="110">
        <f t="shared" ref="AE6:AF6" si="22">L6</f>
        <v>206.3043444</v>
      </c>
      <c r="AF6" s="112">
        <f t="shared" si="22"/>
        <v>206.3043444</v>
      </c>
    </row>
    <row r="7">
      <c r="A7" s="106" t="s">
        <v>8797</v>
      </c>
      <c r="B7" s="107">
        <v>7.86</v>
      </c>
      <c r="C7" s="108">
        <v>3000.0</v>
      </c>
      <c r="D7" s="108">
        <v>1200.0</v>
      </c>
      <c r="E7" s="108">
        <v>1.0</v>
      </c>
      <c r="F7" s="119">
        <v>56.592000000000006</v>
      </c>
      <c r="G7" s="110">
        <v>40.0</v>
      </c>
      <c r="H7" s="110">
        <f t="array" ref="H7">IF(ISERROR(MATCH(E7,'Configurações Máquina de corte'!M:M,0)),
     INDEX('Configurações Máquina de corte'!P:P, MATCH(E7,'Configurações Máquina de corte'!M:M,1)+1),
     INDEX('Configurações Máquina de corte'!P:P, MATCH(E7,'Configurações Máquina de corte'!M:M,0))
)
</f>
        <v>33.8</v>
      </c>
      <c r="I7" s="111"/>
      <c r="J7" s="97"/>
      <c r="K7" s="106" t="s">
        <v>8797</v>
      </c>
      <c r="L7" s="110">
        <f t="shared" si="6"/>
        <v>19.31142933</v>
      </c>
      <c r="M7" s="112">
        <f t="shared" si="7"/>
        <v>1931.142933</v>
      </c>
      <c r="O7" s="110">
        <f t="shared" si="8"/>
        <v>33.8</v>
      </c>
      <c r="P7" s="113">
        <f t="shared" ref="P7:R7" si="23">H15</f>
        <v>0.56592</v>
      </c>
      <c r="Q7" s="113">
        <f t="shared" si="23"/>
        <v>56.592</v>
      </c>
      <c r="R7" s="114">
        <f t="shared" si="23"/>
        <v>1912.8096</v>
      </c>
      <c r="S7" s="115">
        <f t="shared" si="10"/>
        <v>1</v>
      </c>
      <c r="T7" s="116">
        <f t="shared" ref="T7:V7" si="24">F23</f>
        <v>0</v>
      </c>
      <c r="U7" s="116">
        <f t="shared" si="24"/>
        <v>4</v>
      </c>
      <c r="V7" s="116">
        <f t="shared" si="24"/>
        <v>0.06666666667</v>
      </c>
      <c r="W7" s="110">
        <f t="shared" si="12"/>
        <v>275</v>
      </c>
      <c r="X7" s="114">
        <f t="shared" si="13"/>
        <v>18.33333333</v>
      </c>
      <c r="Y7" s="117">
        <f t="shared" ref="Y7:AA7" si="25">D31</f>
        <v>1</v>
      </c>
      <c r="Z7" s="118">
        <f t="shared" si="25"/>
        <v>0</v>
      </c>
      <c r="AA7" s="115">
        <f t="shared" si="25"/>
        <v>100</v>
      </c>
      <c r="AB7" s="116">
        <f t="shared" si="15"/>
        <v>0</v>
      </c>
      <c r="AC7" s="110">
        <f t="shared" si="16"/>
        <v>200</v>
      </c>
      <c r="AD7" s="116">
        <f t="shared" si="17"/>
        <v>0</v>
      </c>
      <c r="AE7" s="110">
        <f t="shared" ref="AE7:AF7" si="26">L7</f>
        <v>19.31142933</v>
      </c>
      <c r="AF7" s="112">
        <f t="shared" si="26"/>
        <v>1931.142933</v>
      </c>
    </row>
    <row r="8">
      <c r="A8" s="106" t="s">
        <v>8798</v>
      </c>
      <c r="B8" s="107">
        <v>8.7</v>
      </c>
      <c r="C8" s="108">
        <v>3000.0</v>
      </c>
      <c r="D8" s="108">
        <v>1200.0</v>
      </c>
      <c r="E8" s="108">
        <v>1.0</v>
      </c>
      <c r="F8" s="109">
        <f t="shared" ref="F8:F9" si="31">C8/1000*D8/1000*E8*B8</f>
        <v>31.32</v>
      </c>
      <c r="G8" s="110">
        <v>35.0</v>
      </c>
      <c r="H8" s="110">
        <f t="shared" ref="H8:H9" si="32">G8*1.3</f>
        <v>45.5</v>
      </c>
      <c r="I8" s="111"/>
      <c r="J8" s="97"/>
      <c r="K8" s="106" t="s">
        <v>8798</v>
      </c>
      <c r="L8" s="110">
        <f t="shared" si="6"/>
        <v>237.51</v>
      </c>
      <c r="M8" s="112">
        <f t="shared" si="7"/>
        <v>237.51</v>
      </c>
      <c r="O8" s="110">
        <f t="shared" si="8"/>
        <v>45.5</v>
      </c>
      <c r="P8" s="113">
        <f t="shared" ref="P8:R8" si="27">H16</f>
        <v>5.22</v>
      </c>
      <c r="Q8" s="113">
        <f t="shared" si="27"/>
        <v>5.22</v>
      </c>
      <c r="R8" s="114">
        <f t="shared" si="27"/>
        <v>237.51</v>
      </c>
      <c r="S8" s="115">
        <f t="shared" si="10"/>
        <v>1</v>
      </c>
      <c r="T8" s="116">
        <f t="shared" ref="T8:V8" si="28">F24</f>
        <v>0</v>
      </c>
      <c r="U8" s="116">
        <f t="shared" si="28"/>
        <v>4</v>
      </c>
      <c r="V8" s="116">
        <f t="shared" si="28"/>
        <v>0.06666666667</v>
      </c>
      <c r="W8" s="110" t="b">
        <f t="shared" si="12"/>
        <v>0</v>
      </c>
      <c r="X8" s="114">
        <f t="shared" si="13"/>
        <v>0</v>
      </c>
      <c r="Y8" s="117">
        <f t="shared" ref="Y8:AA8" si="29">D32</f>
        <v>1</v>
      </c>
      <c r="Z8" s="118">
        <f t="shared" si="29"/>
        <v>0</v>
      </c>
      <c r="AA8" s="115">
        <f t="shared" si="29"/>
        <v>1</v>
      </c>
      <c r="AB8" s="116">
        <f t="shared" si="15"/>
        <v>0</v>
      </c>
      <c r="AC8" s="110">
        <f t="shared" si="16"/>
        <v>200</v>
      </c>
      <c r="AD8" s="116">
        <f t="shared" si="17"/>
        <v>0</v>
      </c>
      <c r="AE8" s="110">
        <f t="shared" ref="AE8:AF8" si="30">L8</f>
        <v>237.51</v>
      </c>
      <c r="AF8" s="112">
        <f t="shared" si="30"/>
        <v>237.51</v>
      </c>
    </row>
    <row r="9">
      <c r="A9" s="106" t="s">
        <v>8799</v>
      </c>
      <c r="B9" s="107">
        <v>8.96</v>
      </c>
      <c r="C9" s="108">
        <v>3000.0</v>
      </c>
      <c r="D9" s="108">
        <v>1200.0</v>
      </c>
      <c r="E9" s="108">
        <v>1.0</v>
      </c>
      <c r="F9" s="109">
        <f t="shared" si="31"/>
        <v>32.256</v>
      </c>
      <c r="G9" s="110">
        <v>52.0</v>
      </c>
      <c r="H9" s="110">
        <f t="shared" si="32"/>
        <v>67.6</v>
      </c>
      <c r="I9" s="111"/>
      <c r="J9" s="97"/>
      <c r="K9" s="106" t="s">
        <v>8799</v>
      </c>
      <c r="L9" s="110">
        <f t="shared" si="6"/>
        <v>363.4176</v>
      </c>
      <c r="M9" s="112">
        <f t="shared" si="7"/>
        <v>363.4176</v>
      </c>
      <c r="O9" s="110">
        <f t="shared" si="8"/>
        <v>67.6</v>
      </c>
      <c r="P9" s="113">
        <f t="shared" ref="P9:R9" si="33">H17</f>
        <v>5.376</v>
      </c>
      <c r="Q9" s="113">
        <f t="shared" si="33"/>
        <v>5.376</v>
      </c>
      <c r="R9" s="114">
        <f t="shared" si="33"/>
        <v>363.4176</v>
      </c>
      <c r="S9" s="115">
        <f t="shared" si="10"/>
        <v>1</v>
      </c>
      <c r="T9" s="116">
        <f t="shared" ref="T9:V9" si="34">F25</f>
        <v>0</v>
      </c>
      <c r="U9" s="116">
        <f t="shared" si="34"/>
        <v>4</v>
      </c>
      <c r="V9" s="116">
        <f t="shared" si="34"/>
        <v>0.06666666667</v>
      </c>
      <c r="W9" s="110" t="b">
        <f t="shared" si="12"/>
        <v>0</v>
      </c>
      <c r="X9" s="114">
        <f t="shared" si="13"/>
        <v>0</v>
      </c>
      <c r="Y9" s="117">
        <f t="shared" ref="Y9:AA9" si="35">D33</f>
        <v>1</v>
      </c>
      <c r="Z9" s="118">
        <f t="shared" si="35"/>
        <v>0</v>
      </c>
      <c r="AA9" s="115">
        <f t="shared" si="35"/>
        <v>1</v>
      </c>
      <c r="AB9" s="116">
        <f t="shared" si="15"/>
        <v>0</v>
      </c>
      <c r="AC9" s="110">
        <f t="shared" si="16"/>
        <v>200</v>
      </c>
      <c r="AD9" s="116">
        <f t="shared" si="17"/>
        <v>0</v>
      </c>
      <c r="AE9" s="110">
        <f t="shared" ref="AE9:AF9" si="36">L9</f>
        <v>363.4176</v>
      </c>
      <c r="AF9" s="112">
        <f t="shared" si="36"/>
        <v>363.4176</v>
      </c>
    </row>
    <row r="10">
      <c r="A10" s="90" t="s">
        <v>8800</v>
      </c>
      <c r="B10" s="91"/>
      <c r="C10" s="91"/>
      <c r="D10" s="91"/>
      <c r="E10" s="91"/>
      <c r="F10" s="91"/>
      <c r="G10" s="91"/>
      <c r="H10" s="91"/>
      <c r="I10" s="91"/>
      <c r="J10" s="92"/>
    </row>
    <row r="11">
      <c r="A11" s="120" t="s">
        <v>8310</v>
      </c>
      <c r="B11" s="121" t="s">
        <v>8771</v>
      </c>
      <c r="C11" s="121" t="s">
        <v>8772</v>
      </c>
      <c r="D11" s="120" t="s">
        <v>8801</v>
      </c>
      <c r="E11" s="121" t="s">
        <v>8802</v>
      </c>
      <c r="F11" s="122" t="s">
        <v>8803</v>
      </c>
      <c r="G11" s="120" t="s">
        <v>8804</v>
      </c>
      <c r="H11" s="123" t="s">
        <v>8805</v>
      </c>
      <c r="I11" s="120" t="s">
        <v>8806</v>
      </c>
      <c r="J11" s="124" t="s">
        <v>8807</v>
      </c>
      <c r="K11" s="97"/>
      <c r="L11" s="97"/>
      <c r="M11" s="97"/>
      <c r="N11" s="97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</row>
    <row r="12">
      <c r="A12" s="126" t="s">
        <v>8277</v>
      </c>
      <c r="B12" s="118">
        <v>200.0</v>
      </c>
      <c r="C12" s="118">
        <v>100.0</v>
      </c>
      <c r="D12" s="127">
        <v>30.0</v>
      </c>
      <c r="E12" s="117">
        <v>6.0</v>
      </c>
      <c r="F12" s="117">
        <v>154.0</v>
      </c>
      <c r="G12" s="109">
        <f t="shared" ref="G12:G13" si="37">(B12/1000 *C12/1000 *E4 * B4)</f>
        <v>1.4934</v>
      </c>
      <c r="H12" s="113">
        <f t="shared" ref="H12:H17" si="38">F4/F12</f>
        <v>1.745532468</v>
      </c>
      <c r="I12" s="113">
        <f t="shared" ref="I12:I17" si="39">H12*E12</f>
        <v>10.47319481</v>
      </c>
      <c r="J12" s="114">
        <f t="shared" ref="J12:J17" si="40">H4*I12</f>
        <v>113.3985168</v>
      </c>
      <c r="K12" s="97"/>
      <c r="L12" s="97"/>
      <c r="M12" s="97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</row>
    <row r="13">
      <c r="A13" s="126" t="s">
        <v>8795</v>
      </c>
      <c r="B13" s="118">
        <v>700.0</v>
      </c>
      <c r="C13" s="118">
        <v>705.0</v>
      </c>
      <c r="D13" s="127">
        <f t="shared" ref="D13:D17" si="41">B13*2 + C13*2</f>
        <v>2810</v>
      </c>
      <c r="E13" s="117">
        <v>1.0</v>
      </c>
      <c r="F13" s="117">
        <v>1.0</v>
      </c>
      <c r="G13" s="109">
        <f t="shared" si="37"/>
        <v>1.386735</v>
      </c>
      <c r="H13" s="113">
        <f t="shared" si="38"/>
        <v>10.116</v>
      </c>
      <c r="I13" s="113">
        <f t="shared" si="39"/>
        <v>10.116</v>
      </c>
      <c r="J13" s="114">
        <f t="shared" si="40"/>
        <v>526.032</v>
      </c>
      <c r="K13" s="97"/>
      <c r="L13" s="97"/>
      <c r="M13" s="97"/>
      <c r="N13" s="128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</row>
    <row r="14">
      <c r="A14" s="126" t="s">
        <v>8796</v>
      </c>
      <c r="B14" s="118">
        <v>1295.0</v>
      </c>
      <c r="C14" s="118">
        <v>82.0</v>
      </c>
      <c r="D14" s="127">
        <f t="shared" si="41"/>
        <v>2754</v>
      </c>
      <c r="E14" s="117">
        <v>1.0</v>
      </c>
      <c r="F14" s="117">
        <v>27.0</v>
      </c>
      <c r="G14" s="109">
        <f>((B14/1000) * (C14/1000) * E6 * B6)</f>
        <v>0.8346534</v>
      </c>
      <c r="H14" s="113">
        <f t="shared" si="38"/>
        <v>1.048</v>
      </c>
      <c r="I14" s="113">
        <f t="shared" si="39"/>
        <v>1.048</v>
      </c>
      <c r="J14" s="114">
        <f t="shared" si="40"/>
        <v>35.4224</v>
      </c>
      <c r="K14" s="97"/>
      <c r="L14" s="97"/>
      <c r="M14" s="97"/>
      <c r="N14" s="97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</row>
    <row r="15">
      <c r="A15" s="126" t="s">
        <v>8797</v>
      </c>
      <c r="B15" s="118">
        <v>65.0</v>
      </c>
      <c r="C15" s="118">
        <v>45.0</v>
      </c>
      <c r="D15" s="127">
        <f t="shared" si="41"/>
        <v>220</v>
      </c>
      <c r="E15" s="117">
        <v>100.0</v>
      </c>
      <c r="F15" s="117">
        <v>100.0</v>
      </c>
      <c r="G15" s="109">
        <f t="shared" ref="G15:G17" si="42">(B15/1000 *C15/1000 *E7 * B7)</f>
        <v>0.0229905</v>
      </c>
      <c r="H15" s="113">
        <f t="shared" si="38"/>
        <v>0.56592</v>
      </c>
      <c r="I15" s="113">
        <f t="shared" si="39"/>
        <v>56.592</v>
      </c>
      <c r="J15" s="114">
        <f t="shared" si="40"/>
        <v>1912.8096</v>
      </c>
      <c r="K15" s="97"/>
      <c r="L15" s="97"/>
      <c r="M15" s="97"/>
      <c r="N15" s="97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  <c r="AF15" s="125"/>
    </row>
    <row r="16">
      <c r="A16" s="126" t="s">
        <v>8798</v>
      </c>
      <c r="B16" s="118">
        <v>1000.0</v>
      </c>
      <c r="C16" s="118">
        <v>1000.0</v>
      </c>
      <c r="D16" s="127">
        <f t="shared" si="41"/>
        <v>4000</v>
      </c>
      <c r="E16" s="117">
        <v>1.0</v>
      </c>
      <c r="F16" s="117">
        <v>6.0</v>
      </c>
      <c r="G16" s="109">
        <f t="shared" si="42"/>
        <v>8.7</v>
      </c>
      <c r="H16" s="113">
        <f t="shared" si="38"/>
        <v>5.22</v>
      </c>
      <c r="I16" s="113">
        <f t="shared" si="39"/>
        <v>5.22</v>
      </c>
      <c r="J16" s="114">
        <f t="shared" si="40"/>
        <v>237.51</v>
      </c>
      <c r="L16" s="97"/>
      <c r="M16" s="97"/>
      <c r="N16" s="97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</row>
    <row r="17">
      <c r="A17" s="126" t="s">
        <v>8799</v>
      </c>
      <c r="B17" s="118">
        <v>1000.0</v>
      </c>
      <c r="C17" s="118">
        <v>1000.0</v>
      </c>
      <c r="D17" s="127">
        <f t="shared" si="41"/>
        <v>4000</v>
      </c>
      <c r="E17" s="117">
        <v>1.0</v>
      </c>
      <c r="F17" s="117">
        <v>6.0</v>
      </c>
      <c r="G17" s="109">
        <f t="shared" si="42"/>
        <v>8.96</v>
      </c>
      <c r="H17" s="113">
        <f t="shared" si="38"/>
        <v>5.376</v>
      </c>
      <c r="I17" s="113">
        <f t="shared" si="39"/>
        <v>5.376</v>
      </c>
      <c r="J17" s="114">
        <f t="shared" si="40"/>
        <v>363.4176</v>
      </c>
      <c r="K17" s="97"/>
      <c r="L17" s="97"/>
      <c r="M17" s="97"/>
      <c r="N17" s="97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</row>
    <row r="18">
      <c r="A18" s="90" t="s">
        <v>8808</v>
      </c>
      <c r="B18" s="91"/>
      <c r="C18" s="91"/>
      <c r="D18" s="91"/>
      <c r="E18" s="91"/>
      <c r="F18" s="91"/>
      <c r="G18" s="91"/>
      <c r="H18" s="91"/>
      <c r="I18" s="91"/>
      <c r="J18" s="91"/>
    </row>
    <row r="19">
      <c r="A19" s="129" t="s">
        <v>8310</v>
      </c>
      <c r="B19" s="129" t="s">
        <v>8809</v>
      </c>
      <c r="C19" s="129" t="s">
        <v>8810</v>
      </c>
      <c r="D19" s="129" t="s">
        <v>8811</v>
      </c>
      <c r="E19" s="129" t="s">
        <v>8812</v>
      </c>
      <c r="F19" s="129" t="s">
        <v>8784</v>
      </c>
      <c r="G19" s="129" t="s">
        <v>8785</v>
      </c>
      <c r="H19" s="129" t="s">
        <v>8786</v>
      </c>
      <c r="I19" s="129" t="s">
        <v>8813</v>
      </c>
      <c r="J19" s="97"/>
      <c r="K19" s="130"/>
      <c r="L19" s="130"/>
      <c r="M19" s="130"/>
      <c r="N19" s="130"/>
      <c r="O19" s="125"/>
      <c r="P19" s="125"/>
      <c r="Q19" s="125"/>
      <c r="R19" s="125"/>
      <c r="S19" s="125"/>
    </row>
    <row r="20">
      <c r="A20" s="106" t="s">
        <v>8277</v>
      </c>
      <c r="B20" s="110">
        <f t="array" ref="B20">IFERROR(
     INDEX('Configurações Máquina de corte'!C:C,
        IF(ISERROR(MATCH(E4,'Configurações Máquina de corte'!A:A,0)),
           MATCH(E4,'Configurações Máquina de corte'!A:A,1)+1,
           MATCH(E4,'Configurações Máquina de corte'!A:A,0)
                )
        )
,"")
</f>
        <v>275</v>
      </c>
      <c r="C20" s="110">
        <f t="shared" ref="C20:C23" si="43">B20*0.9</f>
        <v>247.5</v>
      </c>
      <c r="D20" s="115">
        <f>ROUNDUP(E12/F12,0)</f>
        <v>1</v>
      </c>
      <c r="E20" s="118">
        <v>87.0</v>
      </c>
      <c r="F20" s="131">
        <f t="shared" ref="F20:F25" si="44">(E20 * E12)/3600</f>
        <v>0.145</v>
      </c>
      <c r="G20" s="116">
        <f t="array" ref="G20">IFERROR(
   D20 *
      INDEX('Configurações Máquina de corte'!B:B,
         IF(ISERR(MATCH(E4,'Configurações Máquina de corte'!A:A,1)),
            MATCH(E4,'Configurações Máquina de corte'!A:A,1)+1,
            MATCH(E4,'Configurações Máquina de corte'!A:A,1)
         )
      ),
   "Verifique Material/Espessura"
)
</f>
        <v>8</v>
      </c>
      <c r="H20" s="131">
        <f t="shared" ref="H20:H25" si="45">F20 + (G20/60)</f>
        <v>0.2783333333</v>
      </c>
      <c r="I20" s="114">
        <f t="shared" ref="I20:I25" si="46">B20*H20</f>
        <v>76.54166667</v>
      </c>
      <c r="J20" s="97"/>
      <c r="K20" s="130"/>
      <c r="L20" s="130"/>
      <c r="M20" s="130"/>
      <c r="N20" s="130"/>
      <c r="O20" s="125"/>
      <c r="P20" s="125"/>
      <c r="Q20" s="125"/>
      <c r="R20" s="125"/>
      <c r="S20" s="125"/>
    </row>
    <row r="21">
      <c r="A21" s="106" t="s">
        <v>8795</v>
      </c>
      <c r="B21" s="110">
        <f t="array" ref="B21">IFERROR(
     INDEX('Configurações Máquina de corte'!I:I,
        IF(ISERROR(MATCH(E5,'Configurações Máquina de corte'!I:I,0)),
           MATCH(E5,'Configurações Máquina de corte'!G:G,1)+1,
           MATCH(E5,'Configurações Máquina de corte'!G:G,0)
                )
        )
,"")
</f>
        <v>275</v>
      </c>
      <c r="C21" s="110">
        <f t="shared" si="43"/>
        <v>247.5</v>
      </c>
      <c r="D21" s="115">
        <v>1.0</v>
      </c>
      <c r="E21" s="118">
        <v>67.0</v>
      </c>
      <c r="F21" s="131">
        <f t="shared" si="44"/>
        <v>0.01861111111</v>
      </c>
      <c r="G21" s="116">
        <f t="array" ref="G21">IFERROR(
   D21 *
      INDEX('Configurações Máquina de corte'!B:B,
         IF(ISERR(MATCH(E5,'Configurações Máquina de corte'!A:A,1)),
            MATCH(E5,'Configurações Máquina de corte'!A:A,1)+1,
            MATCH(E5,'Configurações Máquina de corte'!A:A,1)
         )
      ),
   "Verifique Material/Espessura"
)
</f>
        <v>4</v>
      </c>
      <c r="H21" s="131">
        <f t="shared" si="45"/>
        <v>0.08527777778</v>
      </c>
      <c r="I21" s="114">
        <f t="shared" si="46"/>
        <v>23.45138889</v>
      </c>
      <c r="J21" s="97"/>
      <c r="K21" s="130"/>
      <c r="L21" s="130"/>
      <c r="M21" s="130"/>
      <c r="N21" s="130"/>
      <c r="O21" s="125"/>
      <c r="P21" s="125"/>
      <c r="Q21" s="125"/>
      <c r="R21" s="125"/>
      <c r="S21" s="125"/>
    </row>
    <row r="22">
      <c r="A22" s="106" t="s">
        <v>8796</v>
      </c>
      <c r="B22" s="110">
        <f t="array" ref="B22">IFERROR(
     INDEX('Configurações Máquina de corte'!O:O,
        IF(ISERROR(MATCH(E6,'Configurações Máquina de corte'!O:O,0)),
           MATCH(E6,'Configurações Máquina de corte'!M:M,1)+1,
           MATCH(E6,'Configurações Máquina de corte'!M:M,0)
                )
        )
,"")
</f>
        <v>275</v>
      </c>
      <c r="C22" s="110">
        <f t="shared" si="43"/>
        <v>247.5</v>
      </c>
      <c r="D22" s="115">
        <f t="shared" ref="D22:D25" si="47">ROUNDUP(E14/F14,0)</f>
        <v>1</v>
      </c>
      <c r="E22" s="118">
        <v>1997.0</v>
      </c>
      <c r="F22" s="131">
        <f t="shared" si="44"/>
        <v>0.5547222222</v>
      </c>
      <c r="G22" s="116">
        <f t="array" ref="G22">IFERROR(
   D22 *
      INDEX('Configurações Máquina de corte'!B:B,
         IF(ISERR(MATCH(E6,'Configurações Máquina de corte'!A:A,1)),
            MATCH(E6,'Configurações Máquina de corte'!A:A,1)+1,
            MATCH(E6,'Configurações Máquina de corte'!A:A,1)
         )
      ),
   "Verifique Material/Espessura"
)
</f>
        <v>4</v>
      </c>
      <c r="H22" s="131">
        <f t="shared" si="45"/>
        <v>0.6213888889</v>
      </c>
      <c r="I22" s="114">
        <f t="shared" si="46"/>
        <v>170.8819444</v>
      </c>
      <c r="J22" s="97"/>
      <c r="K22" s="130"/>
      <c r="L22" s="130"/>
      <c r="M22" s="130"/>
      <c r="N22" s="130"/>
      <c r="O22" s="125"/>
      <c r="P22" s="125"/>
      <c r="Q22" s="125"/>
      <c r="R22" s="125"/>
      <c r="S22" s="125"/>
    </row>
    <row r="23">
      <c r="A23" s="106" t="s">
        <v>8797</v>
      </c>
      <c r="B23" s="110">
        <f t="array" ref="B23">IFERROR(
     INDEX('Configurações Máquina de corte'!O:O,
        IF(ISERROR(MATCH(E7,'Configurações Máquina de corte'!O:O,0)),
           MATCH(E7,'Configurações Máquina de corte'!M:M,1)+1,
           MATCH(E7,'Configurações Máquina de corte'!M:M,0)
                )
        )
,"")
</f>
        <v>275</v>
      </c>
      <c r="C23" s="110">
        <f t="shared" si="43"/>
        <v>247.5</v>
      </c>
      <c r="D23" s="115">
        <f t="shared" si="47"/>
        <v>1</v>
      </c>
      <c r="E23" s="118">
        <v>0.0</v>
      </c>
      <c r="F23" s="131">
        <f t="shared" si="44"/>
        <v>0</v>
      </c>
      <c r="G23" s="116">
        <f t="array" ref="G23">IFERROR(
   D23 *
      INDEX('Configurações Máquina de corte'!B:B,
         IF(ISERR(MATCH(E7,'Configurações Máquina de corte'!A:A,1)),
            MATCH(E7,'Configurações Máquina de corte'!A:A,1)+1,
            MATCH(E7,'Configurações Máquina de corte'!A:A,1)
         )
      ),
   "Verifique Material/Espessura"
)
</f>
        <v>4</v>
      </c>
      <c r="H23" s="131">
        <f t="shared" si="45"/>
        <v>0.06666666667</v>
      </c>
      <c r="I23" s="114">
        <f t="shared" si="46"/>
        <v>18.33333333</v>
      </c>
      <c r="J23" s="97"/>
      <c r="K23" s="130"/>
      <c r="L23" s="130"/>
      <c r="M23" s="130"/>
      <c r="N23" s="130"/>
      <c r="O23" s="125"/>
      <c r="P23" s="125"/>
      <c r="Q23" s="125"/>
      <c r="R23" s="125"/>
      <c r="S23" s="125"/>
    </row>
    <row r="24">
      <c r="A24" s="106" t="s">
        <v>8798</v>
      </c>
      <c r="B24" s="110" t="b">
        <f t="array" ref="B24">IFERROR(
  IF(A24="AÇO CARBONO",
     INDEX('Configurações Máquina de corte'!C:C,
        IF(ISERROR(MATCH(E8,'Configurações Máquina de corte'!A:A,0)),
           MATCH(E8,'Configurações Máquina de corte'!A:A,1)+1,
           MATCH(E8,'Configurações Máquina de corte'!A:A,0)
        )
     ),
  IF(A24="ALUMÍNIO",
     INDEX('Configurações Máquina de corte'!I:I,
        IF(ISERROR(MATCH(E9,'Configurações Máquina de corte'!G:G,0)),
           MATCH(E9,'Configurações Máquina de corte'!G:G,1)+1,
           MATCH(E9,'Configurações Máquina de corte'!G:G,0)
        )
     ),
  IF(OR(A24="INOX",A24="INOX 200 OU 300",A24="INOX400"),
     INDEX('Configurações Máquina de corte'!O:O,
        IF(ISERROR(MATCH(E10,'Configurações Máquina de corte'!M:M,0)),
           MATCH(E10,'Configurações Máquina de corte'!M:M,1)+1,
           MATCH(E10,'Configurações Máquina de corte'!M:M,0)
        )
     )
  )))
,"")
</f>
        <v>0</v>
      </c>
      <c r="C24" s="110" t="b">
        <f t="array" ref="C24">IFERROR(
  IF(A24="AÇO CARBONO",
     INDEX('Configurações Máquina de corte'!C:C,
        IF(ISERROR(MATCH(E8,'Configurações Máquina de corte'!A:A,0)),
           MATCH(E8,'Configurações Máquina de corte'!A:A,1)+1,
           MATCH(E8,'Configurações Máquina de corte'!A:A,0)
        )
     ),
  IF(A24="ALUMÍNIO",
     INDEX('Configurações Máquina de corte'!I:I,
        IF(ISERROR(MATCH(E9,'Configurações Máquina de corte'!G:G,0)),
           MATCH(E9,'Configurações Máquina de corte'!G:G,1)+1,
           MATCH(E9,'Configurações Máquina de corte'!G:G,0)
        )
     ),
  IF(OR(A24="INOX",A24="INOX 200 OU 300",A24="INOX 400"),
     INDEX('Configurações Máquina de corte'!O:O,
        IF(ISERROR(MATCH(E10,'Configurações Máquina de corte'!M:M,0)),
           MATCH(E10,'Configurações Máquina de corte'!M:M,1)+1,
           MATCH(E10,'Configurações Máquina de corte'!M:M,0)
        )
     )
  )))
,"")
</f>
        <v>0</v>
      </c>
      <c r="D24" s="115">
        <f t="shared" si="47"/>
        <v>1</v>
      </c>
      <c r="E24" s="118">
        <v>0.0</v>
      </c>
      <c r="F24" s="131">
        <f t="shared" si="44"/>
        <v>0</v>
      </c>
      <c r="G24" s="116">
        <f t="array" ref="G24">IFERROR(
   D24 *
      INDEX('Configurações Máquina de corte'!B:B,
         IF(ISERR(MATCH(E8,'Configurações Máquina de corte'!A:A,1)),
            MATCH(E8,'Configurações Máquina de corte'!A:A,1)+1,
            MATCH(E8,'Configurações Máquina de corte'!A:A,1)
         )
      ),
   "Verifique Material/Espessura"
)
</f>
        <v>4</v>
      </c>
      <c r="H24" s="131">
        <f t="shared" si="45"/>
        <v>0.06666666667</v>
      </c>
      <c r="I24" s="114">
        <f t="shared" si="46"/>
        <v>0</v>
      </c>
      <c r="J24" s="97"/>
      <c r="K24" s="130"/>
      <c r="L24" s="130"/>
      <c r="M24" s="130"/>
      <c r="N24" s="130"/>
      <c r="O24" s="125"/>
      <c r="P24" s="125"/>
      <c r="Q24" s="125"/>
      <c r="R24" s="125"/>
      <c r="S24" s="125"/>
    </row>
    <row r="25">
      <c r="A25" s="132" t="s">
        <v>8799</v>
      </c>
      <c r="B25" s="110" t="b">
        <f t="array" ref="B25">IFERROR(
  IF(A25="AÇO CARBONO",
     INDEX('Configurações Máquina de corte'!C:C,
        IF(ISERROR(MATCH(E9,'Configurações Máquina de corte'!A:A,0)),
           MATCH(E9,'Configurações Máquina de corte'!A:A,1)+1,
           MATCH(E9,'Configurações Máquina de corte'!A:A,0)
        )
     ),
  IF(A25="ALUMÍNIO",
     INDEX('Configurações Máquina de corte'!I:I,
        IF(ISERROR(MATCH(E10,'Configurações Máquina de corte'!G:G,0)),
           MATCH(E10,'Configurações Máquina de corte'!G:G,1)+1,
           MATCH(E10,'Configurações Máquina de corte'!G:G,0)
        )
     ),
  IF(OR(A25="INOX",A25="INOX 200 OU 300",A25="INOX400"),
     INDEX('Configurações Máquina de corte'!O:O,
        IF(ISERROR(MATCH(E11,'Configurações Máquina de corte'!M:M,0)),
           MATCH(E11,'Configurações Máquina de corte'!M:M,1)+1,
           MATCH(E11,'Configurações Máquina de corte'!M:M,0)
        )
     )
  )))
,"")
</f>
        <v>0</v>
      </c>
      <c r="C25" s="110" t="b">
        <f t="array" ref="C25">IFERROR(
  IF(A25="AÇO CARBONO",
     INDEX('Configurações Máquina de corte'!C:C,
        IF(ISERROR(MATCH(E9,'Configurações Máquina de corte'!A:A,0)),
           MATCH(E9,'Configurações Máquina de corte'!A:A,1)+1,
           MATCH(E9,'Configurações Máquina de corte'!A:A,0)
        )
     ),
  IF(A25="ALUMÍNIO",
     INDEX('Configurações Máquina de corte'!I:I,
        IF(ISERROR(MATCH(E10,'Configurações Máquina de corte'!G:G,0)),
           MATCH(E10,'Configurações Máquina de corte'!G:G,1)+1,
           MATCH(E10,'Configurações Máquina de corte'!G:G,0)
        )
     ),
  IF(OR(A25="INOX",A25="INOX 200 OU 300",A25="INOX 400"),
     INDEX('Configurações Máquina de corte'!O:O,
        IF(ISERROR(MATCH(E11,'Configurações Máquina de corte'!M:M,0)),
           MATCH(E11,'Configurações Máquina de corte'!M:M,1)+1,
           MATCH(E11,'Configurações Máquina de corte'!M:M,0)
        )
     )
  )))
,"")
</f>
        <v>0</v>
      </c>
      <c r="D25" s="133">
        <f t="shared" si="47"/>
        <v>1</v>
      </c>
      <c r="E25" s="118">
        <v>0.0</v>
      </c>
      <c r="F25" s="131">
        <f t="shared" si="44"/>
        <v>0</v>
      </c>
      <c r="G25" s="116">
        <f t="array" ref="G25">IFERROR(
   D25 *
      INDEX('Configurações Máquina de corte'!B:B,
         IF(ISERR(MATCH(E9,'Configurações Máquina de corte'!A:A,1)),
            MATCH(E9,'Configurações Máquina de corte'!A:A,1)+1,
            MATCH(E9,'Configurações Máquina de corte'!A:A,1)
         )
      ),
   "Verifique Material/Espessura"
)
</f>
        <v>4</v>
      </c>
      <c r="H25" s="131">
        <f t="shared" si="45"/>
        <v>0.06666666667</v>
      </c>
      <c r="I25" s="114">
        <f t="shared" si="46"/>
        <v>0</v>
      </c>
      <c r="J25" s="97"/>
      <c r="K25" s="130"/>
      <c r="L25" s="130"/>
      <c r="M25" s="130"/>
      <c r="N25" s="130"/>
      <c r="O25" s="125"/>
      <c r="P25" s="125"/>
      <c r="Q25" s="125"/>
      <c r="R25" s="125"/>
      <c r="S25" s="125"/>
    </row>
    <row r="26">
      <c r="A26" s="90" t="s">
        <v>8814</v>
      </c>
      <c r="B26" s="91"/>
      <c r="C26" s="91"/>
      <c r="D26" s="91"/>
      <c r="E26" s="91"/>
      <c r="F26" s="91"/>
      <c r="G26" s="91"/>
      <c r="H26" s="91"/>
      <c r="I26" s="91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</row>
    <row r="27" ht="59.25" customHeight="1">
      <c r="A27" s="134" t="s">
        <v>8310</v>
      </c>
      <c r="B27" s="134" t="s">
        <v>8815</v>
      </c>
      <c r="C27" s="134" t="s">
        <v>8810</v>
      </c>
      <c r="D27" s="103" t="s">
        <v>8789</v>
      </c>
      <c r="E27" s="103" t="s">
        <v>8790</v>
      </c>
      <c r="F27" s="134" t="s">
        <v>8791</v>
      </c>
      <c r="G27" s="134" t="s">
        <v>8816</v>
      </c>
      <c r="H27" s="134" t="s">
        <v>8817</v>
      </c>
      <c r="I27" s="134" t="s">
        <v>8818</v>
      </c>
      <c r="J27" s="97"/>
      <c r="K27" s="97"/>
      <c r="L27" s="97"/>
      <c r="M27" s="97"/>
      <c r="N27" s="97"/>
      <c r="O27" s="97"/>
      <c r="P27" s="97"/>
      <c r="Q27" s="97"/>
      <c r="R27" s="97"/>
      <c r="S27" s="97"/>
    </row>
    <row r="28">
      <c r="A28" s="106" t="s">
        <v>8277</v>
      </c>
      <c r="B28" s="110">
        <v>200.0</v>
      </c>
      <c r="C28" s="135">
        <f t="shared" ref="C28:C33" si="48">B28*0.5</f>
        <v>100</v>
      </c>
      <c r="D28" s="117">
        <v>0.0</v>
      </c>
      <c r="E28" s="118">
        <v>0.0</v>
      </c>
      <c r="F28" s="115">
        <f t="shared" ref="F28:F33" si="49">E12</f>
        <v>6</v>
      </c>
      <c r="G28" s="113">
        <v>0.0</v>
      </c>
      <c r="H28" s="116">
        <f t="shared" ref="H28:H33" si="50">(D28*E28)/3600 +(F28*G28)/60</f>
        <v>0</v>
      </c>
      <c r="I28" s="116">
        <f t="shared" ref="I28:I33" si="51">H28*B28</f>
        <v>0</v>
      </c>
    </row>
    <row r="29">
      <c r="A29" s="106" t="s">
        <v>8795</v>
      </c>
      <c r="B29" s="110">
        <v>300.0</v>
      </c>
      <c r="C29" s="135">
        <f t="shared" si="48"/>
        <v>150</v>
      </c>
      <c r="D29" s="117">
        <v>4.0</v>
      </c>
      <c r="E29" s="118">
        <v>30.0</v>
      </c>
      <c r="F29" s="115">
        <f t="shared" si="49"/>
        <v>1</v>
      </c>
      <c r="G29" s="113">
        <v>10.0</v>
      </c>
      <c r="H29" s="116">
        <f t="shared" si="50"/>
        <v>0.2</v>
      </c>
      <c r="I29" s="116">
        <f t="shared" si="51"/>
        <v>60</v>
      </c>
      <c r="J29" s="130"/>
      <c r="K29" s="130"/>
      <c r="L29" s="130"/>
      <c r="M29" s="130"/>
      <c r="N29" s="130"/>
      <c r="O29" s="125"/>
      <c r="P29" s="125"/>
      <c r="Q29" s="125"/>
      <c r="R29" s="125"/>
      <c r="S29" s="125"/>
    </row>
    <row r="30">
      <c r="A30" s="106" t="s">
        <v>8796</v>
      </c>
      <c r="B30" s="110">
        <v>200.0</v>
      </c>
      <c r="C30" s="135">
        <f t="shared" si="48"/>
        <v>100</v>
      </c>
      <c r="D30" s="117">
        <v>0.0</v>
      </c>
      <c r="E30" s="118">
        <v>0.0</v>
      </c>
      <c r="F30" s="115">
        <f t="shared" si="49"/>
        <v>1</v>
      </c>
      <c r="G30" s="113">
        <v>0.0</v>
      </c>
      <c r="H30" s="116">
        <f t="shared" si="50"/>
        <v>0</v>
      </c>
      <c r="I30" s="116">
        <f t="shared" si="51"/>
        <v>0</v>
      </c>
      <c r="J30" s="130"/>
      <c r="K30" s="130"/>
      <c r="L30" s="130"/>
      <c r="M30" s="130"/>
      <c r="N30" s="130"/>
      <c r="O30" s="125"/>
      <c r="P30" s="125"/>
      <c r="Q30" s="125"/>
      <c r="R30" s="125"/>
      <c r="S30" s="125"/>
    </row>
    <row r="31">
      <c r="A31" s="106" t="s">
        <v>8797</v>
      </c>
      <c r="B31" s="110">
        <v>200.0</v>
      </c>
      <c r="C31" s="135">
        <f t="shared" si="48"/>
        <v>100</v>
      </c>
      <c r="D31" s="117">
        <v>1.0</v>
      </c>
      <c r="E31" s="118">
        <v>0.0</v>
      </c>
      <c r="F31" s="115">
        <f t="shared" si="49"/>
        <v>100</v>
      </c>
      <c r="G31" s="113">
        <v>0.0</v>
      </c>
      <c r="H31" s="116">
        <f t="shared" si="50"/>
        <v>0</v>
      </c>
      <c r="I31" s="116">
        <f t="shared" si="51"/>
        <v>0</v>
      </c>
      <c r="J31" s="130"/>
      <c r="K31" s="130"/>
      <c r="L31" s="130"/>
      <c r="M31" s="130"/>
      <c r="N31" s="130"/>
      <c r="O31" s="125"/>
      <c r="P31" s="125"/>
      <c r="Q31" s="125"/>
      <c r="R31" s="125"/>
      <c r="S31" s="125"/>
    </row>
    <row r="32">
      <c r="A32" s="106" t="s">
        <v>8798</v>
      </c>
      <c r="B32" s="110">
        <v>200.0</v>
      </c>
      <c r="C32" s="135">
        <f t="shared" si="48"/>
        <v>100</v>
      </c>
      <c r="D32" s="117">
        <v>1.0</v>
      </c>
      <c r="E32" s="118">
        <v>0.0</v>
      </c>
      <c r="F32" s="115">
        <f t="shared" si="49"/>
        <v>1</v>
      </c>
      <c r="G32" s="113">
        <v>0.0</v>
      </c>
      <c r="H32" s="116">
        <f t="shared" si="50"/>
        <v>0</v>
      </c>
      <c r="I32" s="116">
        <f t="shared" si="51"/>
        <v>0</v>
      </c>
      <c r="J32" s="130"/>
      <c r="K32" s="130"/>
      <c r="L32" s="130"/>
      <c r="M32" s="130"/>
      <c r="N32" s="130"/>
      <c r="O32" s="125"/>
      <c r="P32" s="125"/>
      <c r="Q32" s="125"/>
      <c r="R32" s="125"/>
      <c r="S32" s="125"/>
    </row>
    <row r="33">
      <c r="A33" s="106" t="s">
        <v>8799</v>
      </c>
      <c r="B33" s="110">
        <v>200.0</v>
      </c>
      <c r="C33" s="135">
        <f t="shared" si="48"/>
        <v>100</v>
      </c>
      <c r="D33" s="117">
        <v>1.0</v>
      </c>
      <c r="E33" s="118">
        <v>0.0</v>
      </c>
      <c r="F33" s="115">
        <f t="shared" si="49"/>
        <v>1</v>
      </c>
      <c r="G33" s="113">
        <v>0.0</v>
      </c>
      <c r="H33" s="116">
        <f t="shared" si="50"/>
        <v>0</v>
      </c>
      <c r="I33" s="116">
        <f t="shared" si="51"/>
        <v>0</v>
      </c>
      <c r="J33" s="130"/>
      <c r="K33" s="130"/>
      <c r="L33" s="130"/>
      <c r="M33" s="130"/>
      <c r="N33" s="130"/>
      <c r="O33" s="125"/>
      <c r="P33" s="125"/>
      <c r="Q33" s="125"/>
      <c r="R33" s="125"/>
      <c r="S33" s="125"/>
    </row>
    <row r="34">
      <c r="A34" s="136" t="s">
        <v>8819</v>
      </c>
      <c r="B34" s="137"/>
      <c r="C34" s="137"/>
      <c r="D34" s="137"/>
      <c r="E34" s="137"/>
      <c r="F34" s="137"/>
      <c r="G34" s="137"/>
      <c r="H34" s="137"/>
      <c r="I34" s="137"/>
      <c r="J34" s="125"/>
      <c r="K34" s="125"/>
      <c r="L34" s="125"/>
      <c r="M34" s="125"/>
      <c r="N34" s="125"/>
      <c r="O34" s="125"/>
      <c r="P34" s="125"/>
      <c r="Q34" s="125"/>
      <c r="R34" s="125"/>
      <c r="S34" s="125"/>
    </row>
    <row r="35">
      <c r="A35" s="98" t="s">
        <v>8310</v>
      </c>
      <c r="B35" s="98" t="s">
        <v>8820</v>
      </c>
      <c r="C35" s="98" t="s">
        <v>8821</v>
      </c>
      <c r="D35" s="98" t="s">
        <v>8822</v>
      </c>
      <c r="E35" s="98" t="s">
        <v>8823</v>
      </c>
      <c r="F35" s="98" t="s">
        <v>8824</v>
      </c>
      <c r="G35" s="98" t="s">
        <v>8825</v>
      </c>
      <c r="H35" s="98" t="s">
        <v>8807</v>
      </c>
      <c r="I35" s="98" t="s">
        <v>8826</v>
      </c>
      <c r="J35" s="138"/>
      <c r="K35" s="138"/>
      <c r="L35" s="138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/>
    </row>
    <row r="36">
      <c r="A36" s="106" t="s">
        <v>8277</v>
      </c>
      <c r="B36" s="110">
        <f t="shared" ref="B36:B41" si="52">F36/E12</f>
        <v>12.75694444</v>
      </c>
      <c r="C36" s="110">
        <f t="shared" ref="C36:C41" si="53">I28/E12</f>
        <v>0</v>
      </c>
      <c r="D36" s="110">
        <f t="shared" ref="D36:D41" si="54">H36/E12</f>
        <v>18.89975279</v>
      </c>
      <c r="E36" s="110">
        <f t="shared" ref="E36:E41" si="55">B36+C36+D36</f>
        <v>31.65669724</v>
      </c>
      <c r="F36" s="114">
        <f t="shared" ref="F36:F41" si="56">I20</f>
        <v>76.54166667</v>
      </c>
      <c r="G36" s="114">
        <f t="shared" ref="G36:G41" si="57">I28</f>
        <v>0</v>
      </c>
      <c r="H36" s="114">
        <f t="shared" ref="H36:H41" si="58">J12</f>
        <v>113.3985168</v>
      </c>
      <c r="I36" s="112">
        <f t="shared" ref="I36:I41" si="59">H36+G36+F36</f>
        <v>189.9401834</v>
      </c>
      <c r="J36" s="138"/>
      <c r="K36" s="138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</row>
    <row r="37">
      <c r="A37" s="106" t="s">
        <v>8795</v>
      </c>
      <c r="B37" s="110">
        <f t="shared" si="52"/>
        <v>23.45138889</v>
      </c>
      <c r="C37" s="110">
        <f t="shared" si="53"/>
        <v>60</v>
      </c>
      <c r="D37" s="110">
        <f t="shared" si="54"/>
        <v>526.032</v>
      </c>
      <c r="E37" s="110">
        <f t="shared" si="55"/>
        <v>609.4833889</v>
      </c>
      <c r="F37" s="114">
        <f t="shared" si="56"/>
        <v>23.45138889</v>
      </c>
      <c r="G37" s="114">
        <f t="shared" si="57"/>
        <v>60</v>
      </c>
      <c r="H37" s="114">
        <f t="shared" si="58"/>
        <v>526.032</v>
      </c>
      <c r="I37" s="112">
        <f t="shared" si="59"/>
        <v>609.4833889</v>
      </c>
      <c r="J37" s="138"/>
      <c r="K37" s="138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</row>
    <row r="38">
      <c r="A38" s="106" t="s">
        <v>8796</v>
      </c>
      <c r="B38" s="110">
        <f t="shared" si="52"/>
        <v>170.8819444</v>
      </c>
      <c r="C38" s="110">
        <f t="shared" si="53"/>
        <v>0</v>
      </c>
      <c r="D38" s="110">
        <f t="shared" si="54"/>
        <v>35.4224</v>
      </c>
      <c r="E38" s="110">
        <f t="shared" si="55"/>
        <v>206.3043444</v>
      </c>
      <c r="F38" s="114">
        <f t="shared" si="56"/>
        <v>170.8819444</v>
      </c>
      <c r="G38" s="114">
        <f t="shared" si="57"/>
        <v>0</v>
      </c>
      <c r="H38" s="114">
        <f t="shared" si="58"/>
        <v>35.4224</v>
      </c>
      <c r="I38" s="112">
        <f t="shared" si="59"/>
        <v>206.3043444</v>
      </c>
      <c r="J38" s="138"/>
      <c r="K38" s="138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</row>
    <row r="39">
      <c r="A39" s="106" t="s">
        <v>8797</v>
      </c>
      <c r="B39" s="110">
        <f t="shared" si="52"/>
        <v>0.1833333333</v>
      </c>
      <c r="C39" s="110">
        <f t="shared" si="53"/>
        <v>0</v>
      </c>
      <c r="D39" s="110">
        <f t="shared" si="54"/>
        <v>19.128096</v>
      </c>
      <c r="E39" s="110">
        <f t="shared" si="55"/>
        <v>19.31142933</v>
      </c>
      <c r="F39" s="114">
        <f t="shared" si="56"/>
        <v>18.33333333</v>
      </c>
      <c r="G39" s="114">
        <f t="shared" si="57"/>
        <v>0</v>
      </c>
      <c r="H39" s="114">
        <f t="shared" si="58"/>
        <v>1912.8096</v>
      </c>
      <c r="I39" s="112">
        <f t="shared" si="59"/>
        <v>1931.142933</v>
      </c>
      <c r="J39" s="138"/>
      <c r="K39" s="138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5"/>
      <c r="AF39" s="125"/>
    </row>
    <row r="40">
      <c r="A40" s="106" t="s">
        <v>8798</v>
      </c>
      <c r="B40" s="110">
        <f t="shared" si="52"/>
        <v>0</v>
      </c>
      <c r="C40" s="110">
        <f t="shared" si="53"/>
        <v>0</v>
      </c>
      <c r="D40" s="110">
        <f t="shared" si="54"/>
        <v>237.51</v>
      </c>
      <c r="E40" s="110">
        <f t="shared" si="55"/>
        <v>237.51</v>
      </c>
      <c r="F40" s="114">
        <f t="shared" si="56"/>
        <v>0</v>
      </c>
      <c r="G40" s="114">
        <f t="shared" si="57"/>
        <v>0</v>
      </c>
      <c r="H40" s="114">
        <f t="shared" si="58"/>
        <v>237.51</v>
      </c>
      <c r="I40" s="112">
        <f t="shared" si="59"/>
        <v>237.51</v>
      </c>
      <c r="J40" s="138"/>
      <c r="K40" s="138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</row>
    <row r="41">
      <c r="A41" s="106" t="s">
        <v>8799</v>
      </c>
      <c r="B41" s="110">
        <f t="shared" si="52"/>
        <v>0</v>
      </c>
      <c r="C41" s="110">
        <f t="shared" si="53"/>
        <v>0</v>
      </c>
      <c r="D41" s="110">
        <f t="shared" si="54"/>
        <v>363.4176</v>
      </c>
      <c r="E41" s="110">
        <f t="shared" si="55"/>
        <v>363.4176</v>
      </c>
      <c r="F41" s="114">
        <f t="shared" si="56"/>
        <v>0</v>
      </c>
      <c r="G41" s="114">
        <f t="shared" si="57"/>
        <v>0</v>
      </c>
      <c r="H41" s="114">
        <f t="shared" si="58"/>
        <v>363.4176</v>
      </c>
      <c r="I41" s="112">
        <f t="shared" si="59"/>
        <v>363.4176</v>
      </c>
      <c r="J41" s="138"/>
      <c r="K41" s="138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</row>
    <row r="42">
      <c r="A42" s="139"/>
      <c r="B42" s="140"/>
      <c r="C42" s="140"/>
      <c r="D42" s="140"/>
      <c r="E42" s="140"/>
      <c r="F42" s="140"/>
      <c r="G42" s="140"/>
      <c r="H42" s="140"/>
      <c r="I42" s="141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</row>
  </sheetData>
  <mergeCells count="7">
    <mergeCell ref="G1:I1"/>
    <mergeCell ref="A2:H2"/>
    <mergeCell ref="A10:J10"/>
    <mergeCell ref="A18:J18"/>
    <mergeCell ref="A26:I26"/>
    <mergeCell ref="A34:I34"/>
    <mergeCell ref="A42:I42"/>
  </mergeCells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2" t="s">
        <v>8277</v>
      </c>
      <c r="B1" s="143"/>
      <c r="C1" s="144"/>
      <c r="D1" s="145"/>
      <c r="H1" s="146" t="s">
        <v>8795</v>
      </c>
      <c r="I1" s="147"/>
      <c r="J1" s="145"/>
      <c r="K1" s="148"/>
      <c r="N1" s="149" t="s">
        <v>8796</v>
      </c>
      <c r="O1" s="147"/>
      <c r="P1" s="145"/>
    </row>
    <row r="2">
      <c r="A2" s="150" t="s">
        <v>8827</v>
      </c>
      <c r="B2" s="151" t="s">
        <v>8828</v>
      </c>
      <c r="C2" s="152" t="s">
        <v>8829</v>
      </c>
      <c r="D2" s="152" t="s">
        <v>8776</v>
      </c>
      <c r="G2" s="150" t="s">
        <v>8827</v>
      </c>
      <c r="H2" s="151" t="s">
        <v>8828</v>
      </c>
      <c r="I2" s="152" t="s">
        <v>8829</v>
      </c>
      <c r="J2" s="152" t="s">
        <v>8776</v>
      </c>
      <c r="M2" s="150" t="s">
        <v>8827</v>
      </c>
      <c r="N2" s="151" t="s">
        <v>8828</v>
      </c>
      <c r="O2" s="152" t="s">
        <v>8829</v>
      </c>
      <c r="P2" s="152" t="s">
        <v>8776</v>
      </c>
      <c r="R2" s="153" t="s">
        <v>8830</v>
      </c>
      <c r="S2" s="141"/>
      <c r="T2" s="154">
        <v>275.0</v>
      </c>
    </row>
    <row r="3">
      <c r="A3" s="155">
        <v>0.0</v>
      </c>
      <c r="B3" s="156">
        <v>4.0</v>
      </c>
      <c r="C3" s="157">
        <f t="shared" ref="C3:C6" si="1">$T$2*0.9091</f>
        <v>250.0025</v>
      </c>
      <c r="D3" s="157">
        <v>0.0</v>
      </c>
      <c r="G3" s="155">
        <v>0.0</v>
      </c>
      <c r="H3" s="156">
        <v>4.0</v>
      </c>
      <c r="I3" s="157">
        <f t="shared" ref="I3:I11" si="2">$T$2</f>
        <v>275</v>
      </c>
      <c r="J3" s="157">
        <v>0.0</v>
      </c>
      <c r="M3" s="155">
        <v>0.0</v>
      </c>
      <c r="N3" s="156">
        <v>4.0</v>
      </c>
      <c r="O3" s="157">
        <v>275.0</v>
      </c>
      <c r="P3" s="157">
        <v>0.0</v>
      </c>
    </row>
    <row r="4">
      <c r="A4" s="155">
        <v>0.5</v>
      </c>
      <c r="B4" s="156">
        <v>4.0</v>
      </c>
      <c r="C4" s="157">
        <f t="shared" si="1"/>
        <v>250.0025</v>
      </c>
      <c r="D4" s="157">
        <v>9.23</v>
      </c>
      <c r="G4" s="155">
        <v>0.5</v>
      </c>
      <c r="H4" s="156">
        <v>4.0</v>
      </c>
      <c r="I4" s="157">
        <f t="shared" si="2"/>
        <v>275</v>
      </c>
      <c r="J4" s="158">
        <f>'Tabelas para cálculos'!$G$5 * 1.3</f>
        <v>52</v>
      </c>
      <c r="M4" s="155">
        <v>0.5</v>
      </c>
      <c r="N4" s="156">
        <v>4.0</v>
      </c>
      <c r="O4" s="157">
        <v>275.0</v>
      </c>
      <c r="P4" s="158">
        <f>'Tabelas para cálculos'!$G$6 * 1.3</f>
        <v>33.8</v>
      </c>
    </row>
    <row r="5">
      <c r="A5" s="159">
        <v>1.0</v>
      </c>
      <c r="B5" s="160">
        <v>4.0</v>
      </c>
      <c r="C5" s="157">
        <f t="shared" si="1"/>
        <v>250.0025</v>
      </c>
      <c r="D5" s="158">
        <f>'Tabelas para cálculos'!$G$4 * 1.3</f>
        <v>9.23</v>
      </c>
      <c r="G5" s="159">
        <v>1.0</v>
      </c>
      <c r="H5" s="160">
        <v>4.0</v>
      </c>
      <c r="I5" s="157">
        <f t="shared" si="2"/>
        <v>275</v>
      </c>
      <c r="J5" s="158">
        <f>'Tabelas para cálculos'!$G$5 * 1.3</f>
        <v>52</v>
      </c>
      <c r="M5" s="159">
        <v>1.0</v>
      </c>
      <c r="N5" s="160">
        <v>4.0</v>
      </c>
      <c r="O5" s="157">
        <f t="shared" ref="O5:O13" si="3">$T$2</f>
        <v>275</v>
      </c>
      <c r="P5" s="158">
        <f>'Tabelas para cálculos'!$G$6 * 1.3</f>
        <v>33.8</v>
      </c>
    </row>
    <row r="6">
      <c r="A6" s="155">
        <v>1.8</v>
      </c>
      <c r="B6" s="156">
        <v>4.0</v>
      </c>
      <c r="C6" s="157">
        <f t="shared" si="1"/>
        <v>250.0025</v>
      </c>
      <c r="D6" s="158">
        <f>'Tabelas para cálculos'!$G$4 * 1.325</f>
        <v>9.4075</v>
      </c>
      <c r="G6" s="159">
        <v>1.4</v>
      </c>
      <c r="H6" s="160">
        <v>4.0</v>
      </c>
      <c r="I6" s="157">
        <f t="shared" si="2"/>
        <v>275</v>
      </c>
      <c r="J6" s="158">
        <f>'Tabelas para cálculos'!$G$5 * 1.3</f>
        <v>52</v>
      </c>
      <c r="M6" s="155">
        <v>1.4</v>
      </c>
      <c r="N6" s="160">
        <v>4.0</v>
      </c>
      <c r="O6" s="157">
        <f t="shared" si="3"/>
        <v>275</v>
      </c>
      <c r="P6" s="158">
        <f>'Tabelas para cálculos'!$G$6 * 1.3</f>
        <v>33.8</v>
      </c>
    </row>
    <row r="7">
      <c r="A7" s="159">
        <v>2.0</v>
      </c>
      <c r="B7" s="160">
        <v>4.0</v>
      </c>
      <c r="C7" s="157">
        <f t="shared" ref="C7:C29" si="4">$T$2*1</f>
        <v>275</v>
      </c>
      <c r="D7" s="158">
        <f>'Tabelas para cálculos'!$G$4 * 1.325</f>
        <v>9.4075</v>
      </c>
      <c r="G7" s="159">
        <v>2.0</v>
      </c>
      <c r="H7" s="160">
        <v>4.0</v>
      </c>
      <c r="I7" s="157">
        <f t="shared" si="2"/>
        <v>275</v>
      </c>
      <c r="J7" s="158">
        <f>'Tabelas para cálculos'!$G$5 * 1.325</f>
        <v>53</v>
      </c>
      <c r="M7" s="159">
        <v>2.0</v>
      </c>
      <c r="N7" s="160">
        <v>4.0</v>
      </c>
      <c r="O7" s="157">
        <f t="shared" si="3"/>
        <v>275</v>
      </c>
      <c r="P7" s="158">
        <f>'Tabelas para cálculos'!$G$6 * 1.325</f>
        <v>34.45</v>
      </c>
    </row>
    <row r="8">
      <c r="A8" s="155">
        <v>2.4</v>
      </c>
      <c r="B8" s="160">
        <v>4.0</v>
      </c>
      <c r="C8" s="157">
        <f t="shared" si="4"/>
        <v>275</v>
      </c>
      <c r="D8" s="158">
        <f>'Tabelas para cálculos'!$G$4 * 1.325</f>
        <v>9.4075</v>
      </c>
      <c r="G8" s="155">
        <v>2.4</v>
      </c>
      <c r="H8" s="160">
        <v>4.0</v>
      </c>
      <c r="I8" s="157">
        <f t="shared" si="2"/>
        <v>275</v>
      </c>
      <c r="J8" s="158">
        <f>'Tabelas para cálculos'!$G$5 * 1.325</f>
        <v>53</v>
      </c>
      <c r="M8" s="159">
        <v>3.0</v>
      </c>
      <c r="N8" s="160">
        <v>4.0</v>
      </c>
      <c r="O8" s="157">
        <f t="shared" si="3"/>
        <v>275</v>
      </c>
      <c r="P8" s="158">
        <f>'Tabelas para cálculos'!$G$6*1.35</f>
        <v>35.1</v>
      </c>
    </row>
    <row r="9">
      <c r="A9" s="159">
        <v>3.0</v>
      </c>
      <c r="B9" s="160">
        <v>4.0</v>
      </c>
      <c r="C9" s="157">
        <f t="shared" si="4"/>
        <v>275</v>
      </c>
      <c r="D9" s="158">
        <f>'Tabelas para cálculos'!$G$4*1.35</f>
        <v>9.585</v>
      </c>
      <c r="G9" s="159">
        <v>3.0</v>
      </c>
      <c r="H9" s="160">
        <v>4.0</v>
      </c>
      <c r="I9" s="157">
        <f t="shared" si="2"/>
        <v>275</v>
      </c>
      <c r="J9" s="158">
        <f>'Tabelas para cálculos'!$G$5*1.4</f>
        <v>56</v>
      </c>
      <c r="M9" s="159">
        <v>3.0</v>
      </c>
      <c r="N9" s="160">
        <v>4.0</v>
      </c>
      <c r="O9" s="157">
        <f t="shared" si="3"/>
        <v>275</v>
      </c>
      <c r="P9" s="158">
        <f>'Tabelas para cálculos'!$G$6*1.35</f>
        <v>35.1</v>
      </c>
    </row>
    <row r="10">
      <c r="A10" s="155">
        <v>3.4</v>
      </c>
      <c r="B10" s="160">
        <v>4.0</v>
      </c>
      <c r="C10" s="157">
        <f t="shared" si="4"/>
        <v>275</v>
      </c>
      <c r="D10" s="158">
        <f>'Tabelas para cálculos'!$G$4*1.35</f>
        <v>9.585</v>
      </c>
      <c r="G10" s="155">
        <v>3.4</v>
      </c>
      <c r="H10" s="160">
        <v>4.0</v>
      </c>
      <c r="I10" s="157">
        <f t="shared" si="2"/>
        <v>275</v>
      </c>
      <c r="J10" s="158">
        <f>'Tabelas para cálculos'!$G$5*1.4</f>
        <v>56</v>
      </c>
      <c r="M10" s="155">
        <v>3.4</v>
      </c>
      <c r="N10" s="160">
        <v>4.0</v>
      </c>
      <c r="O10" s="157">
        <f t="shared" si="3"/>
        <v>275</v>
      </c>
      <c r="P10" s="158">
        <f>'Tabelas para cálculos'!$G$6*1.35</f>
        <v>35.1</v>
      </c>
    </row>
    <row r="11">
      <c r="A11" s="159">
        <v>4.0</v>
      </c>
      <c r="B11" s="160">
        <v>6.0</v>
      </c>
      <c r="C11" s="157">
        <f t="shared" si="4"/>
        <v>275</v>
      </c>
      <c r="D11" s="158">
        <f>'Tabelas para cálculos'!$G$4 * 1.375</f>
        <v>9.7625</v>
      </c>
      <c r="G11" s="159">
        <v>4.0</v>
      </c>
      <c r="H11" s="160">
        <v>6.0</v>
      </c>
      <c r="I11" s="157">
        <f t="shared" si="2"/>
        <v>275</v>
      </c>
      <c r="J11" s="158">
        <f>'Tabelas para cálculos'!$G$5*1.425</f>
        <v>57</v>
      </c>
      <c r="M11" s="159">
        <v>4.0</v>
      </c>
      <c r="N11" s="160">
        <v>6.0</v>
      </c>
      <c r="O11" s="157">
        <f t="shared" si="3"/>
        <v>275</v>
      </c>
      <c r="P11" s="158">
        <f>'Tabelas para cálculos'!$G$6 * 1.375</f>
        <v>35.75</v>
      </c>
    </row>
    <row r="12">
      <c r="A12" s="155">
        <v>4.4</v>
      </c>
      <c r="B12" s="160">
        <v>6.0</v>
      </c>
      <c r="C12" s="157">
        <f t="shared" si="4"/>
        <v>275</v>
      </c>
      <c r="D12" s="158">
        <f>'Tabelas para cálculos'!$G$4 * 1.375</f>
        <v>9.7625</v>
      </c>
      <c r="I12" s="145"/>
      <c r="J12" s="145"/>
      <c r="M12" s="155">
        <v>4.4</v>
      </c>
      <c r="N12" s="160">
        <v>6.0</v>
      </c>
      <c r="O12" s="157">
        <f t="shared" si="3"/>
        <v>275</v>
      </c>
      <c r="P12" s="158">
        <f>'Tabelas para cálculos'!$G$6 * 1.375</f>
        <v>35.75</v>
      </c>
    </row>
    <row r="13">
      <c r="A13" s="159">
        <v>5.0</v>
      </c>
      <c r="B13" s="160">
        <v>6.0</v>
      </c>
      <c r="C13" s="157">
        <f t="shared" si="4"/>
        <v>275</v>
      </c>
      <c r="D13" s="158">
        <f>'Tabelas para cálculos'!$G$4*1.4</f>
        <v>9.94</v>
      </c>
      <c r="I13" s="145"/>
      <c r="J13" s="145"/>
      <c r="M13" s="159">
        <v>5.0</v>
      </c>
      <c r="N13" s="160">
        <v>6.0</v>
      </c>
      <c r="O13" s="157">
        <f t="shared" si="3"/>
        <v>275</v>
      </c>
      <c r="P13" s="158">
        <f>'Tabelas para cálculos'!$G$6*1.4</f>
        <v>36.4</v>
      </c>
    </row>
    <row r="14">
      <c r="A14" s="155">
        <v>5.4</v>
      </c>
      <c r="B14" s="160">
        <v>6.0</v>
      </c>
      <c r="C14" s="157">
        <f t="shared" si="4"/>
        <v>275</v>
      </c>
      <c r="D14" s="158">
        <f>'Tabelas para cálculos'!$G$4*1.4</f>
        <v>9.94</v>
      </c>
      <c r="I14" s="145"/>
      <c r="J14" s="145"/>
      <c r="O14" s="145"/>
      <c r="P14" s="145"/>
    </row>
    <row r="15">
      <c r="A15" s="159">
        <v>6.0</v>
      </c>
      <c r="B15" s="160">
        <v>6.0</v>
      </c>
      <c r="C15" s="157">
        <f t="shared" si="4"/>
        <v>275</v>
      </c>
      <c r="D15" s="158">
        <f>'Tabelas para cálculos'!$G$4*1.425</f>
        <v>10.1175</v>
      </c>
      <c r="I15" s="145"/>
      <c r="J15" s="145"/>
      <c r="O15" s="145"/>
      <c r="P15" s="145"/>
    </row>
    <row r="16">
      <c r="A16" s="155">
        <v>6.4</v>
      </c>
      <c r="B16" s="160">
        <v>6.0</v>
      </c>
      <c r="C16" s="157">
        <f t="shared" si="4"/>
        <v>275</v>
      </c>
      <c r="D16" s="158">
        <f>'Tabelas para cálculos'!$G$4*1.425</f>
        <v>10.1175</v>
      </c>
      <c r="O16" s="145"/>
      <c r="P16" s="145"/>
    </row>
    <row r="17">
      <c r="A17" s="159">
        <v>7.0</v>
      </c>
      <c r="B17" s="160">
        <v>6.0</v>
      </c>
      <c r="C17" s="157">
        <f t="shared" si="4"/>
        <v>275</v>
      </c>
      <c r="D17" s="158">
        <f>'Tabelas para cálculos'!$G$4 * 1.45</f>
        <v>10.295</v>
      </c>
      <c r="O17" s="145"/>
      <c r="P17" s="145"/>
    </row>
    <row r="18">
      <c r="A18" s="155">
        <v>7.4</v>
      </c>
      <c r="B18" s="160">
        <v>6.0</v>
      </c>
      <c r="C18" s="157">
        <f t="shared" si="4"/>
        <v>275</v>
      </c>
      <c r="D18" s="158">
        <f>'Tabelas para cálculos'!$G$4 * 1.45</f>
        <v>10.295</v>
      </c>
    </row>
    <row r="19">
      <c r="A19" s="159">
        <v>8.0</v>
      </c>
      <c r="B19" s="160">
        <v>8.0</v>
      </c>
      <c r="C19" s="157">
        <f t="shared" si="4"/>
        <v>275</v>
      </c>
      <c r="D19" s="158">
        <f>'Tabelas para cálculos'!$G$4 * 1.475</f>
        <v>10.4725</v>
      </c>
    </row>
    <row r="20">
      <c r="A20" s="155">
        <v>8.4</v>
      </c>
      <c r="B20" s="160">
        <v>8.0</v>
      </c>
      <c r="C20" s="157">
        <f t="shared" si="4"/>
        <v>275</v>
      </c>
      <c r="D20" s="158">
        <f>'Tabelas para cálculos'!$G$4 * 1.475</f>
        <v>10.4725</v>
      </c>
    </row>
    <row r="21">
      <c r="A21" s="159">
        <v>9.0</v>
      </c>
      <c r="B21" s="160">
        <v>8.0</v>
      </c>
      <c r="C21" s="157">
        <f t="shared" si="4"/>
        <v>275</v>
      </c>
      <c r="D21" s="158">
        <f>'Tabelas para cálculos'!$G$4 * 1.5</f>
        <v>10.65</v>
      </c>
    </row>
    <row r="22">
      <c r="A22" s="155">
        <v>9.4</v>
      </c>
      <c r="B22" s="160">
        <v>8.0</v>
      </c>
      <c r="C22" s="157">
        <f t="shared" si="4"/>
        <v>275</v>
      </c>
      <c r="D22" s="158">
        <f>'Tabelas para cálculos'!$G$4 * 1.5</f>
        <v>10.65</v>
      </c>
    </row>
    <row r="23">
      <c r="A23" s="159">
        <v>10.0</v>
      </c>
      <c r="B23" s="160">
        <v>8.0</v>
      </c>
      <c r="C23" s="157">
        <f t="shared" si="4"/>
        <v>275</v>
      </c>
      <c r="D23" s="158">
        <f>'Tabelas para cálculos'!$G$4 * 1.525</f>
        <v>10.8275</v>
      </c>
    </row>
    <row r="24">
      <c r="A24" s="155">
        <v>10.4</v>
      </c>
      <c r="B24" s="160">
        <v>8.0</v>
      </c>
      <c r="C24" s="157">
        <f t="shared" si="4"/>
        <v>275</v>
      </c>
      <c r="D24" s="158">
        <f>'Tabelas para cálculos'!$G$4 * 1.525</f>
        <v>10.8275</v>
      </c>
    </row>
    <row r="25">
      <c r="A25" s="159">
        <v>11.0</v>
      </c>
      <c r="B25" s="160">
        <v>8.0</v>
      </c>
      <c r="C25" s="157">
        <f t="shared" si="4"/>
        <v>275</v>
      </c>
      <c r="D25" s="158">
        <f>'Tabelas para cálculos'!$G$4 * 1.55</f>
        <v>11.005</v>
      </c>
    </row>
    <row r="26">
      <c r="A26" s="155">
        <v>11.4</v>
      </c>
      <c r="B26" s="160">
        <v>8.0</v>
      </c>
      <c r="C26" s="157">
        <f t="shared" si="4"/>
        <v>275</v>
      </c>
      <c r="D26" s="158">
        <f>'Tabelas para cálculos'!$G$4 * 1.55</f>
        <v>11.005</v>
      </c>
    </row>
    <row r="27">
      <c r="A27" s="159">
        <v>12.0</v>
      </c>
      <c r="B27" s="160">
        <v>8.0</v>
      </c>
      <c r="C27" s="157">
        <f t="shared" si="4"/>
        <v>275</v>
      </c>
      <c r="D27" s="158">
        <f>'Tabelas para cálculos'!$G$4 * 1.575</f>
        <v>11.1825</v>
      </c>
    </row>
    <row r="28">
      <c r="A28" s="155">
        <v>12.4</v>
      </c>
      <c r="B28" s="160">
        <v>8.0</v>
      </c>
      <c r="C28" s="157">
        <f t="shared" si="4"/>
        <v>275</v>
      </c>
      <c r="D28" s="158">
        <f>'Tabelas para cálculos'!$G$4 * 1.575</f>
        <v>11.1825</v>
      </c>
    </row>
    <row r="29">
      <c r="A29" s="159">
        <v>13.0</v>
      </c>
      <c r="B29" s="160">
        <v>8.0</v>
      </c>
      <c r="C29" s="157">
        <f t="shared" si="4"/>
        <v>275</v>
      </c>
      <c r="D29" s="158">
        <f>'Tabelas para cálculos'!$G$4 * 1.6</f>
        <v>11.36</v>
      </c>
    </row>
    <row r="30">
      <c r="C30" s="145"/>
      <c r="D30" s="145"/>
      <c r="I30" s="145"/>
      <c r="J30" s="145"/>
    </row>
    <row r="31">
      <c r="C31" s="145"/>
      <c r="D31" s="145"/>
      <c r="I31" s="145"/>
      <c r="J31" s="145"/>
    </row>
    <row r="32">
      <c r="D32" s="145"/>
      <c r="I32" s="145"/>
      <c r="J32" s="145"/>
      <c r="O32" s="145"/>
      <c r="P32" s="145"/>
    </row>
    <row r="33">
      <c r="D33" s="145"/>
      <c r="I33" s="145"/>
      <c r="J33" s="145"/>
      <c r="O33" s="145"/>
      <c r="P33" s="145"/>
    </row>
    <row r="34">
      <c r="I34" s="145"/>
      <c r="J34" s="145"/>
      <c r="O34" s="145"/>
      <c r="P34" s="145"/>
    </row>
    <row r="35">
      <c r="I35" s="145"/>
      <c r="J35" s="145"/>
      <c r="O35" s="145"/>
      <c r="P35" s="145"/>
    </row>
    <row r="36">
      <c r="I36" s="145"/>
      <c r="J36" s="145"/>
      <c r="O36" s="145"/>
      <c r="P36" s="145"/>
    </row>
    <row r="37">
      <c r="I37" s="145"/>
      <c r="J37" s="145"/>
      <c r="O37" s="145"/>
      <c r="P37" s="145"/>
    </row>
    <row r="38">
      <c r="I38" s="145"/>
      <c r="J38" s="145"/>
      <c r="O38" s="145"/>
      <c r="P38" s="145"/>
    </row>
    <row r="39">
      <c r="I39" s="145"/>
      <c r="J39" s="145"/>
      <c r="O39" s="145"/>
      <c r="P39" s="145"/>
    </row>
    <row r="40">
      <c r="I40" s="145"/>
      <c r="J40" s="145"/>
      <c r="O40" s="145"/>
      <c r="P40" s="145"/>
    </row>
    <row r="41">
      <c r="I41" s="145"/>
      <c r="J41" s="145"/>
      <c r="O41" s="145"/>
      <c r="P41" s="145"/>
    </row>
    <row r="42">
      <c r="I42" s="145"/>
      <c r="J42" s="145"/>
      <c r="O42" s="145"/>
      <c r="P42" s="145"/>
    </row>
    <row r="43">
      <c r="I43" s="145"/>
      <c r="J43" s="145"/>
      <c r="O43" s="145"/>
      <c r="P43" s="145"/>
    </row>
    <row r="44">
      <c r="I44" s="145"/>
      <c r="J44" s="145"/>
      <c r="O44" s="145"/>
      <c r="P44" s="145"/>
    </row>
    <row r="45">
      <c r="I45" s="145"/>
      <c r="J45" s="145"/>
      <c r="O45" s="145"/>
      <c r="P45" s="145"/>
    </row>
    <row r="46">
      <c r="I46" s="145"/>
      <c r="J46" s="145"/>
      <c r="O46" s="145"/>
      <c r="P46" s="145"/>
    </row>
    <row r="47">
      <c r="I47" s="145"/>
      <c r="J47" s="145"/>
      <c r="O47" s="145"/>
      <c r="P47" s="145"/>
    </row>
    <row r="48">
      <c r="C48" s="145"/>
      <c r="D48" s="145"/>
      <c r="I48" s="145"/>
      <c r="J48" s="145"/>
      <c r="O48" s="145"/>
      <c r="P48" s="145"/>
    </row>
    <row r="49">
      <c r="C49" s="145"/>
      <c r="D49" s="145"/>
      <c r="I49" s="145"/>
      <c r="J49" s="145"/>
      <c r="O49" s="145"/>
      <c r="P49" s="145"/>
    </row>
    <row r="50">
      <c r="C50" s="145"/>
      <c r="D50" s="145"/>
      <c r="I50" s="145"/>
      <c r="J50" s="145"/>
      <c r="O50" s="145"/>
      <c r="P50" s="145"/>
    </row>
    <row r="51">
      <c r="C51" s="145"/>
      <c r="D51" s="145"/>
      <c r="I51" s="145"/>
      <c r="J51" s="145"/>
      <c r="O51" s="145"/>
      <c r="P51" s="145"/>
    </row>
    <row r="52">
      <c r="C52" s="145"/>
      <c r="D52" s="145"/>
      <c r="F52" s="161"/>
      <c r="I52" s="145"/>
      <c r="J52" s="145"/>
      <c r="O52" s="145"/>
      <c r="P52" s="145"/>
    </row>
    <row r="53">
      <c r="C53" s="145"/>
      <c r="D53" s="145"/>
      <c r="I53" s="145"/>
      <c r="J53" s="145"/>
      <c r="O53" s="145"/>
      <c r="P53" s="145"/>
    </row>
    <row r="54">
      <c r="C54" s="145"/>
      <c r="D54" s="162"/>
      <c r="I54" s="145"/>
      <c r="J54" s="145"/>
      <c r="O54" s="145"/>
      <c r="P54" s="145"/>
    </row>
    <row r="55">
      <c r="C55" s="145"/>
      <c r="D55" s="163"/>
      <c r="I55" s="145"/>
      <c r="J55" s="145"/>
      <c r="O55" s="145"/>
      <c r="P55" s="145"/>
    </row>
    <row r="56">
      <c r="C56" s="145"/>
      <c r="D56" s="163"/>
      <c r="I56" s="145"/>
      <c r="J56" s="145"/>
      <c r="O56" s="145"/>
      <c r="P56" s="145"/>
    </row>
    <row r="57">
      <c r="C57" s="145"/>
      <c r="D57" s="163"/>
      <c r="I57" s="145"/>
      <c r="J57" s="145"/>
      <c r="O57" s="145"/>
      <c r="P57" s="145"/>
    </row>
    <row r="58">
      <c r="C58" s="145"/>
      <c r="D58" s="163"/>
      <c r="I58" s="145"/>
      <c r="J58" s="145"/>
      <c r="O58" s="145"/>
      <c r="P58" s="145"/>
    </row>
    <row r="59">
      <c r="C59" s="145"/>
      <c r="D59" s="163"/>
      <c r="I59" s="145"/>
      <c r="J59" s="145"/>
      <c r="O59" s="145"/>
      <c r="P59" s="145"/>
    </row>
    <row r="60">
      <c r="C60" s="145"/>
      <c r="D60" s="163"/>
      <c r="I60" s="145"/>
      <c r="J60" s="145"/>
      <c r="O60" s="145"/>
      <c r="P60" s="145"/>
    </row>
    <row r="61">
      <c r="C61" s="145"/>
      <c r="D61" s="163"/>
      <c r="I61" s="145"/>
      <c r="J61" s="145"/>
      <c r="O61" s="145"/>
      <c r="P61" s="145"/>
    </row>
    <row r="62">
      <c r="C62" s="145"/>
      <c r="D62" s="163"/>
      <c r="I62" s="145"/>
      <c r="J62" s="145"/>
      <c r="O62" s="145"/>
      <c r="P62" s="145"/>
    </row>
    <row r="63">
      <c r="C63" s="145"/>
      <c r="D63" s="163"/>
      <c r="I63" s="145"/>
      <c r="J63" s="145"/>
      <c r="O63" s="145"/>
      <c r="P63" s="145"/>
    </row>
    <row r="64">
      <c r="C64" s="145"/>
      <c r="D64" s="163"/>
      <c r="I64" s="145"/>
      <c r="J64" s="145"/>
      <c r="O64" s="145"/>
      <c r="P64" s="145"/>
    </row>
    <row r="65">
      <c r="C65" s="145"/>
      <c r="D65" s="163"/>
      <c r="I65" s="145"/>
      <c r="J65" s="145"/>
      <c r="O65" s="145"/>
      <c r="P65" s="145"/>
    </row>
    <row r="66">
      <c r="C66" s="145"/>
      <c r="D66" s="163"/>
      <c r="I66" s="145"/>
      <c r="J66" s="145"/>
      <c r="O66" s="145"/>
      <c r="P66" s="145"/>
    </row>
    <row r="67">
      <c r="C67" s="145"/>
      <c r="D67" s="145"/>
      <c r="I67" s="145"/>
      <c r="J67" s="145"/>
      <c r="O67" s="145"/>
      <c r="P67" s="145"/>
    </row>
    <row r="68">
      <c r="C68" s="145"/>
      <c r="D68" s="145"/>
      <c r="I68" s="145"/>
      <c r="J68" s="145"/>
      <c r="O68" s="145"/>
      <c r="P68" s="145"/>
    </row>
    <row r="69">
      <c r="C69" s="145"/>
      <c r="D69" s="145"/>
      <c r="I69" s="145"/>
      <c r="J69" s="145"/>
      <c r="O69" s="145"/>
      <c r="P69" s="145"/>
    </row>
    <row r="70">
      <c r="C70" s="145"/>
      <c r="D70" s="145"/>
      <c r="I70" s="145"/>
      <c r="J70" s="145"/>
      <c r="O70" s="145"/>
      <c r="P70" s="145"/>
    </row>
    <row r="71">
      <c r="C71" s="145"/>
      <c r="D71" s="145"/>
      <c r="I71" s="145"/>
      <c r="J71" s="145"/>
      <c r="O71" s="145"/>
      <c r="P71" s="145"/>
    </row>
    <row r="72">
      <c r="C72" s="145"/>
      <c r="D72" s="145"/>
      <c r="I72" s="145"/>
      <c r="J72" s="145"/>
      <c r="O72" s="145"/>
      <c r="P72" s="145"/>
    </row>
    <row r="73">
      <c r="C73" s="145"/>
      <c r="D73" s="145"/>
      <c r="I73" s="145"/>
      <c r="J73" s="145"/>
      <c r="O73" s="145"/>
      <c r="P73" s="145"/>
    </row>
    <row r="74">
      <c r="C74" s="145"/>
      <c r="D74" s="145"/>
      <c r="I74" s="145"/>
      <c r="J74" s="145"/>
      <c r="O74" s="145"/>
      <c r="P74" s="145"/>
    </row>
    <row r="75">
      <c r="C75" s="145"/>
      <c r="D75" s="145"/>
      <c r="I75" s="145"/>
      <c r="J75" s="145"/>
      <c r="O75" s="145"/>
      <c r="P75" s="145"/>
    </row>
    <row r="76">
      <c r="C76" s="145"/>
      <c r="D76" s="145"/>
      <c r="I76" s="145"/>
      <c r="J76" s="145"/>
      <c r="O76" s="145"/>
      <c r="P76" s="145"/>
    </row>
    <row r="77">
      <c r="C77" s="145"/>
      <c r="D77" s="145"/>
      <c r="I77" s="145"/>
      <c r="J77" s="145"/>
      <c r="O77" s="145"/>
      <c r="P77" s="145"/>
    </row>
    <row r="78">
      <c r="C78" s="145"/>
      <c r="D78" s="145"/>
      <c r="I78" s="145"/>
      <c r="J78" s="145"/>
      <c r="O78" s="145"/>
      <c r="P78" s="145"/>
    </row>
    <row r="79">
      <c r="C79" s="145"/>
      <c r="D79" s="145"/>
      <c r="I79" s="145"/>
      <c r="J79" s="145"/>
      <c r="O79" s="145"/>
      <c r="P79" s="145"/>
    </row>
    <row r="80">
      <c r="C80" s="145"/>
      <c r="D80" s="145"/>
      <c r="I80" s="145"/>
      <c r="J80" s="145"/>
      <c r="O80" s="145"/>
      <c r="P80" s="145"/>
    </row>
    <row r="81">
      <c r="C81" s="145"/>
      <c r="D81" s="145"/>
      <c r="I81" s="145"/>
      <c r="J81" s="145"/>
      <c r="O81" s="145"/>
      <c r="P81" s="145"/>
    </row>
    <row r="82">
      <c r="C82" s="145"/>
      <c r="D82" s="145"/>
      <c r="I82" s="145"/>
      <c r="J82" s="145"/>
      <c r="O82" s="145"/>
      <c r="P82" s="145"/>
    </row>
    <row r="83">
      <c r="C83" s="145"/>
      <c r="D83" s="145"/>
      <c r="I83" s="145"/>
      <c r="J83" s="145"/>
      <c r="O83" s="145"/>
      <c r="P83" s="145"/>
    </row>
    <row r="84">
      <c r="C84" s="145"/>
      <c r="D84" s="145"/>
      <c r="I84" s="145"/>
      <c r="J84" s="145"/>
      <c r="O84" s="145"/>
      <c r="P84" s="145"/>
    </row>
    <row r="85">
      <c r="C85" s="145"/>
      <c r="D85" s="145"/>
      <c r="I85" s="145"/>
      <c r="J85" s="145"/>
      <c r="O85" s="145"/>
      <c r="P85" s="145"/>
    </row>
    <row r="86">
      <c r="C86" s="145"/>
      <c r="D86" s="145"/>
      <c r="I86" s="145"/>
      <c r="J86" s="145"/>
      <c r="O86" s="145"/>
      <c r="P86" s="145"/>
    </row>
    <row r="87">
      <c r="C87" s="145"/>
      <c r="D87" s="145"/>
      <c r="I87" s="145"/>
      <c r="J87" s="145"/>
      <c r="O87" s="145"/>
      <c r="P87" s="145"/>
    </row>
    <row r="88">
      <c r="C88" s="145"/>
      <c r="D88" s="145"/>
      <c r="I88" s="145"/>
      <c r="J88" s="145"/>
      <c r="O88" s="145"/>
      <c r="P88" s="145"/>
    </row>
    <row r="89">
      <c r="C89" s="145"/>
      <c r="D89" s="145"/>
      <c r="I89" s="145"/>
      <c r="J89" s="145"/>
      <c r="O89" s="145"/>
      <c r="P89" s="145"/>
    </row>
    <row r="90">
      <c r="C90" s="145"/>
      <c r="D90" s="145"/>
      <c r="I90" s="145"/>
      <c r="J90" s="145"/>
      <c r="O90" s="145"/>
      <c r="P90" s="145"/>
    </row>
    <row r="91">
      <c r="C91" s="145"/>
      <c r="D91" s="145"/>
      <c r="I91" s="145"/>
      <c r="J91" s="145"/>
      <c r="O91" s="145"/>
      <c r="P91" s="145"/>
    </row>
    <row r="92">
      <c r="C92" s="145"/>
      <c r="D92" s="145"/>
      <c r="I92" s="145"/>
      <c r="J92" s="145"/>
      <c r="O92" s="145"/>
      <c r="P92" s="145"/>
    </row>
    <row r="93">
      <c r="C93" s="145"/>
      <c r="D93" s="145"/>
      <c r="I93" s="145"/>
      <c r="J93" s="145"/>
      <c r="O93" s="145"/>
      <c r="P93" s="145"/>
    </row>
    <row r="94">
      <c r="C94" s="145"/>
      <c r="D94" s="145"/>
      <c r="I94" s="145"/>
      <c r="J94" s="145"/>
      <c r="O94" s="145"/>
      <c r="P94" s="145"/>
    </row>
    <row r="95">
      <c r="C95" s="145"/>
      <c r="D95" s="145"/>
      <c r="I95" s="145"/>
      <c r="J95" s="145"/>
      <c r="O95" s="145"/>
      <c r="P95" s="145"/>
    </row>
    <row r="96">
      <c r="C96" s="145"/>
      <c r="D96" s="145"/>
      <c r="I96" s="145"/>
      <c r="J96" s="145"/>
      <c r="O96" s="145"/>
      <c r="P96" s="145"/>
    </row>
    <row r="97">
      <c r="C97" s="145"/>
      <c r="D97" s="145"/>
      <c r="I97" s="145"/>
      <c r="J97" s="145"/>
      <c r="O97" s="145"/>
      <c r="P97" s="145"/>
    </row>
    <row r="98">
      <c r="C98" s="145"/>
      <c r="D98" s="145"/>
      <c r="I98" s="145"/>
      <c r="J98" s="145"/>
      <c r="O98" s="145"/>
      <c r="P98" s="145"/>
    </row>
    <row r="99">
      <c r="C99" s="145"/>
      <c r="D99" s="145"/>
      <c r="I99" s="145"/>
      <c r="J99" s="145"/>
      <c r="O99" s="145"/>
      <c r="P99" s="145"/>
    </row>
    <row r="100">
      <c r="C100" s="145"/>
      <c r="D100" s="145"/>
      <c r="I100" s="145"/>
      <c r="J100" s="145"/>
      <c r="O100" s="145"/>
      <c r="P100" s="145"/>
    </row>
    <row r="101">
      <c r="C101" s="145"/>
      <c r="D101" s="145"/>
      <c r="I101" s="145"/>
      <c r="J101" s="145"/>
      <c r="O101" s="145"/>
      <c r="P101" s="145"/>
    </row>
    <row r="102">
      <c r="C102" s="145"/>
      <c r="D102" s="145"/>
      <c r="I102" s="145"/>
      <c r="J102" s="145"/>
      <c r="O102" s="145"/>
      <c r="P102" s="145"/>
    </row>
    <row r="103">
      <c r="C103" s="145"/>
      <c r="D103" s="145"/>
      <c r="I103" s="145"/>
      <c r="J103" s="145"/>
      <c r="O103" s="145"/>
      <c r="P103" s="145"/>
    </row>
    <row r="104">
      <c r="C104" s="145"/>
      <c r="D104" s="145"/>
      <c r="I104" s="145"/>
      <c r="J104" s="145"/>
      <c r="O104" s="145"/>
      <c r="P104" s="145"/>
    </row>
    <row r="105">
      <c r="C105" s="145"/>
      <c r="D105" s="145"/>
      <c r="I105" s="145"/>
      <c r="J105" s="145"/>
      <c r="O105" s="145"/>
      <c r="P105" s="145"/>
    </row>
    <row r="106">
      <c r="C106" s="145"/>
      <c r="D106" s="145"/>
      <c r="I106" s="145"/>
      <c r="J106" s="145"/>
      <c r="O106" s="145"/>
      <c r="P106" s="145"/>
    </row>
    <row r="107">
      <c r="C107" s="145"/>
      <c r="D107" s="145"/>
      <c r="I107" s="145"/>
      <c r="J107" s="145"/>
      <c r="O107" s="145"/>
      <c r="P107" s="145"/>
    </row>
    <row r="108">
      <c r="C108" s="145"/>
      <c r="D108" s="145"/>
      <c r="I108" s="145"/>
      <c r="J108" s="145"/>
      <c r="O108" s="145"/>
      <c r="P108" s="145"/>
    </row>
    <row r="109">
      <c r="C109" s="145"/>
      <c r="D109" s="145"/>
      <c r="I109" s="145"/>
      <c r="J109" s="145"/>
      <c r="O109" s="145"/>
      <c r="P109" s="145"/>
    </row>
    <row r="110">
      <c r="C110" s="145"/>
      <c r="D110" s="145"/>
      <c r="I110" s="145"/>
      <c r="J110" s="145"/>
      <c r="O110" s="145"/>
      <c r="P110" s="145"/>
    </row>
    <row r="111">
      <c r="C111" s="145"/>
      <c r="D111" s="145"/>
      <c r="I111" s="145"/>
      <c r="J111" s="145"/>
      <c r="O111" s="145"/>
      <c r="P111" s="145"/>
    </row>
    <row r="112">
      <c r="C112" s="145"/>
      <c r="D112" s="145"/>
      <c r="I112" s="145"/>
      <c r="J112" s="145"/>
      <c r="O112" s="145"/>
      <c r="P112" s="145"/>
    </row>
    <row r="113">
      <c r="C113" s="145"/>
      <c r="D113" s="145"/>
      <c r="I113" s="145"/>
      <c r="J113" s="145"/>
      <c r="O113" s="145"/>
      <c r="P113" s="145"/>
    </row>
    <row r="114">
      <c r="C114" s="145"/>
      <c r="D114" s="145"/>
      <c r="I114" s="145"/>
      <c r="J114" s="145"/>
      <c r="O114" s="145"/>
      <c r="P114" s="145"/>
    </row>
    <row r="115">
      <c r="C115" s="145"/>
      <c r="D115" s="145"/>
      <c r="I115" s="145"/>
      <c r="J115" s="145"/>
      <c r="O115" s="145"/>
      <c r="P115" s="145"/>
    </row>
    <row r="116">
      <c r="C116" s="145"/>
      <c r="D116" s="145"/>
      <c r="I116" s="145"/>
      <c r="J116" s="145"/>
      <c r="O116" s="145"/>
      <c r="P116" s="145"/>
    </row>
    <row r="117">
      <c r="C117" s="145"/>
      <c r="D117" s="145"/>
      <c r="I117" s="145"/>
      <c r="J117" s="145"/>
      <c r="O117" s="145"/>
      <c r="P117" s="145"/>
    </row>
    <row r="118">
      <c r="C118" s="145"/>
      <c r="D118" s="145"/>
      <c r="I118" s="145"/>
      <c r="J118" s="145"/>
      <c r="O118" s="145"/>
      <c r="P118" s="145"/>
    </row>
    <row r="119">
      <c r="C119" s="145"/>
      <c r="D119" s="145"/>
      <c r="I119" s="145"/>
      <c r="J119" s="145"/>
      <c r="O119" s="145"/>
      <c r="P119" s="145"/>
    </row>
    <row r="120">
      <c r="C120" s="145"/>
      <c r="D120" s="145"/>
      <c r="I120" s="145"/>
      <c r="J120" s="145"/>
      <c r="O120" s="145"/>
      <c r="P120" s="145"/>
    </row>
    <row r="121">
      <c r="C121" s="145"/>
      <c r="D121" s="145"/>
      <c r="I121" s="145"/>
      <c r="J121" s="145"/>
      <c r="O121" s="145"/>
      <c r="P121" s="145"/>
    </row>
    <row r="122">
      <c r="C122" s="145"/>
      <c r="D122" s="145"/>
      <c r="I122" s="145"/>
      <c r="J122" s="145"/>
      <c r="O122" s="145"/>
      <c r="P122" s="145"/>
    </row>
    <row r="123">
      <c r="C123" s="145"/>
      <c r="D123" s="145"/>
      <c r="I123" s="145"/>
      <c r="J123" s="145"/>
      <c r="O123" s="145"/>
      <c r="P123" s="145"/>
    </row>
    <row r="124">
      <c r="C124" s="145"/>
      <c r="D124" s="145"/>
      <c r="I124" s="145"/>
      <c r="J124" s="145"/>
      <c r="O124" s="145"/>
      <c r="P124" s="145"/>
    </row>
    <row r="125">
      <c r="C125" s="145"/>
      <c r="D125" s="145"/>
      <c r="I125" s="145"/>
      <c r="J125" s="145"/>
      <c r="O125" s="145"/>
      <c r="P125" s="145"/>
    </row>
    <row r="126">
      <c r="C126" s="145"/>
      <c r="D126" s="145"/>
      <c r="I126" s="145"/>
      <c r="J126" s="145"/>
      <c r="O126" s="145"/>
      <c r="P126" s="145"/>
    </row>
    <row r="127">
      <c r="C127" s="145"/>
      <c r="D127" s="145"/>
      <c r="I127" s="145"/>
      <c r="J127" s="145"/>
      <c r="O127" s="145"/>
      <c r="P127" s="145"/>
    </row>
    <row r="128">
      <c r="C128" s="145"/>
      <c r="D128" s="145"/>
      <c r="I128" s="145"/>
      <c r="J128" s="145"/>
      <c r="O128" s="145"/>
      <c r="P128" s="145"/>
    </row>
    <row r="129">
      <c r="C129" s="145"/>
      <c r="D129" s="145"/>
      <c r="I129" s="145"/>
      <c r="J129" s="145"/>
      <c r="O129" s="145"/>
      <c r="P129" s="145"/>
    </row>
    <row r="130">
      <c r="C130" s="145"/>
      <c r="D130" s="145"/>
      <c r="I130" s="145"/>
      <c r="J130" s="145"/>
      <c r="O130" s="145"/>
      <c r="P130" s="145"/>
    </row>
    <row r="131">
      <c r="C131" s="145"/>
      <c r="D131" s="145"/>
      <c r="I131" s="145"/>
      <c r="J131" s="145"/>
      <c r="O131" s="145"/>
      <c r="P131" s="145"/>
    </row>
    <row r="132">
      <c r="C132" s="145"/>
      <c r="D132" s="145"/>
      <c r="I132" s="145"/>
      <c r="J132" s="145"/>
      <c r="O132" s="145"/>
      <c r="P132" s="145"/>
    </row>
    <row r="133">
      <c r="C133" s="145"/>
      <c r="D133" s="145"/>
      <c r="I133" s="145"/>
      <c r="J133" s="145"/>
      <c r="O133" s="145"/>
      <c r="P133" s="145"/>
    </row>
    <row r="134">
      <c r="C134" s="145"/>
      <c r="D134" s="145"/>
      <c r="I134" s="145"/>
      <c r="J134" s="145"/>
      <c r="O134" s="145"/>
      <c r="P134" s="145"/>
    </row>
    <row r="135">
      <c r="C135" s="145"/>
      <c r="D135" s="145"/>
      <c r="I135" s="145"/>
      <c r="J135" s="145"/>
      <c r="O135" s="145"/>
      <c r="P135" s="145"/>
    </row>
    <row r="136">
      <c r="C136" s="145"/>
      <c r="D136" s="145"/>
      <c r="I136" s="145"/>
      <c r="J136" s="145"/>
      <c r="O136" s="145"/>
      <c r="P136" s="145"/>
    </row>
    <row r="137">
      <c r="C137" s="145"/>
      <c r="D137" s="145"/>
      <c r="I137" s="145"/>
      <c r="J137" s="145"/>
      <c r="O137" s="145"/>
      <c r="P137" s="145"/>
    </row>
    <row r="138">
      <c r="C138" s="145"/>
      <c r="D138" s="145"/>
      <c r="I138" s="145"/>
      <c r="J138" s="145"/>
      <c r="O138" s="145"/>
      <c r="P138" s="145"/>
    </row>
    <row r="139">
      <c r="C139" s="145"/>
      <c r="D139" s="145"/>
      <c r="I139" s="145"/>
      <c r="J139" s="145"/>
      <c r="O139" s="145"/>
      <c r="P139" s="145"/>
    </row>
    <row r="140">
      <c r="C140" s="145"/>
      <c r="D140" s="145"/>
      <c r="I140" s="145"/>
      <c r="J140" s="145"/>
      <c r="O140" s="145"/>
      <c r="P140" s="145"/>
    </row>
    <row r="141">
      <c r="C141" s="145"/>
      <c r="D141" s="145"/>
      <c r="I141" s="145"/>
      <c r="J141" s="145"/>
      <c r="O141" s="145"/>
      <c r="P141" s="145"/>
    </row>
    <row r="142">
      <c r="C142" s="145"/>
      <c r="D142" s="145"/>
      <c r="I142" s="145"/>
      <c r="J142" s="145"/>
      <c r="O142" s="145"/>
      <c r="P142" s="145"/>
    </row>
    <row r="143">
      <c r="C143" s="145"/>
      <c r="D143" s="145"/>
      <c r="I143" s="145"/>
      <c r="J143" s="145"/>
      <c r="O143" s="145"/>
      <c r="P143" s="145"/>
    </row>
    <row r="144">
      <c r="C144" s="145"/>
      <c r="D144" s="145"/>
      <c r="I144" s="145"/>
      <c r="J144" s="145"/>
      <c r="O144" s="145"/>
      <c r="P144" s="145"/>
    </row>
    <row r="145">
      <c r="C145" s="145"/>
      <c r="D145" s="145"/>
      <c r="I145" s="145"/>
      <c r="J145" s="145"/>
      <c r="O145" s="145"/>
      <c r="P145" s="145"/>
    </row>
    <row r="146">
      <c r="C146" s="145"/>
      <c r="D146" s="145"/>
      <c r="I146" s="145"/>
      <c r="J146" s="145"/>
      <c r="O146" s="145"/>
      <c r="P146" s="145"/>
    </row>
    <row r="147">
      <c r="C147" s="145"/>
      <c r="D147" s="145"/>
      <c r="I147" s="145"/>
      <c r="J147" s="145"/>
      <c r="O147" s="145"/>
      <c r="P147" s="145"/>
    </row>
    <row r="148">
      <c r="C148" s="145"/>
      <c r="D148" s="145"/>
      <c r="I148" s="145"/>
      <c r="J148" s="145"/>
      <c r="O148" s="145"/>
      <c r="P148" s="145"/>
    </row>
    <row r="149">
      <c r="C149" s="145"/>
      <c r="D149" s="145"/>
      <c r="I149" s="145"/>
      <c r="J149" s="145"/>
      <c r="O149" s="145"/>
      <c r="P149" s="145"/>
    </row>
    <row r="150">
      <c r="C150" s="145"/>
      <c r="D150" s="145"/>
      <c r="I150" s="145"/>
      <c r="J150" s="145"/>
      <c r="O150" s="145"/>
      <c r="P150" s="145"/>
    </row>
    <row r="151">
      <c r="C151" s="145"/>
      <c r="D151" s="145"/>
      <c r="I151" s="145"/>
      <c r="J151" s="145"/>
      <c r="O151" s="145"/>
      <c r="P151" s="145"/>
    </row>
    <row r="152">
      <c r="C152" s="145"/>
      <c r="D152" s="145"/>
      <c r="I152" s="145"/>
      <c r="J152" s="145"/>
      <c r="O152" s="145"/>
      <c r="P152" s="145"/>
    </row>
    <row r="153">
      <c r="C153" s="145"/>
      <c r="D153" s="145"/>
      <c r="I153" s="145"/>
      <c r="J153" s="145"/>
      <c r="O153" s="145"/>
      <c r="P153" s="145"/>
    </row>
    <row r="154">
      <c r="C154" s="145"/>
      <c r="D154" s="145"/>
      <c r="I154" s="145"/>
      <c r="J154" s="145"/>
      <c r="O154" s="145"/>
      <c r="P154" s="145"/>
    </row>
    <row r="155">
      <c r="C155" s="145"/>
      <c r="D155" s="145"/>
      <c r="I155" s="145"/>
      <c r="J155" s="145"/>
      <c r="O155" s="145"/>
      <c r="P155" s="145"/>
    </row>
    <row r="156">
      <c r="C156" s="145"/>
      <c r="D156" s="145"/>
      <c r="I156" s="145"/>
      <c r="J156" s="145"/>
      <c r="O156" s="145"/>
      <c r="P156" s="145"/>
    </row>
    <row r="157">
      <c r="C157" s="145"/>
      <c r="D157" s="145"/>
      <c r="I157" s="145"/>
      <c r="J157" s="145"/>
      <c r="O157" s="145"/>
      <c r="P157" s="145"/>
    </row>
    <row r="158">
      <c r="C158" s="145"/>
      <c r="D158" s="145"/>
      <c r="I158" s="145"/>
      <c r="J158" s="145"/>
      <c r="O158" s="145"/>
      <c r="P158" s="145"/>
    </row>
    <row r="159">
      <c r="C159" s="145"/>
      <c r="D159" s="145"/>
      <c r="I159" s="145"/>
      <c r="J159" s="145"/>
      <c r="O159" s="145"/>
      <c r="P159" s="145"/>
    </row>
    <row r="160">
      <c r="C160" s="145"/>
      <c r="D160" s="145"/>
      <c r="I160" s="145"/>
      <c r="J160" s="145"/>
      <c r="O160" s="145"/>
      <c r="P160" s="145"/>
    </row>
    <row r="161">
      <c r="C161" s="145"/>
      <c r="D161" s="145"/>
      <c r="I161" s="145"/>
      <c r="J161" s="145"/>
      <c r="O161" s="145"/>
      <c r="P161" s="145"/>
    </row>
    <row r="162">
      <c r="C162" s="145"/>
      <c r="D162" s="145"/>
      <c r="I162" s="145"/>
      <c r="J162" s="145"/>
      <c r="O162" s="145"/>
      <c r="P162" s="145"/>
    </row>
    <row r="163">
      <c r="C163" s="145"/>
      <c r="D163" s="145"/>
      <c r="I163" s="145"/>
      <c r="J163" s="145"/>
      <c r="O163" s="145"/>
      <c r="P163" s="145"/>
    </row>
    <row r="164">
      <c r="C164" s="145"/>
      <c r="D164" s="145"/>
      <c r="I164" s="145"/>
      <c r="J164" s="145"/>
      <c r="O164" s="145"/>
      <c r="P164" s="145"/>
    </row>
    <row r="165">
      <c r="C165" s="145"/>
      <c r="D165" s="145"/>
      <c r="I165" s="145"/>
      <c r="J165" s="145"/>
      <c r="O165" s="145"/>
      <c r="P165" s="145"/>
    </row>
    <row r="166">
      <c r="C166" s="145"/>
      <c r="D166" s="145"/>
      <c r="I166" s="145"/>
      <c r="J166" s="145"/>
      <c r="O166" s="145"/>
      <c r="P166" s="145"/>
    </row>
    <row r="167">
      <c r="C167" s="145"/>
      <c r="D167" s="145"/>
      <c r="I167" s="145"/>
      <c r="J167" s="145"/>
      <c r="O167" s="145"/>
      <c r="P167" s="145"/>
    </row>
    <row r="168">
      <c r="C168" s="145"/>
      <c r="D168" s="145"/>
      <c r="I168" s="145"/>
      <c r="J168" s="145"/>
      <c r="O168" s="145"/>
      <c r="P168" s="145"/>
    </row>
    <row r="169">
      <c r="C169" s="145"/>
      <c r="D169" s="145"/>
      <c r="I169" s="145"/>
      <c r="J169" s="145"/>
      <c r="O169" s="145"/>
      <c r="P169" s="145"/>
    </row>
    <row r="170">
      <c r="C170" s="145"/>
      <c r="D170" s="145"/>
      <c r="I170" s="145"/>
      <c r="J170" s="145"/>
      <c r="O170" s="145"/>
      <c r="P170" s="145"/>
    </row>
    <row r="171">
      <c r="C171" s="145"/>
      <c r="D171" s="145"/>
      <c r="I171" s="145"/>
      <c r="J171" s="145"/>
      <c r="O171" s="145"/>
      <c r="P171" s="145"/>
    </row>
    <row r="172">
      <c r="C172" s="145"/>
      <c r="D172" s="145"/>
      <c r="I172" s="145"/>
      <c r="J172" s="145"/>
      <c r="O172" s="145"/>
      <c r="P172" s="145"/>
    </row>
    <row r="173">
      <c r="C173" s="145"/>
      <c r="D173" s="145"/>
      <c r="I173" s="145"/>
      <c r="J173" s="145"/>
      <c r="O173" s="145"/>
      <c r="P173" s="145"/>
    </row>
    <row r="174">
      <c r="C174" s="145"/>
      <c r="D174" s="145"/>
      <c r="I174" s="145"/>
      <c r="J174" s="145"/>
      <c r="O174" s="145"/>
      <c r="P174" s="145"/>
    </row>
    <row r="175">
      <c r="C175" s="145"/>
      <c r="D175" s="145"/>
      <c r="I175" s="145"/>
      <c r="J175" s="145"/>
      <c r="O175" s="145"/>
      <c r="P175" s="145"/>
    </row>
    <row r="176">
      <c r="C176" s="145"/>
      <c r="D176" s="145"/>
      <c r="I176" s="145"/>
      <c r="J176" s="145"/>
      <c r="O176" s="145"/>
      <c r="P176" s="145"/>
    </row>
    <row r="177">
      <c r="C177" s="145"/>
      <c r="D177" s="145"/>
      <c r="I177" s="145"/>
      <c r="J177" s="145"/>
      <c r="O177" s="145"/>
      <c r="P177" s="145"/>
    </row>
    <row r="178">
      <c r="C178" s="145"/>
      <c r="D178" s="145"/>
      <c r="I178" s="145"/>
      <c r="J178" s="145"/>
      <c r="O178" s="145"/>
      <c r="P178" s="145"/>
    </row>
    <row r="179">
      <c r="C179" s="145"/>
      <c r="D179" s="145"/>
      <c r="I179" s="145"/>
      <c r="J179" s="145"/>
      <c r="O179" s="145"/>
      <c r="P179" s="145"/>
    </row>
    <row r="180">
      <c r="C180" s="145"/>
      <c r="D180" s="145"/>
      <c r="I180" s="145"/>
      <c r="J180" s="145"/>
      <c r="O180" s="145"/>
      <c r="P180" s="145"/>
    </row>
    <row r="181">
      <c r="C181" s="145"/>
      <c r="D181" s="145"/>
      <c r="I181" s="145"/>
      <c r="J181" s="145"/>
      <c r="O181" s="145"/>
      <c r="P181" s="145"/>
    </row>
    <row r="182">
      <c r="C182" s="145"/>
      <c r="D182" s="145"/>
      <c r="I182" s="145"/>
      <c r="J182" s="145"/>
      <c r="O182" s="145"/>
      <c r="P182" s="145"/>
    </row>
    <row r="183">
      <c r="C183" s="145"/>
      <c r="D183" s="145"/>
      <c r="I183" s="145"/>
      <c r="J183" s="145"/>
      <c r="O183" s="145"/>
      <c r="P183" s="145"/>
    </row>
    <row r="184">
      <c r="C184" s="145"/>
      <c r="D184" s="145"/>
      <c r="I184" s="145"/>
      <c r="J184" s="145"/>
      <c r="O184" s="145"/>
      <c r="P184" s="145"/>
    </row>
    <row r="185">
      <c r="C185" s="145"/>
      <c r="D185" s="145"/>
      <c r="I185" s="145"/>
      <c r="J185" s="145"/>
      <c r="O185" s="145"/>
      <c r="P185" s="145"/>
    </row>
    <row r="186">
      <c r="C186" s="145"/>
      <c r="D186" s="145"/>
      <c r="I186" s="145"/>
      <c r="J186" s="145"/>
      <c r="O186" s="145"/>
      <c r="P186" s="145"/>
    </row>
    <row r="187">
      <c r="C187" s="145"/>
      <c r="D187" s="145"/>
      <c r="I187" s="145"/>
      <c r="J187" s="145"/>
      <c r="O187" s="145"/>
      <c r="P187" s="145"/>
    </row>
    <row r="188">
      <c r="C188" s="145"/>
      <c r="D188" s="145"/>
      <c r="I188" s="145"/>
      <c r="J188" s="145"/>
      <c r="O188" s="145"/>
      <c r="P188" s="145"/>
    </row>
    <row r="189">
      <c r="C189" s="145"/>
      <c r="D189" s="145"/>
      <c r="I189" s="145"/>
      <c r="J189" s="145"/>
      <c r="O189" s="145"/>
      <c r="P189" s="145"/>
    </row>
    <row r="190">
      <c r="C190" s="145"/>
      <c r="D190" s="145"/>
      <c r="I190" s="145"/>
      <c r="J190" s="145"/>
      <c r="O190" s="145"/>
      <c r="P190" s="145"/>
    </row>
    <row r="191">
      <c r="C191" s="145"/>
      <c r="D191" s="145"/>
      <c r="I191" s="145"/>
      <c r="J191" s="145"/>
      <c r="O191" s="145"/>
      <c r="P191" s="145"/>
    </row>
    <row r="192">
      <c r="C192" s="145"/>
      <c r="D192" s="145"/>
      <c r="I192" s="145"/>
      <c r="J192" s="145"/>
      <c r="O192" s="145"/>
      <c r="P192" s="145"/>
    </row>
    <row r="193">
      <c r="C193" s="145"/>
      <c r="D193" s="145"/>
      <c r="I193" s="145"/>
      <c r="J193" s="145"/>
      <c r="O193" s="145"/>
      <c r="P193" s="145"/>
    </row>
    <row r="194">
      <c r="C194" s="145"/>
      <c r="D194" s="145"/>
      <c r="I194" s="145"/>
      <c r="J194" s="145"/>
      <c r="O194" s="145"/>
      <c r="P194" s="145"/>
    </row>
    <row r="195">
      <c r="C195" s="145"/>
      <c r="D195" s="145"/>
      <c r="I195" s="145"/>
      <c r="J195" s="145"/>
      <c r="O195" s="145"/>
      <c r="P195" s="145"/>
    </row>
    <row r="196">
      <c r="C196" s="145"/>
      <c r="D196" s="145"/>
      <c r="I196" s="145"/>
      <c r="J196" s="145"/>
      <c r="O196" s="145"/>
      <c r="P196" s="145"/>
    </row>
    <row r="197">
      <c r="C197" s="145"/>
      <c r="D197" s="145"/>
      <c r="I197" s="145"/>
      <c r="J197" s="145"/>
      <c r="O197" s="145"/>
      <c r="P197" s="145"/>
    </row>
    <row r="198">
      <c r="C198" s="145"/>
      <c r="D198" s="145"/>
      <c r="I198" s="145"/>
      <c r="J198" s="145"/>
      <c r="O198" s="145"/>
      <c r="P198" s="145"/>
    </row>
    <row r="199">
      <c r="C199" s="145"/>
      <c r="D199" s="145"/>
      <c r="I199" s="145"/>
      <c r="J199" s="145"/>
      <c r="O199" s="145"/>
      <c r="P199" s="145"/>
    </row>
    <row r="200">
      <c r="C200" s="145"/>
      <c r="D200" s="145"/>
      <c r="I200" s="145"/>
      <c r="J200" s="145"/>
      <c r="O200" s="145"/>
      <c r="P200" s="145"/>
    </row>
    <row r="201">
      <c r="C201" s="145"/>
      <c r="D201" s="145"/>
      <c r="I201" s="145"/>
      <c r="J201" s="145"/>
      <c r="O201" s="145"/>
      <c r="P201" s="145"/>
    </row>
    <row r="202">
      <c r="C202" s="145"/>
      <c r="D202" s="145"/>
      <c r="I202" s="145"/>
      <c r="J202" s="145"/>
      <c r="O202" s="145"/>
      <c r="P202" s="145"/>
    </row>
    <row r="203">
      <c r="C203" s="145"/>
      <c r="D203" s="145"/>
      <c r="I203" s="145"/>
      <c r="J203" s="145"/>
      <c r="O203" s="145"/>
      <c r="P203" s="145"/>
    </row>
    <row r="204">
      <c r="C204" s="145"/>
      <c r="D204" s="145"/>
      <c r="I204" s="145"/>
      <c r="J204" s="145"/>
      <c r="O204" s="145"/>
      <c r="P204" s="145"/>
    </row>
    <row r="205">
      <c r="C205" s="145"/>
      <c r="D205" s="145"/>
      <c r="I205" s="145"/>
      <c r="J205" s="145"/>
      <c r="O205" s="145"/>
      <c r="P205" s="145"/>
    </row>
    <row r="206">
      <c r="C206" s="145"/>
      <c r="D206" s="145"/>
      <c r="I206" s="145"/>
      <c r="J206" s="145"/>
      <c r="O206" s="145"/>
      <c r="P206" s="145"/>
    </row>
    <row r="207">
      <c r="C207" s="145"/>
      <c r="D207" s="145"/>
      <c r="I207" s="145"/>
      <c r="J207" s="145"/>
      <c r="O207" s="145"/>
      <c r="P207" s="145"/>
    </row>
    <row r="208">
      <c r="C208" s="145"/>
      <c r="D208" s="145"/>
      <c r="I208" s="145"/>
      <c r="J208" s="145"/>
      <c r="O208" s="145"/>
      <c r="P208" s="145"/>
    </row>
    <row r="209">
      <c r="C209" s="145"/>
      <c r="D209" s="145"/>
      <c r="I209" s="145"/>
      <c r="J209" s="145"/>
      <c r="O209" s="145"/>
      <c r="P209" s="145"/>
    </row>
    <row r="210">
      <c r="C210" s="145"/>
      <c r="D210" s="145"/>
      <c r="I210" s="145"/>
      <c r="J210" s="145"/>
      <c r="O210" s="145"/>
      <c r="P210" s="145"/>
    </row>
    <row r="211">
      <c r="C211" s="145"/>
      <c r="D211" s="145"/>
      <c r="I211" s="145"/>
      <c r="J211" s="145"/>
      <c r="O211" s="145"/>
      <c r="P211" s="145"/>
    </row>
    <row r="212">
      <c r="C212" s="145"/>
      <c r="D212" s="145"/>
      <c r="I212" s="145"/>
      <c r="J212" s="145"/>
      <c r="O212" s="145"/>
      <c r="P212" s="145"/>
    </row>
    <row r="213">
      <c r="C213" s="145"/>
      <c r="D213" s="145"/>
      <c r="I213" s="145"/>
      <c r="J213" s="145"/>
      <c r="O213" s="145"/>
      <c r="P213" s="145"/>
    </row>
    <row r="214">
      <c r="C214" s="145"/>
      <c r="D214" s="145"/>
      <c r="I214" s="145"/>
      <c r="J214" s="145"/>
      <c r="O214" s="145"/>
      <c r="P214" s="145"/>
    </row>
    <row r="215">
      <c r="C215" s="145"/>
      <c r="D215" s="145"/>
      <c r="I215" s="145"/>
      <c r="J215" s="145"/>
      <c r="O215" s="145"/>
      <c r="P215" s="145"/>
    </row>
    <row r="216">
      <c r="C216" s="145"/>
      <c r="D216" s="145"/>
      <c r="I216" s="145"/>
      <c r="J216" s="145"/>
      <c r="O216" s="145"/>
      <c r="P216" s="145"/>
    </row>
    <row r="217">
      <c r="C217" s="145"/>
      <c r="D217" s="145"/>
      <c r="I217" s="145"/>
      <c r="J217" s="145"/>
      <c r="O217" s="145"/>
      <c r="P217" s="145"/>
    </row>
    <row r="218">
      <c r="C218" s="145"/>
      <c r="D218" s="145"/>
      <c r="I218" s="145"/>
      <c r="J218" s="145"/>
      <c r="O218" s="145"/>
      <c r="P218" s="145"/>
    </row>
    <row r="219">
      <c r="C219" s="145"/>
      <c r="D219" s="145"/>
      <c r="I219" s="145"/>
      <c r="J219" s="145"/>
      <c r="O219" s="145"/>
      <c r="P219" s="145"/>
    </row>
    <row r="220">
      <c r="C220" s="145"/>
      <c r="D220" s="145"/>
      <c r="I220" s="145"/>
      <c r="J220" s="145"/>
      <c r="O220" s="145"/>
      <c r="P220" s="145"/>
    </row>
    <row r="221">
      <c r="C221" s="145"/>
      <c r="D221" s="145"/>
      <c r="I221" s="145"/>
      <c r="J221" s="145"/>
      <c r="O221" s="145"/>
      <c r="P221" s="145"/>
    </row>
    <row r="222">
      <c r="C222" s="145"/>
      <c r="D222" s="145"/>
      <c r="I222" s="145"/>
      <c r="J222" s="145"/>
      <c r="O222" s="145"/>
      <c r="P222" s="145"/>
    </row>
    <row r="223">
      <c r="C223" s="145"/>
      <c r="D223" s="145"/>
      <c r="I223" s="145"/>
      <c r="J223" s="145"/>
      <c r="O223" s="145"/>
      <c r="P223" s="145"/>
    </row>
    <row r="224">
      <c r="C224" s="145"/>
      <c r="D224" s="145"/>
      <c r="I224" s="145"/>
      <c r="J224" s="145"/>
      <c r="O224" s="145"/>
      <c r="P224" s="145"/>
    </row>
    <row r="225">
      <c r="C225" s="145"/>
      <c r="D225" s="145"/>
      <c r="I225" s="145"/>
      <c r="J225" s="145"/>
      <c r="O225" s="145"/>
      <c r="P225" s="145"/>
    </row>
    <row r="226">
      <c r="C226" s="145"/>
      <c r="D226" s="145"/>
      <c r="I226" s="145"/>
      <c r="J226" s="145"/>
      <c r="O226" s="145"/>
      <c r="P226" s="145"/>
    </row>
    <row r="227">
      <c r="C227" s="145"/>
      <c r="D227" s="145"/>
      <c r="I227" s="145"/>
      <c r="J227" s="145"/>
      <c r="O227" s="145"/>
      <c r="P227" s="145"/>
    </row>
    <row r="228">
      <c r="C228" s="145"/>
      <c r="D228" s="145"/>
      <c r="I228" s="145"/>
      <c r="J228" s="145"/>
      <c r="O228" s="145"/>
      <c r="P228" s="145"/>
    </row>
    <row r="229">
      <c r="C229" s="145"/>
      <c r="D229" s="145"/>
      <c r="I229" s="145"/>
      <c r="J229" s="145"/>
      <c r="O229" s="145"/>
      <c r="P229" s="145"/>
    </row>
    <row r="230">
      <c r="C230" s="145"/>
      <c r="D230" s="145"/>
      <c r="I230" s="145"/>
      <c r="J230" s="145"/>
      <c r="O230" s="145"/>
      <c r="P230" s="145"/>
    </row>
    <row r="231">
      <c r="C231" s="145"/>
      <c r="D231" s="145"/>
      <c r="I231" s="145"/>
      <c r="J231" s="145"/>
      <c r="O231" s="145"/>
      <c r="P231" s="145"/>
    </row>
    <row r="232">
      <c r="C232" s="145"/>
      <c r="D232" s="145"/>
      <c r="I232" s="145"/>
      <c r="J232" s="145"/>
      <c r="O232" s="145"/>
      <c r="P232" s="145"/>
    </row>
    <row r="233">
      <c r="C233" s="145"/>
      <c r="D233" s="145"/>
      <c r="I233" s="145"/>
      <c r="J233" s="145"/>
      <c r="O233" s="145"/>
      <c r="P233" s="145"/>
    </row>
    <row r="234">
      <c r="C234" s="145"/>
      <c r="D234" s="145"/>
      <c r="I234" s="145"/>
      <c r="J234" s="145"/>
      <c r="O234" s="145"/>
      <c r="P234" s="145"/>
    </row>
    <row r="235">
      <c r="C235" s="145"/>
      <c r="D235" s="145"/>
      <c r="I235" s="145"/>
      <c r="J235" s="145"/>
      <c r="O235" s="145"/>
      <c r="P235" s="145"/>
    </row>
    <row r="236">
      <c r="C236" s="145"/>
      <c r="D236" s="145"/>
      <c r="I236" s="145"/>
      <c r="J236" s="145"/>
      <c r="O236" s="145"/>
      <c r="P236" s="145"/>
    </row>
    <row r="237">
      <c r="C237" s="145"/>
      <c r="D237" s="145"/>
      <c r="I237" s="145"/>
      <c r="J237" s="145"/>
      <c r="O237" s="145"/>
      <c r="P237" s="145"/>
    </row>
    <row r="238">
      <c r="C238" s="145"/>
      <c r="D238" s="145"/>
      <c r="I238" s="145"/>
      <c r="J238" s="145"/>
      <c r="O238" s="145"/>
      <c r="P238" s="145"/>
    </row>
    <row r="239">
      <c r="C239" s="145"/>
      <c r="D239" s="145"/>
      <c r="I239" s="145"/>
      <c r="J239" s="145"/>
      <c r="O239" s="145"/>
      <c r="P239" s="145"/>
    </row>
    <row r="240">
      <c r="C240" s="145"/>
      <c r="D240" s="145"/>
      <c r="I240" s="145"/>
      <c r="J240" s="145"/>
      <c r="O240" s="145"/>
      <c r="P240" s="145"/>
    </row>
    <row r="241">
      <c r="C241" s="145"/>
      <c r="D241" s="145"/>
      <c r="I241" s="145"/>
      <c r="J241" s="145"/>
      <c r="O241" s="145"/>
      <c r="P241" s="145"/>
    </row>
    <row r="242">
      <c r="C242" s="145"/>
      <c r="D242" s="145"/>
      <c r="I242" s="145"/>
      <c r="J242" s="145"/>
      <c r="O242" s="145"/>
      <c r="P242" s="145"/>
    </row>
    <row r="243">
      <c r="C243" s="145"/>
      <c r="D243" s="145"/>
      <c r="I243" s="145"/>
      <c r="J243" s="145"/>
      <c r="O243" s="145"/>
      <c r="P243" s="145"/>
    </row>
    <row r="244">
      <c r="C244" s="145"/>
      <c r="D244" s="145"/>
      <c r="I244" s="145"/>
      <c r="J244" s="145"/>
      <c r="O244" s="145"/>
      <c r="P244" s="145"/>
    </row>
    <row r="245">
      <c r="C245" s="145"/>
      <c r="D245" s="145"/>
      <c r="I245" s="145"/>
      <c r="J245" s="145"/>
      <c r="O245" s="145"/>
      <c r="P245" s="145"/>
    </row>
    <row r="246">
      <c r="C246" s="145"/>
      <c r="D246" s="145"/>
      <c r="I246" s="145"/>
      <c r="J246" s="145"/>
      <c r="O246" s="145"/>
      <c r="P246" s="145"/>
    </row>
    <row r="247">
      <c r="C247" s="145"/>
      <c r="D247" s="145"/>
      <c r="I247" s="145"/>
      <c r="J247" s="145"/>
      <c r="O247" s="145"/>
      <c r="P247" s="145"/>
    </row>
    <row r="248">
      <c r="C248" s="145"/>
      <c r="D248" s="145"/>
      <c r="I248" s="145"/>
      <c r="J248" s="145"/>
      <c r="O248" s="145"/>
      <c r="P248" s="145"/>
    </row>
    <row r="249">
      <c r="C249" s="145"/>
      <c r="D249" s="145"/>
      <c r="I249" s="145"/>
      <c r="J249" s="145"/>
      <c r="O249" s="145"/>
      <c r="P249" s="145"/>
    </row>
    <row r="250">
      <c r="C250" s="145"/>
      <c r="D250" s="145"/>
      <c r="I250" s="145"/>
      <c r="J250" s="145"/>
      <c r="O250" s="145"/>
      <c r="P250" s="145"/>
    </row>
    <row r="251">
      <c r="C251" s="145"/>
      <c r="D251" s="145"/>
      <c r="I251" s="145"/>
      <c r="J251" s="145"/>
      <c r="O251" s="145"/>
      <c r="P251" s="145"/>
    </row>
    <row r="252">
      <c r="C252" s="145"/>
      <c r="D252" s="145"/>
      <c r="I252" s="145"/>
      <c r="J252" s="145"/>
      <c r="O252" s="145"/>
      <c r="P252" s="145"/>
    </row>
    <row r="253">
      <c r="C253" s="145"/>
      <c r="D253" s="145"/>
      <c r="I253" s="145"/>
      <c r="J253" s="145"/>
      <c r="O253" s="145"/>
      <c r="P253" s="145"/>
    </row>
    <row r="254">
      <c r="C254" s="145"/>
      <c r="D254" s="145"/>
      <c r="I254" s="145"/>
      <c r="J254" s="145"/>
      <c r="O254" s="145"/>
      <c r="P254" s="145"/>
    </row>
    <row r="255">
      <c r="C255" s="145"/>
      <c r="D255" s="145"/>
      <c r="I255" s="145"/>
      <c r="J255" s="145"/>
      <c r="O255" s="145"/>
      <c r="P255" s="145"/>
    </row>
    <row r="256">
      <c r="C256" s="145"/>
      <c r="D256" s="145"/>
      <c r="I256" s="145"/>
      <c r="J256" s="145"/>
      <c r="O256" s="145"/>
      <c r="P256" s="145"/>
    </row>
    <row r="257">
      <c r="C257" s="145"/>
      <c r="D257" s="145"/>
      <c r="I257" s="145"/>
      <c r="J257" s="145"/>
      <c r="O257" s="145"/>
      <c r="P257" s="145"/>
    </row>
    <row r="258">
      <c r="C258" s="145"/>
      <c r="D258" s="145"/>
      <c r="I258" s="145"/>
      <c r="J258" s="145"/>
      <c r="O258" s="145"/>
      <c r="P258" s="145"/>
    </row>
    <row r="259">
      <c r="C259" s="145"/>
      <c r="D259" s="145"/>
      <c r="I259" s="145"/>
      <c r="J259" s="145"/>
      <c r="O259" s="145"/>
      <c r="P259" s="145"/>
    </row>
    <row r="260">
      <c r="C260" s="145"/>
      <c r="D260" s="145"/>
      <c r="I260" s="145"/>
      <c r="J260" s="145"/>
      <c r="O260" s="145"/>
      <c r="P260" s="145"/>
    </row>
    <row r="261">
      <c r="C261" s="145"/>
      <c r="D261" s="145"/>
      <c r="I261" s="145"/>
      <c r="J261" s="145"/>
      <c r="O261" s="145"/>
      <c r="P261" s="145"/>
    </row>
    <row r="262">
      <c r="C262" s="145"/>
      <c r="D262" s="145"/>
      <c r="I262" s="145"/>
      <c r="J262" s="145"/>
      <c r="O262" s="145"/>
      <c r="P262" s="145"/>
    </row>
    <row r="263">
      <c r="C263" s="145"/>
      <c r="D263" s="145"/>
      <c r="I263" s="145"/>
      <c r="J263" s="145"/>
      <c r="O263" s="145"/>
      <c r="P263" s="145"/>
    </row>
    <row r="264">
      <c r="C264" s="145"/>
      <c r="D264" s="145"/>
      <c r="I264" s="145"/>
      <c r="J264" s="145"/>
      <c r="O264" s="145"/>
      <c r="P264" s="145"/>
    </row>
    <row r="265">
      <c r="C265" s="145"/>
      <c r="D265" s="145"/>
      <c r="I265" s="145"/>
      <c r="J265" s="145"/>
      <c r="O265" s="145"/>
      <c r="P265" s="145"/>
    </row>
    <row r="266">
      <c r="C266" s="145"/>
      <c r="D266" s="145"/>
      <c r="I266" s="145"/>
      <c r="J266" s="145"/>
      <c r="O266" s="145"/>
      <c r="P266" s="145"/>
    </row>
    <row r="267">
      <c r="C267" s="145"/>
      <c r="D267" s="145"/>
      <c r="I267" s="145"/>
      <c r="J267" s="145"/>
      <c r="O267" s="145"/>
      <c r="P267" s="145"/>
    </row>
    <row r="268">
      <c r="C268" s="145"/>
      <c r="D268" s="145"/>
      <c r="I268" s="145"/>
      <c r="J268" s="145"/>
      <c r="O268" s="145"/>
      <c r="P268" s="145"/>
    </row>
    <row r="269">
      <c r="C269" s="145"/>
      <c r="D269" s="145"/>
      <c r="I269" s="145"/>
      <c r="J269" s="145"/>
      <c r="O269" s="145"/>
      <c r="P269" s="145"/>
    </row>
    <row r="270">
      <c r="C270" s="145"/>
      <c r="D270" s="145"/>
      <c r="I270" s="145"/>
      <c r="J270" s="145"/>
      <c r="O270" s="145"/>
      <c r="P270" s="145"/>
    </row>
    <row r="271">
      <c r="C271" s="145"/>
      <c r="D271" s="145"/>
      <c r="I271" s="145"/>
      <c r="J271" s="145"/>
      <c r="O271" s="145"/>
      <c r="P271" s="145"/>
    </row>
    <row r="272">
      <c r="C272" s="145"/>
      <c r="D272" s="145"/>
      <c r="I272" s="145"/>
      <c r="J272" s="145"/>
      <c r="O272" s="145"/>
      <c r="P272" s="145"/>
    </row>
    <row r="273">
      <c r="C273" s="145"/>
      <c r="D273" s="145"/>
      <c r="I273" s="145"/>
      <c r="J273" s="145"/>
      <c r="O273" s="145"/>
      <c r="P273" s="145"/>
    </row>
    <row r="274">
      <c r="C274" s="145"/>
      <c r="D274" s="145"/>
      <c r="I274" s="145"/>
      <c r="J274" s="145"/>
      <c r="O274" s="145"/>
      <c r="P274" s="145"/>
    </row>
    <row r="275">
      <c r="C275" s="145"/>
      <c r="D275" s="145"/>
      <c r="I275" s="145"/>
      <c r="J275" s="145"/>
      <c r="O275" s="145"/>
      <c r="P275" s="145"/>
    </row>
    <row r="276">
      <c r="C276" s="145"/>
      <c r="D276" s="145"/>
      <c r="I276" s="145"/>
      <c r="J276" s="145"/>
      <c r="O276" s="145"/>
      <c r="P276" s="145"/>
    </row>
    <row r="277">
      <c r="C277" s="145"/>
      <c r="D277" s="145"/>
      <c r="I277" s="145"/>
      <c r="J277" s="145"/>
      <c r="O277" s="145"/>
      <c r="P277" s="145"/>
    </row>
    <row r="278">
      <c r="C278" s="145"/>
      <c r="D278" s="145"/>
      <c r="I278" s="145"/>
      <c r="J278" s="145"/>
      <c r="O278" s="145"/>
      <c r="P278" s="145"/>
    </row>
    <row r="279">
      <c r="C279" s="145"/>
      <c r="D279" s="145"/>
      <c r="I279" s="145"/>
      <c r="J279" s="145"/>
      <c r="O279" s="145"/>
      <c r="P279" s="145"/>
    </row>
    <row r="280">
      <c r="C280" s="145"/>
      <c r="D280" s="145"/>
      <c r="I280" s="145"/>
      <c r="J280" s="145"/>
      <c r="O280" s="145"/>
      <c r="P280" s="145"/>
    </row>
    <row r="281">
      <c r="C281" s="145"/>
      <c r="D281" s="145"/>
      <c r="I281" s="145"/>
      <c r="J281" s="145"/>
      <c r="O281" s="145"/>
      <c r="P281" s="145"/>
    </row>
    <row r="282">
      <c r="C282" s="145"/>
      <c r="D282" s="145"/>
      <c r="I282" s="145"/>
      <c r="J282" s="145"/>
      <c r="O282" s="145"/>
      <c r="P282" s="145"/>
    </row>
    <row r="283">
      <c r="C283" s="145"/>
      <c r="D283" s="145"/>
      <c r="I283" s="145"/>
      <c r="J283" s="145"/>
      <c r="O283" s="145"/>
      <c r="P283" s="145"/>
    </row>
    <row r="284">
      <c r="C284" s="145"/>
      <c r="D284" s="145"/>
      <c r="I284" s="145"/>
      <c r="J284" s="145"/>
      <c r="O284" s="145"/>
      <c r="P284" s="145"/>
    </row>
    <row r="285">
      <c r="C285" s="145"/>
      <c r="D285" s="145"/>
      <c r="I285" s="145"/>
      <c r="J285" s="145"/>
      <c r="O285" s="145"/>
      <c r="P285" s="145"/>
    </row>
    <row r="286">
      <c r="C286" s="145"/>
      <c r="D286" s="145"/>
      <c r="I286" s="145"/>
      <c r="J286" s="145"/>
      <c r="O286" s="145"/>
      <c r="P286" s="145"/>
    </row>
    <row r="287">
      <c r="C287" s="145"/>
      <c r="D287" s="145"/>
      <c r="I287" s="145"/>
      <c r="J287" s="145"/>
      <c r="O287" s="145"/>
      <c r="P287" s="145"/>
    </row>
    <row r="288">
      <c r="C288" s="145"/>
      <c r="D288" s="145"/>
      <c r="I288" s="145"/>
      <c r="J288" s="145"/>
      <c r="O288" s="145"/>
      <c r="P288" s="145"/>
    </row>
    <row r="289">
      <c r="C289" s="145"/>
      <c r="D289" s="145"/>
      <c r="I289" s="145"/>
      <c r="J289" s="145"/>
      <c r="O289" s="145"/>
      <c r="P289" s="145"/>
    </row>
    <row r="290">
      <c r="C290" s="145"/>
      <c r="D290" s="145"/>
      <c r="I290" s="145"/>
      <c r="J290" s="145"/>
      <c r="O290" s="145"/>
      <c r="P290" s="145"/>
    </row>
    <row r="291">
      <c r="C291" s="145"/>
      <c r="D291" s="145"/>
      <c r="I291" s="145"/>
      <c r="J291" s="145"/>
      <c r="O291" s="145"/>
      <c r="P291" s="145"/>
    </row>
    <row r="292">
      <c r="C292" s="145"/>
      <c r="D292" s="145"/>
      <c r="I292" s="145"/>
      <c r="J292" s="145"/>
      <c r="O292" s="145"/>
      <c r="P292" s="145"/>
    </row>
    <row r="293">
      <c r="C293" s="145"/>
      <c r="D293" s="145"/>
      <c r="I293" s="145"/>
      <c r="J293" s="145"/>
      <c r="O293" s="145"/>
      <c r="P293" s="145"/>
    </row>
    <row r="294">
      <c r="C294" s="145"/>
      <c r="D294" s="145"/>
      <c r="I294" s="145"/>
      <c r="J294" s="145"/>
      <c r="O294" s="145"/>
      <c r="P294" s="145"/>
    </row>
    <row r="295">
      <c r="C295" s="145"/>
      <c r="D295" s="145"/>
      <c r="I295" s="145"/>
      <c r="J295" s="145"/>
      <c r="O295" s="145"/>
      <c r="P295" s="145"/>
    </row>
    <row r="296">
      <c r="C296" s="145"/>
      <c r="D296" s="145"/>
      <c r="I296" s="145"/>
      <c r="J296" s="145"/>
      <c r="O296" s="145"/>
      <c r="P296" s="145"/>
    </row>
    <row r="297">
      <c r="C297" s="145"/>
      <c r="D297" s="145"/>
      <c r="I297" s="145"/>
      <c r="J297" s="145"/>
      <c r="O297" s="145"/>
      <c r="P297" s="145"/>
    </row>
    <row r="298">
      <c r="C298" s="145"/>
      <c r="D298" s="145"/>
      <c r="I298" s="145"/>
      <c r="J298" s="145"/>
      <c r="O298" s="145"/>
      <c r="P298" s="145"/>
    </row>
    <row r="299">
      <c r="C299" s="145"/>
      <c r="D299" s="145"/>
      <c r="I299" s="145"/>
      <c r="J299" s="145"/>
      <c r="O299" s="145"/>
      <c r="P299" s="145"/>
    </row>
    <row r="300">
      <c r="C300" s="145"/>
      <c r="D300" s="145"/>
      <c r="I300" s="145"/>
      <c r="J300" s="145"/>
      <c r="O300" s="145"/>
      <c r="P300" s="145"/>
    </row>
    <row r="301">
      <c r="C301" s="145"/>
      <c r="D301" s="145"/>
      <c r="I301" s="145"/>
      <c r="J301" s="145"/>
      <c r="O301" s="145"/>
      <c r="P301" s="145"/>
    </row>
    <row r="302">
      <c r="C302" s="145"/>
      <c r="D302" s="145"/>
      <c r="I302" s="145"/>
      <c r="J302" s="145"/>
      <c r="O302" s="145"/>
      <c r="P302" s="145"/>
    </row>
    <row r="303">
      <c r="C303" s="145"/>
      <c r="D303" s="145"/>
      <c r="I303" s="145"/>
      <c r="J303" s="145"/>
      <c r="O303" s="145"/>
      <c r="P303" s="145"/>
    </row>
    <row r="304">
      <c r="C304" s="145"/>
      <c r="D304" s="145"/>
      <c r="I304" s="145"/>
      <c r="J304" s="145"/>
      <c r="O304" s="145"/>
      <c r="P304" s="145"/>
    </row>
    <row r="305">
      <c r="C305" s="145"/>
      <c r="D305" s="145"/>
      <c r="I305" s="145"/>
      <c r="J305" s="145"/>
      <c r="O305" s="145"/>
      <c r="P305" s="145"/>
    </row>
    <row r="306">
      <c r="C306" s="145"/>
      <c r="D306" s="145"/>
      <c r="I306" s="145"/>
      <c r="J306" s="145"/>
      <c r="O306" s="145"/>
      <c r="P306" s="145"/>
    </row>
    <row r="307">
      <c r="C307" s="145"/>
      <c r="D307" s="145"/>
      <c r="I307" s="145"/>
      <c r="J307" s="145"/>
      <c r="O307" s="145"/>
      <c r="P307" s="145"/>
    </row>
    <row r="308">
      <c r="C308" s="145"/>
      <c r="D308" s="145"/>
      <c r="I308" s="145"/>
      <c r="J308" s="145"/>
      <c r="O308" s="145"/>
      <c r="P308" s="145"/>
    </row>
    <row r="309">
      <c r="C309" s="145"/>
      <c r="D309" s="145"/>
      <c r="I309" s="145"/>
      <c r="J309" s="145"/>
      <c r="O309" s="145"/>
      <c r="P309" s="145"/>
    </row>
    <row r="310">
      <c r="C310" s="145"/>
      <c r="D310" s="145"/>
      <c r="I310" s="145"/>
      <c r="J310" s="145"/>
      <c r="O310" s="145"/>
      <c r="P310" s="145"/>
    </row>
    <row r="311">
      <c r="C311" s="145"/>
      <c r="D311" s="145"/>
      <c r="I311" s="145"/>
      <c r="J311" s="145"/>
      <c r="O311" s="145"/>
      <c r="P311" s="145"/>
    </row>
    <row r="312">
      <c r="C312" s="145"/>
      <c r="D312" s="145"/>
      <c r="I312" s="145"/>
      <c r="J312" s="145"/>
      <c r="O312" s="145"/>
      <c r="P312" s="145"/>
    </row>
    <row r="313">
      <c r="C313" s="145"/>
      <c r="D313" s="145"/>
      <c r="I313" s="145"/>
      <c r="J313" s="145"/>
      <c r="O313" s="145"/>
      <c r="P313" s="145"/>
    </row>
    <row r="314">
      <c r="C314" s="145"/>
      <c r="D314" s="145"/>
      <c r="I314" s="145"/>
      <c r="J314" s="145"/>
      <c r="O314" s="145"/>
      <c r="P314" s="145"/>
    </row>
    <row r="315">
      <c r="C315" s="145"/>
      <c r="D315" s="145"/>
      <c r="I315" s="145"/>
      <c r="J315" s="145"/>
      <c r="O315" s="145"/>
      <c r="P315" s="145"/>
    </row>
    <row r="316">
      <c r="C316" s="145"/>
      <c r="D316" s="145"/>
      <c r="I316" s="145"/>
      <c r="J316" s="145"/>
      <c r="O316" s="145"/>
      <c r="P316" s="145"/>
    </row>
    <row r="317">
      <c r="C317" s="145"/>
      <c r="D317" s="145"/>
      <c r="I317" s="145"/>
      <c r="J317" s="145"/>
      <c r="O317" s="145"/>
      <c r="P317" s="145"/>
    </row>
    <row r="318">
      <c r="C318" s="145"/>
      <c r="D318" s="145"/>
      <c r="I318" s="145"/>
      <c r="J318" s="145"/>
      <c r="O318" s="145"/>
      <c r="P318" s="145"/>
    </row>
    <row r="319">
      <c r="C319" s="145"/>
      <c r="D319" s="145"/>
      <c r="I319" s="145"/>
      <c r="J319" s="145"/>
      <c r="O319" s="145"/>
      <c r="P319" s="145"/>
    </row>
    <row r="320">
      <c r="C320" s="145"/>
      <c r="D320" s="145"/>
      <c r="I320" s="145"/>
      <c r="J320" s="145"/>
      <c r="O320" s="145"/>
      <c r="P320" s="145"/>
    </row>
    <row r="321">
      <c r="C321" s="145"/>
      <c r="D321" s="145"/>
      <c r="I321" s="145"/>
      <c r="J321" s="145"/>
      <c r="O321" s="145"/>
      <c r="P321" s="145"/>
    </row>
    <row r="322">
      <c r="C322" s="145"/>
      <c r="D322" s="145"/>
      <c r="I322" s="145"/>
      <c r="J322" s="145"/>
      <c r="O322" s="145"/>
      <c r="P322" s="145"/>
    </row>
    <row r="323">
      <c r="C323" s="145"/>
      <c r="D323" s="145"/>
      <c r="I323" s="145"/>
      <c r="J323" s="145"/>
      <c r="O323" s="145"/>
      <c r="P323" s="145"/>
    </row>
    <row r="324">
      <c r="C324" s="145"/>
      <c r="D324" s="145"/>
      <c r="I324" s="145"/>
      <c r="J324" s="145"/>
      <c r="O324" s="145"/>
      <c r="P324" s="145"/>
    </row>
    <row r="325">
      <c r="C325" s="145"/>
      <c r="D325" s="145"/>
      <c r="I325" s="145"/>
      <c r="J325" s="145"/>
      <c r="O325" s="145"/>
      <c r="P325" s="145"/>
    </row>
    <row r="326">
      <c r="C326" s="145"/>
      <c r="D326" s="145"/>
      <c r="I326" s="145"/>
      <c r="J326" s="145"/>
      <c r="O326" s="145"/>
      <c r="P326" s="145"/>
    </row>
    <row r="327">
      <c r="C327" s="145"/>
      <c r="D327" s="145"/>
      <c r="I327" s="145"/>
      <c r="J327" s="145"/>
      <c r="O327" s="145"/>
      <c r="P327" s="145"/>
    </row>
    <row r="328">
      <c r="C328" s="145"/>
      <c r="D328" s="145"/>
      <c r="I328" s="145"/>
      <c r="J328" s="145"/>
      <c r="O328" s="145"/>
      <c r="P328" s="145"/>
    </row>
    <row r="329">
      <c r="C329" s="145"/>
      <c r="D329" s="145"/>
      <c r="I329" s="145"/>
      <c r="J329" s="145"/>
      <c r="O329" s="145"/>
      <c r="P329" s="145"/>
    </row>
    <row r="330">
      <c r="C330" s="145"/>
      <c r="D330" s="145"/>
      <c r="I330" s="145"/>
      <c r="J330" s="145"/>
      <c r="O330" s="145"/>
      <c r="P330" s="145"/>
    </row>
    <row r="331">
      <c r="C331" s="145"/>
      <c r="D331" s="145"/>
      <c r="I331" s="145"/>
      <c r="J331" s="145"/>
      <c r="O331" s="145"/>
      <c r="P331" s="145"/>
    </row>
    <row r="332">
      <c r="C332" s="145"/>
      <c r="D332" s="145"/>
      <c r="I332" s="145"/>
      <c r="J332" s="145"/>
      <c r="O332" s="145"/>
      <c r="P332" s="145"/>
    </row>
    <row r="333">
      <c r="C333" s="145"/>
      <c r="D333" s="145"/>
      <c r="I333" s="145"/>
      <c r="J333" s="145"/>
      <c r="O333" s="145"/>
      <c r="P333" s="145"/>
    </row>
    <row r="334">
      <c r="C334" s="145"/>
      <c r="D334" s="145"/>
      <c r="I334" s="145"/>
      <c r="J334" s="145"/>
      <c r="O334" s="145"/>
      <c r="P334" s="145"/>
    </row>
    <row r="335">
      <c r="C335" s="145"/>
      <c r="D335" s="145"/>
      <c r="I335" s="145"/>
      <c r="J335" s="145"/>
      <c r="O335" s="145"/>
      <c r="P335" s="145"/>
    </row>
    <row r="336">
      <c r="C336" s="145"/>
      <c r="D336" s="145"/>
      <c r="I336" s="145"/>
      <c r="J336" s="145"/>
      <c r="O336" s="145"/>
      <c r="P336" s="145"/>
    </row>
    <row r="337">
      <c r="C337" s="145"/>
      <c r="D337" s="145"/>
      <c r="I337" s="145"/>
      <c r="J337" s="145"/>
      <c r="O337" s="145"/>
      <c r="P337" s="145"/>
    </row>
    <row r="338">
      <c r="C338" s="145"/>
      <c r="D338" s="145"/>
      <c r="I338" s="145"/>
      <c r="J338" s="145"/>
      <c r="O338" s="145"/>
      <c r="P338" s="145"/>
    </row>
    <row r="339">
      <c r="C339" s="145"/>
      <c r="D339" s="145"/>
      <c r="I339" s="145"/>
      <c r="J339" s="145"/>
      <c r="O339" s="145"/>
      <c r="P339" s="145"/>
    </row>
    <row r="340">
      <c r="C340" s="145"/>
      <c r="D340" s="145"/>
      <c r="I340" s="145"/>
      <c r="J340" s="145"/>
      <c r="O340" s="145"/>
      <c r="P340" s="145"/>
    </row>
    <row r="341">
      <c r="C341" s="145"/>
      <c r="D341" s="145"/>
      <c r="I341" s="145"/>
      <c r="J341" s="145"/>
      <c r="O341" s="145"/>
      <c r="P341" s="145"/>
    </row>
    <row r="342">
      <c r="C342" s="145"/>
      <c r="D342" s="145"/>
      <c r="I342" s="145"/>
      <c r="J342" s="145"/>
      <c r="O342" s="145"/>
      <c r="P342" s="145"/>
    </row>
    <row r="343">
      <c r="C343" s="145"/>
      <c r="D343" s="145"/>
      <c r="I343" s="145"/>
      <c r="J343" s="145"/>
      <c r="O343" s="145"/>
      <c r="P343" s="145"/>
    </row>
    <row r="344">
      <c r="C344" s="145"/>
      <c r="D344" s="145"/>
      <c r="I344" s="145"/>
      <c r="J344" s="145"/>
      <c r="O344" s="145"/>
      <c r="P344" s="145"/>
    </row>
    <row r="345">
      <c r="C345" s="145"/>
      <c r="D345" s="145"/>
      <c r="I345" s="145"/>
      <c r="J345" s="145"/>
      <c r="O345" s="145"/>
      <c r="P345" s="145"/>
    </row>
    <row r="346">
      <c r="C346" s="145"/>
      <c r="D346" s="145"/>
      <c r="I346" s="145"/>
      <c r="J346" s="145"/>
      <c r="O346" s="145"/>
      <c r="P346" s="145"/>
    </row>
    <row r="347">
      <c r="C347" s="145"/>
      <c r="D347" s="145"/>
      <c r="I347" s="145"/>
      <c r="J347" s="145"/>
      <c r="O347" s="145"/>
      <c r="P347" s="145"/>
    </row>
    <row r="348">
      <c r="C348" s="145"/>
      <c r="D348" s="145"/>
      <c r="I348" s="145"/>
      <c r="J348" s="145"/>
      <c r="O348" s="145"/>
      <c r="P348" s="145"/>
    </row>
    <row r="349">
      <c r="C349" s="145"/>
      <c r="D349" s="145"/>
      <c r="I349" s="145"/>
      <c r="J349" s="145"/>
      <c r="O349" s="145"/>
      <c r="P349" s="145"/>
    </row>
    <row r="350">
      <c r="C350" s="145"/>
      <c r="D350" s="145"/>
      <c r="I350" s="145"/>
      <c r="J350" s="145"/>
      <c r="O350" s="145"/>
      <c r="P350" s="145"/>
    </row>
    <row r="351">
      <c r="C351" s="145"/>
      <c r="D351" s="145"/>
      <c r="I351" s="145"/>
      <c r="J351" s="145"/>
      <c r="O351" s="145"/>
      <c r="P351" s="145"/>
    </row>
    <row r="352">
      <c r="C352" s="145"/>
      <c r="D352" s="145"/>
      <c r="I352" s="145"/>
      <c r="J352" s="145"/>
      <c r="O352" s="145"/>
      <c r="P352" s="145"/>
    </row>
    <row r="353">
      <c r="C353" s="145"/>
      <c r="D353" s="145"/>
      <c r="I353" s="145"/>
      <c r="J353" s="145"/>
      <c r="O353" s="145"/>
      <c r="P353" s="145"/>
    </row>
    <row r="354">
      <c r="C354" s="145"/>
      <c r="D354" s="145"/>
      <c r="I354" s="145"/>
      <c r="J354" s="145"/>
      <c r="O354" s="145"/>
      <c r="P354" s="145"/>
    </row>
    <row r="355">
      <c r="C355" s="145"/>
      <c r="D355" s="145"/>
      <c r="I355" s="145"/>
      <c r="J355" s="145"/>
      <c r="O355" s="145"/>
      <c r="P355" s="145"/>
    </row>
    <row r="356">
      <c r="C356" s="145"/>
      <c r="D356" s="145"/>
      <c r="I356" s="145"/>
      <c r="J356" s="145"/>
      <c r="O356" s="145"/>
      <c r="P356" s="145"/>
    </row>
    <row r="357">
      <c r="C357" s="145"/>
      <c r="D357" s="145"/>
      <c r="I357" s="145"/>
      <c r="J357" s="145"/>
      <c r="O357" s="145"/>
      <c r="P357" s="145"/>
    </row>
    <row r="358">
      <c r="C358" s="145"/>
      <c r="D358" s="145"/>
      <c r="I358" s="145"/>
      <c r="J358" s="145"/>
      <c r="O358" s="145"/>
      <c r="P358" s="145"/>
    </row>
    <row r="359">
      <c r="C359" s="145"/>
      <c r="D359" s="145"/>
      <c r="I359" s="145"/>
      <c r="J359" s="145"/>
      <c r="O359" s="145"/>
      <c r="P359" s="145"/>
    </row>
    <row r="360">
      <c r="C360" s="145"/>
      <c r="D360" s="145"/>
      <c r="I360" s="145"/>
      <c r="J360" s="145"/>
      <c r="O360" s="145"/>
      <c r="P360" s="145"/>
    </row>
    <row r="361">
      <c r="C361" s="145"/>
      <c r="D361" s="145"/>
      <c r="I361" s="145"/>
      <c r="J361" s="145"/>
      <c r="O361" s="145"/>
      <c r="P361" s="145"/>
    </row>
    <row r="362">
      <c r="C362" s="145"/>
      <c r="D362" s="145"/>
      <c r="I362" s="145"/>
      <c r="J362" s="145"/>
      <c r="O362" s="145"/>
      <c r="P362" s="145"/>
    </row>
    <row r="363">
      <c r="C363" s="145"/>
      <c r="D363" s="145"/>
      <c r="I363" s="145"/>
      <c r="J363" s="145"/>
      <c r="O363" s="145"/>
      <c r="P363" s="145"/>
    </row>
    <row r="364">
      <c r="C364" s="145"/>
      <c r="D364" s="145"/>
      <c r="I364" s="145"/>
      <c r="J364" s="145"/>
      <c r="O364" s="145"/>
      <c r="P364" s="145"/>
    </row>
    <row r="365">
      <c r="C365" s="145"/>
      <c r="D365" s="145"/>
      <c r="I365" s="145"/>
      <c r="J365" s="145"/>
      <c r="O365" s="145"/>
      <c r="P365" s="145"/>
    </row>
    <row r="366">
      <c r="C366" s="145"/>
      <c r="D366" s="145"/>
      <c r="I366" s="145"/>
      <c r="J366" s="145"/>
      <c r="O366" s="145"/>
      <c r="P366" s="145"/>
    </row>
    <row r="367">
      <c r="C367" s="145"/>
      <c r="D367" s="145"/>
      <c r="I367" s="145"/>
      <c r="J367" s="145"/>
      <c r="O367" s="145"/>
      <c r="P367" s="145"/>
    </row>
    <row r="368">
      <c r="C368" s="145"/>
      <c r="D368" s="145"/>
      <c r="I368" s="145"/>
      <c r="J368" s="145"/>
      <c r="O368" s="145"/>
      <c r="P368" s="145"/>
    </row>
    <row r="369">
      <c r="C369" s="145"/>
      <c r="D369" s="145"/>
      <c r="I369" s="145"/>
      <c r="J369" s="145"/>
      <c r="O369" s="145"/>
      <c r="P369" s="145"/>
    </row>
    <row r="370">
      <c r="C370" s="145"/>
      <c r="D370" s="145"/>
      <c r="I370" s="145"/>
      <c r="J370" s="145"/>
      <c r="O370" s="145"/>
      <c r="P370" s="145"/>
    </row>
    <row r="371">
      <c r="C371" s="145"/>
      <c r="D371" s="145"/>
      <c r="I371" s="145"/>
      <c r="J371" s="145"/>
      <c r="O371" s="145"/>
      <c r="P371" s="145"/>
    </row>
    <row r="372">
      <c r="C372" s="145"/>
      <c r="D372" s="145"/>
      <c r="I372" s="145"/>
      <c r="J372" s="145"/>
      <c r="O372" s="145"/>
      <c r="P372" s="145"/>
    </row>
    <row r="373">
      <c r="C373" s="145"/>
      <c r="D373" s="145"/>
      <c r="I373" s="145"/>
      <c r="J373" s="145"/>
      <c r="O373" s="145"/>
      <c r="P373" s="145"/>
    </row>
    <row r="374">
      <c r="C374" s="145"/>
      <c r="D374" s="145"/>
      <c r="I374" s="145"/>
      <c r="J374" s="145"/>
      <c r="O374" s="145"/>
      <c r="P374" s="145"/>
    </row>
    <row r="375">
      <c r="C375" s="145"/>
      <c r="D375" s="145"/>
      <c r="I375" s="145"/>
      <c r="J375" s="145"/>
      <c r="O375" s="145"/>
      <c r="P375" s="145"/>
    </row>
    <row r="376">
      <c r="C376" s="145"/>
      <c r="D376" s="145"/>
      <c r="I376" s="145"/>
      <c r="J376" s="145"/>
      <c r="O376" s="145"/>
      <c r="P376" s="145"/>
    </row>
    <row r="377">
      <c r="C377" s="145"/>
      <c r="D377" s="145"/>
      <c r="I377" s="145"/>
      <c r="J377" s="145"/>
      <c r="O377" s="145"/>
      <c r="P377" s="145"/>
    </row>
    <row r="378">
      <c r="C378" s="145"/>
      <c r="D378" s="145"/>
      <c r="I378" s="145"/>
      <c r="J378" s="145"/>
      <c r="O378" s="145"/>
      <c r="P378" s="145"/>
    </row>
    <row r="379">
      <c r="C379" s="145"/>
      <c r="D379" s="145"/>
      <c r="I379" s="145"/>
      <c r="J379" s="145"/>
      <c r="O379" s="145"/>
      <c r="P379" s="145"/>
    </row>
    <row r="380">
      <c r="C380" s="145"/>
      <c r="D380" s="145"/>
      <c r="I380" s="145"/>
      <c r="J380" s="145"/>
      <c r="O380" s="145"/>
      <c r="P380" s="145"/>
    </row>
    <row r="381">
      <c r="C381" s="145"/>
      <c r="D381" s="145"/>
      <c r="I381" s="145"/>
      <c r="J381" s="145"/>
      <c r="O381" s="145"/>
      <c r="P381" s="145"/>
    </row>
    <row r="382">
      <c r="C382" s="145"/>
      <c r="D382" s="145"/>
      <c r="I382" s="145"/>
      <c r="J382" s="145"/>
      <c r="O382" s="145"/>
      <c r="P382" s="145"/>
    </row>
    <row r="383">
      <c r="C383" s="145"/>
      <c r="D383" s="145"/>
      <c r="I383" s="145"/>
      <c r="J383" s="145"/>
      <c r="O383" s="145"/>
      <c r="P383" s="145"/>
    </row>
    <row r="384">
      <c r="C384" s="145"/>
      <c r="D384" s="145"/>
      <c r="I384" s="145"/>
      <c r="J384" s="145"/>
      <c r="O384" s="145"/>
      <c r="P384" s="145"/>
    </row>
    <row r="385">
      <c r="C385" s="145"/>
      <c r="D385" s="145"/>
      <c r="I385" s="145"/>
      <c r="J385" s="145"/>
      <c r="O385" s="145"/>
      <c r="P385" s="145"/>
    </row>
    <row r="386">
      <c r="C386" s="145"/>
      <c r="D386" s="145"/>
      <c r="I386" s="145"/>
      <c r="J386" s="145"/>
      <c r="O386" s="145"/>
      <c r="P386" s="145"/>
    </row>
    <row r="387">
      <c r="C387" s="145"/>
      <c r="D387" s="145"/>
      <c r="I387" s="145"/>
      <c r="J387" s="145"/>
      <c r="O387" s="145"/>
      <c r="P387" s="145"/>
    </row>
    <row r="388">
      <c r="C388" s="145"/>
      <c r="D388" s="145"/>
      <c r="I388" s="145"/>
      <c r="J388" s="145"/>
      <c r="O388" s="145"/>
      <c r="P388" s="145"/>
    </row>
    <row r="389">
      <c r="C389" s="145"/>
      <c r="D389" s="145"/>
      <c r="I389" s="145"/>
      <c r="J389" s="145"/>
      <c r="O389" s="145"/>
      <c r="P389" s="145"/>
    </row>
    <row r="390">
      <c r="C390" s="145"/>
      <c r="D390" s="145"/>
      <c r="I390" s="145"/>
      <c r="J390" s="145"/>
      <c r="O390" s="145"/>
      <c r="P390" s="145"/>
    </row>
    <row r="391">
      <c r="C391" s="145"/>
      <c r="D391" s="145"/>
      <c r="I391" s="145"/>
      <c r="J391" s="145"/>
      <c r="O391" s="145"/>
      <c r="P391" s="145"/>
    </row>
    <row r="392">
      <c r="C392" s="145"/>
      <c r="D392" s="145"/>
      <c r="I392" s="145"/>
      <c r="J392" s="145"/>
      <c r="O392" s="145"/>
      <c r="P392" s="145"/>
    </row>
    <row r="393">
      <c r="C393" s="145"/>
      <c r="D393" s="145"/>
      <c r="I393" s="145"/>
      <c r="J393" s="145"/>
      <c r="O393" s="145"/>
      <c r="P393" s="145"/>
    </row>
    <row r="394">
      <c r="C394" s="145"/>
      <c r="D394" s="145"/>
      <c r="I394" s="145"/>
      <c r="J394" s="145"/>
      <c r="O394" s="145"/>
      <c r="P394" s="145"/>
    </row>
    <row r="395">
      <c r="C395" s="145"/>
      <c r="D395" s="145"/>
      <c r="I395" s="145"/>
      <c r="J395" s="145"/>
      <c r="O395" s="145"/>
      <c r="P395" s="145"/>
    </row>
    <row r="396">
      <c r="C396" s="145"/>
      <c r="D396" s="145"/>
      <c r="I396" s="145"/>
      <c r="J396" s="145"/>
      <c r="O396" s="145"/>
      <c r="P396" s="145"/>
    </row>
    <row r="397">
      <c r="C397" s="145"/>
      <c r="D397" s="145"/>
      <c r="I397" s="145"/>
      <c r="J397" s="145"/>
      <c r="O397" s="145"/>
      <c r="P397" s="145"/>
    </row>
    <row r="398">
      <c r="C398" s="145"/>
      <c r="D398" s="145"/>
      <c r="I398" s="145"/>
      <c r="J398" s="145"/>
      <c r="O398" s="145"/>
      <c r="P398" s="145"/>
    </row>
    <row r="399">
      <c r="C399" s="145"/>
      <c r="D399" s="145"/>
      <c r="I399" s="145"/>
      <c r="J399" s="145"/>
      <c r="O399" s="145"/>
      <c r="P399" s="145"/>
    </row>
    <row r="400">
      <c r="C400" s="145"/>
      <c r="D400" s="145"/>
      <c r="I400" s="145"/>
      <c r="J400" s="145"/>
      <c r="O400" s="145"/>
      <c r="P400" s="145"/>
    </row>
    <row r="401">
      <c r="C401" s="145"/>
      <c r="D401" s="145"/>
      <c r="I401" s="145"/>
      <c r="J401" s="145"/>
      <c r="O401" s="145"/>
      <c r="P401" s="145"/>
    </row>
    <row r="402">
      <c r="C402" s="145"/>
      <c r="D402" s="145"/>
      <c r="I402" s="145"/>
      <c r="J402" s="145"/>
      <c r="O402" s="145"/>
      <c r="P402" s="145"/>
    </row>
    <row r="403">
      <c r="C403" s="145"/>
      <c r="D403" s="145"/>
      <c r="I403" s="145"/>
      <c r="J403" s="145"/>
      <c r="O403" s="145"/>
      <c r="P403" s="145"/>
    </row>
    <row r="404">
      <c r="C404" s="145"/>
      <c r="D404" s="145"/>
      <c r="I404" s="145"/>
      <c r="J404" s="145"/>
      <c r="O404" s="145"/>
      <c r="P404" s="145"/>
    </row>
    <row r="405">
      <c r="C405" s="145"/>
      <c r="D405" s="145"/>
      <c r="I405" s="145"/>
      <c r="J405" s="145"/>
      <c r="O405" s="145"/>
      <c r="P405" s="145"/>
    </row>
    <row r="406">
      <c r="C406" s="145"/>
      <c r="D406" s="145"/>
      <c r="I406" s="145"/>
      <c r="J406" s="145"/>
      <c r="O406" s="145"/>
      <c r="P406" s="145"/>
    </row>
    <row r="407">
      <c r="C407" s="145"/>
      <c r="D407" s="145"/>
      <c r="I407" s="145"/>
      <c r="J407" s="145"/>
      <c r="O407" s="145"/>
      <c r="P407" s="145"/>
    </row>
    <row r="408">
      <c r="C408" s="145"/>
      <c r="D408" s="145"/>
      <c r="I408" s="145"/>
      <c r="J408" s="145"/>
      <c r="O408" s="145"/>
      <c r="P408" s="145"/>
    </row>
    <row r="409">
      <c r="C409" s="145"/>
      <c r="D409" s="145"/>
      <c r="I409" s="145"/>
      <c r="J409" s="145"/>
      <c r="O409" s="145"/>
      <c r="P409" s="145"/>
    </row>
    <row r="410">
      <c r="C410" s="145"/>
      <c r="D410" s="145"/>
      <c r="I410" s="145"/>
      <c r="J410" s="145"/>
      <c r="O410" s="145"/>
      <c r="P410" s="145"/>
    </row>
    <row r="411">
      <c r="C411" s="145"/>
      <c r="D411" s="145"/>
      <c r="I411" s="145"/>
      <c r="J411" s="145"/>
      <c r="O411" s="145"/>
      <c r="P411" s="145"/>
    </row>
    <row r="412">
      <c r="C412" s="145"/>
      <c r="D412" s="145"/>
      <c r="I412" s="145"/>
      <c r="J412" s="145"/>
      <c r="O412" s="145"/>
      <c r="P412" s="145"/>
    </row>
    <row r="413">
      <c r="C413" s="145"/>
      <c r="D413" s="145"/>
      <c r="I413" s="145"/>
      <c r="J413" s="145"/>
      <c r="O413" s="145"/>
      <c r="P413" s="145"/>
    </row>
    <row r="414">
      <c r="C414" s="145"/>
      <c r="D414" s="145"/>
      <c r="I414" s="145"/>
      <c r="J414" s="145"/>
      <c r="O414" s="145"/>
      <c r="P414" s="145"/>
    </row>
    <row r="415">
      <c r="C415" s="145"/>
      <c r="D415" s="145"/>
      <c r="I415" s="145"/>
      <c r="J415" s="145"/>
      <c r="O415" s="145"/>
      <c r="P415" s="145"/>
    </row>
    <row r="416">
      <c r="C416" s="145"/>
      <c r="D416" s="145"/>
      <c r="I416" s="145"/>
      <c r="J416" s="145"/>
      <c r="O416" s="145"/>
      <c r="P416" s="145"/>
    </row>
    <row r="417">
      <c r="C417" s="145"/>
      <c r="D417" s="145"/>
      <c r="I417" s="145"/>
      <c r="J417" s="145"/>
      <c r="O417" s="145"/>
      <c r="P417" s="145"/>
    </row>
    <row r="418">
      <c r="C418" s="145"/>
      <c r="D418" s="145"/>
      <c r="I418" s="145"/>
      <c r="J418" s="145"/>
      <c r="O418" s="145"/>
      <c r="P418" s="145"/>
    </row>
    <row r="419">
      <c r="C419" s="145"/>
      <c r="D419" s="145"/>
      <c r="I419" s="145"/>
      <c r="J419" s="145"/>
      <c r="O419" s="145"/>
      <c r="P419" s="145"/>
    </row>
    <row r="420">
      <c r="C420" s="145"/>
      <c r="D420" s="145"/>
      <c r="I420" s="145"/>
      <c r="J420" s="145"/>
      <c r="O420" s="145"/>
      <c r="P420" s="145"/>
    </row>
    <row r="421">
      <c r="C421" s="145"/>
      <c r="D421" s="145"/>
      <c r="I421" s="145"/>
      <c r="J421" s="145"/>
      <c r="O421" s="145"/>
      <c r="P421" s="145"/>
    </row>
    <row r="422">
      <c r="C422" s="145"/>
      <c r="D422" s="145"/>
      <c r="I422" s="145"/>
      <c r="J422" s="145"/>
      <c r="O422" s="145"/>
      <c r="P422" s="145"/>
    </row>
    <row r="423">
      <c r="C423" s="145"/>
      <c r="D423" s="145"/>
      <c r="I423" s="145"/>
      <c r="J423" s="145"/>
      <c r="O423" s="145"/>
      <c r="P423" s="145"/>
    </row>
    <row r="424">
      <c r="C424" s="145"/>
      <c r="D424" s="145"/>
      <c r="I424" s="145"/>
      <c r="J424" s="145"/>
      <c r="O424" s="145"/>
      <c r="P424" s="145"/>
    </row>
    <row r="425">
      <c r="C425" s="145"/>
      <c r="D425" s="145"/>
      <c r="I425" s="145"/>
      <c r="J425" s="145"/>
      <c r="O425" s="145"/>
      <c r="P425" s="145"/>
    </row>
    <row r="426">
      <c r="C426" s="145"/>
      <c r="D426" s="145"/>
      <c r="I426" s="145"/>
      <c r="J426" s="145"/>
      <c r="O426" s="145"/>
      <c r="P426" s="145"/>
    </row>
    <row r="427">
      <c r="C427" s="145"/>
      <c r="D427" s="145"/>
      <c r="I427" s="145"/>
      <c r="J427" s="145"/>
      <c r="O427" s="145"/>
      <c r="P427" s="145"/>
    </row>
    <row r="428">
      <c r="C428" s="145"/>
      <c r="D428" s="145"/>
      <c r="I428" s="145"/>
      <c r="J428" s="145"/>
      <c r="O428" s="145"/>
      <c r="P428" s="145"/>
    </row>
    <row r="429">
      <c r="C429" s="145"/>
      <c r="D429" s="145"/>
      <c r="I429" s="145"/>
      <c r="J429" s="145"/>
      <c r="O429" s="145"/>
      <c r="P429" s="145"/>
    </row>
    <row r="430">
      <c r="C430" s="145"/>
      <c r="D430" s="145"/>
      <c r="I430" s="145"/>
      <c r="J430" s="145"/>
      <c r="O430" s="145"/>
      <c r="P430" s="145"/>
    </row>
    <row r="431">
      <c r="C431" s="145"/>
      <c r="D431" s="145"/>
      <c r="I431" s="145"/>
      <c r="J431" s="145"/>
      <c r="O431" s="145"/>
      <c r="P431" s="145"/>
    </row>
    <row r="432">
      <c r="C432" s="145"/>
      <c r="D432" s="145"/>
      <c r="I432" s="145"/>
      <c r="J432" s="145"/>
      <c r="O432" s="145"/>
      <c r="P432" s="145"/>
    </row>
    <row r="433">
      <c r="C433" s="145"/>
      <c r="D433" s="145"/>
      <c r="I433" s="145"/>
      <c r="J433" s="145"/>
      <c r="O433" s="145"/>
      <c r="P433" s="145"/>
    </row>
    <row r="434">
      <c r="C434" s="145"/>
      <c r="D434" s="145"/>
      <c r="I434" s="145"/>
      <c r="J434" s="145"/>
      <c r="O434" s="145"/>
      <c r="P434" s="145"/>
    </row>
    <row r="435">
      <c r="C435" s="145"/>
      <c r="D435" s="145"/>
      <c r="I435" s="145"/>
      <c r="J435" s="145"/>
      <c r="O435" s="145"/>
      <c r="P435" s="145"/>
    </row>
    <row r="436">
      <c r="C436" s="145"/>
      <c r="D436" s="145"/>
      <c r="I436" s="145"/>
      <c r="J436" s="145"/>
      <c r="O436" s="145"/>
      <c r="P436" s="145"/>
    </row>
    <row r="437">
      <c r="C437" s="145"/>
      <c r="D437" s="145"/>
      <c r="I437" s="145"/>
      <c r="J437" s="145"/>
      <c r="O437" s="145"/>
      <c r="P437" s="145"/>
    </row>
    <row r="438">
      <c r="C438" s="145"/>
      <c r="D438" s="145"/>
      <c r="I438" s="145"/>
      <c r="J438" s="145"/>
      <c r="O438" s="145"/>
      <c r="P438" s="145"/>
    </row>
    <row r="439">
      <c r="C439" s="145"/>
      <c r="D439" s="145"/>
      <c r="I439" s="145"/>
      <c r="J439" s="145"/>
      <c r="O439" s="145"/>
      <c r="P439" s="145"/>
    </row>
    <row r="440">
      <c r="C440" s="145"/>
      <c r="D440" s="145"/>
      <c r="I440" s="145"/>
      <c r="J440" s="145"/>
      <c r="O440" s="145"/>
      <c r="P440" s="145"/>
    </row>
    <row r="441">
      <c r="C441" s="145"/>
      <c r="D441" s="145"/>
      <c r="I441" s="145"/>
      <c r="J441" s="145"/>
      <c r="O441" s="145"/>
      <c r="P441" s="145"/>
    </row>
    <row r="442">
      <c r="C442" s="145"/>
      <c r="D442" s="145"/>
      <c r="I442" s="145"/>
      <c r="J442" s="145"/>
      <c r="O442" s="145"/>
      <c r="P442" s="145"/>
    </row>
    <row r="443">
      <c r="C443" s="145"/>
      <c r="D443" s="145"/>
      <c r="I443" s="145"/>
      <c r="J443" s="145"/>
      <c r="O443" s="145"/>
      <c r="P443" s="145"/>
    </row>
    <row r="444">
      <c r="C444" s="145"/>
      <c r="D444" s="145"/>
      <c r="I444" s="145"/>
      <c r="J444" s="145"/>
      <c r="O444" s="145"/>
      <c r="P444" s="145"/>
    </row>
    <row r="445">
      <c r="C445" s="145"/>
      <c r="D445" s="145"/>
      <c r="I445" s="145"/>
      <c r="J445" s="145"/>
      <c r="O445" s="145"/>
      <c r="P445" s="145"/>
    </row>
    <row r="446">
      <c r="C446" s="145"/>
      <c r="D446" s="145"/>
      <c r="I446" s="145"/>
      <c r="J446" s="145"/>
      <c r="O446" s="145"/>
      <c r="P446" s="145"/>
    </row>
    <row r="447">
      <c r="C447" s="145"/>
      <c r="D447" s="145"/>
      <c r="I447" s="145"/>
      <c r="J447" s="145"/>
      <c r="O447" s="145"/>
      <c r="P447" s="145"/>
    </row>
    <row r="448">
      <c r="C448" s="145"/>
      <c r="D448" s="145"/>
      <c r="I448" s="145"/>
      <c r="J448" s="145"/>
      <c r="O448" s="145"/>
      <c r="P448" s="145"/>
    </row>
    <row r="449">
      <c r="C449" s="145"/>
      <c r="D449" s="145"/>
      <c r="I449" s="145"/>
      <c r="J449" s="145"/>
      <c r="O449" s="145"/>
      <c r="P449" s="145"/>
    </row>
    <row r="450">
      <c r="C450" s="145"/>
      <c r="D450" s="145"/>
      <c r="I450" s="145"/>
      <c r="J450" s="145"/>
      <c r="O450" s="145"/>
      <c r="P450" s="145"/>
    </row>
    <row r="451">
      <c r="C451" s="145"/>
      <c r="D451" s="145"/>
      <c r="I451" s="145"/>
      <c r="J451" s="145"/>
      <c r="O451" s="145"/>
      <c r="P451" s="145"/>
    </row>
    <row r="452">
      <c r="C452" s="145"/>
      <c r="D452" s="145"/>
      <c r="I452" s="145"/>
      <c r="J452" s="145"/>
      <c r="O452" s="145"/>
      <c r="P452" s="145"/>
    </row>
    <row r="453">
      <c r="C453" s="145"/>
      <c r="D453" s="145"/>
      <c r="I453" s="145"/>
      <c r="J453" s="145"/>
      <c r="O453" s="145"/>
      <c r="P453" s="145"/>
    </row>
    <row r="454">
      <c r="C454" s="145"/>
      <c r="D454" s="145"/>
      <c r="I454" s="145"/>
      <c r="J454" s="145"/>
      <c r="O454" s="145"/>
      <c r="P454" s="145"/>
    </row>
    <row r="455">
      <c r="C455" s="145"/>
      <c r="D455" s="145"/>
      <c r="I455" s="145"/>
      <c r="J455" s="145"/>
      <c r="O455" s="145"/>
      <c r="P455" s="145"/>
    </row>
    <row r="456">
      <c r="C456" s="145"/>
      <c r="D456" s="145"/>
      <c r="I456" s="145"/>
      <c r="J456" s="145"/>
      <c r="O456" s="145"/>
      <c r="P456" s="145"/>
    </row>
    <row r="457">
      <c r="C457" s="145"/>
      <c r="D457" s="145"/>
      <c r="I457" s="145"/>
      <c r="J457" s="145"/>
      <c r="O457" s="145"/>
      <c r="P457" s="145"/>
    </row>
    <row r="458">
      <c r="C458" s="145"/>
      <c r="D458" s="145"/>
      <c r="I458" s="145"/>
      <c r="J458" s="145"/>
      <c r="O458" s="145"/>
      <c r="P458" s="145"/>
    </row>
    <row r="459">
      <c r="C459" s="145"/>
      <c r="D459" s="145"/>
      <c r="I459" s="145"/>
      <c r="J459" s="145"/>
      <c r="O459" s="145"/>
      <c r="P459" s="145"/>
    </row>
    <row r="460">
      <c r="C460" s="145"/>
      <c r="D460" s="145"/>
      <c r="I460" s="145"/>
      <c r="J460" s="145"/>
      <c r="O460" s="145"/>
      <c r="P460" s="145"/>
    </row>
    <row r="461">
      <c r="C461" s="145"/>
      <c r="D461" s="145"/>
      <c r="I461" s="145"/>
      <c r="J461" s="145"/>
      <c r="O461" s="145"/>
      <c r="P461" s="145"/>
    </row>
    <row r="462">
      <c r="C462" s="145"/>
      <c r="D462" s="145"/>
      <c r="I462" s="145"/>
      <c r="J462" s="145"/>
      <c r="O462" s="145"/>
      <c r="P462" s="145"/>
    </row>
    <row r="463">
      <c r="C463" s="145"/>
      <c r="D463" s="145"/>
      <c r="I463" s="145"/>
      <c r="J463" s="145"/>
      <c r="O463" s="145"/>
      <c r="P463" s="145"/>
    </row>
    <row r="464">
      <c r="C464" s="145"/>
      <c r="D464" s="145"/>
      <c r="I464" s="145"/>
      <c r="J464" s="145"/>
      <c r="O464" s="145"/>
      <c r="P464" s="145"/>
    </row>
    <row r="465">
      <c r="C465" s="145"/>
      <c r="D465" s="145"/>
      <c r="I465" s="145"/>
      <c r="J465" s="145"/>
      <c r="O465" s="145"/>
      <c r="P465" s="145"/>
    </row>
    <row r="466">
      <c r="C466" s="145"/>
      <c r="D466" s="145"/>
      <c r="I466" s="145"/>
      <c r="J466" s="145"/>
      <c r="O466" s="145"/>
      <c r="P466" s="145"/>
    </row>
    <row r="467">
      <c r="C467" s="145"/>
      <c r="D467" s="145"/>
      <c r="I467" s="145"/>
      <c r="J467" s="145"/>
      <c r="O467" s="145"/>
      <c r="P467" s="145"/>
    </row>
    <row r="468">
      <c r="C468" s="145"/>
      <c r="D468" s="145"/>
      <c r="I468" s="145"/>
      <c r="J468" s="145"/>
      <c r="O468" s="145"/>
      <c r="P468" s="145"/>
    </row>
    <row r="469">
      <c r="C469" s="145"/>
      <c r="D469" s="145"/>
      <c r="I469" s="145"/>
      <c r="J469" s="145"/>
      <c r="O469" s="145"/>
      <c r="P469" s="145"/>
    </row>
    <row r="470">
      <c r="C470" s="145"/>
      <c r="D470" s="145"/>
      <c r="I470" s="145"/>
      <c r="J470" s="145"/>
      <c r="O470" s="145"/>
      <c r="P470" s="145"/>
    </row>
    <row r="471">
      <c r="C471" s="145"/>
      <c r="D471" s="145"/>
      <c r="I471" s="145"/>
      <c r="J471" s="145"/>
      <c r="O471" s="145"/>
      <c r="P471" s="145"/>
    </row>
    <row r="472">
      <c r="C472" s="145"/>
      <c r="D472" s="145"/>
      <c r="I472" s="145"/>
      <c r="J472" s="145"/>
      <c r="O472" s="145"/>
      <c r="P472" s="145"/>
    </row>
    <row r="473">
      <c r="C473" s="145"/>
      <c r="D473" s="145"/>
      <c r="I473" s="145"/>
      <c r="J473" s="145"/>
      <c r="O473" s="145"/>
      <c r="P473" s="145"/>
    </row>
    <row r="474">
      <c r="C474" s="145"/>
      <c r="D474" s="145"/>
      <c r="I474" s="145"/>
      <c r="J474" s="145"/>
      <c r="O474" s="145"/>
      <c r="P474" s="145"/>
    </row>
    <row r="475">
      <c r="C475" s="145"/>
      <c r="D475" s="145"/>
      <c r="I475" s="145"/>
      <c r="J475" s="145"/>
      <c r="O475" s="145"/>
      <c r="P475" s="145"/>
    </row>
    <row r="476">
      <c r="C476" s="145"/>
      <c r="D476" s="145"/>
      <c r="I476" s="145"/>
      <c r="J476" s="145"/>
      <c r="O476" s="145"/>
      <c r="P476" s="145"/>
    </row>
    <row r="477">
      <c r="C477" s="145"/>
      <c r="D477" s="145"/>
      <c r="I477" s="145"/>
      <c r="J477" s="145"/>
      <c r="O477" s="145"/>
      <c r="P477" s="145"/>
    </row>
    <row r="478">
      <c r="C478" s="145"/>
      <c r="D478" s="145"/>
      <c r="I478" s="145"/>
      <c r="J478" s="145"/>
      <c r="O478" s="145"/>
      <c r="P478" s="145"/>
    </row>
    <row r="479">
      <c r="C479" s="145"/>
      <c r="D479" s="145"/>
      <c r="I479" s="145"/>
      <c r="J479" s="145"/>
      <c r="O479" s="145"/>
      <c r="P479" s="145"/>
    </row>
    <row r="480">
      <c r="C480" s="145"/>
      <c r="D480" s="145"/>
      <c r="I480" s="145"/>
      <c r="J480" s="145"/>
      <c r="O480" s="145"/>
      <c r="P480" s="145"/>
    </row>
    <row r="481">
      <c r="C481" s="145"/>
      <c r="D481" s="145"/>
      <c r="I481" s="145"/>
      <c r="J481" s="145"/>
      <c r="O481" s="145"/>
      <c r="P481" s="145"/>
    </row>
    <row r="482">
      <c r="C482" s="145"/>
      <c r="D482" s="145"/>
      <c r="I482" s="145"/>
      <c r="J482" s="145"/>
      <c r="O482" s="145"/>
      <c r="P482" s="145"/>
    </row>
    <row r="483">
      <c r="C483" s="145"/>
      <c r="D483" s="145"/>
      <c r="I483" s="145"/>
      <c r="J483" s="145"/>
      <c r="O483" s="145"/>
      <c r="P483" s="145"/>
    </row>
    <row r="484">
      <c r="C484" s="145"/>
      <c r="D484" s="145"/>
      <c r="I484" s="145"/>
      <c r="J484" s="145"/>
      <c r="O484" s="145"/>
      <c r="P484" s="145"/>
    </row>
    <row r="485">
      <c r="C485" s="145"/>
      <c r="D485" s="145"/>
      <c r="I485" s="145"/>
      <c r="J485" s="145"/>
      <c r="O485" s="145"/>
      <c r="P485" s="145"/>
    </row>
    <row r="486">
      <c r="C486" s="145"/>
      <c r="D486" s="145"/>
      <c r="I486" s="145"/>
      <c r="J486" s="145"/>
      <c r="O486" s="145"/>
      <c r="P486" s="145"/>
    </row>
    <row r="487">
      <c r="C487" s="145"/>
      <c r="D487" s="145"/>
      <c r="I487" s="145"/>
      <c r="J487" s="145"/>
      <c r="O487" s="145"/>
      <c r="P487" s="145"/>
    </row>
    <row r="488">
      <c r="C488" s="145"/>
      <c r="D488" s="145"/>
      <c r="I488" s="145"/>
      <c r="J488" s="145"/>
      <c r="O488" s="145"/>
      <c r="P488" s="145"/>
    </row>
    <row r="489">
      <c r="C489" s="145"/>
      <c r="D489" s="145"/>
      <c r="I489" s="145"/>
      <c r="J489" s="145"/>
      <c r="O489" s="145"/>
      <c r="P489" s="145"/>
    </row>
    <row r="490">
      <c r="C490" s="145"/>
      <c r="D490" s="145"/>
      <c r="I490" s="145"/>
      <c r="J490" s="145"/>
      <c r="O490" s="145"/>
      <c r="P490" s="145"/>
    </row>
    <row r="491">
      <c r="C491" s="145"/>
      <c r="D491" s="145"/>
      <c r="I491" s="145"/>
      <c r="J491" s="145"/>
      <c r="O491" s="145"/>
      <c r="P491" s="145"/>
    </row>
    <row r="492">
      <c r="C492" s="145"/>
      <c r="D492" s="145"/>
      <c r="I492" s="145"/>
      <c r="J492" s="145"/>
      <c r="O492" s="145"/>
      <c r="P492" s="145"/>
    </row>
    <row r="493">
      <c r="C493" s="145"/>
      <c r="D493" s="145"/>
      <c r="I493" s="145"/>
      <c r="J493" s="145"/>
      <c r="O493" s="145"/>
      <c r="P493" s="145"/>
    </row>
    <row r="494">
      <c r="C494" s="145"/>
      <c r="D494" s="145"/>
      <c r="I494" s="145"/>
      <c r="J494" s="145"/>
      <c r="O494" s="145"/>
      <c r="P494" s="145"/>
    </row>
    <row r="495">
      <c r="C495" s="145"/>
      <c r="D495" s="145"/>
      <c r="I495" s="145"/>
      <c r="J495" s="145"/>
      <c r="O495" s="145"/>
      <c r="P495" s="145"/>
    </row>
    <row r="496">
      <c r="C496" s="145"/>
      <c r="D496" s="145"/>
      <c r="I496" s="145"/>
      <c r="J496" s="145"/>
      <c r="O496" s="145"/>
      <c r="P496" s="145"/>
    </row>
    <row r="497">
      <c r="C497" s="145"/>
      <c r="D497" s="145"/>
      <c r="I497" s="145"/>
      <c r="J497" s="145"/>
      <c r="O497" s="145"/>
      <c r="P497" s="145"/>
    </row>
    <row r="498">
      <c r="C498" s="145"/>
      <c r="D498" s="145"/>
      <c r="I498" s="145"/>
      <c r="J498" s="145"/>
      <c r="O498" s="145"/>
      <c r="P498" s="145"/>
    </row>
    <row r="499">
      <c r="C499" s="145"/>
      <c r="D499" s="145"/>
      <c r="I499" s="145"/>
      <c r="J499" s="145"/>
      <c r="O499" s="145"/>
      <c r="P499" s="145"/>
    </row>
    <row r="500">
      <c r="C500" s="145"/>
      <c r="D500" s="145"/>
      <c r="I500" s="145"/>
      <c r="J500" s="145"/>
      <c r="O500" s="145"/>
      <c r="P500" s="145"/>
    </row>
    <row r="501">
      <c r="C501" s="145"/>
      <c r="D501" s="145"/>
      <c r="I501" s="145"/>
      <c r="J501" s="145"/>
      <c r="O501" s="145"/>
      <c r="P501" s="145"/>
    </row>
    <row r="502">
      <c r="C502" s="145"/>
      <c r="D502" s="145"/>
      <c r="I502" s="145"/>
      <c r="J502" s="145"/>
      <c r="O502" s="145"/>
      <c r="P502" s="145"/>
    </row>
    <row r="503">
      <c r="C503" s="145"/>
      <c r="D503" s="145"/>
      <c r="I503" s="145"/>
      <c r="J503" s="145"/>
      <c r="O503" s="145"/>
      <c r="P503" s="145"/>
    </row>
    <row r="504">
      <c r="C504" s="145"/>
      <c r="D504" s="145"/>
      <c r="I504" s="145"/>
      <c r="J504" s="145"/>
      <c r="O504" s="145"/>
      <c r="P504" s="145"/>
    </row>
    <row r="505">
      <c r="C505" s="145"/>
      <c r="D505" s="145"/>
      <c r="I505" s="145"/>
      <c r="J505" s="145"/>
      <c r="O505" s="145"/>
      <c r="P505" s="145"/>
    </row>
    <row r="506">
      <c r="C506" s="145"/>
      <c r="D506" s="145"/>
      <c r="I506" s="145"/>
      <c r="J506" s="145"/>
      <c r="O506" s="145"/>
      <c r="P506" s="145"/>
    </row>
    <row r="507">
      <c r="C507" s="145"/>
      <c r="D507" s="145"/>
      <c r="I507" s="145"/>
      <c r="J507" s="145"/>
      <c r="O507" s="145"/>
      <c r="P507" s="145"/>
    </row>
    <row r="508">
      <c r="C508" s="145"/>
      <c r="D508" s="145"/>
      <c r="I508" s="145"/>
      <c r="J508" s="145"/>
      <c r="O508" s="145"/>
      <c r="P508" s="145"/>
    </row>
    <row r="509">
      <c r="C509" s="145"/>
      <c r="D509" s="145"/>
      <c r="I509" s="145"/>
      <c r="J509" s="145"/>
      <c r="O509" s="145"/>
      <c r="P509" s="145"/>
    </row>
    <row r="510">
      <c r="C510" s="145"/>
      <c r="D510" s="145"/>
      <c r="I510" s="145"/>
      <c r="J510" s="145"/>
      <c r="O510" s="145"/>
      <c r="P510" s="145"/>
    </row>
    <row r="511">
      <c r="C511" s="145"/>
      <c r="D511" s="145"/>
      <c r="I511" s="145"/>
      <c r="J511" s="145"/>
      <c r="O511" s="145"/>
      <c r="P511" s="145"/>
    </row>
    <row r="512">
      <c r="C512" s="145"/>
      <c r="D512" s="145"/>
      <c r="I512" s="145"/>
      <c r="J512" s="145"/>
      <c r="O512" s="145"/>
      <c r="P512" s="145"/>
    </row>
    <row r="513">
      <c r="C513" s="145"/>
      <c r="D513" s="145"/>
      <c r="I513" s="145"/>
      <c r="J513" s="145"/>
      <c r="O513" s="145"/>
      <c r="P513" s="145"/>
    </row>
    <row r="514">
      <c r="C514" s="145"/>
      <c r="D514" s="145"/>
      <c r="I514" s="145"/>
      <c r="J514" s="145"/>
      <c r="O514" s="145"/>
      <c r="P514" s="145"/>
    </row>
    <row r="515">
      <c r="C515" s="145"/>
      <c r="D515" s="145"/>
      <c r="I515" s="145"/>
      <c r="J515" s="145"/>
      <c r="O515" s="145"/>
      <c r="P515" s="145"/>
    </row>
    <row r="516">
      <c r="C516" s="145"/>
      <c r="D516" s="145"/>
      <c r="I516" s="145"/>
      <c r="J516" s="145"/>
      <c r="O516" s="145"/>
      <c r="P516" s="145"/>
    </row>
    <row r="517">
      <c r="C517" s="145"/>
      <c r="D517" s="145"/>
      <c r="I517" s="145"/>
      <c r="J517" s="145"/>
      <c r="O517" s="145"/>
      <c r="P517" s="145"/>
    </row>
    <row r="518">
      <c r="C518" s="145"/>
      <c r="D518" s="145"/>
      <c r="I518" s="145"/>
      <c r="J518" s="145"/>
      <c r="O518" s="145"/>
      <c r="P518" s="145"/>
    </row>
    <row r="519">
      <c r="C519" s="145"/>
      <c r="D519" s="145"/>
      <c r="I519" s="145"/>
      <c r="J519" s="145"/>
      <c r="O519" s="145"/>
      <c r="P519" s="145"/>
    </row>
    <row r="520">
      <c r="C520" s="145"/>
      <c r="D520" s="145"/>
      <c r="I520" s="145"/>
      <c r="J520" s="145"/>
      <c r="O520" s="145"/>
      <c r="P520" s="145"/>
    </row>
    <row r="521">
      <c r="C521" s="145"/>
      <c r="D521" s="145"/>
      <c r="I521" s="145"/>
      <c r="J521" s="145"/>
      <c r="O521" s="145"/>
      <c r="P521" s="145"/>
    </row>
    <row r="522">
      <c r="C522" s="145"/>
      <c r="D522" s="145"/>
      <c r="I522" s="145"/>
      <c r="J522" s="145"/>
      <c r="O522" s="145"/>
      <c r="P522" s="145"/>
    </row>
    <row r="523">
      <c r="C523" s="145"/>
      <c r="D523" s="145"/>
      <c r="I523" s="145"/>
      <c r="J523" s="145"/>
      <c r="O523" s="145"/>
      <c r="P523" s="145"/>
    </row>
    <row r="524">
      <c r="C524" s="145"/>
      <c r="D524" s="145"/>
      <c r="I524" s="145"/>
      <c r="J524" s="145"/>
      <c r="O524" s="145"/>
      <c r="P524" s="145"/>
    </row>
    <row r="525">
      <c r="C525" s="145"/>
      <c r="D525" s="145"/>
      <c r="I525" s="145"/>
      <c r="J525" s="145"/>
      <c r="O525" s="145"/>
      <c r="P525" s="145"/>
    </row>
    <row r="526">
      <c r="C526" s="145"/>
      <c r="D526" s="145"/>
      <c r="I526" s="145"/>
      <c r="J526" s="145"/>
      <c r="O526" s="145"/>
      <c r="P526" s="145"/>
    </row>
    <row r="527">
      <c r="C527" s="145"/>
      <c r="D527" s="145"/>
      <c r="I527" s="145"/>
      <c r="J527" s="145"/>
      <c r="O527" s="145"/>
      <c r="P527" s="145"/>
    </row>
    <row r="528">
      <c r="C528" s="145"/>
      <c r="D528" s="145"/>
      <c r="I528" s="145"/>
      <c r="J528" s="145"/>
      <c r="O528" s="145"/>
      <c r="P528" s="145"/>
    </row>
    <row r="529">
      <c r="C529" s="145"/>
      <c r="D529" s="145"/>
      <c r="I529" s="145"/>
      <c r="J529" s="145"/>
      <c r="O529" s="145"/>
      <c r="P529" s="145"/>
    </row>
    <row r="530">
      <c r="C530" s="145"/>
      <c r="D530" s="145"/>
      <c r="I530" s="145"/>
      <c r="J530" s="145"/>
      <c r="O530" s="145"/>
      <c r="P530" s="145"/>
    </row>
    <row r="531">
      <c r="C531" s="145"/>
      <c r="D531" s="145"/>
      <c r="I531" s="145"/>
      <c r="J531" s="145"/>
      <c r="O531" s="145"/>
      <c r="P531" s="145"/>
    </row>
    <row r="532">
      <c r="C532" s="145"/>
      <c r="D532" s="145"/>
      <c r="I532" s="145"/>
      <c r="J532" s="145"/>
      <c r="O532" s="145"/>
      <c r="P532" s="145"/>
    </row>
    <row r="533">
      <c r="C533" s="145"/>
      <c r="D533" s="145"/>
      <c r="I533" s="145"/>
      <c r="J533" s="145"/>
      <c r="O533" s="145"/>
      <c r="P533" s="145"/>
    </row>
    <row r="534">
      <c r="C534" s="145"/>
      <c r="D534" s="145"/>
      <c r="I534" s="145"/>
      <c r="J534" s="145"/>
      <c r="O534" s="145"/>
      <c r="P534" s="145"/>
    </row>
    <row r="535">
      <c r="C535" s="145"/>
      <c r="D535" s="145"/>
      <c r="I535" s="145"/>
      <c r="J535" s="145"/>
      <c r="O535" s="145"/>
      <c r="P535" s="145"/>
    </row>
    <row r="536">
      <c r="C536" s="145"/>
      <c r="D536" s="145"/>
      <c r="I536" s="145"/>
      <c r="J536" s="145"/>
      <c r="O536" s="145"/>
      <c r="P536" s="145"/>
    </row>
    <row r="537">
      <c r="C537" s="145"/>
      <c r="D537" s="145"/>
      <c r="I537" s="145"/>
      <c r="J537" s="145"/>
      <c r="O537" s="145"/>
      <c r="P537" s="145"/>
    </row>
    <row r="538">
      <c r="C538" s="145"/>
      <c r="D538" s="145"/>
      <c r="I538" s="145"/>
      <c r="J538" s="145"/>
      <c r="O538" s="145"/>
      <c r="P538" s="145"/>
    </row>
    <row r="539">
      <c r="C539" s="145"/>
      <c r="D539" s="145"/>
      <c r="I539" s="145"/>
      <c r="J539" s="145"/>
      <c r="O539" s="145"/>
      <c r="P539" s="145"/>
    </row>
    <row r="540">
      <c r="C540" s="145"/>
      <c r="D540" s="145"/>
      <c r="I540" s="145"/>
      <c r="J540" s="145"/>
      <c r="O540" s="145"/>
      <c r="P540" s="145"/>
    </row>
    <row r="541">
      <c r="C541" s="145"/>
      <c r="D541" s="145"/>
      <c r="I541" s="145"/>
      <c r="J541" s="145"/>
      <c r="O541" s="145"/>
      <c r="P541" s="145"/>
    </row>
    <row r="542">
      <c r="C542" s="145"/>
      <c r="D542" s="145"/>
      <c r="I542" s="145"/>
      <c r="J542" s="145"/>
      <c r="O542" s="145"/>
      <c r="P542" s="145"/>
    </row>
    <row r="543">
      <c r="C543" s="145"/>
      <c r="D543" s="145"/>
      <c r="I543" s="145"/>
      <c r="J543" s="145"/>
      <c r="O543" s="145"/>
      <c r="P543" s="145"/>
    </row>
    <row r="544">
      <c r="C544" s="145"/>
      <c r="D544" s="145"/>
      <c r="I544" s="145"/>
      <c r="J544" s="145"/>
      <c r="O544" s="145"/>
      <c r="P544" s="145"/>
    </row>
    <row r="545">
      <c r="C545" s="145"/>
      <c r="D545" s="145"/>
      <c r="I545" s="145"/>
      <c r="J545" s="145"/>
      <c r="O545" s="145"/>
      <c r="P545" s="145"/>
    </row>
    <row r="546">
      <c r="C546" s="145"/>
      <c r="D546" s="145"/>
      <c r="I546" s="145"/>
      <c r="J546" s="145"/>
      <c r="O546" s="145"/>
      <c r="P546" s="145"/>
    </row>
    <row r="547">
      <c r="C547" s="145"/>
      <c r="D547" s="145"/>
      <c r="I547" s="145"/>
      <c r="J547" s="145"/>
      <c r="O547" s="145"/>
      <c r="P547" s="145"/>
    </row>
    <row r="548">
      <c r="C548" s="145"/>
      <c r="D548" s="145"/>
      <c r="I548" s="145"/>
      <c r="J548" s="145"/>
      <c r="O548" s="145"/>
      <c r="P548" s="145"/>
    </row>
    <row r="549">
      <c r="C549" s="145"/>
      <c r="D549" s="145"/>
      <c r="I549" s="145"/>
      <c r="J549" s="145"/>
      <c r="O549" s="145"/>
      <c r="P549" s="145"/>
    </row>
    <row r="550">
      <c r="C550" s="145"/>
      <c r="D550" s="145"/>
      <c r="I550" s="145"/>
      <c r="J550" s="145"/>
      <c r="O550" s="145"/>
      <c r="P550" s="145"/>
    </row>
    <row r="551">
      <c r="C551" s="145"/>
      <c r="D551" s="145"/>
      <c r="I551" s="145"/>
      <c r="J551" s="145"/>
      <c r="O551" s="145"/>
      <c r="P551" s="145"/>
    </row>
    <row r="552">
      <c r="C552" s="145"/>
      <c r="D552" s="145"/>
      <c r="I552" s="145"/>
      <c r="J552" s="145"/>
      <c r="O552" s="145"/>
      <c r="P552" s="145"/>
    </row>
    <row r="553">
      <c r="C553" s="145"/>
      <c r="D553" s="145"/>
      <c r="I553" s="145"/>
      <c r="J553" s="145"/>
      <c r="O553" s="145"/>
      <c r="P553" s="145"/>
    </row>
    <row r="554">
      <c r="C554" s="145"/>
      <c r="D554" s="145"/>
      <c r="I554" s="145"/>
      <c r="J554" s="145"/>
      <c r="O554" s="145"/>
      <c r="P554" s="145"/>
    </row>
    <row r="555">
      <c r="C555" s="145"/>
      <c r="D555" s="145"/>
      <c r="I555" s="145"/>
      <c r="J555" s="145"/>
      <c r="O555" s="145"/>
      <c r="P555" s="145"/>
    </row>
    <row r="556">
      <c r="C556" s="145"/>
      <c r="D556" s="145"/>
      <c r="I556" s="145"/>
      <c r="J556" s="145"/>
      <c r="O556" s="145"/>
      <c r="P556" s="145"/>
    </row>
    <row r="557">
      <c r="C557" s="145"/>
      <c r="D557" s="145"/>
      <c r="I557" s="145"/>
      <c r="J557" s="145"/>
      <c r="O557" s="145"/>
      <c r="P557" s="145"/>
    </row>
    <row r="558">
      <c r="C558" s="145"/>
      <c r="D558" s="145"/>
      <c r="I558" s="145"/>
      <c r="J558" s="145"/>
      <c r="O558" s="145"/>
      <c r="P558" s="145"/>
    </row>
    <row r="559">
      <c r="C559" s="145"/>
      <c r="D559" s="145"/>
      <c r="I559" s="145"/>
      <c r="J559" s="145"/>
      <c r="O559" s="145"/>
      <c r="P559" s="145"/>
    </row>
    <row r="560">
      <c r="C560" s="145"/>
      <c r="D560" s="145"/>
      <c r="I560" s="145"/>
      <c r="J560" s="145"/>
      <c r="O560" s="145"/>
      <c r="P560" s="145"/>
    </row>
    <row r="561">
      <c r="C561" s="145"/>
      <c r="D561" s="145"/>
      <c r="I561" s="145"/>
      <c r="J561" s="145"/>
      <c r="O561" s="145"/>
      <c r="P561" s="145"/>
    </row>
    <row r="562">
      <c r="C562" s="145"/>
      <c r="D562" s="145"/>
      <c r="I562" s="145"/>
      <c r="J562" s="145"/>
      <c r="O562" s="145"/>
      <c r="P562" s="145"/>
    </row>
    <row r="563">
      <c r="C563" s="145"/>
      <c r="D563" s="145"/>
      <c r="I563" s="145"/>
      <c r="J563" s="145"/>
      <c r="O563" s="145"/>
      <c r="P563" s="145"/>
    </row>
    <row r="564">
      <c r="C564" s="145"/>
      <c r="D564" s="145"/>
      <c r="I564" s="145"/>
      <c r="J564" s="145"/>
      <c r="O564" s="145"/>
      <c r="P564" s="145"/>
    </row>
    <row r="565">
      <c r="C565" s="145"/>
      <c r="D565" s="145"/>
      <c r="I565" s="145"/>
      <c r="J565" s="145"/>
      <c r="O565" s="145"/>
      <c r="P565" s="145"/>
    </row>
    <row r="566">
      <c r="C566" s="145"/>
      <c r="D566" s="145"/>
      <c r="I566" s="145"/>
      <c r="J566" s="145"/>
      <c r="O566" s="145"/>
      <c r="P566" s="145"/>
    </row>
    <row r="567">
      <c r="C567" s="145"/>
      <c r="D567" s="145"/>
      <c r="I567" s="145"/>
      <c r="J567" s="145"/>
      <c r="O567" s="145"/>
      <c r="P567" s="145"/>
    </row>
    <row r="568">
      <c r="C568" s="145"/>
      <c r="D568" s="145"/>
      <c r="I568" s="145"/>
      <c r="J568" s="145"/>
      <c r="O568" s="145"/>
      <c r="P568" s="145"/>
    </row>
    <row r="569">
      <c r="C569" s="145"/>
      <c r="D569" s="145"/>
      <c r="I569" s="145"/>
      <c r="J569" s="145"/>
      <c r="O569" s="145"/>
      <c r="P569" s="145"/>
    </row>
    <row r="570">
      <c r="C570" s="145"/>
      <c r="D570" s="145"/>
      <c r="I570" s="145"/>
      <c r="J570" s="145"/>
      <c r="O570" s="145"/>
      <c r="P570" s="145"/>
    </row>
    <row r="571">
      <c r="C571" s="145"/>
      <c r="D571" s="145"/>
      <c r="I571" s="145"/>
      <c r="J571" s="145"/>
      <c r="O571" s="145"/>
      <c r="P571" s="145"/>
    </row>
    <row r="572">
      <c r="C572" s="145"/>
      <c r="D572" s="145"/>
      <c r="I572" s="145"/>
      <c r="J572" s="145"/>
      <c r="O572" s="145"/>
      <c r="P572" s="145"/>
    </row>
    <row r="573">
      <c r="C573" s="145"/>
      <c r="D573" s="145"/>
      <c r="I573" s="145"/>
      <c r="J573" s="145"/>
      <c r="O573" s="145"/>
      <c r="P573" s="145"/>
    </row>
    <row r="574">
      <c r="C574" s="145"/>
      <c r="D574" s="145"/>
      <c r="I574" s="145"/>
      <c r="J574" s="145"/>
      <c r="O574" s="145"/>
      <c r="P574" s="145"/>
    </row>
    <row r="575">
      <c r="C575" s="145"/>
      <c r="D575" s="145"/>
      <c r="I575" s="145"/>
      <c r="J575" s="145"/>
      <c r="O575" s="145"/>
      <c r="P575" s="145"/>
    </row>
    <row r="576">
      <c r="C576" s="145"/>
      <c r="D576" s="145"/>
      <c r="I576" s="145"/>
      <c r="J576" s="145"/>
      <c r="O576" s="145"/>
      <c r="P576" s="145"/>
    </row>
    <row r="577">
      <c r="C577" s="145"/>
      <c r="D577" s="145"/>
      <c r="I577" s="145"/>
      <c r="J577" s="145"/>
      <c r="O577" s="145"/>
      <c r="P577" s="145"/>
    </row>
    <row r="578">
      <c r="C578" s="145"/>
      <c r="D578" s="145"/>
      <c r="I578" s="145"/>
      <c r="J578" s="145"/>
      <c r="O578" s="145"/>
      <c r="P578" s="145"/>
    </row>
    <row r="579">
      <c r="C579" s="145"/>
      <c r="D579" s="145"/>
      <c r="I579" s="145"/>
      <c r="J579" s="145"/>
      <c r="O579" s="145"/>
      <c r="P579" s="145"/>
    </row>
    <row r="580">
      <c r="C580" s="145"/>
      <c r="D580" s="145"/>
      <c r="I580" s="145"/>
      <c r="J580" s="145"/>
      <c r="O580" s="145"/>
      <c r="P580" s="145"/>
    </row>
    <row r="581">
      <c r="C581" s="145"/>
      <c r="D581" s="145"/>
      <c r="I581" s="145"/>
      <c r="J581" s="145"/>
      <c r="O581" s="145"/>
      <c r="P581" s="145"/>
    </row>
    <row r="582">
      <c r="C582" s="145"/>
      <c r="D582" s="145"/>
      <c r="I582" s="145"/>
      <c r="J582" s="145"/>
      <c r="O582" s="145"/>
      <c r="P582" s="145"/>
    </row>
    <row r="583">
      <c r="C583" s="145"/>
      <c r="D583" s="145"/>
      <c r="I583" s="145"/>
      <c r="J583" s="145"/>
      <c r="O583" s="145"/>
      <c r="P583" s="145"/>
    </row>
    <row r="584">
      <c r="C584" s="145"/>
      <c r="D584" s="145"/>
      <c r="I584" s="145"/>
      <c r="J584" s="145"/>
      <c r="O584" s="145"/>
      <c r="P584" s="145"/>
    </row>
    <row r="585">
      <c r="C585" s="145"/>
      <c r="D585" s="145"/>
      <c r="I585" s="145"/>
      <c r="J585" s="145"/>
      <c r="O585" s="145"/>
      <c r="P585" s="145"/>
    </row>
    <row r="586">
      <c r="C586" s="145"/>
      <c r="D586" s="145"/>
      <c r="I586" s="145"/>
      <c r="J586" s="145"/>
      <c r="O586" s="145"/>
      <c r="P586" s="145"/>
    </row>
    <row r="587">
      <c r="C587" s="145"/>
      <c r="D587" s="145"/>
      <c r="I587" s="145"/>
      <c r="J587" s="145"/>
      <c r="O587" s="145"/>
      <c r="P587" s="145"/>
    </row>
    <row r="588">
      <c r="C588" s="145"/>
      <c r="D588" s="145"/>
      <c r="I588" s="145"/>
      <c r="J588" s="145"/>
      <c r="O588" s="145"/>
      <c r="P588" s="145"/>
    </row>
    <row r="589">
      <c r="C589" s="145"/>
      <c r="D589" s="145"/>
      <c r="I589" s="145"/>
      <c r="J589" s="145"/>
      <c r="O589" s="145"/>
      <c r="P589" s="145"/>
    </row>
    <row r="590">
      <c r="C590" s="145"/>
      <c r="D590" s="145"/>
      <c r="I590" s="145"/>
      <c r="J590" s="145"/>
      <c r="O590" s="145"/>
      <c r="P590" s="145"/>
    </row>
    <row r="591">
      <c r="C591" s="145"/>
      <c r="D591" s="145"/>
      <c r="I591" s="145"/>
      <c r="J591" s="145"/>
      <c r="O591" s="145"/>
      <c r="P591" s="145"/>
    </row>
    <row r="592">
      <c r="C592" s="145"/>
      <c r="D592" s="145"/>
      <c r="I592" s="145"/>
      <c r="J592" s="145"/>
      <c r="O592" s="145"/>
      <c r="P592" s="145"/>
    </row>
    <row r="593">
      <c r="C593" s="145"/>
      <c r="D593" s="145"/>
      <c r="I593" s="145"/>
      <c r="J593" s="145"/>
      <c r="O593" s="145"/>
      <c r="P593" s="145"/>
    </row>
    <row r="594">
      <c r="C594" s="145"/>
      <c r="D594" s="145"/>
      <c r="I594" s="145"/>
      <c r="J594" s="145"/>
      <c r="O594" s="145"/>
      <c r="P594" s="145"/>
    </row>
    <row r="595">
      <c r="C595" s="145"/>
      <c r="D595" s="145"/>
      <c r="I595" s="145"/>
      <c r="J595" s="145"/>
      <c r="O595" s="145"/>
      <c r="P595" s="145"/>
    </row>
    <row r="596">
      <c r="C596" s="145"/>
      <c r="D596" s="145"/>
      <c r="I596" s="145"/>
      <c r="J596" s="145"/>
      <c r="O596" s="145"/>
      <c r="P596" s="145"/>
    </row>
    <row r="597">
      <c r="C597" s="145"/>
      <c r="D597" s="145"/>
      <c r="I597" s="145"/>
      <c r="J597" s="145"/>
      <c r="O597" s="145"/>
      <c r="P597" s="145"/>
    </row>
    <row r="598">
      <c r="C598" s="145"/>
      <c r="D598" s="145"/>
      <c r="I598" s="145"/>
      <c r="J598" s="145"/>
      <c r="O598" s="145"/>
      <c r="P598" s="145"/>
    </row>
    <row r="599">
      <c r="C599" s="145"/>
      <c r="D599" s="145"/>
      <c r="I599" s="145"/>
      <c r="J599" s="145"/>
      <c r="O599" s="145"/>
      <c r="P599" s="145"/>
    </row>
    <row r="600">
      <c r="C600" s="145"/>
      <c r="D600" s="145"/>
      <c r="I600" s="145"/>
      <c r="J600" s="145"/>
      <c r="O600" s="145"/>
      <c r="P600" s="145"/>
    </row>
    <row r="601">
      <c r="C601" s="145"/>
      <c r="D601" s="145"/>
      <c r="I601" s="145"/>
      <c r="J601" s="145"/>
      <c r="O601" s="145"/>
      <c r="P601" s="145"/>
    </row>
    <row r="602">
      <c r="C602" s="145"/>
      <c r="D602" s="145"/>
      <c r="I602" s="145"/>
      <c r="J602" s="145"/>
      <c r="O602" s="145"/>
      <c r="P602" s="145"/>
    </row>
    <row r="603">
      <c r="C603" s="145"/>
      <c r="D603" s="145"/>
      <c r="I603" s="145"/>
      <c r="J603" s="145"/>
      <c r="O603" s="145"/>
      <c r="P603" s="145"/>
    </row>
    <row r="604">
      <c r="C604" s="145"/>
      <c r="D604" s="145"/>
      <c r="I604" s="145"/>
      <c r="J604" s="145"/>
      <c r="O604" s="145"/>
      <c r="P604" s="145"/>
    </row>
    <row r="605">
      <c r="C605" s="145"/>
      <c r="D605" s="145"/>
      <c r="I605" s="145"/>
      <c r="J605" s="145"/>
      <c r="O605" s="145"/>
      <c r="P605" s="145"/>
    </row>
    <row r="606">
      <c r="C606" s="145"/>
      <c r="D606" s="145"/>
      <c r="I606" s="145"/>
      <c r="J606" s="145"/>
      <c r="O606" s="145"/>
      <c r="P606" s="145"/>
    </row>
    <row r="607">
      <c r="C607" s="145"/>
      <c r="D607" s="145"/>
      <c r="I607" s="145"/>
      <c r="J607" s="145"/>
      <c r="O607" s="145"/>
      <c r="P607" s="145"/>
    </row>
    <row r="608">
      <c r="C608" s="145"/>
      <c r="D608" s="145"/>
      <c r="I608" s="145"/>
      <c r="J608" s="145"/>
      <c r="O608" s="145"/>
      <c r="P608" s="145"/>
    </row>
    <row r="609">
      <c r="C609" s="145"/>
      <c r="D609" s="145"/>
      <c r="I609" s="145"/>
      <c r="J609" s="145"/>
      <c r="O609" s="145"/>
      <c r="P609" s="145"/>
    </row>
    <row r="610">
      <c r="C610" s="145"/>
      <c r="D610" s="145"/>
      <c r="I610" s="145"/>
      <c r="J610" s="145"/>
      <c r="O610" s="145"/>
      <c r="P610" s="145"/>
    </row>
    <row r="611">
      <c r="C611" s="145"/>
      <c r="D611" s="145"/>
      <c r="I611" s="145"/>
      <c r="J611" s="145"/>
      <c r="O611" s="145"/>
      <c r="P611" s="145"/>
    </row>
    <row r="612">
      <c r="C612" s="145"/>
      <c r="D612" s="145"/>
      <c r="I612" s="145"/>
      <c r="J612" s="145"/>
      <c r="O612" s="145"/>
      <c r="P612" s="145"/>
    </row>
    <row r="613">
      <c r="C613" s="145"/>
      <c r="D613" s="145"/>
      <c r="I613" s="145"/>
      <c r="J613" s="145"/>
      <c r="O613" s="145"/>
      <c r="P613" s="145"/>
    </row>
    <row r="614">
      <c r="C614" s="145"/>
      <c r="D614" s="145"/>
      <c r="I614" s="145"/>
      <c r="J614" s="145"/>
      <c r="O614" s="145"/>
      <c r="P614" s="145"/>
    </row>
    <row r="615">
      <c r="C615" s="145"/>
      <c r="D615" s="145"/>
      <c r="I615" s="145"/>
      <c r="J615" s="145"/>
      <c r="O615" s="145"/>
      <c r="P615" s="145"/>
    </row>
    <row r="616">
      <c r="C616" s="145"/>
      <c r="D616" s="145"/>
      <c r="I616" s="145"/>
      <c r="J616" s="145"/>
      <c r="O616" s="145"/>
      <c r="P616" s="145"/>
    </row>
    <row r="617">
      <c r="C617" s="145"/>
      <c r="D617" s="145"/>
      <c r="I617" s="145"/>
      <c r="J617" s="145"/>
      <c r="O617" s="145"/>
      <c r="P617" s="145"/>
    </row>
    <row r="618">
      <c r="C618" s="145"/>
      <c r="D618" s="145"/>
      <c r="I618" s="145"/>
      <c r="J618" s="145"/>
      <c r="O618" s="145"/>
      <c r="P618" s="145"/>
    </row>
    <row r="619">
      <c r="C619" s="145"/>
      <c r="D619" s="145"/>
      <c r="I619" s="145"/>
      <c r="J619" s="145"/>
      <c r="O619" s="145"/>
      <c r="P619" s="145"/>
    </row>
    <row r="620">
      <c r="C620" s="145"/>
      <c r="D620" s="145"/>
      <c r="I620" s="145"/>
      <c r="J620" s="145"/>
      <c r="O620" s="145"/>
      <c r="P620" s="145"/>
    </row>
    <row r="621">
      <c r="C621" s="145"/>
      <c r="D621" s="145"/>
      <c r="I621" s="145"/>
      <c r="J621" s="145"/>
      <c r="O621" s="145"/>
      <c r="P621" s="145"/>
    </row>
    <row r="622">
      <c r="C622" s="145"/>
      <c r="D622" s="145"/>
      <c r="I622" s="145"/>
      <c r="J622" s="145"/>
      <c r="O622" s="145"/>
      <c r="P622" s="145"/>
    </row>
    <row r="623">
      <c r="C623" s="145"/>
      <c r="D623" s="145"/>
      <c r="I623" s="145"/>
      <c r="J623" s="145"/>
      <c r="O623" s="145"/>
      <c r="P623" s="145"/>
    </row>
    <row r="624">
      <c r="C624" s="145"/>
      <c r="D624" s="145"/>
      <c r="I624" s="145"/>
      <c r="J624" s="145"/>
      <c r="O624" s="145"/>
      <c r="P624" s="145"/>
    </row>
    <row r="625">
      <c r="C625" s="145"/>
      <c r="D625" s="145"/>
      <c r="I625" s="145"/>
      <c r="J625" s="145"/>
      <c r="O625" s="145"/>
      <c r="P625" s="145"/>
    </row>
    <row r="626">
      <c r="C626" s="145"/>
      <c r="D626" s="145"/>
      <c r="I626" s="145"/>
      <c r="J626" s="145"/>
      <c r="O626" s="145"/>
      <c r="P626" s="145"/>
    </row>
    <row r="627">
      <c r="C627" s="145"/>
      <c r="D627" s="145"/>
      <c r="I627" s="145"/>
      <c r="J627" s="145"/>
      <c r="O627" s="145"/>
      <c r="P627" s="145"/>
    </row>
    <row r="628">
      <c r="C628" s="145"/>
      <c r="D628" s="145"/>
      <c r="I628" s="145"/>
      <c r="J628" s="145"/>
      <c r="O628" s="145"/>
      <c r="P628" s="145"/>
    </row>
    <row r="629">
      <c r="C629" s="145"/>
      <c r="D629" s="145"/>
      <c r="I629" s="145"/>
      <c r="J629" s="145"/>
      <c r="O629" s="145"/>
      <c r="P629" s="145"/>
    </row>
    <row r="630">
      <c r="C630" s="145"/>
      <c r="D630" s="145"/>
      <c r="I630" s="145"/>
      <c r="J630" s="145"/>
      <c r="O630" s="145"/>
      <c r="P630" s="145"/>
    </row>
    <row r="631">
      <c r="C631" s="145"/>
      <c r="D631" s="145"/>
      <c r="I631" s="145"/>
      <c r="J631" s="145"/>
      <c r="O631" s="145"/>
      <c r="P631" s="145"/>
    </row>
    <row r="632">
      <c r="C632" s="145"/>
      <c r="D632" s="145"/>
      <c r="I632" s="145"/>
      <c r="J632" s="145"/>
      <c r="O632" s="145"/>
      <c r="P632" s="145"/>
    </row>
    <row r="633">
      <c r="C633" s="145"/>
      <c r="D633" s="145"/>
      <c r="I633" s="145"/>
      <c r="J633" s="145"/>
      <c r="O633" s="145"/>
      <c r="P633" s="145"/>
    </row>
    <row r="634">
      <c r="C634" s="145"/>
      <c r="D634" s="145"/>
      <c r="I634" s="145"/>
      <c r="J634" s="145"/>
      <c r="O634" s="145"/>
      <c r="P634" s="145"/>
    </row>
    <row r="635">
      <c r="C635" s="145"/>
      <c r="D635" s="145"/>
      <c r="I635" s="145"/>
      <c r="J635" s="145"/>
      <c r="O635" s="145"/>
      <c r="P635" s="145"/>
    </row>
    <row r="636">
      <c r="C636" s="145"/>
      <c r="D636" s="145"/>
      <c r="I636" s="145"/>
      <c r="J636" s="145"/>
      <c r="O636" s="145"/>
      <c r="P636" s="145"/>
    </row>
    <row r="637">
      <c r="C637" s="145"/>
      <c r="D637" s="145"/>
      <c r="I637" s="145"/>
      <c r="J637" s="145"/>
      <c r="O637" s="145"/>
      <c r="P637" s="145"/>
    </row>
    <row r="638">
      <c r="C638" s="145"/>
      <c r="D638" s="145"/>
      <c r="I638" s="145"/>
      <c r="J638" s="145"/>
      <c r="O638" s="145"/>
      <c r="P638" s="145"/>
    </row>
    <row r="639">
      <c r="C639" s="145"/>
      <c r="D639" s="145"/>
      <c r="I639" s="145"/>
      <c r="J639" s="145"/>
      <c r="O639" s="145"/>
      <c r="P639" s="145"/>
    </row>
    <row r="640">
      <c r="C640" s="145"/>
      <c r="D640" s="145"/>
      <c r="I640" s="145"/>
      <c r="J640" s="145"/>
      <c r="O640" s="145"/>
      <c r="P640" s="145"/>
    </row>
    <row r="641">
      <c r="C641" s="145"/>
      <c r="D641" s="145"/>
      <c r="I641" s="145"/>
      <c r="J641" s="145"/>
      <c r="O641" s="145"/>
      <c r="P641" s="145"/>
    </row>
    <row r="642">
      <c r="C642" s="145"/>
      <c r="D642" s="145"/>
      <c r="I642" s="145"/>
      <c r="J642" s="145"/>
      <c r="O642" s="145"/>
      <c r="P642" s="145"/>
    </row>
    <row r="643">
      <c r="C643" s="145"/>
      <c r="D643" s="145"/>
      <c r="I643" s="145"/>
      <c r="J643" s="145"/>
      <c r="O643" s="145"/>
      <c r="P643" s="145"/>
    </row>
    <row r="644">
      <c r="C644" s="145"/>
      <c r="D644" s="145"/>
      <c r="I644" s="145"/>
      <c r="J644" s="145"/>
      <c r="O644" s="145"/>
      <c r="P644" s="145"/>
    </row>
    <row r="645">
      <c r="C645" s="145"/>
      <c r="D645" s="145"/>
      <c r="I645" s="145"/>
      <c r="J645" s="145"/>
      <c r="O645" s="145"/>
      <c r="P645" s="145"/>
    </row>
    <row r="646">
      <c r="C646" s="145"/>
      <c r="D646" s="145"/>
      <c r="I646" s="145"/>
      <c r="J646" s="145"/>
      <c r="O646" s="145"/>
      <c r="P646" s="145"/>
    </row>
    <row r="647">
      <c r="C647" s="145"/>
      <c r="D647" s="145"/>
      <c r="I647" s="145"/>
      <c r="J647" s="145"/>
      <c r="O647" s="145"/>
      <c r="P647" s="145"/>
    </row>
    <row r="648">
      <c r="C648" s="145"/>
      <c r="D648" s="145"/>
      <c r="I648" s="145"/>
      <c r="J648" s="145"/>
      <c r="O648" s="145"/>
      <c r="P648" s="145"/>
    </row>
    <row r="649">
      <c r="C649" s="145"/>
      <c r="D649" s="145"/>
      <c r="I649" s="145"/>
      <c r="J649" s="145"/>
      <c r="O649" s="145"/>
      <c r="P649" s="145"/>
    </row>
    <row r="650">
      <c r="C650" s="145"/>
      <c r="D650" s="145"/>
      <c r="I650" s="145"/>
      <c r="J650" s="145"/>
      <c r="O650" s="145"/>
      <c r="P650" s="145"/>
    </row>
    <row r="651">
      <c r="C651" s="145"/>
      <c r="D651" s="145"/>
      <c r="I651" s="145"/>
      <c r="J651" s="145"/>
      <c r="O651" s="145"/>
      <c r="P651" s="145"/>
    </row>
    <row r="652">
      <c r="C652" s="145"/>
      <c r="D652" s="145"/>
      <c r="I652" s="145"/>
      <c r="J652" s="145"/>
      <c r="O652" s="145"/>
      <c r="P652" s="145"/>
    </row>
    <row r="653">
      <c r="C653" s="145"/>
      <c r="D653" s="145"/>
      <c r="I653" s="145"/>
      <c r="J653" s="145"/>
      <c r="O653" s="145"/>
      <c r="P653" s="145"/>
    </row>
    <row r="654">
      <c r="C654" s="145"/>
      <c r="D654" s="145"/>
      <c r="I654" s="145"/>
      <c r="J654" s="145"/>
      <c r="O654" s="145"/>
      <c r="P654" s="145"/>
    </row>
    <row r="655">
      <c r="C655" s="145"/>
      <c r="D655" s="145"/>
      <c r="I655" s="145"/>
      <c r="J655" s="145"/>
      <c r="O655" s="145"/>
      <c r="P655" s="145"/>
    </row>
    <row r="656">
      <c r="C656" s="145"/>
      <c r="D656" s="145"/>
      <c r="I656" s="145"/>
      <c r="J656" s="145"/>
      <c r="O656" s="145"/>
      <c r="P656" s="145"/>
    </row>
    <row r="657">
      <c r="C657" s="145"/>
      <c r="D657" s="145"/>
      <c r="I657" s="145"/>
      <c r="J657" s="145"/>
      <c r="O657" s="145"/>
      <c r="P657" s="145"/>
    </row>
    <row r="658">
      <c r="C658" s="145"/>
      <c r="D658" s="145"/>
      <c r="I658" s="145"/>
      <c r="J658" s="145"/>
      <c r="O658" s="145"/>
      <c r="P658" s="145"/>
    </row>
    <row r="659">
      <c r="C659" s="145"/>
      <c r="D659" s="145"/>
      <c r="I659" s="145"/>
      <c r="J659" s="145"/>
      <c r="O659" s="145"/>
      <c r="P659" s="145"/>
    </row>
    <row r="660">
      <c r="C660" s="145"/>
      <c r="D660" s="145"/>
      <c r="I660" s="145"/>
      <c r="J660" s="145"/>
      <c r="O660" s="145"/>
      <c r="P660" s="145"/>
    </row>
    <row r="661">
      <c r="C661" s="145"/>
      <c r="D661" s="145"/>
      <c r="I661" s="145"/>
      <c r="J661" s="145"/>
      <c r="O661" s="145"/>
      <c r="P661" s="145"/>
    </row>
    <row r="662">
      <c r="C662" s="145"/>
      <c r="D662" s="145"/>
      <c r="I662" s="145"/>
      <c r="J662" s="145"/>
      <c r="O662" s="145"/>
      <c r="P662" s="145"/>
    </row>
    <row r="663">
      <c r="C663" s="145"/>
      <c r="D663" s="145"/>
      <c r="I663" s="145"/>
      <c r="J663" s="145"/>
      <c r="O663" s="145"/>
      <c r="P663" s="145"/>
    </row>
    <row r="664">
      <c r="C664" s="145"/>
      <c r="D664" s="145"/>
      <c r="I664" s="145"/>
      <c r="J664" s="145"/>
      <c r="O664" s="145"/>
      <c r="P664" s="145"/>
    </row>
    <row r="665">
      <c r="C665" s="145"/>
      <c r="D665" s="145"/>
      <c r="I665" s="145"/>
      <c r="J665" s="145"/>
      <c r="O665" s="145"/>
      <c r="P665" s="145"/>
    </row>
    <row r="666">
      <c r="C666" s="145"/>
      <c r="D666" s="145"/>
      <c r="I666" s="145"/>
      <c r="J666" s="145"/>
      <c r="O666" s="145"/>
      <c r="P666" s="145"/>
    </row>
    <row r="667">
      <c r="C667" s="145"/>
      <c r="D667" s="145"/>
      <c r="I667" s="145"/>
      <c r="J667" s="145"/>
      <c r="O667" s="145"/>
      <c r="P667" s="145"/>
    </row>
    <row r="668">
      <c r="C668" s="145"/>
      <c r="D668" s="145"/>
      <c r="I668" s="145"/>
      <c r="J668" s="145"/>
      <c r="O668" s="145"/>
      <c r="P668" s="145"/>
    </row>
    <row r="669">
      <c r="C669" s="145"/>
      <c r="D669" s="145"/>
      <c r="I669" s="145"/>
      <c r="J669" s="145"/>
      <c r="O669" s="145"/>
      <c r="P669" s="145"/>
    </row>
    <row r="670">
      <c r="C670" s="145"/>
      <c r="D670" s="145"/>
      <c r="I670" s="145"/>
      <c r="J670" s="145"/>
      <c r="O670" s="145"/>
      <c r="P670" s="145"/>
    </row>
    <row r="671">
      <c r="C671" s="145"/>
      <c r="D671" s="145"/>
      <c r="I671" s="145"/>
      <c r="J671" s="145"/>
      <c r="O671" s="145"/>
      <c r="P671" s="145"/>
    </row>
    <row r="672">
      <c r="C672" s="145"/>
      <c r="D672" s="145"/>
      <c r="I672" s="145"/>
      <c r="J672" s="145"/>
      <c r="O672" s="145"/>
      <c r="P672" s="145"/>
    </row>
    <row r="673">
      <c r="C673" s="145"/>
      <c r="D673" s="145"/>
      <c r="I673" s="145"/>
      <c r="J673" s="145"/>
      <c r="O673" s="145"/>
      <c r="P673" s="145"/>
    </row>
    <row r="674">
      <c r="C674" s="145"/>
      <c r="D674" s="145"/>
      <c r="I674" s="145"/>
      <c r="J674" s="145"/>
      <c r="O674" s="145"/>
      <c r="P674" s="145"/>
    </row>
    <row r="675">
      <c r="C675" s="145"/>
      <c r="D675" s="145"/>
      <c r="I675" s="145"/>
      <c r="J675" s="145"/>
      <c r="O675" s="145"/>
      <c r="P675" s="145"/>
    </row>
    <row r="676">
      <c r="C676" s="145"/>
      <c r="D676" s="145"/>
      <c r="I676" s="145"/>
      <c r="J676" s="145"/>
      <c r="O676" s="145"/>
      <c r="P676" s="145"/>
    </row>
    <row r="677">
      <c r="C677" s="145"/>
      <c r="D677" s="145"/>
      <c r="I677" s="145"/>
      <c r="J677" s="145"/>
      <c r="O677" s="145"/>
      <c r="P677" s="145"/>
    </row>
    <row r="678">
      <c r="C678" s="145"/>
      <c r="D678" s="145"/>
      <c r="I678" s="145"/>
      <c r="J678" s="145"/>
      <c r="O678" s="145"/>
      <c r="P678" s="145"/>
    </row>
    <row r="679">
      <c r="C679" s="145"/>
      <c r="D679" s="145"/>
      <c r="I679" s="145"/>
      <c r="J679" s="145"/>
      <c r="O679" s="145"/>
      <c r="P679" s="145"/>
    </row>
    <row r="680">
      <c r="C680" s="145"/>
      <c r="D680" s="145"/>
      <c r="I680" s="145"/>
      <c r="J680" s="145"/>
      <c r="O680" s="145"/>
      <c r="P680" s="145"/>
    </row>
    <row r="681">
      <c r="C681" s="145"/>
      <c r="D681" s="145"/>
      <c r="I681" s="145"/>
      <c r="J681" s="145"/>
      <c r="O681" s="145"/>
      <c r="P681" s="145"/>
    </row>
    <row r="682">
      <c r="C682" s="145"/>
      <c r="D682" s="145"/>
      <c r="I682" s="145"/>
      <c r="J682" s="145"/>
      <c r="O682" s="145"/>
      <c r="P682" s="145"/>
    </row>
    <row r="683">
      <c r="C683" s="145"/>
      <c r="D683" s="145"/>
      <c r="I683" s="145"/>
      <c r="J683" s="145"/>
      <c r="O683" s="145"/>
      <c r="P683" s="145"/>
    </row>
    <row r="684">
      <c r="C684" s="145"/>
      <c r="D684" s="145"/>
      <c r="I684" s="145"/>
      <c r="J684" s="145"/>
      <c r="O684" s="145"/>
      <c r="P684" s="145"/>
    </row>
    <row r="685">
      <c r="C685" s="145"/>
      <c r="D685" s="145"/>
      <c r="I685" s="145"/>
      <c r="J685" s="145"/>
      <c r="O685" s="145"/>
      <c r="P685" s="145"/>
    </row>
    <row r="686">
      <c r="C686" s="145"/>
      <c r="D686" s="145"/>
      <c r="I686" s="145"/>
      <c r="J686" s="145"/>
      <c r="O686" s="145"/>
      <c r="P686" s="145"/>
    </row>
    <row r="687">
      <c r="C687" s="145"/>
      <c r="D687" s="145"/>
      <c r="I687" s="145"/>
      <c r="J687" s="145"/>
      <c r="O687" s="145"/>
      <c r="P687" s="145"/>
    </row>
    <row r="688">
      <c r="C688" s="145"/>
      <c r="D688" s="145"/>
      <c r="I688" s="145"/>
      <c r="J688" s="145"/>
      <c r="O688" s="145"/>
      <c r="P688" s="145"/>
    </row>
    <row r="689">
      <c r="C689" s="145"/>
      <c r="D689" s="145"/>
      <c r="I689" s="145"/>
      <c r="J689" s="145"/>
      <c r="O689" s="145"/>
      <c r="P689" s="145"/>
    </row>
    <row r="690">
      <c r="C690" s="145"/>
      <c r="D690" s="145"/>
      <c r="I690" s="145"/>
      <c r="J690" s="145"/>
      <c r="O690" s="145"/>
      <c r="P690" s="145"/>
    </row>
    <row r="691">
      <c r="C691" s="145"/>
      <c r="D691" s="145"/>
      <c r="I691" s="145"/>
      <c r="J691" s="145"/>
      <c r="O691" s="145"/>
      <c r="P691" s="145"/>
    </row>
    <row r="692">
      <c r="C692" s="145"/>
      <c r="D692" s="145"/>
      <c r="I692" s="145"/>
      <c r="J692" s="145"/>
      <c r="O692" s="145"/>
      <c r="P692" s="145"/>
    </row>
    <row r="693">
      <c r="C693" s="145"/>
      <c r="D693" s="145"/>
      <c r="I693" s="145"/>
      <c r="J693" s="145"/>
      <c r="O693" s="145"/>
      <c r="P693" s="145"/>
    </row>
    <row r="694">
      <c r="C694" s="145"/>
      <c r="D694" s="145"/>
      <c r="I694" s="145"/>
      <c r="J694" s="145"/>
      <c r="O694" s="145"/>
      <c r="P694" s="145"/>
    </row>
    <row r="695">
      <c r="C695" s="145"/>
      <c r="D695" s="145"/>
      <c r="I695" s="145"/>
      <c r="J695" s="145"/>
      <c r="O695" s="145"/>
      <c r="P695" s="145"/>
    </row>
    <row r="696">
      <c r="C696" s="145"/>
      <c r="D696" s="145"/>
      <c r="I696" s="145"/>
      <c r="J696" s="145"/>
      <c r="O696" s="145"/>
      <c r="P696" s="145"/>
    </row>
    <row r="697">
      <c r="C697" s="145"/>
      <c r="D697" s="145"/>
      <c r="I697" s="145"/>
      <c r="J697" s="145"/>
      <c r="O697" s="145"/>
      <c r="P697" s="145"/>
    </row>
    <row r="698">
      <c r="C698" s="145"/>
      <c r="D698" s="145"/>
      <c r="I698" s="145"/>
      <c r="J698" s="145"/>
      <c r="O698" s="145"/>
      <c r="P698" s="145"/>
    </row>
    <row r="699">
      <c r="C699" s="145"/>
      <c r="D699" s="145"/>
      <c r="I699" s="145"/>
      <c r="J699" s="145"/>
      <c r="O699" s="145"/>
      <c r="P699" s="145"/>
    </row>
    <row r="700">
      <c r="C700" s="145"/>
      <c r="D700" s="145"/>
      <c r="I700" s="145"/>
      <c r="J700" s="145"/>
      <c r="O700" s="145"/>
      <c r="P700" s="145"/>
    </row>
    <row r="701">
      <c r="C701" s="145"/>
      <c r="D701" s="145"/>
      <c r="I701" s="145"/>
      <c r="J701" s="145"/>
      <c r="O701" s="145"/>
      <c r="P701" s="145"/>
    </row>
    <row r="702">
      <c r="C702" s="145"/>
      <c r="D702" s="145"/>
      <c r="I702" s="145"/>
      <c r="J702" s="145"/>
      <c r="O702" s="145"/>
      <c r="P702" s="145"/>
    </row>
    <row r="703">
      <c r="C703" s="145"/>
      <c r="D703" s="145"/>
      <c r="I703" s="145"/>
      <c r="J703" s="145"/>
      <c r="O703" s="145"/>
      <c r="P703" s="145"/>
    </row>
    <row r="704">
      <c r="C704" s="145"/>
      <c r="D704" s="145"/>
      <c r="I704" s="145"/>
      <c r="J704" s="145"/>
      <c r="O704" s="145"/>
      <c r="P704" s="145"/>
    </row>
    <row r="705">
      <c r="C705" s="145"/>
      <c r="D705" s="145"/>
      <c r="I705" s="145"/>
      <c r="J705" s="145"/>
      <c r="O705" s="145"/>
      <c r="P705" s="145"/>
    </row>
    <row r="706">
      <c r="C706" s="145"/>
      <c r="D706" s="145"/>
      <c r="I706" s="145"/>
      <c r="J706" s="145"/>
      <c r="O706" s="145"/>
      <c r="P706" s="145"/>
    </row>
    <row r="707">
      <c r="C707" s="145"/>
      <c r="D707" s="145"/>
      <c r="I707" s="145"/>
      <c r="J707" s="145"/>
      <c r="O707" s="145"/>
      <c r="P707" s="145"/>
    </row>
    <row r="708">
      <c r="C708" s="145"/>
      <c r="D708" s="145"/>
      <c r="I708" s="145"/>
      <c r="J708" s="145"/>
      <c r="O708" s="145"/>
      <c r="P708" s="145"/>
    </row>
    <row r="709">
      <c r="C709" s="145"/>
      <c r="D709" s="145"/>
      <c r="I709" s="145"/>
      <c r="J709" s="145"/>
      <c r="O709" s="145"/>
      <c r="P709" s="145"/>
    </row>
    <row r="710">
      <c r="C710" s="145"/>
      <c r="D710" s="145"/>
      <c r="I710" s="145"/>
      <c r="J710" s="145"/>
      <c r="O710" s="145"/>
      <c r="P710" s="145"/>
    </row>
    <row r="711">
      <c r="C711" s="145"/>
      <c r="D711" s="145"/>
      <c r="I711" s="145"/>
      <c r="J711" s="145"/>
      <c r="O711" s="145"/>
      <c r="P711" s="145"/>
    </row>
    <row r="712">
      <c r="C712" s="145"/>
      <c r="D712" s="145"/>
      <c r="I712" s="145"/>
      <c r="J712" s="145"/>
      <c r="O712" s="145"/>
      <c r="P712" s="145"/>
    </row>
    <row r="713">
      <c r="C713" s="145"/>
      <c r="D713" s="145"/>
      <c r="I713" s="145"/>
      <c r="J713" s="145"/>
      <c r="O713" s="145"/>
      <c r="P713" s="145"/>
    </row>
    <row r="714">
      <c r="C714" s="145"/>
      <c r="D714" s="145"/>
      <c r="I714" s="145"/>
      <c r="J714" s="145"/>
      <c r="O714" s="145"/>
      <c r="P714" s="145"/>
    </row>
    <row r="715">
      <c r="C715" s="145"/>
      <c r="D715" s="145"/>
      <c r="I715" s="145"/>
      <c r="J715" s="145"/>
      <c r="O715" s="145"/>
      <c r="P715" s="145"/>
    </row>
    <row r="716">
      <c r="C716" s="145"/>
      <c r="D716" s="145"/>
      <c r="I716" s="145"/>
      <c r="J716" s="145"/>
      <c r="O716" s="145"/>
      <c r="P716" s="145"/>
    </row>
    <row r="717">
      <c r="C717" s="145"/>
      <c r="D717" s="145"/>
      <c r="I717" s="145"/>
      <c r="J717" s="145"/>
      <c r="O717" s="145"/>
      <c r="P717" s="145"/>
    </row>
    <row r="718">
      <c r="C718" s="145"/>
      <c r="D718" s="145"/>
      <c r="I718" s="145"/>
      <c r="J718" s="145"/>
      <c r="O718" s="145"/>
      <c r="P718" s="145"/>
    </row>
    <row r="719">
      <c r="C719" s="145"/>
      <c r="D719" s="145"/>
      <c r="I719" s="145"/>
      <c r="J719" s="145"/>
      <c r="O719" s="145"/>
      <c r="P719" s="145"/>
    </row>
    <row r="720">
      <c r="C720" s="145"/>
      <c r="D720" s="145"/>
      <c r="I720" s="145"/>
      <c r="J720" s="145"/>
      <c r="O720" s="145"/>
      <c r="P720" s="145"/>
    </row>
    <row r="721">
      <c r="C721" s="145"/>
      <c r="D721" s="145"/>
      <c r="I721" s="145"/>
      <c r="J721" s="145"/>
      <c r="O721" s="145"/>
      <c r="P721" s="145"/>
    </row>
    <row r="722">
      <c r="C722" s="145"/>
      <c r="D722" s="145"/>
      <c r="I722" s="145"/>
      <c r="J722" s="145"/>
      <c r="O722" s="145"/>
      <c r="P722" s="145"/>
    </row>
    <row r="723">
      <c r="C723" s="145"/>
      <c r="D723" s="145"/>
      <c r="I723" s="145"/>
      <c r="J723" s="145"/>
      <c r="O723" s="145"/>
      <c r="P723" s="145"/>
    </row>
    <row r="724">
      <c r="C724" s="145"/>
      <c r="D724" s="145"/>
      <c r="I724" s="145"/>
      <c r="J724" s="145"/>
      <c r="O724" s="145"/>
      <c r="P724" s="145"/>
    </row>
    <row r="725">
      <c r="C725" s="145"/>
      <c r="D725" s="145"/>
      <c r="I725" s="145"/>
      <c r="J725" s="145"/>
      <c r="O725" s="145"/>
      <c r="P725" s="145"/>
    </row>
    <row r="726">
      <c r="C726" s="145"/>
      <c r="D726" s="145"/>
      <c r="I726" s="145"/>
      <c r="J726" s="145"/>
      <c r="O726" s="145"/>
      <c r="P726" s="145"/>
    </row>
    <row r="727">
      <c r="C727" s="145"/>
      <c r="D727" s="145"/>
      <c r="I727" s="145"/>
      <c r="J727" s="145"/>
      <c r="O727" s="145"/>
      <c r="P727" s="145"/>
    </row>
    <row r="728">
      <c r="C728" s="145"/>
      <c r="D728" s="145"/>
      <c r="I728" s="145"/>
      <c r="J728" s="145"/>
      <c r="O728" s="145"/>
      <c r="P728" s="145"/>
    </row>
    <row r="729">
      <c r="C729" s="145"/>
      <c r="D729" s="145"/>
      <c r="I729" s="145"/>
      <c r="J729" s="145"/>
      <c r="O729" s="145"/>
      <c r="P729" s="145"/>
    </row>
    <row r="730">
      <c r="C730" s="145"/>
      <c r="D730" s="145"/>
      <c r="I730" s="145"/>
      <c r="J730" s="145"/>
      <c r="O730" s="145"/>
      <c r="P730" s="145"/>
    </row>
    <row r="731">
      <c r="C731" s="145"/>
      <c r="D731" s="145"/>
      <c r="I731" s="145"/>
      <c r="J731" s="145"/>
      <c r="O731" s="145"/>
      <c r="P731" s="145"/>
    </row>
    <row r="732">
      <c r="C732" s="145"/>
      <c r="D732" s="145"/>
      <c r="I732" s="145"/>
      <c r="J732" s="145"/>
      <c r="O732" s="145"/>
      <c r="P732" s="145"/>
    </row>
    <row r="733">
      <c r="C733" s="145"/>
      <c r="D733" s="145"/>
      <c r="I733" s="145"/>
      <c r="J733" s="145"/>
      <c r="O733" s="145"/>
      <c r="P733" s="145"/>
    </row>
    <row r="734">
      <c r="C734" s="145"/>
      <c r="D734" s="145"/>
      <c r="I734" s="145"/>
      <c r="J734" s="145"/>
      <c r="O734" s="145"/>
      <c r="P734" s="145"/>
    </row>
    <row r="735">
      <c r="C735" s="145"/>
      <c r="D735" s="145"/>
      <c r="I735" s="145"/>
      <c r="J735" s="145"/>
      <c r="O735" s="145"/>
      <c r="P735" s="145"/>
    </row>
    <row r="736">
      <c r="C736" s="145"/>
      <c r="D736" s="145"/>
      <c r="I736" s="145"/>
      <c r="J736" s="145"/>
      <c r="O736" s="145"/>
      <c r="P736" s="145"/>
    </row>
    <row r="737">
      <c r="C737" s="145"/>
      <c r="D737" s="145"/>
      <c r="I737" s="145"/>
      <c r="J737" s="145"/>
      <c r="O737" s="145"/>
      <c r="P737" s="145"/>
    </row>
    <row r="738">
      <c r="C738" s="145"/>
      <c r="D738" s="145"/>
      <c r="I738" s="145"/>
      <c r="J738" s="145"/>
      <c r="O738" s="145"/>
      <c r="P738" s="145"/>
    </row>
    <row r="739">
      <c r="C739" s="145"/>
      <c r="D739" s="145"/>
      <c r="I739" s="145"/>
      <c r="J739" s="145"/>
      <c r="O739" s="145"/>
      <c r="P739" s="145"/>
    </row>
    <row r="740">
      <c r="C740" s="145"/>
      <c r="D740" s="145"/>
      <c r="I740" s="145"/>
      <c r="J740" s="145"/>
      <c r="O740" s="145"/>
      <c r="P740" s="145"/>
    </row>
    <row r="741">
      <c r="C741" s="145"/>
      <c r="D741" s="145"/>
      <c r="I741" s="145"/>
      <c r="J741" s="145"/>
      <c r="O741" s="145"/>
      <c r="P741" s="145"/>
    </row>
    <row r="742">
      <c r="C742" s="145"/>
      <c r="D742" s="145"/>
      <c r="I742" s="145"/>
      <c r="J742" s="145"/>
      <c r="O742" s="145"/>
      <c r="P742" s="145"/>
    </row>
    <row r="743">
      <c r="C743" s="145"/>
      <c r="D743" s="145"/>
      <c r="I743" s="145"/>
      <c r="J743" s="145"/>
      <c r="O743" s="145"/>
      <c r="P743" s="145"/>
    </row>
    <row r="744">
      <c r="C744" s="145"/>
      <c r="D744" s="145"/>
      <c r="I744" s="145"/>
      <c r="J744" s="145"/>
      <c r="O744" s="145"/>
      <c r="P744" s="145"/>
    </row>
    <row r="745">
      <c r="C745" s="145"/>
      <c r="D745" s="145"/>
      <c r="I745" s="145"/>
      <c r="J745" s="145"/>
      <c r="O745" s="145"/>
      <c r="P745" s="145"/>
    </row>
    <row r="746">
      <c r="C746" s="145"/>
      <c r="D746" s="145"/>
      <c r="I746" s="145"/>
      <c r="J746" s="145"/>
      <c r="O746" s="145"/>
      <c r="P746" s="145"/>
    </row>
    <row r="747">
      <c r="C747" s="145"/>
      <c r="D747" s="145"/>
      <c r="I747" s="145"/>
      <c r="J747" s="145"/>
      <c r="O747" s="145"/>
      <c r="P747" s="145"/>
    </row>
    <row r="748">
      <c r="C748" s="145"/>
      <c r="D748" s="145"/>
      <c r="I748" s="145"/>
      <c r="J748" s="145"/>
      <c r="O748" s="145"/>
      <c r="P748" s="145"/>
    </row>
    <row r="749">
      <c r="C749" s="145"/>
      <c r="D749" s="145"/>
      <c r="I749" s="145"/>
      <c r="J749" s="145"/>
      <c r="O749" s="145"/>
      <c r="P749" s="145"/>
    </row>
    <row r="750">
      <c r="C750" s="145"/>
      <c r="D750" s="145"/>
      <c r="I750" s="145"/>
      <c r="J750" s="145"/>
      <c r="O750" s="145"/>
      <c r="P750" s="145"/>
    </row>
    <row r="751">
      <c r="C751" s="145"/>
      <c r="D751" s="145"/>
      <c r="I751" s="145"/>
      <c r="J751" s="145"/>
      <c r="O751" s="145"/>
      <c r="P751" s="145"/>
    </row>
    <row r="752">
      <c r="C752" s="145"/>
      <c r="D752" s="145"/>
      <c r="I752" s="145"/>
      <c r="J752" s="145"/>
      <c r="O752" s="145"/>
      <c r="P752" s="145"/>
    </row>
    <row r="753">
      <c r="C753" s="145"/>
      <c r="D753" s="145"/>
      <c r="I753" s="145"/>
      <c r="J753" s="145"/>
      <c r="O753" s="145"/>
      <c r="P753" s="145"/>
    </row>
    <row r="754">
      <c r="C754" s="145"/>
      <c r="D754" s="145"/>
      <c r="I754" s="145"/>
      <c r="J754" s="145"/>
      <c r="O754" s="145"/>
      <c r="P754" s="145"/>
    </row>
    <row r="755">
      <c r="C755" s="145"/>
      <c r="D755" s="145"/>
      <c r="I755" s="145"/>
      <c r="J755" s="145"/>
      <c r="O755" s="145"/>
      <c r="P755" s="145"/>
    </row>
    <row r="756">
      <c r="C756" s="145"/>
      <c r="D756" s="145"/>
      <c r="I756" s="145"/>
      <c r="J756" s="145"/>
      <c r="O756" s="145"/>
      <c r="P756" s="145"/>
    </row>
    <row r="757">
      <c r="C757" s="145"/>
      <c r="D757" s="145"/>
      <c r="I757" s="145"/>
      <c r="J757" s="145"/>
      <c r="O757" s="145"/>
      <c r="P757" s="145"/>
    </row>
    <row r="758">
      <c r="C758" s="145"/>
      <c r="D758" s="145"/>
      <c r="I758" s="145"/>
      <c r="J758" s="145"/>
      <c r="O758" s="145"/>
      <c r="P758" s="145"/>
    </row>
    <row r="759">
      <c r="C759" s="145"/>
      <c r="D759" s="145"/>
      <c r="I759" s="145"/>
      <c r="J759" s="145"/>
      <c r="O759" s="145"/>
      <c r="P759" s="145"/>
    </row>
    <row r="760">
      <c r="C760" s="145"/>
      <c r="D760" s="145"/>
      <c r="I760" s="145"/>
      <c r="J760" s="145"/>
      <c r="O760" s="145"/>
      <c r="P760" s="145"/>
    </row>
    <row r="761">
      <c r="C761" s="145"/>
      <c r="D761" s="145"/>
      <c r="I761" s="145"/>
      <c r="J761" s="145"/>
      <c r="O761" s="145"/>
      <c r="P761" s="145"/>
    </row>
    <row r="762">
      <c r="C762" s="145"/>
      <c r="D762" s="145"/>
      <c r="I762" s="145"/>
      <c r="J762" s="145"/>
      <c r="O762" s="145"/>
      <c r="P762" s="145"/>
    </row>
    <row r="763">
      <c r="C763" s="145"/>
      <c r="D763" s="145"/>
      <c r="I763" s="145"/>
      <c r="J763" s="145"/>
      <c r="O763" s="145"/>
      <c r="P763" s="145"/>
    </row>
    <row r="764">
      <c r="C764" s="145"/>
      <c r="D764" s="145"/>
      <c r="I764" s="145"/>
      <c r="J764" s="145"/>
      <c r="O764" s="145"/>
      <c r="P764" s="145"/>
    </row>
    <row r="765">
      <c r="C765" s="145"/>
      <c r="D765" s="145"/>
      <c r="I765" s="145"/>
      <c r="J765" s="145"/>
      <c r="O765" s="145"/>
      <c r="P765" s="145"/>
    </row>
    <row r="766">
      <c r="C766" s="145"/>
      <c r="D766" s="145"/>
      <c r="I766" s="145"/>
      <c r="J766" s="145"/>
      <c r="O766" s="145"/>
      <c r="P766" s="145"/>
    </row>
    <row r="767">
      <c r="C767" s="145"/>
      <c r="D767" s="145"/>
      <c r="I767" s="145"/>
      <c r="J767" s="145"/>
      <c r="O767" s="145"/>
      <c r="P767" s="145"/>
    </row>
    <row r="768">
      <c r="C768" s="145"/>
      <c r="D768" s="145"/>
      <c r="I768" s="145"/>
      <c r="J768" s="145"/>
      <c r="O768" s="145"/>
      <c r="P768" s="145"/>
    </row>
    <row r="769">
      <c r="C769" s="145"/>
      <c r="D769" s="145"/>
      <c r="I769" s="145"/>
      <c r="J769" s="145"/>
      <c r="O769" s="145"/>
      <c r="P769" s="145"/>
    </row>
    <row r="770">
      <c r="C770" s="145"/>
      <c r="D770" s="145"/>
      <c r="I770" s="145"/>
      <c r="J770" s="145"/>
      <c r="O770" s="145"/>
      <c r="P770" s="145"/>
    </row>
    <row r="771">
      <c r="C771" s="145"/>
      <c r="D771" s="145"/>
      <c r="I771" s="145"/>
      <c r="J771" s="145"/>
      <c r="O771" s="145"/>
      <c r="P771" s="145"/>
    </row>
    <row r="772">
      <c r="C772" s="145"/>
      <c r="D772" s="145"/>
      <c r="I772" s="145"/>
      <c r="J772" s="145"/>
      <c r="O772" s="145"/>
      <c r="P772" s="145"/>
    </row>
    <row r="773">
      <c r="C773" s="145"/>
      <c r="D773" s="145"/>
      <c r="I773" s="145"/>
      <c r="J773" s="145"/>
      <c r="O773" s="145"/>
      <c r="P773" s="145"/>
    </row>
    <row r="774">
      <c r="C774" s="145"/>
      <c r="D774" s="145"/>
      <c r="I774" s="145"/>
      <c r="J774" s="145"/>
      <c r="O774" s="145"/>
      <c r="P774" s="145"/>
    </row>
    <row r="775">
      <c r="C775" s="145"/>
      <c r="D775" s="145"/>
      <c r="I775" s="145"/>
      <c r="J775" s="145"/>
      <c r="O775" s="145"/>
      <c r="P775" s="145"/>
    </row>
    <row r="776">
      <c r="C776" s="145"/>
      <c r="D776" s="145"/>
      <c r="I776" s="145"/>
      <c r="J776" s="145"/>
      <c r="O776" s="145"/>
      <c r="P776" s="145"/>
    </row>
    <row r="777">
      <c r="C777" s="145"/>
      <c r="D777" s="145"/>
      <c r="I777" s="145"/>
      <c r="J777" s="145"/>
      <c r="O777" s="145"/>
      <c r="P777" s="145"/>
    </row>
    <row r="778">
      <c r="C778" s="145"/>
      <c r="D778" s="145"/>
      <c r="I778" s="145"/>
      <c r="J778" s="145"/>
      <c r="O778" s="145"/>
      <c r="P778" s="145"/>
    </row>
    <row r="779">
      <c r="C779" s="145"/>
      <c r="D779" s="145"/>
      <c r="I779" s="145"/>
      <c r="J779" s="145"/>
      <c r="O779" s="145"/>
      <c r="P779" s="145"/>
    </row>
    <row r="780">
      <c r="C780" s="145"/>
      <c r="D780" s="145"/>
      <c r="I780" s="145"/>
      <c r="J780" s="145"/>
      <c r="O780" s="145"/>
      <c r="P780" s="145"/>
    </row>
    <row r="781">
      <c r="C781" s="145"/>
      <c r="D781" s="145"/>
      <c r="I781" s="145"/>
      <c r="J781" s="145"/>
      <c r="O781" s="145"/>
      <c r="P781" s="145"/>
    </row>
    <row r="782">
      <c r="C782" s="145"/>
      <c r="D782" s="145"/>
      <c r="I782" s="145"/>
      <c r="J782" s="145"/>
      <c r="O782" s="145"/>
      <c r="P782" s="145"/>
    </row>
    <row r="783">
      <c r="C783" s="145"/>
      <c r="D783" s="145"/>
      <c r="I783" s="145"/>
      <c r="J783" s="145"/>
      <c r="O783" s="145"/>
      <c r="P783" s="145"/>
    </row>
    <row r="784">
      <c r="C784" s="145"/>
      <c r="D784" s="145"/>
      <c r="I784" s="145"/>
      <c r="J784" s="145"/>
      <c r="O784" s="145"/>
      <c r="P784" s="145"/>
    </row>
    <row r="785">
      <c r="C785" s="145"/>
      <c r="D785" s="145"/>
      <c r="I785" s="145"/>
      <c r="J785" s="145"/>
      <c r="O785" s="145"/>
      <c r="P785" s="145"/>
    </row>
    <row r="786">
      <c r="C786" s="145"/>
      <c r="D786" s="145"/>
      <c r="I786" s="145"/>
      <c r="J786" s="145"/>
      <c r="O786" s="145"/>
      <c r="P786" s="145"/>
    </row>
    <row r="787">
      <c r="C787" s="145"/>
      <c r="D787" s="145"/>
      <c r="I787" s="145"/>
      <c r="J787" s="145"/>
      <c r="O787" s="145"/>
      <c r="P787" s="145"/>
    </row>
    <row r="788">
      <c r="C788" s="145"/>
      <c r="D788" s="145"/>
      <c r="I788" s="145"/>
      <c r="J788" s="145"/>
      <c r="O788" s="145"/>
      <c r="P788" s="145"/>
    </row>
    <row r="789">
      <c r="C789" s="145"/>
      <c r="D789" s="145"/>
      <c r="I789" s="145"/>
      <c r="J789" s="145"/>
      <c r="O789" s="145"/>
      <c r="P789" s="145"/>
    </row>
    <row r="790">
      <c r="C790" s="145"/>
      <c r="D790" s="145"/>
      <c r="I790" s="145"/>
      <c r="J790" s="145"/>
      <c r="O790" s="145"/>
      <c r="P790" s="145"/>
    </row>
    <row r="791">
      <c r="C791" s="145"/>
      <c r="D791" s="145"/>
      <c r="I791" s="145"/>
      <c r="J791" s="145"/>
      <c r="O791" s="145"/>
      <c r="P791" s="145"/>
    </row>
    <row r="792">
      <c r="C792" s="145"/>
      <c r="D792" s="145"/>
      <c r="I792" s="145"/>
      <c r="J792" s="145"/>
      <c r="O792" s="145"/>
      <c r="P792" s="145"/>
    </row>
    <row r="793">
      <c r="C793" s="145"/>
      <c r="D793" s="145"/>
      <c r="I793" s="145"/>
      <c r="J793" s="145"/>
      <c r="O793" s="145"/>
      <c r="P793" s="145"/>
    </row>
    <row r="794">
      <c r="C794" s="145"/>
      <c r="D794" s="145"/>
      <c r="I794" s="145"/>
      <c r="J794" s="145"/>
      <c r="O794" s="145"/>
      <c r="P794" s="145"/>
    </row>
    <row r="795">
      <c r="C795" s="145"/>
      <c r="D795" s="145"/>
      <c r="I795" s="145"/>
      <c r="J795" s="145"/>
      <c r="O795" s="145"/>
      <c r="P795" s="145"/>
    </row>
    <row r="796">
      <c r="C796" s="145"/>
      <c r="D796" s="145"/>
      <c r="I796" s="145"/>
      <c r="J796" s="145"/>
      <c r="O796" s="145"/>
      <c r="P796" s="145"/>
    </row>
    <row r="797">
      <c r="C797" s="145"/>
      <c r="D797" s="145"/>
      <c r="I797" s="145"/>
      <c r="J797" s="145"/>
      <c r="O797" s="145"/>
      <c r="P797" s="145"/>
    </row>
    <row r="798">
      <c r="C798" s="145"/>
      <c r="D798" s="145"/>
      <c r="I798" s="145"/>
      <c r="J798" s="145"/>
      <c r="O798" s="145"/>
      <c r="P798" s="145"/>
    </row>
    <row r="799">
      <c r="C799" s="145"/>
      <c r="D799" s="145"/>
      <c r="I799" s="145"/>
      <c r="J799" s="145"/>
      <c r="O799" s="145"/>
      <c r="P799" s="145"/>
    </row>
    <row r="800">
      <c r="C800" s="145"/>
      <c r="D800" s="145"/>
      <c r="I800" s="145"/>
      <c r="J800" s="145"/>
      <c r="O800" s="145"/>
      <c r="P800" s="145"/>
    </row>
    <row r="801">
      <c r="C801" s="145"/>
      <c r="D801" s="145"/>
      <c r="I801" s="145"/>
      <c r="J801" s="145"/>
      <c r="O801" s="145"/>
      <c r="P801" s="145"/>
    </row>
    <row r="802">
      <c r="C802" s="145"/>
      <c r="D802" s="145"/>
      <c r="I802" s="145"/>
      <c r="J802" s="145"/>
      <c r="O802" s="145"/>
      <c r="P802" s="145"/>
    </row>
    <row r="803">
      <c r="C803" s="145"/>
      <c r="D803" s="145"/>
      <c r="I803" s="145"/>
      <c r="J803" s="145"/>
      <c r="O803" s="145"/>
      <c r="P803" s="145"/>
    </row>
    <row r="804">
      <c r="C804" s="145"/>
      <c r="D804" s="145"/>
      <c r="I804" s="145"/>
      <c r="J804" s="145"/>
      <c r="O804" s="145"/>
      <c r="P804" s="145"/>
    </row>
    <row r="805">
      <c r="C805" s="145"/>
      <c r="D805" s="145"/>
      <c r="I805" s="145"/>
      <c r="J805" s="145"/>
      <c r="O805" s="145"/>
      <c r="P805" s="145"/>
    </row>
    <row r="806">
      <c r="C806" s="145"/>
      <c r="D806" s="145"/>
      <c r="I806" s="145"/>
      <c r="J806" s="145"/>
      <c r="O806" s="145"/>
      <c r="P806" s="145"/>
    </row>
    <row r="807">
      <c r="C807" s="145"/>
      <c r="D807" s="145"/>
      <c r="I807" s="145"/>
      <c r="J807" s="145"/>
      <c r="O807" s="145"/>
      <c r="P807" s="145"/>
    </row>
    <row r="808">
      <c r="C808" s="145"/>
      <c r="D808" s="145"/>
      <c r="I808" s="145"/>
      <c r="J808" s="145"/>
      <c r="O808" s="145"/>
      <c r="P808" s="145"/>
    </row>
    <row r="809">
      <c r="C809" s="145"/>
      <c r="D809" s="145"/>
      <c r="I809" s="145"/>
      <c r="J809" s="145"/>
      <c r="O809" s="145"/>
      <c r="P809" s="145"/>
    </row>
    <row r="810">
      <c r="C810" s="145"/>
      <c r="D810" s="145"/>
      <c r="I810" s="145"/>
      <c r="J810" s="145"/>
      <c r="O810" s="145"/>
      <c r="P810" s="145"/>
    </row>
    <row r="811">
      <c r="C811" s="145"/>
      <c r="D811" s="145"/>
      <c r="I811" s="145"/>
      <c r="J811" s="145"/>
      <c r="O811" s="145"/>
      <c r="P811" s="145"/>
    </row>
    <row r="812">
      <c r="C812" s="145"/>
      <c r="D812" s="145"/>
      <c r="I812" s="145"/>
      <c r="J812" s="145"/>
      <c r="O812" s="145"/>
      <c r="P812" s="145"/>
    </row>
    <row r="813">
      <c r="C813" s="145"/>
      <c r="D813" s="145"/>
      <c r="I813" s="145"/>
      <c r="J813" s="145"/>
      <c r="O813" s="145"/>
      <c r="P813" s="145"/>
    </row>
    <row r="814">
      <c r="C814" s="145"/>
      <c r="D814" s="145"/>
      <c r="I814" s="145"/>
      <c r="J814" s="145"/>
      <c r="O814" s="145"/>
      <c r="P814" s="145"/>
    </row>
    <row r="815">
      <c r="C815" s="145"/>
      <c r="D815" s="145"/>
      <c r="I815" s="145"/>
      <c r="J815" s="145"/>
      <c r="O815" s="145"/>
      <c r="P815" s="145"/>
    </row>
    <row r="816">
      <c r="C816" s="145"/>
      <c r="D816" s="145"/>
      <c r="I816" s="145"/>
      <c r="J816" s="145"/>
      <c r="O816" s="145"/>
      <c r="P816" s="145"/>
    </row>
    <row r="817">
      <c r="C817" s="145"/>
      <c r="D817" s="145"/>
      <c r="I817" s="145"/>
      <c r="J817" s="145"/>
      <c r="O817" s="145"/>
      <c r="P817" s="145"/>
    </row>
    <row r="818">
      <c r="C818" s="145"/>
      <c r="D818" s="145"/>
      <c r="I818" s="145"/>
      <c r="J818" s="145"/>
      <c r="O818" s="145"/>
      <c r="P818" s="145"/>
    </row>
    <row r="819">
      <c r="C819" s="145"/>
      <c r="D819" s="145"/>
      <c r="I819" s="145"/>
      <c r="J819" s="145"/>
      <c r="O819" s="145"/>
      <c r="P819" s="145"/>
    </row>
    <row r="820">
      <c r="C820" s="145"/>
      <c r="D820" s="145"/>
      <c r="I820" s="145"/>
      <c r="J820" s="145"/>
      <c r="O820" s="145"/>
      <c r="P820" s="145"/>
    </row>
    <row r="821">
      <c r="C821" s="145"/>
      <c r="D821" s="145"/>
      <c r="I821" s="145"/>
      <c r="J821" s="145"/>
      <c r="O821" s="145"/>
      <c r="P821" s="145"/>
    </row>
    <row r="822">
      <c r="C822" s="145"/>
      <c r="D822" s="145"/>
      <c r="I822" s="145"/>
      <c r="J822" s="145"/>
      <c r="O822" s="145"/>
      <c r="P822" s="145"/>
    </row>
    <row r="823">
      <c r="C823" s="145"/>
      <c r="D823" s="145"/>
      <c r="I823" s="145"/>
      <c r="J823" s="145"/>
      <c r="O823" s="145"/>
      <c r="P823" s="145"/>
    </row>
    <row r="824">
      <c r="C824" s="145"/>
      <c r="D824" s="145"/>
      <c r="I824" s="145"/>
      <c r="J824" s="145"/>
      <c r="O824" s="145"/>
      <c r="P824" s="145"/>
    </row>
    <row r="825">
      <c r="C825" s="145"/>
      <c r="D825" s="145"/>
      <c r="I825" s="145"/>
      <c r="J825" s="145"/>
      <c r="O825" s="145"/>
      <c r="P825" s="145"/>
    </row>
    <row r="826">
      <c r="C826" s="145"/>
      <c r="D826" s="145"/>
      <c r="I826" s="145"/>
      <c r="J826" s="145"/>
      <c r="O826" s="145"/>
      <c r="P826" s="145"/>
    </row>
    <row r="827">
      <c r="C827" s="145"/>
      <c r="D827" s="145"/>
      <c r="I827" s="145"/>
      <c r="J827" s="145"/>
      <c r="O827" s="145"/>
      <c r="P827" s="145"/>
    </row>
    <row r="828">
      <c r="C828" s="145"/>
      <c r="D828" s="145"/>
      <c r="I828" s="145"/>
      <c r="J828" s="145"/>
      <c r="O828" s="145"/>
      <c r="P828" s="145"/>
    </row>
    <row r="829">
      <c r="C829" s="145"/>
      <c r="D829" s="145"/>
      <c r="I829" s="145"/>
      <c r="J829" s="145"/>
      <c r="O829" s="145"/>
      <c r="P829" s="145"/>
    </row>
    <row r="830">
      <c r="C830" s="145"/>
      <c r="D830" s="145"/>
      <c r="I830" s="145"/>
      <c r="J830" s="145"/>
      <c r="O830" s="145"/>
      <c r="P830" s="145"/>
    </row>
    <row r="831">
      <c r="C831" s="145"/>
      <c r="D831" s="145"/>
      <c r="I831" s="145"/>
      <c r="J831" s="145"/>
      <c r="O831" s="145"/>
      <c r="P831" s="145"/>
    </row>
    <row r="832">
      <c r="C832" s="145"/>
      <c r="D832" s="145"/>
      <c r="I832" s="145"/>
      <c r="J832" s="145"/>
      <c r="O832" s="145"/>
      <c r="P832" s="145"/>
    </row>
    <row r="833">
      <c r="C833" s="145"/>
      <c r="D833" s="145"/>
      <c r="I833" s="145"/>
      <c r="J833" s="145"/>
      <c r="O833" s="145"/>
      <c r="P833" s="145"/>
    </row>
    <row r="834">
      <c r="C834" s="145"/>
      <c r="D834" s="145"/>
      <c r="I834" s="145"/>
      <c r="J834" s="145"/>
      <c r="O834" s="145"/>
      <c r="P834" s="145"/>
    </row>
    <row r="835">
      <c r="C835" s="145"/>
      <c r="D835" s="145"/>
      <c r="I835" s="145"/>
      <c r="J835" s="145"/>
      <c r="O835" s="145"/>
      <c r="P835" s="145"/>
    </row>
    <row r="836">
      <c r="C836" s="145"/>
      <c r="D836" s="145"/>
      <c r="I836" s="145"/>
      <c r="J836" s="145"/>
      <c r="O836" s="145"/>
      <c r="P836" s="145"/>
    </row>
    <row r="837">
      <c r="C837" s="145"/>
      <c r="D837" s="145"/>
      <c r="I837" s="145"/>
      <c r="J837" s="145"/>
      <c r="O837" s="145"/>
      <c r="P837" s="145"/>
    </row>
    <row r="838">
      <c r="C838" s="145"/>
      <c r="D838" s="145"/>
      <c r="I838" s="145"/>
      <c r="J838" s="145"/>
      <c r="O838" s="145"/>
      <c r="P838" s="145"/>
    </row>
    <row r="839">
      <c r="C839" s="145"/>
      <c r="D839" s="145"/>
      <c r="I839" s="145"/>
      <c r="J839" s="145"/>
      <c r="O839" s="145"/>
      <c r="P839" s="145"/>
    </row>
    <row r="840">
      <c r="C840" s="145"/>
      <c r="D840" s="145"/>
      <c r="I840" s="145"/>
      <c r="J840" s="145"/>
      <c r="O840" s="145"/>
      <c r="P840" s="145"/>
    </row>
    <row r="841">
      <c r="C841" s="145"/>
      <c r="D841" s="145"/>
      <c r="I841" s="145"/>
      <c r="J841" s="145"/>
      <c r="O841" s="145"/>
      <c r="P841" s="145"/>
    </row>
    <row r="842">
      <c r="C842" s="145"/>
      <c r="D842" s="145"/>
      <c r="I842" s="145"/>
      <c r="J842" s="145"/>
      <c r="O842" s="145"/>
      <c r="P842" s="145"/>
    </row>
    <row r="843">
      <c r="C843" s="145"/>
      <c r="D843" s="145"/>
      <c r="I843" s="145"/>
      <c r="J843" s="145"/>
      <c r="O843" s="145"/>
      <c r="P843" s="145"/>
    </row>
    <row r="844">
      <c r="C844" s="145"/>
      <c r="D844" s="145"/>
      <c r="I844" s="145"/>
      <c r="J844" s="145"/>
      <c r="O844" s="145"/>
      <c r="P844" s="145"/>
    </row>
    <row r="845">
      <c r="C845" s="145"/>
      <c r="D845" s="145"/>
      <c r="I845" s="145"/>
      <c r="J845" s="145"/>
      <c r="O845" s="145"/>
      <c r="P845" s="145"/>
    </row>
    <row r="846">
      <c r="C846" s="145"/>
      <c r="D846" s="145"/>
      <c r="I846" s="145"/>
      <c r="J846" s="145"/>
      <c r="O846" s="145"/>
      <c r="P846" s="145"/>
    </row>
    <row r="847">
      <c r="C847" s="145"/>
      <c r="D847" s="145"/>
      <c r="I847" s="145"/>
      <c r="J847" s="145"/>
      <c r="O847" s="145"/>
      <c r="P847" s="145"/>
    </row>
    <row r="848">
      <c r="C848" s="145"/>
      <c r="D848" s="145"/>
      <c r="I848" s="145"/>
      <c r="J848" s="145"/>
      <c r="O848" s="145"/>
      <c r="P848" s="145"/>
    </row>
    <row r="849">
      <c r="C849" s="145"/>
      <c r="D849" s="145"/>
      <c r="I849" s="145"/>
      <c r="J849" s="145"/>
      <c r="O849" s="145"/>
      <c r="P849" s="145"/>
    </row>
    <row r="850">
      <c r="C850" s="145"/>
      <c r="D850" s="145"/>
      <c r="I850" s="145"/>
      <c r="J850" s="145"/>
      <c r="O850" s="145"/>
      <c r="P850" s="145"/>
    </row>
    <row r="851">
      <c r="C851" s="145"/>
      <c r="D851" s="145"/>
      <c r="I851" s="145"/>
      <c r="J851" s="145"/>
      <c r="O851" s="145"/>
      <c r="P851" s="145"/>
    </row>
    <row r="852">
      <c r="C852" s="145"/>
      <c r="D852" s="145"/>
      <c r="I852" s="145"/>
      <c r="J852" s="145"/>
      <c r="O852" s="145"/>
      <c r="P852" s="145"/>
    </row>
    <row r="853">
      <c r="C853" s="145"/>
      <c r="D853" s="145"/>
      <c r="I853" s="145"/>
      <c r="J853" s="145"/>
      <c r="O853" s="145"/>
      <c r="P853" s="145"/>
    </row>
    <row r="854">
      <c r="C854" s="145"/>
      <c r="D854" s="145"/>
      <c r="I854" s="145"/>
      <c r="J854" s="145"/>
      <c r="O854" s="145"/>
      <c r="P854" s="145"/>
    </row>
    <row r="855">
      <c r="C855" s="145"/>
      <c r="D855" s="145"/>
      <c r="I855" s="145"/>
      <c r="J855" s="145"/>
      <c r="O855" s="145"/>
      <c r="P855" s="145"/>
    </row>
    <row r="856">
      <c r="C856" s="145"/>
      <c r="D856" s="145"/>
      <c r="I856" s="145"/>
      <c r="J856" s="145"/>
      <c r="O856" s="145"/>
      <c r="P856" s="145"/>
    </row>
    <row r="857">
      <c r="C857" s="145"/>
      <c r="D857" s="145"/>
      <c r="I857" s="145"/>
      <c r="J857" s="145"/>
      <c r="O857" s="145"/>
      <c r="P857" s="145"/>
    </row>
    <row r="858">
      <c r="C858" s="145"/>
      <c r="D858" s="145"/>
      <c r="I858" s="145"/>
      <c r="J858" s="145"/>
      <c r="O858" s="145"/>
      <c r="P858" s="145"/>
    </row>
    <row r="859">
      <c r="C859" s="145"/>
      <c r="D859" s="145"/>
      <c r="I859" s="145"/>
      <c r="J859" s="145"/>
      <c r="O859" s="145"/>
      <c r="P859" s="145"/>
    </row>
    <row r="860">
      <c r="C860" s="145"/>
      <c r="D860" s="145"/>
      <c r="I860" s="145"/>
      <c r="J860" s="145"/>
      <c r="O860" s="145"/>
      <c r="P860" s="145"/>
    </row>
    <row r="861">
      <c r="C861" s="145"/>
      <c r="D861" s="145"/>
      <c r="I861" s="145"/>
      <c r="J861" s="145"/>
      <c r="O861" s="145"/>
      <c r="P861" s="145"/>
    </row>
    <row r="862">
      <c r="C862" s="145"/>
      <c r="D862" s="145"/>
      <c r="I862" s="145"/>
      <c r="J862" s="145"/>
      <c r="O862" s="145"/>
      <c r="P862" s="145"/>
    </row>
    <row r="863">
      <c r="C863" s="145"/>
      <c r="D863" s="145"/>
      <c r="I863" s="145"/>
      <c r="J863" s="145"/>
      <c r="O863" s="145"/>
      <c r="P863" s="145"/>
    </row>
    <row r="864">
      <c r="C864" s="145"/>
      <c r="D864" s="145"/>
      <c r="I864" s="145"/>
      <c r="J864" s="145"/>
      <c r="O864" s="145"/>
      <c r="P864" s="145"/>
    </row>
    <row r="865">
      <c r="C865" s="145"/>
      <c r="D865" s="145"/>
      <c r="I865" s="145"/>
      <c r="J865" s="145"/>
      <c r="O865" s="145"/>
      <c r="P865" s="145"/>
    </row>
    <row r="866">
      <c r="C866" s="145"/>
      <c r="D866" s="145"/>
      <c r="I866" s="145"/>
      <c r="J866" s="145"/>
      <c r="O866" s="145"/>
      <c r="P866" s="145"/>
    </row>
    <row r="867">
      <c r="C867" s="145"/>
      <c r="D867" s="145"/>
      <c r="I867" s="145"/>
      <c r="J867" s="145"/>
      <c r="O867" s="145"/>
      <c r="P867" s="145"/>
    </row>
    <row r="868">
      <c r="C868" s="145"/>
      <c r="D868" s="145"/>
      <c r="I868" s="145"/>
      <c r="J868" s="145"/>
      <c r="O868" s="145"/>
      <c r="P868" s="145"/>
    </row>
    <row r="869">
      <c r="C869" s="145"/>
      <c r="D869" s="145"/>
      <c r="I869" s="145"/>
      <c r="J869" s="145"/>
      <c r="O869" s="145"/>
      <c r="P869" s="145"/>
    </row>
    <row r="870">
      <c r="C870" s="145"/>
      <c r="D870" s="145"/>
      <c r="I870" s="145"/>
      <c r="J870" s="145"/>
      <c r="O870" s="145"/>
      <c r="P870" s="145"/>
    </row>
    <row r="871">
      <c r="C871" s="145"/>
      <c r="D871" s="145"/>
      <c r="I871" s="145"/>
      <c r="J871" s="145"/>
      <c r="O871" s="145"/>
      <c r="P871" s="145"/>
    </row>
    <row r="872">
      <c r="C872" s="145"/>
      <c r="D872" s="145"/>
      <c r="I872" s="145"/>
      <c r="J872" s="145"/>
      <c r="O872" s="145"/>
      <c r="P872" s="145"/>
    </row>
    <row r="873">
      <c r="C873" s="145"/>
      <c r="D873" s="145"/>
      <c r="I873" s="145"/>
      <c r="J873" s="145"/>
      <c r="O873" s="145"/>
      <c r="P873" s="145"/>
    </row>
    <row r="874">
      <c r="C874" s="145"/>
      <c r="D874" s="145"/>
      <c r="I874" s="145"/>
      <c r="J874" s="145"/>
      <c r="O874" s="145"/>
      <c r="P874" s="145"/>
    </row>
    <row r="875">
      <c r="C875" s="145"/>
      <c r="D875" s="145"/>
      <c r="I875" s="145"/>
      <c r="J875" s="145"/>
      <c r="O875" s="145"/>
      <c r="P875" s="145"/>
    </row>
    <row r="876">
      <c r="C876" s="145"/>
      <c r="D876" s="145"/>
      <c r="I876" s="145"/>
      <c r="J876" s="145"/>
      <c r="O876" s="145"/>
      <c r="P876" s="145"/>
    </row>
    <row r="877">
      <c r="C877" s="145"/>
      <c r="D877" s="145"/>
      <c r="I877" s="145"/>
      <c r="J877" s="145"/>
      <c r="O877" s="145"/>
      <c r="P877" s="145"/>
    </row>
    <row r="878">
      <c r="C878" s="145"/>
      <c r="D878" s="145"/>
      <c r="I878" s="145"/>
      <c r="J878" s="145"/>
      <c r="O878" s="145"/>
      <c r="P878" s="145"/>
    </row>
    <row r="879">
      <c r="C879" s="145"/>
      <c r="D879" s="145"/>
      <c r="I879" s="145"/>
      <c r="J879" s="145"/>
      <c r="O879" s="145"/>
      <c r="P879" s="145"/>
    </row>
    <row r="880">
      <c r="C880" s="145"/>
      <c r="D880" s="145"/>
      <c r="I880" s="145"/>
      <c r="J880" s="145"/>
      <c r="O880" s="145"/>
      <c r="P880" s="145"/>
    </row>
    <row r="881">
      <c r="C881" s="145"/>
      <c r="D881" s="145"/>
      <c r="I881" s="145"/>
      <c r="J881" s="145"/>
      <c r="O881" s="145"/>
      <c r="P881" s="145"/>
    </row>
    <row r="882">
      <c r="C882" s="145"/>
      <c r="D882" s="145"/>
      <c r="I882" s="145"/>
      <c r="J882" s="145"/>
      <c r="O882" s="145"/>
      <c r="P882" s="145"/>
    </row>
    <row r="883">
      <c r="C883" s="145"/>
      <c r="D883" s="145"/>
      <c r="I883" s="145"/>
      <c r="J883" s="145"/>
      <c r="O883" s="145"/>
      <c r="P883" s="145"/>
    </row>
    <row r="884">
      <c r="C884" s="145"/>
      <c r="D884" s="145"/>
      <c r="I884" s="145"/>
      <c r="J884" s="145"/>
      <c r="O884" s="145"/>
      <c r="P884" s="145"/>
    </row>
    <row r="885">
      <c r="C885" s="145"/>
      <c r="D885" s="145"/>
      <c r="I885" s="145"/>
      <c r="J885" s="145"/>
      <c r="O885" s="145"/>
      <c r="P885" s="145"/>
    </row>
    <row r="886">
      <c r="C886" s="145"/>
      <c r="D886" s="145"/>
      <c r="I886" s="145"/>
      <c r="J886" s="145"/>
      <c r="O886" s="145"/>
      <c r="P886" s="145"/>
    </row>
    <row r="887">
      <c r="C887" s="145"/>
      <c r="D887" s="145"/>
      <c r="I887" s="145"/>
      <c r="J887" s="145"/>
      <c r="O887" s="145"/>
      <c r="P887" s="145"/>
    </row>
    <row r="888">
      <c r="C888" s="145"/>
      <c r="D888" s="145"/>
      <c r="I888" s="145"/>
      <c r="J888" s="145"/>
      <c r="O888" s="145"/>
      <c r="P888" s="145"/>
    </row>
    <row r="889">
      <c r="C889" s="145"/>
      <c r="D889" s="145"/>
      <c r="I889" s="145"/>
      <c r="J889" s="145"/>
      <c r="O889" s="145"/>
      <c r="P889" s="145"/>
    </row>
    <row r="890">
      <c r="C890" s="145"/>
      <c r="D890" s="145"/>
      <c r="I890" s="145"/>
      <c r="J890" s="145"/>
      <c r="O890" s="145"/>
      <c r="P890" s="145"/>
    </row>
    <row r="891">
      <c r="C891" s="145"/>
      <c r="D891" s="145"/>
      <c r="I891" s="145"/>
      <c r="J891" s="145"/>
      <c r="O891" s="145"/>
      <c r="P891" s="145"/>
    </row>
    <row r="892">
      <c r="C892" s="145"/>
      <c r="D892" s="145"/>
      <c r="I892" s="145"/>
      <c r="J892" s="145"/>
      <c r="O892" s="145"/>
      <c r="P892" s="145"/>
    </row>
    <row r="893">
      <c r="C893" s="145"/>
      <c r="D893" s="145"/>
      <c r="I893" s="145"/>
      <c r="J893" s="145"/>
      <c r="O893" s="145"/>
      <c r="P893" s="145"/>
    </row>
    <row r="894">
      <c r="C894" s="145"/>
      <c r="D894" s="145"/>
      <c r="I894" s="145"/>
      <c r="J894" s="145"/>
      <c r="O894" s="145"/>
      <c r="P894" s="145"/>
    </row>
    <row r="895">
      <c r="C895" s="145"/>
      <c r="D895" s="145"/>
      <c r="I895" s="145"/>
      <c r="J895" s="145"/>
      <c r="O895" s="145"/>
      <c r="P895" s="145"/>
    </row>
    <row r="896">
      <c r="C896" s="145"/>
      <c r="D896" s="145"/>
      <c r="I896" s="145"/>
      <c r="J896" s="145"/>
      <c r="O896" s="145"/>
      <c r="P896" s="145"/>
    </row>
    <row r="897">
      <c r="C897" s="145"/>
      <c r="D897" s="145"/>
      <c r="I897" s="145"/>
      <c r="J897" s="145"/>
      <c r="O897" s="145"/>
      <c r="P897" s="145"/>
    </row>
    <row r="898">
      <c r="C898" s="145"/>
      <c r="D898" s="145"/>
      <c r="I898" s="145"/>
      <c r="J898" s="145"/>
      <c r="O898" s="145"/>
      <c r="P898" s="145"/>
    </row>
    <row r="899">
      <c r="C899" s="145"/>
      <c r="D899" s="145"/>
      <c r="I899" s="145"/>
      <c r="J899" s="145"/>
      <c r="O899" s="145"/>
      <c r="P899" s="145"/>
    </row>
    <row r="900">
      <c r="C900" s="145"/>
      <c r="D900" s="145"/>
      <c r="I900" s="145"/>
      <c r="J900" s="145"/>
      <c r="O900" s="145"/>
      <c r="P900" s="145"/>
    </row>
    <row r="901">
      <c r="C901" s="145"/>
      <c r="D901" s="145"/>
      <c r="I901" s="145"/>
      <c r="J901" s="145"/>
      <c r="O901" s="145"/>
      <c r="P901" s="145"/>
    </row>
    <row r="902">
      <c r="C902" s="145"/>
      <c r="D902" s="145"/>
      <c r="I902" s="145"/>
      <c r="J902" s="145"/>
      <c r="O902" s="145"/>
      <c r="P902" s="145"/>
    </row>
    <row r="903">
      <c r="C903" s="145"/>
      <c r="D903" s="145"/>
      <c r="I903" s="145"/>
      <c r="J903" s="145"/>
      <c r="O903" s="145"/>
      <c r="P903" s="145"/>
    </row>
    <row r="904">
      <c r="C904" s="145"/>
      <c r="D904" s="145"/>
      <c r="I904" s="145"/>
      <c r="J904" s="145"/>
      <c r="O904" s="145"/>
      <c r="P904" s="145"/>
    </row>
    <row r="905">
      <c r="C905" s="145"/>
      <c r="D905" s="145"/>
      <c r="I905" s="145"/>
      <c r="J905" s="145"/>
      <c r="O905" s="145"/>
      <c r="P905" s="145"/>
    </row>
    <row r="906">
      <c r="C906" s="145"/>
      <c r="D906" s="145"/>
      <c r="I906" s="145"/>
      <c r="J906" s="145"/>
      <c r="O906" s="145"/>
      <c r="P906" s="145"/>
    </row>
    <row r="907">
      <c r="C907" s="145"/>
      <c r="D907" s="145"/>
      <c r="I907" s="145"/>
      <c r="J907" s="145"/>
      <c r="O907" s="145"/>
      <c r="P907" s="145"/>
    </row>
    <row r="908">
      <c r="C908" s="145"/>
      <c r="D908" s="145"/>
      <c r="I908" s="145"/>
      <c r="J908" s="145"/>
      <c r="O908" s="145"/>
      <c r="P908" s="145"/>
    </row>
    <row r="909">
      <c r="C909" s="145"/>
      <c r="D909" s="145"/>
      <c r="I909" s="145"/>
      <c r="J909" s="145"/>
      <c r="O909" s="145"/>
      <c r="P909" s="145"/>
    </row>
    <row r="910">
      <c r="C910" s="145"/>
      <c r="D910" s="145"/>
      <c r="I910" s="145"/>
      <c r="J910" s="145"/>
      <c r="O910" s="145"/>
      <c r="P910" s="145"/>
    </row>
    <row r="911">
      <c r="C911" s="145"/>
      <c r="D911" s="145"/>
      <c r="I911" s="145"/>
      <c r="J911" s="145"/>
      <c r="O911" s="145"/>
      <c r="P911" s="145"/>
    </row>
    <row r="912">
      <c r="C912" s="145"/>
      <c r="D912" s="145"/>
      <c r="I912" s="145"/>
      <c r="J912" s="145"/>
      <c r="O912" s="145"/>
      <c r="P912" s="145"/>
    </row>
    <row r="913">
      <c r="C913" s="145"/>
      <c r="D913" s="145"/>
      <c r="I913" s="145"/>
      <c r="J913" s="145"/>
      <c r="O913" s="145"/>
      <c r="P913" s="145"/>
    </row>
    <row r="914">
      <c r="C914" s="145"/>
      <c r="D914" s="145"/>
      <c r="I914" s="145"/>
      <c r="J914" s="145"/>
      <c r="O914" s="145"/>
      <c r="P914" s="145"/>
    </row>
    <row r="915">
      <c r="C915" s="145"/>
      <c r="D915" s="145"/>
      <c r="I915" s="145"/>
      <c r="J915" s="145"/>
      <c r="O915" s="145"/>
      <c r="P915" s="145"/>
    </row>
    <row r="916">
      <c r="C916" s="145"/>
      <c r="D916" s="145"/>
      <c r="I916" s="145"/>
      <c r="J916" s="145"/>
      <c r="O916" s="145"/>
      <c r="P916" s="145"/>
    </row>
    <row r="917">
      <c r="C917" s="145"/>
      <c r="D917" s="145"/>
      <c r="I917" s="145"/>
      <c r="J917" s="145"/>
      <c r="O917" s="145"/>
      <c r="P917" s="145"/>
    </row>
    <row r="918">
      <c r="C918" s="145"/>
      <c r="D918" s="145"/>
      <c r="I918" s="145"/>
      <c r="J918" s="145"/>
      <c r="O918" s="145"/>
      <c r="P918" s="145"/>
    </row>
    <row r="919">
      <c r="C919" s="145"/>
      <c r="D919" s="145"/>
      <c r="I919" s="145"/>
      <c r="J919" s="145"/>
      <c r="O919" s="145"/>
      <c r="P919" s="145"/>
    </row>
    <row r="920">
      <c r="C920" s="145"/>
      <c r="D920" s="145"/>
      <c r="I920" s="145"/>
      <c r="J920" s="145"/>
      <c r="O920" s="145"/>
      <c r="P920" s="145"/>
    </row>
    <row r="921">
      <c r="C921" s="145"/>
      <c r="D921" s="145"/>
      <c r="I921" s="145"/>
      <c r="J921" s="145"/>
      <c r="O921" s="145"/>
      <c r="P921" s="145"/>
    </row>
    <row r="922">
      <c r="C922" s="145"/>
      <c r="D922" s="145"/>
      <c r="I922" s="145"/>
      <c r="J922" s="145"/>
      <c r="O922" s="145"/>
      <c r="P922" s="145"/>
    </row>
    <row r="923">
      <c r="C923" s="145"/>
      <c r="D923" s="145"/>
      <c r="I923" s="145"/>
      <c r="J923" s="145"/>
      <c r="O923" s="145"/>
      <c r="P923" s="145"/>
    </row>
    <row r="924">
      <c r="C924" s="145"/>
      <c r="D924" s="145"/>
      <c r="I924" s="145"/>
      <c r="J924" s="145"/>
      <c r="O924" s="145"/>
      <c r="P924" s="145"/>
    </row>
    <row r="925">
      <c r="C925" s="145"/>
      <c r="D925" s="145"/>
      <c r="I925" s="145"/>
      <c r="J925" s="145"/>
      <c r="O925" s="145"/>
      <c r="P925" s="145"/>
    </row>
    <row r="926">
      <c r="C926" s="145"/>
      <c r="D926" s="145"/>
      <c r="I926" s="145"/>
      <c r="J926" s="145"/>
      <c r="O926" s="145"/>
      <c r="P926" s="145"/>
    </row>
    <row r="927">
      <c r="C927" s="145"/>
      <c r="D927" s="145"/>
      <c r="I927" s="145"/>
      <c r="J927" s="145"/>
      <c r="O927" s="145"/>
      <c r="P927" s="145"/>
    </row>
    <row r="928">
      <c r="C928" s="145"/>
      <c r="D928" s="145"/>
      <c r="I928" s="145"/>
      <c r="J928" s="145"/>
      <c r="O928" s="145"/>
      <c r="P928" s="145"/>
    </row>
    <row r="929">
      <c r="C929" s="145"/>
      <c r="D929" s="145"/>
      <c r="I929" s="145"/>
      <c r="J929" s="145"/>
      <c r="O929" s="145"/>
      <c r="P929" s="145"/>
    </row>
    <row r="930">
      <c r="C930" s="145"/>
      <c r="D930" s="145"/>
      <c r="I930" s="145"/>
      <c r="J930" s="145"/>
      <c r="O930" s="145"/>
      <c r="P930" s="145"/>
    </row>
    <row r="931">
      <c r="C931" s="145"/>
      <c r="D931" s="145"/>
      <c r="I931" s="145"/>
      <c r="J931" s="145"/>
      <c r="O931" s="145"/>
      <c r="P931" s="145"/>
    </row>
    <row r="932">
      <c r="C932" s="145"/>
      <c r="D932" s="145"/>
      <c r="I932" s="145"/>
      <c r="J932" s="145"/>
      <c r="O932" s="145"/>
      <c r="P932" s="145"/>
    </row>
    <row r="933">
      <c r="C933" s="145"/>
      <c r="D933" s="145"/>
      <c r="I933" s="145"/>
      <c r="J933" s="145"/>
      <c r="O933" s="145"/>
      <c r="P933" s="145"/>
    </row>
    <row r="934">
      <c r="C934" s="145"/>
      <c r="D934" s="145"/>
      <c r="I934" s="145"/>
      <c r="J934" s="145"/>
      <c r="O934" s="145"/>
      <c r="P934" s="145"/>
    </row>
    <row r="935">
      <c r="C935" s="145"/>
      <c r="D935" s="145"/>
      <c r="I935" s="145"/>
      <c r="J935" s="145"/>
      <c r="O935" s="145"/>
      <c r="P935" s="145"/>
    </row>
    <row r="936">
      <c r="C936" s="145"/>
      <c r="D936" s="145"/>
      <c r="I936" s="145"/>
      <c r="J936" s="145"/>
      <c r="O936" s="145"/>
      <c r="P936" s="145"/>
    </row>
    <row r="937">
      <c r="C937" s="145"/>
      <c r="D937" s="145"/>
      <c r="I937" s="145"/>
      <c r="J937" s="145"/>
      <c r="O937" s="145"/>
      <c r="P937" s="145"/>
    </row>
    <row r="938">
      <c r="C938" s="145"/>
      <c r="D938" s="145"/>
      <c r="I938" s="145"/>
      <c r="J938" s="145"/>
      <c r="O938" s="145"/>
      <c r="P938" s="145"/>
    </row>
    <row r="939">
      <c r="C939" s="145"/>
      <c r="D939" s="145"/>
      <c r="I939" s="145"/>
      <c r="J939" s="145"/>
      <c r="O939" s="145"/>
      <c r="P939" s="145"/>
    </row>
    <row r="940">
      <c r="C940" s="145"/>
      <c r="D940" s="145"/>
      <c r="I940" s="145"/>
      <c r="J940" s="145"/>
      <c r="O940" s="145"/>
      <c r="P940" s="145"/>
    </row>
    <row r="941">
      <c r="C941" s="145"/>
      <c r="D941" s="145"/>
      <c r="I941" s="145"/>
      <c r="J941" s="145"/>
      <c r="O941" s="145"/>
      <c r="P941" s="145"/>
    </row>
    <row r="942">
      <c r="C942" s="145"/>
      <c r="D942" s="145"/>
      <c r="I942" s="145"/>
      <c r="J942" s="145"/>
      <c r="O942" s="145"/>
      <c r="P942" s="145"/>
    </row>
    <row r="943">
      <c r="C943" s="145"/>
      <c r="D943" s="145"/>
      <c r="I943" s="145"/>
      <c r="J943" s="145"/>
      <c r="O943" s="145"/>
      <c r="P943" s="145"/>
    </row>
    <row r="944">
      <c r="C944" s="145"/>
      <c r="D944" s="145"/>
      <c r="I944" s="145"/>
      <c r="J944" s="145"/>
      <c r="O944" s="145"/>
      <c r="P944" s="145"/>
    </row>
    <row r="945">
      <c r="C945" s="145"/>
      <c r="D945" s="145"/>
      <c r="I945" s="145"/>
      <c r="J945" s="145"/>
      <c r="O945" s="145"/>
      <c r="P945" s="145"/>
    </row>
    <row r="946">
      <c r="C946" s="145"/>
      <c r="D946" s="145"/>
      <c r="I946" s="145"/>
      <c r="J946" s="145"/>
      <c r="O946" s="145"/>
      <c r="P946" s="145"/>
    </row>
    <row r="947">
      <c r="C947" s="145"/>
      <c r="D947" s="145"/>
      <c r="I947" s="145"/>
      <c r="J947" s="145"/>
      <c r="O947" s="145"/>
      <c r="P947" s="145"/>
    </row>
    <row r="948">
      <c r="C948" s="145"/>
      <c r="D948" s="145"/>
      <c r="I948" s="145"/>
      <c r="J948" s="145"/>
      <c r="O948" s="145"/>
      <c r="P948" s="145"/>
    </row>
    <row r="949">
      <c r="C949" s="145"/>
      <c r="D949" s="145"/>
      <c r="I949" s="145"/>
      <c r="J949" s="145"/>
      <c r="O949" s="145"/>
      <c r="P949" s="145"/>
    </row>
    <row r="950">
      <c r="C950" s="145"/>
      <c r="D950" s="145"/>
      <c r="I950" s="145"/>
      <c r="J950" s="145"/>
      <c r="O950" s="145"/>
      <c r="P950" s="145"/>
    </row>
    <row r="951">
      <c r="C951" s="145"/>
      <c r="D951" s="145"/>
      <c r="I951" s="145"/>
      <c r="J951" s="145"/>
      <c r="O951" s="145"/>
      <c r="P951" s="145"/>
    </row>
    <row r="952">
      <c r="C952" s="145"/>
      <c r="D952" s="145"/>
      <c r="I952" s="145"/>
      <c r="J952" s="145"/>
      <c r="O952" s="145"/>
      <c r="P952" s="145"/>
    </row>
    <row r="953">
      <c r="C953" s="145"/>
      <c r="D953" s="145"/>
      <c r="I953" s="145"/>
      <c r="J953" s="145"/>
      <c r="O953" s="145"/>
      <c r="P953" s="145"/>
    </row>
    <row r="954">
      <c r="C954" s="145"/>
      <c r="D954" s="145"/>
      <c r="I954" s="145"/>
      <c r="J954" s="145"/>
      <c r="O954" s="145"/>
      <c r="P954" s="145"/>
    </row>
    <row r="955">
      <c r="C955" s="145"/>
      <c r="D955" s="145"/>
      <c r="I955" s="145"/>
      <c r="J955" s="145"/>
      <c r="O955" s="145"/>
      <c r="P955" s="145"/>
    </row>
    <row r="956">
      <c r="C956" s="145"/>
      <c r="D956" s="145"/>
      <c r="I956" s="145"/>
      <c r="J956" s="145"/>
      <c r="O956" s="145"/>
      <c r="P956" s="145"/>
    </row>
    <row r="957">
      <c r="C957" s="145"/>
      <c r="D957" s="145"/>
      <c r="I957" s="145"/>
      <c r="J957" s="145"/>
      <c r="O957" s="145"/>
      <c r="P957" s="145"/>
    </row>
    <row r="958">
      <c r="C958" s="145"/>
      <c r="D958" s="145"/>
      <c r="I958" s="145"/>
      <c r="J958" s="145"/>
      <c r="O958" s="145"/>
      <c r="P958" s="145"/>
    </row>
    <row r="959">
      <c r="C959" s="145"/>
      <c r="D959" s="145"/>
      <c r="I959" s="145"/>
      <c r="J959" s="145"/>
      <c r="O959" s="145"/>
      <c r="P959" s="145"/>
    </row>
    <row r="960">
      <c r="C960" s="145"/>
      <c r="D960" s="145"/>
      <c r="I960" s="145"/>
      <c r="J960" s="145"/>
      <c r="O960" s="145"/>
      <c r="P960" s="145"/>
    </row>
    <row r="961">
      <c r="C961" s="145"/>
      <c r="D961" s="145"/>
      <c r="I961" s="145"/>
      <c r="J961" s="145"/>
      <c r="O961" s="145"/>
      <c r="P961" s="145"/>
    </row>
    <row r="962">
      <c r="C962" s="145"/>
      <c r="D962" s="145"/>
      <c r="I962" s="145"/>
      <c r="J962" s="145"/>
      <c r="O962" s="145"/>
      <c r="P962" s="145"/>
    </row>
    <row r="963">
      <c r="C963" s="145"/>
      <c r="D963" s="145"/>
      <c r="I963" s="145"/>
      <c r="J963" s="145"/>
      <c r="O963" s="145"/>
      <c r="P963" s="145"/>
    </row>
    <row r="964">
      <c r="C964" s="145"/>
      <c r="D964" s="145"/>
      <c r="I964" s="145"/>
      <c r="J964" s="145"/>
      <c r="O964" s="145"/>
      <c r="P964" s="145"/>
    </row>
    <row r="965">
      <c r="C965" s="145"/>
      <c r="D965" s="145"/>
      <c r="I965" s="145"/>
      <c r="J965" s="145"/>
      <c r="O965" s="145"/>
      <c r="P965" s="145"/>
    </row>
    <row r="966">
      <c r="C966" s="145"/>
      <c r="D966" s="145"/>
      <c r="I966" s="145"/>
      <c r="J966" s="145"/>
      <c r="O966" s="145"/>
      <c r="P966" s="145"/>
    </row>
    <row r="967">
      <c r="C967" s="145"/>
      <c r="D967" s="145"/>
      <c r="I967" s="145"/>
      <c r="J967" s="145"/>
      <c r="O967" s="145"/>
      <c r="P967" s="145"/>
    </row>
    <row r="968">
      <c r="C968" s="145"/>
      <c r="D968" s="145"/>
      <c r="I968" s="145"/>
      <c r="J968" s="145"/>
      <c r="O968" s="145"/>
      <c r="P968" s="145"/>
    </row>
    <row r="969">
      <c r="C969" s="145"/>
      <c r="D969" s="145"/>
      <c r="I969" s="145"/>
      <c r="J969" s="145"/>
      <c r="O969" s="145"/>
      <c r="P969" s="145"/>
    </row>
    <row r="970">
      <c r="C970" s="145"/>
      <c r="D970" s="145"/>
      <c r="I970" s="145"/>
      <c r="J970" s="145"/>
      <c r="O970" s="145"/>
      <c r="P970" s="145"/>
    </row>
    <row r="971">
      <c r="C971" s="145"/>
      <c r="D971" s="145"/>
      <c r="I971" s="145"/>
      <c r="J971" s="145"/>
      <c r="O971" s="145"/>
      <c r="P971" s="145"/>
    </row>
    <row r="972">
      <c r="C972" s="145"/>
      <c r="D972" s="145"/>
      <c r="I972" s="145"/>
      <c r="J972" s="145"/>
      <c r="O972" s="145"/>
      <c r="P972" s="145"/>
    </row>
    <row r="973">
      <c r="C973" s="145"/>
      <c r="D973" s="145"/>
      <c r="I973" s="145"/>
      <c r="J973" s="145"/>
      <c r="O973" s="145"/>
      <c r="P973" s="145"/>
    </row>
    <row r="974">
      <c r="C974" s="145"/>
      <c r="D974" s="145"/>
      <c r="I974" s="145"/>
      <c r="J974" s="145"/>
      <c r="O974" s="145"/>
      <c r="P974" s="145"/>
    </row>
    <row r="975">
      <c r="C975" s="145"/>
      <c r="D975" s="145"/>
      <c r="I975" s="145"/>
      <c r="J975" s="145"/>
      <c r="O975" s="145"/>
      <c r="P975" s="145"/>
    </row>
    <row r="976">
      <c r="C976" s="145"/>
      <c r="D976" s="145"/>
      <c r="I976" s="145"/>
      <c r="J976" s="145"/>
      <c r="O976" s="145"/>
      <c r="P976" s="145"/>
    </row>
    <row r="977">
      <c r="C977" s="145"/>
      <c r="D977" s="145"/>
      <c r="I977" s="145"/>
      <c r="J977" s="145"/>
      <c r="O977" s="145"/>
      <c r="P977" s="145"/>
    </row>
    <row r="978">
      <c r="C978" s="145"/>
      <c r="D978" s="145"/>
      <c r="I978" s="145"/>
      <c r="J978" s="145"/>
      <c r="O978" s="145"/>
      <c r="P978" s="145"/>
    </row>
    <row r="979">
      <c r="C979" s="145"/>
      <c r="D979" s="145"/>
      <c r="I979" s="145"/>
      <c r="J979" s="145"/>
      <c r="O979" s="145"/>
      <c r="P979" s="145"/>
    </row>
    <row r="980">
      <c r="C980" s="145"/>
      <c r="D980" s="145"/>
      <c r="I980" s="145"/>
      <c r="J980" s="145"/>
      <c r="O980" s="145"/>
      <c r="P980" s="145"/>
    </row>
    <row r="981">
      <c r="C981" s="145"/>
      <c r="D981" s="145"/>
      <c r="I981" s="145"/>
      <c r="J981" s="145"/>
      <c r="O981" s="145"/>
      <c r="P981" s="145"/>
    </row>
    <row r="982">
      <c r="C982" s="145"/>
      <c r="D982" s="145"/>
      <c r="I982" s="145"/>
      <c r="J982" s="145"/>
      <c r="O982" s="145"/>
      <c r="P982" s="145"/>
    </row>
    <row r="983">
      <c r="C983" s="145"/>
      <c r="D983" s="145"/>
      <c r="I983" s="145"/>
      <c r="J983" s="145"/>
      <c r="O983" s="145"/>
      <c r="P983" s="145"/>
    </row>
    <row r="984">
      <c r="C984" s="145"/>
      <c r="D984" s="145"/>
      <c r="I984" s="145"/>
      <c r="J984" s="145"/>
      <c r="O984" s="145"/>
      <c r="P984" s="145"/>
    </row>
    <row r="985">
      <c r="C985" s="145"/>
      <c r="D985" s="145"/>
      <c r="I985" s="145"/>
      <c r="J985" s="145"/>
      <c r="O985" s="145"/>
      <c r="P985" s="145"/>
    </row>
    <row r="986">
      <c r="C986" s="145"/>
      <c r="D986" s="145"/>
      <c r="I986" s="145"/>
      <c r="J986" s="145"/>
      <c r="O986" s="145"/>
      <c r="P986" s="145"/>
    </row>
    <row r="987">
      <c r="C987" s="145"/>
      <c r="D987" s="145"/>
      <c r="I987" s="145"/>
      <c r="J987" s="145"/>
      <c r="O987" s="145"/>
      <c r="P987" s="145"/>
    </row>
    <row r="988">
      <c r="C988" s="145"/>
      <c r="D988" s="145"/>
      <c r="I988" s="145"/>
      <c r="J988" s="145"/>
      <c r="O988" s="145"/>
      <c r="P988" s="145"/>
    </row>
    <row r="989">
      <c r="C989" s="145"/>
      <c r="D989" s="145"/>
      <c r="I989" s="145"/>
      <c r="J989" s="145"/>
      <c r="O989" s="145"/>
      <c r="P989" s="145"/>
    </row>
    <row r="990">
      <c r="C990" s="145"/>
      <c r="D990" s="145"/>
      <c r="I990" s="145"/>
      <c r="J990" s="145"/>
      <c r="O990" s="145"/>
      <c r="P990" s="145"/>
    </row>
    <row r="991">
      <c r="C991" s="145"/>
      <c r="D991" s="145"/>
      <c r="I991" s="145"/>
      <c r="J991" s="145"/>
      <c r="O991" s="145"/>
      <c r="P991" s="145"/>
    </row>
    <row r="992">
      <c r="C992" s="145"/>
      <c r="D992" s="145"/>
      <c r="I992" s="145"/>
      <c r="J992" s="145"/>
      <c r="O992" s="145"/>
      <c r="P992" s="145"/>
    </row>
    <row r="993">
      <c r="C993" s="145"/>
      <c r="D993" s="145"/>
      <c r="I993" s="145"/>
      <c r="J993" s="145"/>
      <c r="O993" s="145"/>
      <c r="P993" s="145"/>
    </row>
    <row r="994">
      <c r="C994" s="145"/>
      <c r="D994" s="145"/>
      <c r="I994" s="145"/>
      <c r="J994" s="145"/>
      <c r="O994" s="145"/>
      <c r="P994" s="145"/>
    </row>
    <row r="995">
      <c r="C995" s="145"/>
      <c r="D995" s="145"/>
      <c r="I995" s="145"/>
      <c r="J995" s="145"/>
      <c r="O995" s="145"/>
      <c r="P995" s="145"/>
    </row>
    <row r="996">
      <c r="C996" s="145"/>
      <c r="D996" s="145"/>
      <c r="I996" s="145"/>
      <c r="J996" s="145"/>
      <c r="O996" s="145"/>
      <c r="P996" s="145"/>
    </row>
    <row r="997">
      <c r="C997" s="145"/>
      <c r="D997" s="145"/>
      <c r="O997" s="145"/>
      <c r="P997" s="145"/>
    </row>
    <row r="998">
      <c r="C998" s="145"/>
      <c r="D998" s="145"/>
      <c r="O998" s="145"/>
      <c r="P998" s="145"/>
    </row>
    <row r="999">
      <c r="C999" s="145"/>
      <c r="D999" s="145"/>
    </row>
    <row r="1000">
      <c r="C1000" s="145"/>
      <c r="D1000" s="145"/>
    </row>
    <row r="1001">
      <c r="C1001" s="145"/>
      <c r="D1001" s="145"/>
    </row>
    <row r="1002">
      <c r="C1002" s="145"/>
      <c r="D1002" s="145"/>
    </row>
    <row r="1003">
      <c r="C1003" s="145"/>
      <c r="D1003" s="145"/>
    </row>
    <row r="1004">
      <c r="C1004" s="145"/>
      <c r="D1004" s="145"/>
    </row>
    <row r="1005">
      <c r="C1005" s="145"/>
      <c r="D1005" s="145"/>
    </row>
    <row r="1006">
      <c r="C1006" s="145"/>
      <c r="D1006" s="145"/>
    </row>
    <row r="1007">
      <c r="C1007" s="145"/>
      <c r="D1007" s="145"/>
    </row>
    <row r="1008">
      <c r="C1008" s="145"/>
      <c r="D1008" s="145"/>
    </row>
    <row r="1009">
      <c r="C1009" s="145"/>
      <c r="D1009" s="145"/>
    </row>
    <row r="1010">
      <c r="C1010" s="145"/>
      <c r="D1010" s="145"/>
    </row>
    <row r="1011">
      <c r="C1011" s="145"/>
      <c r="D1011" s="145"/>
    </row>
    <row r="1012">
      <c r="C1012" s="145"/>
      <c r="D1012" s="145"/>
    </row>
    <row r="1013">
      <c r="C1013" s="145"/>
      <c r="D1013" s="145"/>
    </row>
    <row r="1014">
      <c r="C1014" s="145"/>
      <c r="D1014" s="145"/>
    </row>
  </sheetData>
  <mergeCells count="4">
    <mergeCell ref="A1:B1"/>
    <mergeCell ref="H1:I1"/>
    <mergeCell ref="N1:O1"/>
    <mergeCell ref="R2:S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3" max="3" width="32.25"/>
  </cols>
  <sheetData>
    <row r="1">
      <c r="A1" s="32" t="s">
        <v>8831</v>
      </c>
      <c r="C1" s="32" t="s">
        <v>194</v>
      </c>
    </row>
    <row r="2">
      <c r="A2" s="32" t="s">
        <v>26</v>
      </c>
      <c r="C2" s="32" t="s">
        <v>246</v>
      </c>
    </row>
    <row r="3">
      <c r="A3" s="32" t="s">
        <v>8832</v>
      </c>
      <c r="C3" s="32" t="s">
        <v>192</v>
      </c>
    </row>
    <row r="4">
      <c r="A4" s="32" t="s">
        <v>14</v>
      </c>
      <c r="C4" s="32" t="s">
        <v>8833</v>
      </c>
    </row>
    <row r="5">
      <c r="C5" s="32" t="s">
        <v>251</v>
      </c>
    </row>
    <row r="6">
      <c r="C6" s="32" t="s">
        <v>189</v>
      </c>
    </row>
    <row r="18">
      <c r="A18" s="32" t="s">
        <v>8834</v>
      </c>
      <c r="B18" s="32">
        <v>7.86</v>
      </c>
    </row>
    <row r="19">
      <c r="A19" s="32" t="s">
        <v>8835</v>
      </c>
      <c r="B19" s="32">
        <v>2.7</v>
      </c>
    </row>
    <row r="20">
      <c r="A20" s="32" t="s">
        <v>8836</v>
      </c>
      <c r="B20" s="32">
        <v>8.73</v>
      </c>
    </row>
    <row r="21">
      <c r="A21" s="32" t="s">
        <v>8837</v>
      </c>
      <c r="B21" s="32">
        <v>8.96</v>
      </c>
    </row>
  </sheetData>
  <drawing r:id="rId1"/>
</worksheet>
</file>