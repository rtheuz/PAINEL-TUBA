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BACKUP APP SCRIPT COMPLETO\"/>
    </mc:Choice>
  </mc:AlternateContent>
  <xr:revisionPtr revIDLastSave="0" documentId="8_{DD8014CA-CFC8-4F17-8566-FAB061B7877D}" xr6:coauthVersionLast="47" xr6:coauthVersionMax="47" xr10:uidLastSave="{00000000-0000-0000-0000-000000000000}"/>
  <bookViews>
    <workbookView xWindow="-120" yWindow="-120" windowWidth="29040" windowHeight="15720" tabRatio="1000" activeTab="9" xr2:uid="{00000000-000D-0000-FFFF-FFFF00000000}"/>
  </bookViews>
  <sheets>
    <sheet name="Orçamentos" sheetId="1" r:id="rId1"/>
    <sheet name="Pedidos" sheetId="2" r:id="rId2"/>
    <sheet name="Produtos" sheetId="3" r:id="rId3"/>
    <sheet name="Registro de Manutenções" sheetId="4" r:id="rId4"/>
    <sheet name="Controle de Materiais" sheetId="5" r:id="rId5"/>
    <sheet name="Cadastro de Clientes" sheetId="6" r:id="rId6"/>
    <sheet name="Controle de Veículos" sheetId="7" r:id="rId7"/>
    <sheet name="Logs" sheetId="8" r:id="rId8"/>
    <sheet name="Avaliações" sheetId="9" r:id="rId9"/>
    <sheet name="Tabelas para cálculos" sheetId="10" r:id="rId10"/>
    <sheet name="Configurações Máquina de corte" sheetId="11" r:id="rId11"/>
    <sheet name="Configurações" sheetId="12" r:id="rId12"/>
  </sheets>
  <definedNames>
    <definedName name="_xlnm._FilterDatabase" localSheetId="4" hidden="1">'Controle de Materiais'!$A$1:$N$55</definedName>
    <definedName name="_xlnm._FilterDatabase" localSheetId="6" hidden="1">'Controle de Veículos'!$A$1:$H$998</definedName>
    <definedName name="_xlnm._FilterDatabase" localSheetId="3" hidden="1">'Registro de Manutenções'!$A$1:$G$8</definedName>
  </definedNames>
  <calcPr calcId="181029"/>
  <fileRecoveryPr repairLoad="1"/>
</workbook>
</file>

<file path=xl/calcChain.xml><?xml version="1.0" encoding="utf-8"?>
<calcChain xmlns="http://schemas.openxmlformats.org/spreadsheetml/2006/main">
  <c r="Q5" i="10" l="1"/>
  <c r="Q6" i="10"/>
  <c r="Q7" i="10"/>
  <c r="Q8" i="10"/>
  <c r="Q9" i="10"/>
  <c r="R5" i="10"/>
  <c r="R6" i="10"/>
  <c r="R7" i="10"/>
  <c r="R8" i="10"/>
  <c r="R9" i="10"/>
  <c r="S5" i="10"/>
  <c r="S6" i="10"/>
  <c r="S7" i="10"/>
  <c r="S8" i="10"/>
  <c r="S9" i="10"/>
  <c r="T5" i="10"/>
  <c r="T6" i="10"/>
  <c r="T7" i="10"/>
  <c r="T8" i="10"/>
  <c r="T9" i="10"/>
  <c r="U5" i="10"/>
  <c r="U6" i="10"/>
  <c r="U7" i="10"/>
  <c r="U8" i="10"/>
  <c r="U9" i="10"/>
  <c r="V5" i="10"/>
  <c r="V6" i="10"/>
  <c r="V7" i="10"/>
  <c r="V8" i="10"/>
  <c r="V9" i="10"/>
  <c r="W5" i="10"/>
  <c r="W6" i="10"/>
  <c r="W7" i="10"/>
  <c r="W8" i="10"/>
  <c r="W9" i="10"/>
  <c r="X5" i="10"/>
  <c r="X6" i="10"/>
  <c r="X7" i="10"/>
  <c r="X8" i="10"/>
  <c r="X9" i="10"/>
  <c r="Y5" i="10"/>
  <c r="Y6" i="10"/>
  <c r="Y7" i="10"/>
  <c r="Y8" i="10"/>
  <c r="Y9" i="10"/>
  <c r="Z5" i="10"/>
  <c r="Z6" i="10"/>
  <c r="Z7" i="10"/>
  <c r="Z8" i="10"/>
  <c r="Z9" i="10"/>
  <c r="AA5" i="10"/>
  <c r="AA6" i="10"/>
  <c r="AA7" i="10"/>
  <c r="AA8" i="10"/>
  <c r="AA9" i="10"/>
  <c r="AB5" i="10"/>
  <c r="AB6" i="10"/>
  <c r="AB7" i="10"/>
  <c r="AB8" i="10"/>
  <c r="AB9" i="10"/>
  <c r="AC5" i="10"/>
  <c r="AC6" i="10"/>
  <c r="AC7" i="10"/>
  <c r="AC8" i="10"/>
  <c r="AC9" i="10"/>
  <c r="AD5" i="10"/>
  <c r="AD6" i="10"/>
  <c r="AD7" i="10"/>
  <c r="AD8" i="10"/>
  <c r="AD9" i="10"/>
  <c r="AF7" i="10"/>
  <c r="AE7" i="10"/>
  <c r="G14" i="10"/>
  <c r="H12" i="10"/>
  <c r="F6" i="10"/>
  <c r="F27" i="11"/>
  <c r="E27" i="11"/>
  <c r="F26" i="11"/>
  <c r="E26" i="11"/>
  <c r="F25" i="11"/>
  <c r="E25" i="11"/>
  <c r="F24" i="11"/>
  <c r="E24" i="11"/>
  <c r="F23" i="11"/>
  <c r="E23" i="11"/>
  <c r="F22" i="11"/>
  <c r="E22" i="11"/>
  <c r="F21" i="11"/>
  <c r="E21" i="11"/>
  <c r="F20" i="11"/>
  <c r="E20" i="11"/>
  <c r="F19" i="11"/>
  <c r="E19" i="11"/>
  <c r="F18" i="11"/>
  <c r="E18" i="11"/>
  <c r="F17" i="11"/>
  <c r="E17" i="11"/>
  <c r="F16" i="11"/>
  <c r="E16" i="11"/>
  <c r="F15" i="11"/>
  <c r="E15" i="11"/>
  <c r="F14" i="11"/>
  <c r="E14" i="11"/>
  <c r="F13" i="11"/>
  <c r="E13" i="11"/>
  <c r="F12" i="11"/>
  <c r="E12" i="11"/>
  <c r="V11" i="11"/>
  <c r="U11" i="11"/>
  <c r="F11" i="11"/>
  <c r="E11" i="11"/>
  <c r="V10" i="11"/>
  <c r="U10" i="11"/>
  <c r="F10" i="11"/>
  <c r="E10" i="11"/>
  <c r="V9" i="11"/>
  <c r="U9" i="11"/>
  <c r="N9" i="11"/>
  <c r="M9" i="11"/>
  <c r="F9" i="11"/>
  <c r="E9" i="11"/>
  <c r="V8" i="11"/>
  <c r="U8" i="11"/>
  <c r="N8" i="11"/>
  <c r="M8" i="11"/>
  <c r="F8" i="11"/>
  <c r="E8" i="11"/>
  <c r="V7" i="11"/>
  <c r="U7" i="11"/>
  <c r="N7" i="11"/>
  <c r="M7" i="11"/>
  <c r="F7" i="11"/>
  <c r="E7" i="11"/>
  <c r="V6" i="11"/>
  <c r="U6" i="11"/>
  <c r="N6" i="11"/>
  <c r="M6" i="11"/>
  <c r="F6" i="11"/>
  <c r="E6" i="11"/>
  <c r="V5" i="11"/>
  <c r="U5" i="11"/>
  <c r="N5" i="11"/>
  <c r="M5" i="11"/>
  <c r="F5" i="11"/>
  <c r="E5" i="11"/>
  <c r="V4" i="11"/>
  <c r="U4" i="11"/>
  <c r="N4" i="11"/>
  <c r="M4" i="11"/>
  <c r="F4" i="11"/>
  <c r="E4" i="11"/>
  <c r="V3" i="11"/>
  <c r="U3" i="11"/>
  <c r="N3" i="11"/>
  <c r="M3" i="11"/>
  <c r="F3" i="11"/>
  <c r="E3" i="11"/>
  <c r="F33" i="10"/>
  <c r="H33" i="10" s="1"/>
  <c r="C33" i="10"/>
  <c r="H32" i="10"/>
  <c r="I32" i="10" s="1"/>
  <c r="F32" i="10"/>
  <c r="C32" i="10"/>
  <c r="F31" i="10"/>
  <c r="H31" i="10" s="1"/>
  <c r="C31" i="10"/>
  <c r="H30" i="10"/>
  <c r="I30" i="10" s="1"/>
  <c r="F30" i="10"/>
  <c r="C30" i="10"/>
  <c r="F29" i="10"/>
  <c r="H29" i="10" s="1"/>
  <c r="C29" i="10"/>
  <c r="H28" i="10"/>
  <c r="I28" i="10" s="1"/>
  <c r="F28" i="10"/>
  <c r="C28" i="10"/>
  <c r="F25" i="10"/>
  <c r="D25" i="10"/>
  <c r="G25" i="10" s="1" a="1"/>
  <c r="G25" i="10" s="1"/>
  <c r="C25" i="10" a="1"/>
  <c r="C25" i="10" s="1"/>
  <c r="B25" i="10" a="1"/>
  <c r="B25" i="10" s="1"/>
  <c r="F24" i="10"/>
  <c r="D24" i="10"/>
  <c r="G24" i="10" s="1" a="1"/>
  <c r="G24" i="10" s="1"/>
  <c r="C24" i="10" a="1"/>
  <c r="C24" i="10" s="1"/>
  <c r="B24" i="10" a="1"/>
  <c r="B24" i="10" s="1"/>
  <c r="G23" i="10" a="1"/>
  <c r="G23" i="10" s="1"/>
  <c r="F23" i="10"/>
  <c r="H23" i="10" s="1"/>
  <c r="D23" i="10"/>
  <c r="C23" i="10" a="1"/>
  <c r="C23" i="10" s="1"/>
  <c r="B23" i="10" a="1"/>
  <c r="B23" i="10" s="1"/>
  <c r="I23" i="10" s="1"/>
  <c r="F39" i="10" s="1"/>
  <c r="B39" i="10" s="1"/>
  <c r="G22" i="10" a="1"/>
  <c r="G22" i="10" s="1"/>
  <c r="F22" i="10"/>
  <c r="H22" i="10" s="1"/>
  <c r="D22" i="10"/>
  <c r="C22" i="10" a="1"/>
  <c r="C22" i="10" s="1"/>
  <c r="B22" i="10" a="1"/>
  <c r="B22" i="10" s="1"/>
  <c r="G21" i="10" a="1"/>
  <c r="G21" i="10" s="1"/>
  <c r="F21" i="10"/>
  <c r="H21" i="10" s="1"/>
  <c r="D21" i="10"/>
  <c r="C21" i="10" a="1"/>
  <c r="C21" i="10" s="1"/>
  <c r="B21" i="10" a="1"/>
  <c r="B21" i="10" s="1"/>
  <c r="G20" i="10" a="1"/>
  <c r="G20" i="10" s="1"/>
  <c r="U4" i="10" s="1"/>
  <c r="F20" i="10"/>
  <c r="T4" i="10" s="1"/>
  <c r="D20" i="10"/>
  <c r="C20" i="10" a="1"/>
  <c r="C20" i="10" s="1"/>
  <c r="B20" i="10" a="1"/>
  <c r="B20" i="10" s="1"/>
  <c r="H17" i="10"/>
  <c r="P9" i="10" s="1"/>
  <c r="G17" i="10"/>
  <c r="D17" i="10"/>
  <c r="G16" i="10"/>
  <c r="D16" i="10"/>
  <c r="H15" i="10"/>
  <c r="I15" i="10" s="1"/>
  <c r="G15" i="10"/>
  <c r="D15" i="10"/>
  <c r="D14" i="10"/>
  <c r="G13" i="10"/>
  <c r="D13" i="10"/>
  <c r="G12" i="10"/>
  <c r="O9" i="10"/>
  <c r="H9" i="10" a="1"/>
  <c r="H9" i="10"/>
  <c r="F9" i="10"/>
  <c r="H8" i="10" a="1"/>
  <c r="H8" i="10" s="1"/>
  <c r="F8" i="10"/>
  <c r="H16" i="10" s="1"/>
  <c r="H7" i="10" a="1"/>
  <c r="H7" i="10"/>
  <c r="J15" i="10" s="1"/>
  <c r="H6" i="10" a="1"/>
  <c r="H6" i="10"/>
  <c r="O6" i="10" s="1"/>
  <c r="H14" i="10"/>
  <c r="H5" i="10" a="1"/>
  <c r="H5" i="10" s="1"/>
  <c r="F5" i="10"/>
  <c r="H13" i="10" s="1"/>
  <c r="AC4" i="10"/>
  <c r="AB4" i="10"/>
  <c r="AA4" i="10"/>
  <c r="Z4" i="10"/>
  <c r="Y4" i="10"/>
  <c r="S4" i="10"/>
  <c r="O4" i="10"/>
  <c r="H4" i="10" a="1"/>
  <c r="H4" i="10"/>
  <c r="F4" i="10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I31" i="10" l="1"/>
  <c r="P8" i="10"/>
  <c r="I16" i="10"/>
  <c r="I29" i="10"/>
  <c r="C40" i="10"/>
  <c r="G40" i="10"/>
  <c r="J13" i="10"/>
  <c r="O5" i="10"/>
  <c r="H39" i="10"/>
  <c r="C36" i="10"/>
  <c r="G36" i="10"/>
  <c r="AD4" i="10"/>
  <c r="H24" i="10"/>
  <c r="W4" i="10"/>
  <c r="I14" i="10"/>
  <c r="P6" i="10"/>
  <c r="O8" i="10"/>
  <c r="I22" i="10"/>
  <c r="I33" i="10"/>
  <c r="H25" i="10"/>
  <c r="C38" i="10"/>
  <c r="G38" i="10"/>
  <c r="I13" i="10"/>
  <c r="P5" i="10"/>
  <c r="I21" i="10"/>
  <c r="I12" i="10"/>
  <c r="Q4" i="10" s="1"/>
  <c r="P4" i="10"/>
  <c r="I24" i="10"/>
  <c r="I17" i="10"/>
  <c r="J14" i="10"/>
  <c r="H20" i="10"/>
  <c r="V4" i="10" s="1"/>
  <c r="I25" i="10" l="1"/>
  <c r="H38" i="10"/>
  <c r="F37" i="10"/>
  <c r="B37" i="10" s="1"/>
  <c r="I39" i="10"/>
  <c r="M7" i="10" s="1"/>
  <c r="L7" i="10" s="1"/>
  <c r="D39" i="10"/>
  <c r="C41" i="10"/>
  <c r="G41" i="10"/>
  <c r="F40" i="10"/>
  <c r="B40" i="10" s="1"/>
  <c r="C37" i="10"/>
  <c r="G37" i="10"/>
  <c r="I20" i="10"/>
  <c r="F38" i="10"/>
  <c r="B38" i="10" s="1"/>
  <c r="C39" i="10"/>
  <c r="G39" i="10"/>
  <c r="J17" i="10"/>
  <c r="H37" i="10"/>
  <c r="J12" i="10"/>
  <c r="J16" i="10"/>
  <c r="F36" i="10" l="1"/>
  <c r="B36" i="10" s="1"/>
  <c r="X4" i="10"/>
  <c r="I37" i="10"/>
  <c r="M5" i="10" s="1"/>
  <c r="D37" i="10"/>
  <c r="E37" i="10" s="1"/>
  <c r="H41" i="10"/>
  <c r="I38" i="10"/>
  <c r="M6" i="10" s="1"/>
  <c r="D38" i="10"/>
  <c r="E39" i="10"/>
  <c r="H40" i="10"/>
  <c r="H36" i="10"/>
  <c r="R4" i="10"/>
  <c r="E38" i="10"/>
  <c r="F41" i="10"/>
  <c r="B41" i="10" s="1"/>
  <c r="L6" i="10" l="1"/>
  <c r="AE6" i="10" s="1"/>
  <c r="AF6" i="10"/>
  <c r="I40" i="10"/>
  <c r="M8" i="10" s="1"/>
  <c r="D40" i="10"/>
  <c r="E40" i="10" s="1"/>
  <c r="I41" i="10"/>
  <c r="M9" i="10" s="1"/>
  <c r="D41" i="10"/>
  <c r="E41" i="10" s="1"/>
  <c r="L5" i="10"/>
  <c r="AE5" i="10" s="1"/>
  <c r="AF5" i="10"/>
  <c r="I36" i="10"/>
  <c r="M4" i="10" s="1"/>
  <c r="D36" i="10"/>
  <c r="E36" i="10"/>
  <c r="AF9" i="10" l="1"/>
  <c r="L9" i="10"/>
  <c r="AE9" i="10" s="1"/>
  <c r="AF8" i="10"/>
  <c r="L8" i="10"/>
  <c r="AE8" i="10" s="1"/>
  <c r="L4" i="10"/>
  <c r="AE4" i="10" s="1"/>
  <c r="AF4" i="10"/>
</calcChain>
</file>

<file path=xl/sharedStrings.xml><?xml version="1.0" encoding="utf-8"?>
<sst xmlns="http://schemas.openxmlformats.org/spreadsheetml/2006/main" count="755" uniqueCount="385">
  <si>
    <t>CLIENTE</t>
  </si>
  <si>
    <t>RESPONSÁVEL</t>
  </si>
  <si>
    <t>PROJETO</t>
  </si>
  <si>
    <t>VALOR TOTAL</t>
  </si>
  <si>
    <t>DATA</t>
  </si>
  <si>
    <t>Processos</t>
  </si>
  <si>
    <t>LINK DO PDF</t>
  </si>
  <si>
    <t>LINK DA MEMÓRIA DE CÁLCULO</t>
  </si>
  <si>
    <t>STATUS</t>
  </si>
  <si>
    <t>Furnax Comercial Importadora</t>
  </si>
  <si>
    <t>ISMAEL</t>
  </si>
  <si>
    <t>251013cBR</t>
  </si>
  <si>
    <t>Corte: 0.57h | Dobra: 3h</t>
  </si>
  <si>
    <t>https://drive.google.com/file/d/1aoVY-BuHHmbQQ1LWa_O57-LMl2rcGtQ-/view?usp=drivesdk</t>
  </si>
  <si>
    <t>https://drive.google.com/file/d/1xTtjTVpHedMfNbGRcd6gWF_3w3gi9ncr/view?usp=drivesdk</t>
  </si>
  <si>
    <t>Enviado</t>
  </si>
  <si>
    <t>TECNIGRAV INDUSTRIA E COMERCIO LTDA</t>
  </si>
  <si>
    <t>Rodrigo</t>
  </si>
  <si>
    <t>251013dBR</t>
  </si>
  <si>
    <t>Corte: 0.73h | Dobra: 2h</t>
  </si>
  <si>
    <t>https://drive.google.com/file/d/16P5hEEtPvtorQx97sG9lmJHGIzvFYyJA/view?usp=drivesdk</t>
  </si>
  <si>
    <t>https://drive.google.com/file/d/1_M51LSDFqNROTN0L3_yTKTCU3p7f7VQO/view?usp=drivesdk</t>
  </si>
  <si>
    <t>VANESSA BERTUCCI ENGENHARIA</t>
  </si>
  <si>
    <t>Vanessa</t>
  </si>
  <si>
    <t>251016eBR</t>
  </si>
  <si>
    <t>Corte: 0.08h, Dobra: 0.20h, Adicionais: 0.50h</t>
  </si>
  <si>
    <t>https://drive.google.com/file/d/1DR0aD3_fFQcPmE8fVCSjP2MQaAaJHlMH/view?usp=drivesdk</t>
  </si>
  <si>
    <t>https://drive.google.com/file/d/1WQhiLQ1D3Nt52lR0Y0SLoCBOKDaFBuyt/view?usp=drivesdk</t>
  </si>
  <si>
    <t>ON CONVEYORS ESTEIRAS METALICAS INDUSTRIA E COMERCIO LTDA</t>
  </si>
  <si>
    <t>251028cBR</t>
  </si>
  <si>
    <t xml:space="preserve"> </t>
  </si>
  <si>
    <t>https://drive.google.com/file/d/1pwfjrWsybv8CzblsgMAPVxu2DG_TR5RB/view?usp=drivesdk</t>
  </si>
  <si>
    <t>https://drive.google.com/file/d/1NE3kKCzOaLcb_wM_g--gCaF5qKTboE8o/view?usp=drivesdk</t>
  </si>
  <si>
    <t>THERMAM LTDA</t>
  </si>
  <si>
    <t>251014cBR</t>
  </si>
  <si>
    <t>MAX FIRE</t>
  </si>
  <si>
    <t>250821dBR</t>
  </si>
  <si>
    <t>https://n-isnivimkqx3cchzjxhfuetumeft5hyp5rj7e3ui-0lu-script.googleusercontent.com/userCodeAppPanel</t>
  </si>
  <si>
    <t>Rascunho</t>
  </si>
  <si>
    <t>LUSITÂNA</t>
  </si>
  <si>
    <t>251105cBR</t>
  </si>
  <si>
    <t>Cliente</t>
  </si>
  <si>
    <t>Número do Projeto</t>
  </si>
  <si>
    <t>Status</t>
  </si>
  <si>
    <t>Observações</t>
  </si>
  <si>
    <t>Tempo estimado por processo</t>
  </si>
  <si>
    <t xml:space="preserve">251014cBR
</t>
  </si>
  <si>
    <t>Processo de Corte</t>
  </si>
  <si>
    <t>Corte: 5h  | Dobra:</t>
  </si>
  <si>
    <t>VETTORE INDUSTRIA E COMERCIO LTDA</t>
  </si>
  <si>
    <t>251031aMS</t>
  </si>
  <si>
    <t>Corte: | Dobra:</t>
  </si>
  <si>
    <t>TECH ASSIST NETWORKING INDUSTRIA E COMERCIO, ASSISTENCIA TEC</t>
  </si>
  <si>
    <t>251031dMS</t>
  </si>
  <si>
    <t>Envio / Coleta</t>
  </si>
  <si>
    <t>Corte:  | Dobra:</t>
  </si>
  <si>
    <t>MAX FIRE EQUIPAMENTOS INDUSTRIAIS LTDA</t>
  </si>
  <si>
    <t>251031eMS</t>
  </si>
  <si>
    <t>Finalizado</t>
  </si>
  <si>
    <t>FURNAX COMERCIAL E IMPORTADORA LTDA</t>
  </si>
  <si>
    <t>251031fMS</t>
  </si>
  <si>
    <t>D D EQUIPAMENTOS INDUSTRIAIS LTDA</t>
  </si>
  <si>
    <t>251031gMS</t>
  </si>
  <si>
    <t>THALLYS HENRIQUE ANDRADE LOURENCO - COMERCIO DE FERROS E FER</t>
  </si>
  <si>
    <t>251103aMS</t>
  </si>
  <si>
    <t>Corte: 0.7h | Dobra:</t>
  </si>
  <si>
    <t>ADRIANO DOS SANTOS DE SOUZA</t>
  </si>
  <si>
    <t>251013fMS</t>
  </si>
  <si>
    <t>HENRY PEÇAS COMÉRCIO E SERVIÇOS DE EQUIPAMENTOS HIDRÁULICOS</t>
  </si>
  <si>
    <t>251104cBR</t>
  </si>
  <si>
    <t>Código</t>
  </si>
  <si>
    <t>Data</t>
  </si>
  <si>
    <t>Informações do Produto</t>
  </si>
  <si>
    <t>PLANO DE MANUTENÇÃO</t>
  </si>
  <si>
    <t>DATA/HORA</t>
  </si>
  <si>
    <t>FREQUÊNCIA</t>
  </si>
  <si>
    <t>COMPONENTE</t>
  </si>
  <si>
    <t>AÇÃO</t>
  </si>
  <si>
    <t>RESPONSÁVEL SUGERIDO</t>
  </si>
  <si>
    <t>Máquina Laser</t>
  </si>
  <si>
    <t>Bruno Macedo</t>
  </si>
  <si>
    <t>MENSAL</t>
  </si>
  <si>
    <t>Sistema de Resfriamento (Chiller)</t>
  </si>
  <si>
    <t>Troca do Fluido e Limpeza do Circuito</t>
  </si>
  <si>
    <t>Operador</t>
  </si>
  <si>
    <t>Guias Lineares Longitudinais</t>
  </si>
  <si>
    <t>Limpeza e Lubrificação</t>
  </si>
  <si>
    <t>Operador / Técnico</t>
  </si>
  <si>
    <t>Matheus Rodrigues</t>
  </si>
  <si>
    <t>DIÁRIA</t>
  </si>
  <si>
    <t>Compressor</t>
  </si>
  <si>
    <t>Verificação de reservatório (purgar água)</t>
  </si>
  <si>
    <t>Monitoramento da Temperatura Ambiente</t>
  </si>
  <si>
    <t>Bruno Sena</t>
  </si>
  <si>
    <t>Cabeça de Saída do Laser (Óptica)</t>
  </si>
  <si>
    <t>Inspeção Visual da Lente/bico de corte</t>
  </si>
  <si>
    <t>Nº da Chapa</t>
  </si>
  <si>
    <t>FEITO POR</t>
  </si>
  <si>
    <t>PROP</t>
  </si>
  <si>
    <t>TIPO</t>
  </si>
  <si>
    <t>DIM</t>
  </si>
  <si>
    <t>ESPESSURA</t>
  </si>
  <si>
    <t>MATERIAL</t>
  </si>
  <si>
    <t>QTDE</t>
  </si>
  <si>
    <t>FORNECEDOR</t>
  </si>
  <si>
    <t>NF</t>
  </si>
  <si>
    <t>CÓDIGO CHAPA</t>
  </si>
  <si>
    <t>ETIQUETA</t>
  </si>
  <si>
    <t>PESO APROXIMADO</t>
  </si>
  <si>
    <t>TECH ASSIST</t>
  </si>
  <si>
    <t>Int.</t>
  </si>
  <si>
    <t>1500 x 3000</t>
  </si>
  <si>
    <t>AÇO NÃO QUALIFICADO</t>
  </si>
  <si>
    <t>ACERLOR MITTAL</t>
  </si>
  <si>
    <t>https://drive.google.com/file/d/1xGDdo1elMfZ3HqYBYx3HOhaa4Eyt8DSp/view?usp=drivesdk</t>
  </si>
  <si>
    <t>Retalho</t>
  </si>
  <si>
    <t>1200 x 1800</t>
  </si>
  <si>
    <t>https://drive.google.com/file/d/1JR7XI7Db9_2Z-SnKJSiJf-dil0wY_n1-/view?usp=drivesdk</t>
  </si>
  <si>
    <t>1200 x 3000</t>
  </si>
  <si>
    <t>SAE1008</t>
  </si>
  <si>
    <t>https://drive.google.com/file/d/1QWpXzdq4Zz-Rrxog2JSmECcfV5YJ5Y5L/view?usp=drivesdk</t>
  </si>
  <si>
    <t xml:space="preserve">Retalho </t>
  </si>
  <si>
    <t>960 x 1200</t>
  </si>
  <si>
    <t>https://drive.google.com/file/d/1rYvmjGy-SSXwRJoAe3KA0h6ZH3IKrcGy/view?usp=drivesdk</t>
  </si>
  <si>
    <t>200 x 2380</t>
  </si>
  <si>
    <t>https://drive.google.com/file/d/11Ti1nwZNPgV9LBeIntPHN_KH5KowsSwr/view?usp=drivesdk</t>
  </si>
  <si>
    <t>1200 x 2900</t>
  </si>
  <si>
    <t>SAE120</t>
  </si>
  <si>
    <t>https://drive.google.com/file/d/1Z2xegwGfYyJbPCkNEtb6aEeBkTsOhbWi/view?usp=drivesdk</t>
  </si>
  <si>
    <t>MDURO</t>
  </si>
  <si>
    <t>1415 X 520</t>
  </si>
  <si>
    <t>PROJETO 971</t>
  </si>
  <si>
    <t>https://drive.google.com/file/d/15FWLsrfuheY-xdiisFXJlOMMPd4qee3L/view?usp=drivesdk</t>
  </si>
  <si>
    <t>INSTALL PRIME</t>
  </si>
  <si>
    <t>AÇO GALVANIZADA</t>
  </si>
  <si>
    <t>https://drive.google.com/file/d/197gBJhEs7p74BTbYF1yDINY4dK0SbiSJ/view?usp=drivesdk</t>
  </si>
  <si>
    <t>TUBA FERRAMENTARIA</t>
  </si>
  <si>
    <t>3000 x 1200</t>
  </si>
  <si>
    <t>SOUFER</t>
  </si>
  <si>
    <t>https://drive.google.com/file/d/1bdH3_UkuadPTTholZ0bDiJta3huW8xzi/view?usp=drivesdk</t>
  </si>
  <si>
    <t>TEC BUSWAY</t>
  </si>
  <si>
    <t>AÇO GALVANIZADO</t>
  </si>
  <si>
    <t>https://drive.google.com/file/d/1ADKVRT7DYZ_DXN_qvWxhNkn-PXdvQd54/view?usp=drivesdk</t>
  </si>
  <si>
    <t>CAETANO SOLUÇÕES</t>
  </si>
  <si>
    <t>1250 x 850</t>
  </si>
  <si>
    <t>AÇO INOX</t>
  </si>
  <si>
    <t>CAETANO</t>
  </si>
  <si>
    <t>https://drive.google.com/file/d/1kHQA556Kdl97G_b1l-XlqmCKeCvyro4b/view?usp=drivesdk</t>
  </si>
  <si>
    <t>1285 x 820</t>
  </si>
  <si>
    <t>https://drive.google.com/file/d/1rRVavZ62LS6GDbXfEcGUry5Wx3aBdYAG/view?usp=drivesdk</t>
  </si>
  <si>
    <t>1490 x 770</t>
  </si>
  <si>
    <t>https://drive.google.com/file/d/1DzxFJC-41risALT-_yesN6r3Br6u-XIO/view?usp=drivesdk</t>
  </si>
  <si>
    <t>615 x 1215</t>
  </si>
  <si>
    <t>AÇO ASTM A36</t>
  </si>
  <si>
    <t>PIRES DO RIO</t>
  </si>
  <si>
    <t>https://drive.google.com/file/d/1mCiSL6JR-ZV7DuCfxy0xYLyHozkgXUgD/view?usp=drivesdk</t>
  </si>
  <si>
    <t>970 x 1210</t>
  </si>
  <si>
    <t>AÇO ASTM A572-50</t>
  </si>
  <si>
    <t>https://drive.google.com/file/d/18wcYUMcagJYdgbbJJJZFj9Ds8V2akAKr/view?usp=drivesdk</t>
  </si>
  <si>
    <t>1750 x 1210</t>
  </si>
  <si>
    <t>https://drive.google.com/file/d/1pItXxRpFri0pfWiVyzDgYDW1cA3brI5U/view?usp=drivesdk</t>
  </si>
  <si>
    <t>1200 x 950</t>
  </si>
  <si>
    <t>https://drive.google.com/file/d/1yrQ3wWNi7kcpMpfDERroZBqWw-Izbaa5/view?usp=drivesdk</t>
  </si>
  <si>
    <t>700 x 1210</t>
  </si>
  <si>
    <t>SAEJ4031010</t>
  </si>
  <si>
    <t>https://drive.google.com/file/d/143mT54YOxH0uQBUaJ6_RGOeCair_jSik/view?usp=drivesdk</t>
  </si>
  <si>
    <t>2445 x 215</t>
  </si>
  <si>
    <t>AÇO GALVAZINADA</t>
  </si>
  <si>
    <t>https://drive.google.com/file/d/1lFfXyhlqR0CcoYQ749UqelZBdlB8ZRcs/view?usp=drivesdk</t>
  </si>
  <si>
    <t>1205 x 565</t>
  </si>
  <si>
    <t>https://drive.google.com/file/d/1q7nnEeewBj0JnzQbaDgmf-fNzz03UdY2/view?usp=drivesdk</t>
  </si>
  <si>
    <t>1210 x 570</t>
  </si>
  <si>
    <t>https://drive.google.com/file/d/14WrEWlJ_jBUXqsIL4E1dlhQj2P91yluk/view?usp=drivesdk</t>
  </si>
  <si>
    <t>2445 x 180</t>
  </si>
  <si>
    <t>https://drive.google.com/file/d/14dcS4Fak3CMYr64XimOvP1X0D84H6hXV/view?usp=drivesdk</t>
  </si>
  <si>
    <t>MCMETAIS - LÉO</t>
  </si>
  <si>
    <t>MCMETAIS</t>
  </si>
  <si>
    <t>https://drive.google.com/file/d/1QZix3hlsRXoTTsqDgkjVpsYEa81L9EIh/view?usp=drivesdk</t>
  </si>
  <si>
    <t>840 x 130</t>
  </si>
  <si>
    <t>https://drive.google.com/file/d/1gXaEj38MYZdzR1N_OX3EsTYLTnnDBGDd/view?usp=drivesdk</t>
  </si>
  <si>
    <t>3000 x 210</t>
  </si>
  <si>
    <t>https://drive.google.com/file/d/10H10fab6afUrcjwpEl0M6NSKAcG4KX4j/view?usp=drivesdk</t>
  </si>
  <si>
    <t>3000 x 120</t>
  </si>
  <si>
    <t>https://drive.google.com/file/d/1ceqGAtUTK1AixcqCTXXSq4NARu_Rtemf/view?usp=drivesdk</t>
  </si>
  <si>
    <t>3000 x 130</t>
  </si>
  <si>
    <t>https://drive.google.com/file/d/1yMuIMOE1fX7oOhaPxgfVEBmNpGgMVjLI/view?usp=drivesdk</t>
  </si>
  <si>
    <t>3000 x 90</t>
  </si>
  <si>
    <t>https://drive.google.com/file/d/1ZYYzAOlViTQiJzvTBGxnRNG5NkWtYfHi/view?usp=drivesdk</t>
  </si>
  <si>
    <t>420x 1210</t>
  </si>
  <si>
    <t>AÇO ASTM A572</t>
  </si>
  <si>
    <t>https://drive.google.com/file/d/16FzKhZvsfevHhxRAdBhZnLX1ULfl73nD/view?usp=drivesdk</t>
  </si>
  <si>
    <t>700 x 1200</t>
  </si>
  <si>
    <t>https://drive.google.com/file/d/1jO8akAsSessBlUmhVLJNHEqOS2NgqIS3/view?usp=drivesdk</t>
  </si>
  <si>
    <t>680 x 1720</t>
  </si>
  <si>
    <t>https://drive.google.com/file/d/1ieCTXMb-xYK6go8U50ZBHLpuCBDRCZDT/view?usp=drivesdk</t>
  </si>
  <si>
    <t>1220 x 1200</t>
  </si>
  <si>
    <t>https://drive.google.com/file/d/17WyFHAfnb5DPjkttmj2McBeybTSMPAJw/view?usp=drivesdk</t>
  </si>
  <si>
    <t>SIANFER</t>
  </si>
  <si>
    <t>https://drive.google.com/file/d/1eCMbvlJg28Br3_i-xRnPYKtdQFgGpmVs/view?usp=drivesdk</t>
  </si>
  <si>
    <t>SAE 1008/1012</t>
  </si>
  <si>
    <t>https://drive.google.com/file/d/1habhyQ7zVTDKJRePmUDnj3jJjlEvZYvp/view?usp=drivesdk</t>
  </si>
  <si>
    <t>MULTI METAIS</t>
  </si>
  <si>
    <t>https://drive.google.com/file/d/1rNAoJNt_9jC9KYSNjhTlWqER2SOOSW_s/view?usp=drivesdk</t>
  </si>
  <si>
    <t>Inteiro</t>
  </si>
  <si>
    <t>https://drive.google.com/file/d/11tD4obh9MTiY01u_PpaRouSSEVQEHw2q/view?usp=drivesdk</t>
  </si>
  <si>
    <t>https://drive.google.com/file/d/159ONApUSbBTpLf-D0XtaqewaiVxUcTro/view?usp=drivesdk</t>
  </si>
  <si>
    <t>AÇO FF</t>
  </si>
  <si>
    <t>SAE 1008</t>
  </si>
  <si>
    <t>https://drive.google.com/file/d/1lDyo5KainNsi7_R6gUHiV9dcY0s9mU__/view?usp=drivesdk</t>
  </si>
  <si>
    <t>Joalmi</t>
  </si>
  <si>
    <t>2000 x 222</t>
  </si>
  <si>
    <t>AÇO IAPO1000</t>
  </si>
  <si>
    <t>Joelmi</t>
  </si>
  <si>
    <t>https://drive.google.com/file/d/1bQTc9ArM96daiejCKqbsEtMG5DjqsHve/view?usp=drivesdk</t>
  </si>
  <si>
    <t>https://drive.google.com/file/d/1dMSaBs7_pSDMIYoaE58oOnpLbRxmJytA/view?usp=drivesdk</t>
  </si>
  <si>
    <t>JOALMI</t>
  </si>
  <si>
    <t>1960 x 160</t>
  </si>
  <si>
    <t>https://drive.google.com/file/d/19ssfeGKTcW0KNZJI5ZRxMnrftQHffhI-/view?usp=drivesdk</t>
  </si>
  <si>
    <t>1000 x 1200</t>
  </si>
  <si>
    <t>FXT24230-C</t>
  </si>
  <si>
    <t>https://drive.google.com/file/d/1llQtCECElrHPfeF4MXnqZGE7BbI2n8pY/view?usp=drivesdk</t>
  </si>
  <si>
    <t>2050 x 1200</t>
  </si>
  <si>
    <t>AÇO SAE 1008</t>
  </si>
  <si>
    <t>https://drive.google.com/file/d/1kN1JhGMh_jyYieDJDzu5PSVjd58q6Iqa/view?usp=drivesdk</t>
  </si>
  <si>
    <t>https://drive.google.com/file/d/1Eg3blaLg2ANFqxkA2F5LgmkNPF__wWr1/view?usp=drivesdk</t>
  </si>
  <si>
    <t>https://drive.google.com/file/d/1B2X3T7yty4E_h4OO354C9N77xDQuhZV9/view?usp=drivesdk</t>
  </si>
  <si>
    <t>1600 x 1510</t>
  </si>
  <si>
    <t>https://drive.google.com/file/d/1_pafw2h5G9YRfhE891QGHpXWGNSLk-Gu/view?usp=drivesdk</t>
  </si>
  <si>
    <t>3000 x 915</t>
  </si>
  <si>
    <t>https://drive.google.com/file/d/1apCfGQGmEoPRJRnz-rQiZsNai14-kR2K/view?usp=drivesdk</t>
  </si>
  <si>
    <t>3000 x 1500</t>
  </si>
  <si>
    <t>https://drive.google.com/file/d/19YJFmXauLJ3tIFr0V9BOKP_vrLAVKiUr/view?usp=drivesdk</t>
  </si>
  <si>
    <t>3000 x 1000</t>
  </si>
  <si>
    <t>https://drive.google.com/file/d/14ijGR_cLPGbWnL25BOglKH4SMkKMzmb4/view?usp=drivesdk</t>
  </si>
  <si>
    <t>ART SOLUÇÕES</t>
  </si>
  <si>
    <t>https://drive.google.com/file/d/15G_esDVkbnSJTpaJgkoaLVlVMR3Kc3u3/view?usp=drivesdk</t>
  </si>
  <si>
    <t>INT.</t>
  </si>
  <si>
    <t>3500 x 1200</t>
  </si>
  <si>
    <t>https://drive.google.com/drive/folders/1CYuwhA5eKrqLpbqAE_LqlNgOpVeuH3b2</t>
  </si>
  <si>
    <t>1295 x 1200</t>
  </si>
  <si>
    <t>https://drive.google.com/file/d/1KpYk03xtlyhS1iaOtAStZBrHuyP9JI72/view?usp=drivesdk</t>
  </si>
  <si>
    <t>3000 x 1080</t>
  </si>
  <si>
    <t>https://drive.google.com/file/d/1zaP8-bdN6KEgt9qC1sdxVzE-GWOCe6o-/view?usp=drivesdk</t>
  </si>
  <si>
    <t>1840 x 1200</t>
  </si>
  <si>
    <t>https://drive.google.com/file/d/1KngGgGCE_-deoxvxb0Il3xoUVQFjcxuY/view?usp=drivesdk</t>
  </si>
  <si>
    <t>CPF/CNPJ</t>
  </si>
  <si>
    <t>ENDEREÇO</t>
  </si>
  <si>
    <t>TELEFONE</t>
  </si>
  <si>
    <t>EMAIL</t>
  </si>
  <si>
    <t>KORG CAMPING E NÁUTICA INDÚSTRIA E COMÉRCIO LTDA</t>
  </si>
  <si>
    <t>58.227.182/0001-18</t>
  </si>
  <si>
    <t>Via Anchieta, 742 - Ipiranga - São Paulo - SP CEP: 04246-000</t>
  </si>
  <si>
    <t>(11) 2272-0752</t>
  </si>
  <si>
    <t>korg@korgcarretas.com.br</t>
  </si>
  <si>
    <t>TEC BUSWAY ENGENHARIA E INSTALAÇÕES LTDA</t>
  </si>
  <si>
    <t>57.954.847/0001-22</t>
  </si>
  <si>
    <t>Rua Graciosa Trevisan Salvatori, 76 - Nova vinhedo - Valinhos - SP - CEP: 13284-140</t>
  </si>
  <si>
    <t>(19) 9759-2002</t>
  </si>
  <si>
    <t>doriventura@yahoo.com.br</t>
  </si>
  <si>
    <t>HOME CÃO SERVIÇOS MÉDICOS VETERINARIOS LTDA</t>
  </si>
  <si>
    <t>27.939.911/0001-35</t>
  </si>
  <si>
    <t>Estrada dos Alvarengas, 410 LETRA B - Assunção, São Bernardo do Campo - SP CEP: 098550-550</t>
  </si>
  <si>
    <t>(11) 8134-2093</t>
  </si>
  <si>
    <t>kiriamartinez@ig.com.br</t>
  </si>
  <si>
    <t>APLITECNO INDUSTRIA E COMERCIO LTDA</t>
  </si>
  <si>
    <t>24.384.654/0001-24</t>
  </si>
  <si>
    <t>Avenida Pedro Roschel Gottzfritz, 284 - Terceira Divisao de Interlagos, Sao Paulo - SP, 04809-160</t>
  </si>
  <si>
    <t>(11) 5510-9609</t>
  </si>
  <si>
    <t>atlas_ofc@uol.com.br</t>
  </si>
  <si>
    <t>60.326.501/0001-94</t>
  </si>
  <si>
    <t>Av. Álvaro Guimarães, 724 - Planalto, São Bernardo do Campo - SP, 09890-003</t>
  </si>
  <si>
    <t>(11) 3465-5000</t>
  </si>
  <si>
    <t>cris@tecnigrav.com</t>
  </si>
  <si>
    <t>SEBASTIAN PARAIBA</t>
  </si>
  <si>
    <t>PRIMORDIAL REFORMA DE CARRETAS LTDA</t>
  </si>
  <si>
    <t>23.886.769/0001-92</t>
  </si>
  <si>
    <t>Rua Mathilde Ferrari Marcon, 450 - Dos Casa, São Bernardo do Campo - SP, 09840-360</t>
  </si>
  <si>
    <t>(11) 99176-3052</t>
  </si>
  <si>
    <t>contato@primordialcarretas.com.br</t>
  </si>
  <si>
    <t>00.144.257/0001-17</t>
  </si>
  <si>
    <t>Rua Maria da Salete L Goncalves, 230 Galpao02, Estancia Sao Francisco 06695-435, SP - Itapevi</t>
  </si>
  <si>
    <t>(11) 2273-0462</t>
  </si>
  <si>
    <t>legalizacao.numes@terra.com.br</t>
  </si>
  <si>
    <t>13.518.869/0001-74</t>
  </si>
  <si>
    <t>Rua Barbara Heliodora, 281 - UTINGA SANTO ANDRE - SP, 09220-340</t>
  </si>
  <si>
    <t>(11) 4451-1470</t>
  </si>
  <si>
    <t>c.garcia@on-conveyors.com.br</t>
  </si>
  <si>
    <t>12.243.466/0001-05</t>
  </si>
  <si>
    <t>Rua Zelia (Ch D Paulista),421 Assuncao São Bernardo do Campo - SP</t>
  </si>
  <si>
    <t>(11) 2669-7505</t>
  </si>
  <si>
    <t>financeiro@henrypecas.com.br</t>
  </si>
  <si>
    <t>FUNCIONÁRIO</t>
  </si>
  <si>
    <t>VEÍCULO</t>
  </si>
  <si>
    <t>HORA DE SAÍDA</t>
  </si>
  <si>
    <t>PREVISÃO DE RETORNO</t>
  </si>
  <si>
    <t>MOTIVO</t>
  </si>
  <si>
    <t>RETORNO</t>
  </si>
  <si>
    <t>Tempo estimado / tempo real de corte</t>
  </si>
  <si>
    <t>Tempo estimado / tempo real de dobra</t>
  </si>
  <si>
    <t>Tempo estimado / tempo real de adicionais</t>
  </si>
  <si>
    <t>Início: 05/11/2025 14:27</t>
  </si>
  <si>
    <t>Avaliador</t>
  </si>
  <si>
    <t>Tipo</t>
  </si>
  <si>
    <t>Avaliado</t>
  </si>
  <si>
    <t>Desempenho</t>
  </si>
  <si>
    <t>Trabalho em Equipe</t>
  </si>
  <si>
    <t>Pontualidade</t>
  </si>
  <si>
    <t>Organizacao</t>
  </si>
  <si>
    <t>Liderança</t>
  </si>
  <si>
    <t>Comunicação</t>
  </si>
  <si>
    <t>CÁLCULO DE PREÇOS</t>
  </si>
  <si>
    <t>DADOS DA CHAPA</t>
  </si>
  <si>
    <t>DENSIDADE (Kg/m3)</t>
  </si>
  <si>
    <t>COMPRIMENTO 
(mm)</t>
  </si>
  <si>
    <t>LARGURA (mm)</t>
  </si>
  <si>
    <t>ESPESSURA 
(mm)</t>
  </si>
  <si>
    <t>PESO DA CHAPA (Kg)</t>
  </si>
  <si>
    <t>PREÇO DE COMPRA (R$/KG)</t>
  </si>
  <si>
    <t>PREÇO DE VENDA  
(MARK UP 30%)</t>
  </si>
  <si>
    <t>PREÇO UNITÁRIO (R$)</t>
  </si>
  <si>
    <t>PREÇO TOTAL 
(R$)</t>
  </si>
  <si>
    <t>Preço Kg / material</t>
  </si>
  <si>
    <t>Peso peça / chapa</t>
  </si>
  <si>
    <t>Peso do Lote</t>
  </si>
  <si>
    <t>Preço Material do Lote</t>
  </si>
  <si>
    <t>N Trocas de Chapa</t>
  </si>
  <si>
    <t>TEMPO DE CORTE LOTE 
(h)</t>
  </si>
  <si>
    <t>TEMPO DE SETUP 
(min)</t>
  </si>
  <si>
    <t>TEMPO DE CORTE LOTE + TEMPO SETUP 
(h)</t>
  </si>
  <si>
    <t>HORA DO CORTE 
(R$/h)</t>
  </si>
  <si>
    <t>CORTE LOTE
 (R$)</t>
  </si>
  <si>
    <t xml:space="preserve">Nº DE DOBRAS
 </t>
  </si>
  <si>
    <t>TEMPO DE CADA DOBRA (s)</t>
  </si>
  <si>
    <t>Nº TROCAS DE PEÇAS</t>
  </si>
  <si>
    <t xml:space="preserve"> TOTAL DOBRA
(h)</t>
  </si>
  <si>
    <t>HORA DA DOBRA
(R$/h)</t>
  </si>
  <si>
    <t>TOTAL DOBRA
(R$)</t>
  </si>
  <si>
    <t>AÇO CARBONO</t>
  </si>
  <si>
    <t>ALUMÍNIO</t>
  </si>
  <si>
    <t>INOX 200 OU 300</t>
  </si>
  <si>
    <t>INOX 400</t>
  </si>
  <si>
    <t>LATÃO</t>
  </si>
  <si>
    <t>COBRE</t>
  </si>
  <si>
    <t>DADOS DA PEÇA</t>
  </si>
  <si>
    <t>PERÍMETRO DA PEÇA 
(mm)</t>
  </si>
  <si>
    <t>Nº DE PEÇAS DO LOTE</t>
  </si>
  <si>
    <t>Nº PEÇAS QUE CABEM EM UMA CHAPA*</t>
  </si>
  <si>
    <t>MASSA DE 1 BLANK 
(Kg)</t>
  </si>
  <si>
    <t>PESO DA PEÇA POR CHAPA (Kg)</t>
  </si>
  <si>
    <t>PESO DO LOTE 
(Kg)</t>
  </si>
  <si>
    <t>PREÇO DE VENDA DO MATERIAL DO LOTE</t>
  </si>
  <si>
    <t>DADOS DO CORTE</t>
  </si>
  <si>
    <t>PREÇO DA HORA DO CORTE 
(R$/h)</t>
  </si>
  <si>
    <t>VALOR MÍNIMO P/ PEDIDO</t>
  </si>
  <si>
    <t>Nº TROCAS DE CHAPA</t>
  </si>
  <si>
    <t>TEMPO DE CORTE UMA PEÇA 
(s)</t>
  </si>
  <si>
    <t>PREÇO DE CORTE LOTE
 (R$)</t>
  </si>
  <si>
    <t>DADOS DA DOBRA</t>
  </si>
  <si>
    <t>PREÇO DA HORA DA DOBRA
(R$/h)</t>
  </si>
  <si>
    <t>TEMPO DE SETUP (min)</t>
  </si>
  <si>
    <t>TEMPO TOTAL DOBRA
(h)</t>
  </si>
  <si>
    <t>PREÇO TOTAL DOBRA
(R$)</t>
  </si>
  <si>
    <t>PREÇO FINAL</t>
  </si>
  <si>
    <t>PREÇO UNITÁRIO DO CORTE 
(R$)</t>
  </si>
  <si>
    <t>PREÇO UNITÁRIO DA DOBRA (R$)</t>
  </si>
  <si>
    <t>PREÇO UNITÁRIO DO MATERIAL 
(R$)</t>
  </si>
  <si>
    <t>PREÇO UNITÁRIO CORTE + MATERIAL + DOBRA 
(R$)</t>
  </si>
  <si>
    <t>PREÇO DE CORTE LOTE 
(R$)</t>
  </si>
  <si>
    <t>PREÇO DE DOBRA DO LOTE (R$)</t>
  </si>
  <si>
    <t>PREÇO TOTAL CORTE + MATERIAL + DOBRA 
(R$)</t>
  </si>
  <si>
    <t>ESPESSURA chapa (mm)</t>
  </si>
  <si>
    <t>TEMPO PARA TROCA DE CHAPAS (min)</t>
  </si>
  <si>
    <t>TEMPO PARA CADA ENTRADA (furos) (s)</t>
  </si>
  <si>
    <t>VELOCIDADE de CORTE (mm/s)</t>
  </si>
  <si>
    <t>PREÇO DA HORA DO CORTE (R$)</t>
  </si>
  <si>
    <t>PREÇO DO CORTE</t>
  </si>
  <si>
    <t>Processo de Dobra</t>
  </si>
  <si>
    <t>Expirado/Perdido</t>
  </si>
  <si>
    <t>Processos Externos</t>
  </si>
  <si>
    <t>Convertido em Pedido</t>
  </si>
  <si>
    <t>Processos Adicionais</t>
  </si>
  <si>
    <t>DENSIDADE AÇO:</t>
  </si>
  <si>
    <t>DENSIDADE ALUMINIO:</t>
  </si>
  <si>
    <t>DENSIDADE LATÃO:</t>
  </si>
  <si>
    <t>DENSIDADE COBRE: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</si>
</sst>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R$]#,##0.00"/>
    <numFmt numFmtId="165" formatCode="dd&quot;/&quot;mm&quot;/&quot;yyyy"/>
    <numFmt numFmtId="166" formatCode="dd&quot;/&quot;mm&quot;/&quot;yy&quot;,  &quot;hh&quot;:&quot;mm"/>
    <numFmt numFmtId="167" formatCode="d/m/yyyy"/>
    <numFmt numFmtId="168" formatCode="#,##0.000"/>
    <numFmt numFmtId="169" formatCode="0.000000000000000000000000000000"/>
    <numFmt numFmtId="170" formatCode="#,##0.00000000000"/>
  </numFmts>
  <fonts count="28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u/>
      <sz val="12"/>
      <color rgb="FF0000FF"/>
      <name val="Roboto"/>
    </font>
    <font>
      <b/>
      <u/>
      <sz val="12"/>
      <color rgb="FF434343"/>
      <name val="Roboto"/>
    </font>
    <font>
      <b/>
      <u/>
      <sz val="12"/>
      <color rgb="FF434343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b/>
      <sz val="15"/>
      <color theme="1"/>
      <name val="Arial"/>
      <scheme val="minor"/>
    </font>
    <font>
      <sz val="12"/>
      <color theme="1"/>
      <name val="Arial"/>
      <scheme val="minor"/>
    </font>
    <font>
      <sz val="13"/>
      <color theme="1"/>
      <name val="Roboto Serif"/>
    </font>
    <font>
      <u/>
      <sz val="13"/>
      <color rgb="FF0000FF"/>
      <name val="Roboto Serif"/>
    </font>
    <font>
      <u/>
      <sz val="13"/>
      <color rgb="FF434343"/>
      <name val="Roboto Serif"/>
    </font>
    <font>
      <u/>
      <sz val="13"/>
      <color rgb="FF0000FF"/>
      <name val="Roboto Serif"/>
    </font>
    <font>
      <sz val="10"/>
      <color theme="1"/>
      <name val="Roboto Mono"/>
    </font>
    <font>
      <b/>
      <sz val="18"/>
      <color theme="1"/>
      <name val="Arial"/>
      <scheme val="minor"/>
    </font>
    <font>
      <b/>
      <sz val="13"/>
      <color rgb="FFFFFFFF"/>
      <name val="Calibri"/>
    </font>
    <font>
      <sz val="10"/>
      <name val="Arial"/>
    </font>
    <font>
      <sz val="10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6"/>
      <color theme="1"/>
      <name val="Comic Sans MS"/>
    </font>
    <font>
      <sz val="10"/>
      <color theme="1"/>
      <name val="Comic Sans MS"/>
    </font>
    <font>
      <sz val="10"/>
      <color theme="1"/>
      <name val="Arial"/>
    </font>
    <font>
      <b/>
      <sz val="9"/>
      <color theme="1"/>
      <name val="Comic Sans MS"/>
    </font>
    <font>
      <b/>
      <sz val="11"/>
      <color theme="1"/>
      <name val="Comic Sans MS"/>
    </font>
    <font>
      <sz val="13"/>
      <color theme="1"/>
      <name val="Comic Sans MS"/>
    </font>
  </fonts>
  <fills count="17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63D297"/>
        <bgColor rgb="FF63D297"/>
      </patternFill>
    </fill>
    <fill>
      <patternFill patternType="solid">
        <fgColor rgb="FFC27BA0"/>
        <bgColor rgb="FFC27BA0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theme="7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166" fontId="9" fillId="0" borderId="0" xfId="0" applyNumberFormat="1" applyFont="1" applyAlignment="1">
      <alignment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167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8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8" fillId="3" borderId="0" xfId="0" applyFont="1" applyFill="1"/>
    <xf numFmtId="0" fontId="6" fillId="3" borderId="0" xfId="0" applyFont="1" applyFill="1"/>
    <xf numFmtId="0" fontId="19" fillId="0" borderId="1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6" fillId="4" borderId="0" xfId="0" applyFont="1" applyFill="1"/>
    <xf numFmtId="0" fontId="19" fillId="5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top" wrapText="1"/>
    </xf>
    <xf numFmtId="0" fontId="19" fillId="7" borderId="1" xfId="0" applyFont="1" applyFill="1" applyBorder="1" applyAlignment="1">
      <alignment horizontal="center" vertical="top" wrapText="1"/>
    </xf>
    <xf numFmtId="0" fontId="19" fillId="8" borderId="1" xfId="0" applyFont="1" applyFill="1" applyBorder="1" applyAlignment="1">
      <alignment horizontal="center" vertical="top" wrapText="1"/>
    </xf>
    <xf numFmtId="0" fontId="19" fillId="9" borderId="5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top" wrapText="1"/>
    </xf>
    <xf numFmtId="0" fontId="19" fillId="5" borderId="1" xfId="0" applyFont="1" applyFill="1" applyBorder="1" applyAlignment="1">
      <alignment horizontal="center" vertical="top" wrapText="1"/>
    </xf>
    <xf numFmtId="0" fontId="20" fillId="10" borderId="1" xfId="0" applyFont="1" applyFill="1" applyBorder="1" applyAlignment="1">
      <alignment horizontal="left"/>
    </xf>
    <xf numFmtId="0" fontId="20" fillId="10" borderId="2" xfId="0" applyFont="1" applyFill="1" applyBorder="1" applyAlignment="1">
      <alignment horizontal="center"/>
    </xf>
    <xf numFmtId="2" fontId="21" fillId="10" borderId="1" xfId="0" applyNumberFormat="1" applyFont="1" applyFill="1" applyBorder="1" applyAlignment="1">
      <alignment horizontal="center"/>
    </xf>
    <xf numFmtId="2" fontId="20" fillId="10" borderId="4" xfId="0" applyNumberFormat="1" applyFont="1" applyFill="1" applyBorder="1" applyAlignment="1">
      <alignment horizontal="center"/>
    </xf>
    <xf numFmtId="164" fontId="20" fillId="10" borderId="1" xfId="0" applyNumberFormat="1" applyFont="1" applyFill="1" applyBorder="1" applyAlignment="1">
      <alignment horizontal="center"/>
    </xf>
    <xf numFmtId="0" fontId="18" fillId="4" borderId="0" xfId="0" applyFont="1" applyFill="1"/>
    <xf numFmtId="164" fontId="20" fillId="11" borderId="1" xfId="0" applyNumberFormat="1" applyFont="1" applyFill="1" applyBorder="1" applyAlignment="1">
      <alignment horizontal="center"/>
    </xf>
    <xf numFmtId="4" fontId="20" fillId="10" borderId="1" xfId="0" applyNumberFormat="1" applyFont="1" applyFill="1" applyBorder="1" applyAlignment="1">
      <alignment horizontal="center"/>
    </xf>
    <xf numFmtId="1" fontId="20" fillId="10" borderId="4" xfId="0" applyNumberFormat="1" applyFont="1" applyFill="1" applyBorder="1" applyAlignment="1">
      <alignment horizontal="center"/>
    </xf>
    <xf numFmtId="1" fontId="20" fillId="10" borderId="1" xfId="0" applyNumberFormat="1" applyFont="1" applyFill="1" applyBorder="1" applyAlignment="1">
      <alignment horizontal="center"/>
    </xf>
    <xf numFmtId="2" fontId="20" fillId="10" borderId="1" xfId="0" applyNumberFormat="1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6" borderId="5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0" fillId="10" borderId="2" xfId="0" applyFont="1" applyFill="1" applyBorder="1" applyAlignment="1">
      <alignment horizontal="left"/>
    </xf>
    <xf numFmtId="2" fontId="20" fillId="10" borderId="3" xfId="0" applyNumberFormat="1" applyFont="1" applyFill="1" applyBorder="1" applyAlignment="1">
      <alignment horizontal="center"/>
    </xf>
    <xf numFmtId="0" fontId="19" fillId="8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168" fontId="20" fillId="10" borderId="1" xfId="0" applyNumberFormat="1" applyFont="1" applyFill="1" applyBorder="1" applyAlignment="1">
      <alignment horizontal="center"/>
    </xf>
    <xf numFmtId="0" fontId="20" fillId="10" borderId="5" xfId="0" applyFont="1" applyFill="1" applyBorder="1" applyAlignment="1">
      <alignment horizontal="left"/>
    </xf>
    <xf numFmtId="1" fontId="20" fillId="10" borderId="6" xfId="0" applyNumberFormat="1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64" fontId="23" fillId="0" borderId="0" xfId="0" applyNumberFormat="1" applyFont="1"/>
    <xf numFmtId="164" fontId="6" fillId="0" borderId="0" xfId="0" applyNumberFormat="1" applyFont="1"/>
    <xf numFmtId="0" fontId="24" fillId="0" borderId="0" xfId="0" applyFont="1"/>
    <xf numFmtId="0" fontId="25" fillId="11" borderId="1" xfId="0" applyFont="1" applyFill="1" applyBorder="1" applyAlignment="1">
      <alignment horizontal="center" wrapText="1"/>
    </xf>
    <xf numFmtId="0" fontId="26" fillId="11" borderId="1" xfId="0" applyFont="1" applyFill="1" applyBorder="1" applyAlignment="1">
      <alignment horizontal="center" wrapText="1"/>
    </xf>
    <xf numFmtId="164" fontId="26" fillId="11" borderId="1" xfId="0" applyNumberFormat="1" applyFont="1" applyFill="1" applyBorder="1" applyAlignment="1">
      <alignment horizontal="center" wrapText="1"/>
    </xf>
    <xf numFmtId="4" fontId="27" fillId="14" borderId="1" xfId="0" applyNumberFormat="1" applyFont="1" applyFill="1" applyBorder="1" applyAlignment="1">
      <alignment horizontal="center"/>
    </xf>
    <xf numFmtId="3" fontId="27" fillId="14" borderId="1" xfId="0" applyNumberFormat="1" applyFont="1" applyFill="1" applyBorder="1" applyAlignment="1">
      <alignment horizontal="center"/>
    </xf>
    <xf numFmtId="4" fontId="27" fillId="14" borderId="1" xfId="0" applyNumberFormat="1" applyFont="1" applyFill="1" applyBorder="1" applyAlignment="1">
      <alignment horizontal="center" wrapText="1"/>
    </xf>
    <xf numFmtId="3" fontId="27" fillId="14" borderId="1" xfId="0" applyNumberFormat="1" applyFont="1" applyFill="1" applyBorder="1" applyAlignment="1">
      <alignment horizontal="center" wrapText="1"/>
    </xf>
    <xf numFmtId="164" fontId="27" fillId="14" borderId="1" xfId="0" applyNumberFormat="1" applyFont="1" applyFill="1" applyBorder="1" applyAlignment="1">
      <alignment horizontal="center" wrapText="1"/>
    </xf>
    <xf numFmtId="164" fontId="9" fillId="16" borderId="1" xfId="0" applyNumberFormat="1" applyFont="1" applyFill="1" applyBorder="1" applyAlignment="1">
      <alignment horizontal="left"/>
    </xf>
    <xf numFmtId="169" fontId="6" fillId="0" borderId="0" xfId="0" applyNumberFormat="1" applyFont="1"/>
    <xf numFmtId="170" fontId="6" fillId="0" borderId="0" xfId="0" applyNumberFormat="1" applyFont="1"/>
    <xf numFmtId="0" fontId="6" fillId="0" borderId="0" xfId="0" applyFont="1"/>
    <xf numFmtId="0" fontId="15" fillId="2" borderId="0" xfId="0" applyFont="1" applyFill="1" applyAlignment="1">
      <alignment horizontal="center" vertical="center"/>
    </xf>
    <xf numFmtId="0" fontId="0" fillId="0" borderId="0" xfId="0"/>
    <xf numFmtId="0" fontId="16" fillId="3" borderId="2" xfId="0" applyFont="1" applyFill="1" applyBorder="1" applyAlignment="1">
      <alignment horizontal="center"/>
    </xf>
    <xf numFmtId="0" fontId="17" fillId="4" borderId="3" xfId="0" applyFont="1" applyFill="1" applyBorder="1"/>
    <xf numFmtId="0" fontId="17" fillId="4" borderId="4" xfId="0" applyFont="1" applyFill="1" applyBorder="1"/>
    <xf numFmtId="0" fontId="16" fillId="3" borderId="7" xfId="0" applyFont="1" applyFill="1" applyBorder="1" applyAlignment="1">
      <alignment horizontal="center"/>
    </xf>
    <xf numFmtId="0" fontId="17" fillId="0" borderId="8" xfId="0" applyFont="1" applyBorder="1"/>
    <xf numFmtId="0" fontId="6" fillId="3" borderId="2" xfId="0" applyFont="1" applyFill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  <xf numFmtId="0" fontId="22" fillId="4" borderId="9" xfId="0" applyFont="1" applyFill="1" applyBorder="1" applyAlignment="1">
      <alignment horizontal="center"/>
    </xf>
    <xf numFmtId="0" fontId="17" fillId="0" borderId="10" xfId="0" applyFont="1" applyBorder="1"/>
    <xf numFmtId="0" fontId="17" fillId="0" borderId="11" xfId="0" applyFont="1" applyBorder="1"/>
    <xf numFmtId="0" fontId="22" fillId="4" borderId="12" xfId="0" applyFont="1" applyFill="1" applyBorder="1" applyAlignment="1">
      <alignment horizontal="center"/>
    </xf>
    <xf numFmtId="0" fontId="17" fillId="0" borderId="13" xfId="0" applyFont="1" applyBorder="1"/>
    <xf numFmtId="0" fontId="17" fillId="0" borderId="14" xfId="0" applyFont="1" applyBorder="1"/>
    <xf numFmtId="0" fontId="22" fillId="13" borderId="12" xfId="0" applyFont="1" applyFill="1" applyBorder="1" applyAlignment="1">
      <alignment horizontal="center"/>
    </xf>
    <xf numFmtId="0" fontId="9" fillId="15" borderId="2" xfId="0" applyFont="1" applyFill="1" applyBorder="1" applyAlignment="1">
      <alignment horizontal="left"/>
    </xf>
  </cellXfs>
  <cellStyles count="1">
    <cellStyle name="Normal" xfId="0" builtinId="0"/>
  </cellStyles>
  <dxfs count="5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4A568D"/>
          <bgColor rgb="FF4A568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6">
    <tableStyle name="Orçamentos-style" pivot="0" count="4" xr9:uid="{00000000-0011-0000-FFFF-FFFF00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Pedidos-style" pivot="0" count="4" xr9:uid="{00000000-0011-0000-FFFF-FFFF01000000}">
      <tableStyleElement type="wholeTable" size="0" dxfId="44"/>
      <tableStyleElement type="headerRow" dxfId="47"/>
      <tableStyleElement type="firstRowStripe" dxfId="46"/>
      <tableStyleElement type="secondRowStripe" dxfId="45"/>
    </tableStyle>
    <tableStyle name="Produtos-style" pivot="0" count="4" xr9:uid="{00000000-0011-0000-FFFF-FFFF02000000}">
      <tableStyleElement type="wholeTable" size="0" dxfId="40"/>
      <tableStyleElement type="headerRow" dxfId="43"/>
      <tableStyleElement type="firstRowStripe" dxfId="42"/>
      <tableStyleElement type="secondRowStripe" dxfId="41"/>
    </tableStyle>
    <tableStyle name="Registro de Manutenções-style" pivot="0" count="4" xr9:uid="{00000000-0011-0000-FFFF-FFFF03000000}">
      <tableStyleElement type="wholeTable" size="0" dxfId="36"/>
      <tableStyleElement type="headerRow" dxfId="39"/>
      <tableStyleElement type="firstRowStripe" dxfId="38"/>
      <tableStyleElement type="secondRowStripe" dxfId="37"/>
    </tableStyle>
    <tableStyle name="Controle de Materiais-style" pivot="0" count="4" xr9:uid="{00000000-0011-0000-FFFF-FFFF04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Cadastro de Clientes-style" pivot="0" count="4" xr9:uid="{00000000-0011-0000-FFFF-FFFF05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Controle de Veículos-style" pivot="0" count="4" xr9:uid="{00000000-0011-0000-FFFF-FFFF06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Logs-style" pivot="0" count="4" xr9:uid="{00000000-0011-0000-FFFF-FFFF07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Avaliações-style" pivot="0" count="4" xr9:uid="{00000000-0011-0000-FFFF-FFFF08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Tabelas para cálculos-style" pivot="0" count="3" xr9:uid="{00000000-0011-0000-FFFF-FFFF09000000}">
      <tableStyleElement type="headerRow" dxfId="15"/>
      <tableStyleElement type="firstRowStripe" dxfId="14"/>
      <tableStyleElement type="secondRowStripe" dxfId="13"/>
    </tableStyle>
    <tableStyle name="Tabelas para cálculos-style 2" pivot="0" count="2" xr9:uid="{00000000-0011-0000-FFFF-FFFF0A000000}">
      <tableStyleElement type="firstRowStripe" dxfId="12"/>
      <tableStyleElement type="secondRowStripe" dxfId="11"/>
    </tableStyle>
    <tableStyle name="Tabelas para cálculos-style 3" pivot="0" count="2" xr9:uid="{00000000-0011-0000-FFFF-FFFF0B000000}">
      <tableStyleElement type="firstRowStripe" dxfId="10"/>
      <tableStyleElement type="secondRowStripe" dxfId="9"/>
    </tableStyle>
    <tableStyle name="Tabelas para cálculos-style 4" pivot="0" count="3" xr9:uid="{00000000-0011-0000-FFFF-FFFF0C000000}">
      <tableStyleElement type="headerRow" dxfId="8"/>
      <tableStyleElement type="firstRowStripe" dxfId="7"/>
      <tableStyleElement type="secondRowStripe" dxfId="6"/>
    </tableStyle>
    <tableStyle name="Tabelas para cálculos-style 5" pivot="0" count="2" xr9:uid="{00000000-0011-0000-FFFF-FFFF0D000000}">
      <tableStyleElement type="firstRowStripe" dxfId="5"/>
      <tableStyleElement type="secondRowStripe" dxfId="4"/>
    </tableStyle>
    <tableStyle name="Tabelas para cálculos-style 6" pivot="0" count="2" xr9:uid="{00000000-0011-0000-FFFF-FFFF0E000000}">
      <tableStyleElement type="firstRowStripe" dxfId="3"/>
      <tableStyleElement type="secondRowStripe" dxfId="2"/>
    </tableStyle>
    <tableStyle name="Tabelas para cálculos-style 7" pivot="0" count="2" xr9:uid="{00000000-0011-0000-FFFF-FFFF0F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çamentos" displayName="Orçamentos" ref="A1:I1004">
  <tableColumns count="9">
    <tableColumn id="1" xr3:uid="{00000000-0010-0000-0000-000001000000}" name="CLIENTE"/>
    <tableColumn id="2" xr3:uid="{00000000-0010-0000-0000-000002000000}" name="RESPONSÁVEL"/>
    <tableColumn id="3" xr3:uid="{00000000-0010-0000-0000-000003000000}" name="PROJETO"/>
    <tableColumn id="4" xr3:uid="{00000000-0010-0000-0000-000004000000}" name="VALOR TOTAL"/>
    <tableColumn id="5" xr3:uid="{00000000-0010-0000-0000-000005000000}" name="DATA"/>
    <tableColumn id="6" xr3:uid="{00000000-0010-0000-0000-000006000000}" name="Processos"/>
    <tableColumn id="7" xr3:uid="{00000000-0010-0000-0000-000007000000}" name="LINK DO PDF"/>
    <tableColumn id="8" xr3:uid="{00000000-0010-0000-0000-000008000000}" name="LINK DA MEMÓRIA DE CÁLCULO"/>
    <tableColumn id="9" xr3:uid="{00000000-0010-0000-0000-000009000000}" name="STATUS"/>
  </tableColumns>
  <tableStyleInfo name="Orçament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edidos" displayName="Pedidos" ref="A1:E992">
  <tableColumns count="5">
    <tableColumn id="1" xr3:uid="{00000000-0010-0000-0100-000001000000}" name="Cliente"/>
    <tableColumn id="2" xr3:uid="{00000000-0010-0000-0100-000002000000}" name="Número do Projeto"/>
    <tableColumn id="3" xr3:uid="{00000000-0010-0000-0100-000003000000}" name="Status"/>
    <tableColumn id="4" xr3:uid="{00000000-0010-0000-0100-000004000000}" name="Observações"/>
    <tableColumn id="5" xr3:uid="{00000000-0010-0000-0100-000005000000}" name="Tempo estimado por processo"/>
  </tableColumns>
  <tableStyleInfo name="Pedido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tos" displayName="Produtos" ref="A1:D2">
  <tableColumns count="4">
    <tableColumn id="1" xr3:uid="{00000000-0010-0000-0200-000001000000}" name="Cliente"/>
    <tableColumn id="2" xr3:uid="{00000000-0010-0000-0200-000002000000}" name="Código"/>
    <tableColumn id="3" xr3:uid="{00000000-0010-0000-0200-000003000000}" name="Data"/>
    <tableColumn id="4" xr3:uid="{00000000-0010-0000-0200-000004000000}" name="Informações do Produto"/>
  </tableColumns>
  <tableStyleInfo name="Produt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gistro_de_Manutenções" displayName="Registro_de_Manutenções" ref="A1:G8">
  <autoFilter ref="A1:G8" xr:uid="{00000000-0009-0000-0100-000004000000}"/>
  <tableColumns count="7">
    <tableColumn id="1" xr3:uid="{00000000-0010-0000-0300-000001000000}" name="PLANO DE MANUTENÇÃO"/>
    <tableColumn id="2" xr3:uid="{00000000-0010-0000-0300-000002000000}" name="DATA/HORA"/>
    <tableColumn id="3" xr3:uid="{00000000-0010-0000-0300-000003000000}" name="RESPONSÁVEL"/>
    <tableColumn id="4" xr3:uid="{00000000-0010-0000-0300-000004000000}" name="FREQUÊNCIA"/>
    <tableColumn id="5" xr3:uid="{00000000-0010-0000-0300-000005000000}" name="COMPONENTE"/>
    <tableColumn id="6" xr3:uid="{00000000-0010-0000-0300-000006000000}" name="AÇÃO"/>
    <tableColumn id="7" xr3:uid="{00000000-0010-0000-0300-000007000000}" name="RESPONSÁVEL SUGERIDO"/>
  </tableColumns>
  <tableStyleInfo name="Registro de Manutençõ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role_de_Materiais" displayName="Controle_de_Materiais" ref="A1:N55">
  <autoFilter ref="A1:N55" xr:uid="{00000000-0009-0000-0100-000005000000}"/>
  <tableColumns count="14">
    <tableColumn id="1" xr3:uid="{00000000-0010-0000-0400-000001000000}" name="Nº da Chapa"/>
    <tableColumn id="2" xr3:uid="{00000000-0010-0000-0400-000002000000}" name="DATA"/>
    <tableColumn id="3" xr3:uid="{00000000-0010-0000-0400-000003000000}" name="FEITO POR"/>
    <tableColumn id="4" xr3:uid="{00000000-0010-0000-0400-000004000000}" name="PROP"/>
    <tableColumn id="5" xr3:uid="{00000000-0010-0000-0400-000005000000}" name="TIPO"/>
    <tableColumn id="6" xr3:uid="{00000000-0010-0000-0400-000006000000}" name="DIM"/>
    <tableColumn id="7" xr3:uid="{00000000-0010-0000-0400-000007000000}" name="ESPESSURA"/>
    <tableColumn id="8" xr3:uid="{00000000-0010-0000-0400-000008000000}" name="MATERIAL"/>
    <tableColumn id="9" xr3:uid="{00000000-0010-0000-0400-000009000000}" name="QTDE"/>
    <tableColumn id="10" xr3:uid="{00000000-0010-0000-0400-00000A000000}" name="FORNECEDOR"/>
    <tableColumn id="11" xr3:uid="{00000000-0010-0000-0400-00000B000000}" name="NF"/>
    <tableColumn id="12" xr3:uid="{00000000-0010-0000-0400-00000C000000}" name="CÓDIGO CHAPA"/>
    <tableColumn id="13" xr3:uid="{00000000-0010-0000-0400-00000D000000}" name="ETIQUETA"/>
    <tableColumn id="14" xr3:uid="{00000000-0010-0000-0400-00000E000000}" name="PESO APROXIMADO"/>
  </tableColumns>
  <tableStyleInfo name="Controle de Materiai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dastro_de_Clientes" displayName="Cadastro_de_Clientes" ref="A1:E999">
  <tableColumns count="5">
    <tableColumn id="1" xr3:uid="{00000000-0010-0000-0500-000001000000}" name="CLIENTE"/>
    <tableColumn id="2" xr3:uid="{00000000-0010-0000-0500-000002000000}" name="CPF/CNPJ"/>
    <tableColumn id="3" xr3:uid="{00000000-0010-0000-0500-000003000000}" name="ENDEREÇO"/>
    <tableColumn id="4" xr3:uid="{00000000-0010-0000-0500-000004000000}" name="TELEFONE"/>
    <tableColumn id="5" xr3:uid="{00000000-0010-0000-0500-000005000000}" name="EMAIL"/>
  </tableColumns>
  <tableStyleInfo name="Cadastro de Client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1" displayName="Tabela_1" ref="A1:H998">
  <autoFilter ref="A1:H998" xr:uid="{00000000-0009-0000-0100-000007000000}"/>
  <tableColumns count="8">
    <tableColumn id="1" xr3:uid="{00000000-0010-0000-0600-000001000000}" name="DATA"/>
    <tableColumn id="2" xr3:uid="{00000000-0010-0000-0600-000002000000}" name="FUNCIONÁRIO"/>
    <tableColumn id="3" xr3:uid="{00000000-0010-0000-0600-000003000000}" name="VEÍCULO"/>
    <tableColumn id="4" xr3:uid="{00000000-0010-0000-0600-000004000000}" name="HORA DE SAÍDA"/>
    <tableColumn id="5" xr3:uid="{00000000-0010-0000-0600-000005000000}" name="PREVISÃO DE RETORNO"/>
    <tableColumn id="6" xr3:uid="{00000000-0010-0000-0600-000006000000}" name="MOTIVO"/>
    <tableColumn id="7" xr3:uid="{00000000-0010-0000-0600-000007000000}" name="STATUS"/>
    <tableColumn id="8" xr3:uid="{00000000-0010-0000-0600-000008000000}" name="RETORNO"/>
  </tableColumns>
  <tableStyleInfo name="Controle de Veículo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gs" displayName="Logs" ref="A1:F975">
  <tableColumns count="6">
    <tableColumn id="1" xr3:uid="{00000000-0010-0000-0700-000001000000}" name="Cliente"/>
    <tableColumn id="2" xr3:uid="{00000000-0010-0000-0700-000002000000}" name="Número do Projeto"/>
    <tableColumn id="3" xr3:uid="{00000000-0010-0000-0700-000003000000}" name="Observações"/>
    <tableColumn id="4" xr3:uid="{00000000-0010-0000-0700-000004000000}" name="Tempo estimado / tempo real de corte"/>
    <tableColumn id="5" xr3:uid="{00000000-0010-0000-0700-000005000000}" name="Tempo estimado / tempo real de dobra"/>
    <tableColumn id="6" xr3:uid="{00000000-0010-0000-0700-000006000000}" name="Tempo estimado / tempo real de adicionais"/>
  </tableColumns>
  <tableStyleInfo name="Log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Avaliações" displayName="Avaliações" ref="A1:J9">
  <tableColumns count="10">
    <tableColumn id="1" xr3:uid="{00000000-0010-0000-0800-000001000000}" name="Avaliador"/>
    <tableColumn id="2" xr3:uid="{00000000-0010-0000-0800-000002000000}" name="Tipo"/>
    <tableColumn id="3" xr3:uid="{00000000-0010-0000-0800-000003000000}" name="Avaliado"/>
    <tableColumn id="4" xr3:uid="{00000000-0010-0000-0800-000004000000}" name="Desempenho"/>
    <tableColumn id="5" xr3:uid="{00000000-0010-0000-0800-000005000000}" name="Trabalho em Equipe"/>
    <tableColumn id="6" xr3:uid="{00000000-0010-0000-0800-000006000000}" name="Pontualidade"/>
    <tableColumn id="7" xr3:uid="{00000000-0010-0000-0800-000007000000}" name="Organizacao"/>
    <tableColumn id="8" xr3:uid="{00000000-0010-0000-0800-000008000000}" name="Liderança"/>
    <tableColumn id="9" xr3:uid="{00000000-0010-0000-0800-000009000000}" name="Comunicação"/>
    <tableColumn id="10" xr3:uid="{00000000-0010-0000-0800-00000A000000}" name="Observações"/>
  </tableColumns>
  <tableStyleInfo name="Avaliaçõ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" displayName="Table_1" ref="A3:H9">
  <tableColumns count="8">
    <tableColumn id="1" xr3:uid="{00000000-0010-0000-0900-000001000000}" name="MATERIAL"/>
    <tableColumn id="2" xr3:uid="{00000000-0010-0000-0900-000002000000}" name="DENSIDADE (Kg/m3)"/>
    <tableColumn id="3" xr3:uid="{00000000-0010-0000-0900-000003000000}" name="COMPRIMENTO  _x000a_(mm)"/>
    <tableColumn id="4" xr3:uid="{00000000-0010-0000-0900-000004000000}" name="LARGURA (mm)"/>
    <tableColumn id="5" xr3:uid="{00000000-0010-0000-0900-000005000000}" name="ESPESSURA  _x000a_(mm)"/>
    <tableColumn id="6" xr3:uid="{00000000-0010-0000-0900-000006000000}" name="PESO DA CHAPA (Kg)"/>
    <tableColumn id="7" xr3:uid="{00000000-0010-0000-0900-000007000000}" name="PREÇO DE COMPRA (R$/KG)"/>
    <tableColumn id="8" xr3:uid="{00000000-0010-0000-0900-000008000000}" name="PREÇO DE VENDA   _x000a_(MARK UP 30%)"/>
  </tableColumns>
  <tableStyleInfo name="Tabelas para cálculo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2" displayName="Table_2" ref="L3:L9" headerRowCount="0">
  <tableColumns count="1">
    <tableColumn id="1" xr3:uid="{00000000-0010-0000-0A00-000001000000}" name="Column1"/>
  </tableColumns>
  <tableStyleInfo name="Tabelas para cálculos-style 2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3" displayName="Table_3" ref="M3:M9" headerRowCount="0">
  <tableColumns count="1">
    <tableColumn id="1" xr3:uid="{00000000-0010-0000-0B00-000001000000}" name="Column1"/>
  </tableColumns>
  <tableStyleInfo name="Tabelas para cálculos-style 3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4" displayName="Table_4" ref="O3:O9">
  <tableColumns count="1">
    <tableColumn id="1" xr3:uid="{00000000-0010-0000-0C00-000001000000}" name="Preço Kg / material"/>
  </tableColumns>
  <tableStyleInfo name="Tabelas para cálculos-style 4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5" displayName="Table_5" ref="Y3:Z9" headerRowCount="0">
  <tableColumns count="2">
    <tableColumn id="1" xr3:uid="{00000000-0010-0000-0D00-000001000000}" name="Column1"/>
    <tableColumn id="2" xr3:uid="{00000000-0010-0000-0D00-000002000000}" name="Column2"/>
  </tableColumns>
  <tableStyleInfo name="Tabelas para cálculos-style 5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6" displayName="Table_6" ref="K4:K9" headerRowCount="0">
  <tableColumns count="1">
    <tableColumn id="1" xr3:uid="{00000000-0010-0000-0E00-000001000000}" name="Column1"/>
  </tableColumns>
  <tableStyleInfo name="Tabelas para cálculos-style 6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7" displayName="Table_7" ref="A35:I41" headerRowCount="0">
  <tableColumns count="9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  <tableColumn id="7" xr3:uid="{00000000-0010-0000-0F00-000007000000}" name="Column7"/>
    <tableColumn id="8" xr3:uid="{00000000-0010-0000-0F00-000008000000}" name="Column8"/>
    <tableColumn id="9" xr3:uid="{00000000-0010-0000-0F00-000009000000}" name="Column9"/>
  </tableColumns>
  <tableStyleInfo name="Tabelas para cálculos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NE3kKCzOaLcb_wM_g--gCaF5qKTboE8o/view?usp=drivesdk" TargetMode="External"/><Relationship Id="rId3" Type="http://schemas.openxmlformats.org/officeDocument/2006/relationships/hyperlink" Target="https://drive.google.com/file/d/16P5hEEtPvtorQx97sG9lmJHGIzvFYyJA/view?usp=drivesdk" TargetMode="External"/><Relationship Id="rId7" Type="http://schemas.openxmlformats.org/officeDocument/2006/relationships/hyperlink" Target="https://drive.google.com/file/d/1pwfjrWsybv8CzblsgMAPVxu2DG_TR5RB/view?usp=drivesdk" TargetMode="External"/><Relationship Id="rId2" Type="http://schemas.openxmlformats.org/officeDocument/2006/relationships/hyperlink" Target="https://drive.google.com/file/d/1xTtjTVpHedMfNbGRcd6gWF_3w3gi9ncr/view?usp=drivesdk" TargetMode="External"/><Relationship Id="rId1" Type="http://schemas.openxmlformats.org/officeDocument/2006/relationships/hyperlink" Target="https://drive.google.com/file/d/1aoVY-BuHHmbQQ1LWa_O57-LMl2rcGtQ-/view?usp=drivesdk" TargetMode="External"/><Relationship Id="rId6" Type="http://schemas.openxmlformats.org/officeDocument/2006/relationships/hyperlink" Target="https://drive.google.com/file/d/1WQhiLQ1D3Nt52lR0Y0SLoCBOKDaFBuyt/view?usp=drivesdk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drive.google.com/file/d/1DR0aD3_fFQcPmE8fVCSjP2MQaAaJHlMH/view?usp=drivesdk" TargetMode="External"/><Relationship Id="rId10" Type="http://schemas.openxmlformats.org/officeDocument/2006/relationships/hyperlink" Target="https://n-isnivimkqx3cchzjxhfuetumeft5hyp5rj7e3ui-0lu-script.googleusercontent.com/userCodeAppPanel" TargetMode="External"/><Relationship Id="rId4" Type="http://schemas.openxmlformats.org/officeDocument/2006/relationships/hyperlink" Target="https://drive.google.com/file/d/1_M51LSDFqNROTN0L3_yTKTCU3p7f7VQO/view?usp=drivesdk" TargetMode="External"/><Relationship Id="rId9" Type="http://schemas.openxmlformats.org/officeDocument/2006/relationships/hyperlink" Target="https://n-isnivimkqx3cchzjxhfuetumeft5hyp5rj7e3ui-0lu-script.googleusercontent.com/userCodeAppPane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DzxFJC-41risALT-_yesN6r3Br6u-XIO/view?usp=drivesdk" TargetMode="External"/><Relationship Id="rId18" Type="http://schemas.openxmlformats.org/officeDocument/2006/relationships/hyperlink" Target="https://drive.google.com/file/d/143mT54YOxH0uQBUaJ6_RGOeCair_jSik/view?usp=drivesdk" TargetMode="External"/><Relationship Id="rId26" Type="http://schemas.openxmlformats.org/officeDocument/2006/relationships/hyperlink" Target="https://drive.google.com/file/d/1ceqGAtUTK1AixcqCTXXSq4NARu_Rtemf/view?usp=drivesdk" TargetMode="External"/><Relationship Id="rId39" Type="http://schemas.openxmlformats.org/officeDocument/2006/relationships/hyperlink" Target="https://drive.google.com/file/d/1bQTc9ArM96daiejCKqbsEtMG5DjqsHve/view?usp=drivesdk" TargetMode="External"/><Relationship Id="rId21" Type="http://schemas.openxmlformats.org/officeDocument/2006/relationships/hyperlink" Target="https://drive.google.com/file/d/14WrEWlJ_jBUXqsIL4E1dlhQj2P91yluk/view?usp=drivesdk" TargetMode="External"/><Relationship Id="rId34" Type="http://schemas.openxmlformats.org/officeDocument/2006/relationships/hyperlink" Target="https://drive.google.com/file/d/1habhyQ7zVTDKJRePmUDnj3jJjlEvZYvp/view?usp=drivesdk" TargetMode="External"/><Relationship Id="rId42" Type="http://schemas.openxmlformats.org/officeDocument/2006/relationships/hyperlink" Target="https://drive.google.com/file/d/1llQtCECElrHPfeF4MXnqZGE7BbI2n8pY/view?usp=drivesdk" TargetMode="External"/><Relationship Id="rId47" Type="http://schemas.openxmlformats.org/officeDocument/2006/relationships/hyperlink" Target="https://drive.google.com/file/d/1apCfGQGmEoPRJRnz-rQiZsNai14-kR2K/view?usp=drivesdk" TargetMode="External"/><Relationship Id="rId50" Type="http://schemas.openxmlformats.org/officeDocument/2006/relationships/hyperlink" Target="https://drive.google.com/file/d/15G_esDVkbnSJTpaJgkoaLVlVMR3Kc3u3/view?usp=drivesdk" TargetMode="External"/><Relationship Id="rId55" Type="http://schemas.openxmlformats.org/officeDocument/2006/relationships/table" Target="../tables/table5.xml"/><Relationship Id="rId7" Type="http://schemas.openxmlformats.org/officeDocument/2006/relationships/hyperlink" Target="https://drive.google.com/file/d/15FWLsrfuheY-xdiisFXJlOMMPd4qee3L/view?usp=drivesdk" TargetMode="External"/><Relationship Id="rId2" Type="http://schemas.openxmlformats.org/officeDocument/2006/relationships/hyperlink" Target="https://drive.google.com/file/d/1JR7XI7Db9_2Z-SnKJSiJf-dil0wY_n1-/view?usp=drivesdk" TargetMode="External"/><Relationship Id="rId16" Type="http://schemas.openxmlformats.org/officeDocument/2006/relationships/hyperlink" Target="https://drive.google.com/file/d/1pItXxRpFri0pfWiVyzDgYDW1cA3brI5U/view?usp=drivesdk" TargetMode="External"/><Relationship Id="rId29" Type="http://schemas.openxmlformats.org/officeDocument/2006/relationships/hyperlink" Target="https://drive.google.com/file/d/16FzKhZvsfevHhxRAdBhZnLX1ULfl73nD/view?usp=drivesdk" TargetMode="External"/><Relationship Id="rId11" Type="http://schemas.openxmlformats.org/officeDocument/2006/relationships/hyperlink" Target="https://drive.google.com/file/d/1kHQA556Kdl97G_b1l-XlqmCKeCvyro4b/view?usp=drivesdk" TargetMode="External"/><Relationship Id="rId24" Type="http://schemas.openxmlformats.org/officeDocument/2006/relationships/hyperlink" Target="https://drive.google.com/file/d/1gXaEj38MYZdzR1N_OX3EsTYLTnnDBGDd/view?usp=drivesdk" TargetMode="External"/><Relationship Id="rId32" Type="http://schemas.openxmlformats.org/officeDocument/2006/relationships/hyperlink" Target="https://drive.google.com/file/d/17WyFHAfnb5DPjkttmj2McBeybTSMPAJw/view?usp=drivesdk" TargetMode="External"/><Relationship Id="rId37" Type="http://schemas.openxmlformats.org/officeDocument/2006/relationships/hyperlink" Target="https://drive.google.com/file/d/159ONApUSbBTpLf-D0XtaqewaiVxUcTro/view?usp=drivesdk" TargetMode="External"/><Relationship Id="rId40" Type="http://schemas.openxmlformats.org/officeDocument/2006/relationships/hyperlink" Target="https://drive.google.com/file/d/1dMSaBs7_pSDMIYoaE58oOnpLbRxmJytA/view?usp=drivesdk" TargetMode="External"/><Relationship Id="rId45" Type="http://schemas.openxmlformats.org/officeDocument/2006/relationships/hyperlink" Target="https://drive.google.com/file/d/1B2X3T7yty4E_h4OO354C9N77xDQuhZV9/view?usp=drivesdk" TargetMode="External"/><Relationship Id="rId53" Type="http://schemas.openxmlformats.org/officeDocument/2006/relationships/hyperlink" Target="https://drive.google.com/file/d/1zaP8-bdN6KEgt9qC1sdxVzE-GWOCe6o-/view?usp=drivesdk" TargetMode="External"/><Relationship Id="rId5" Type="http://schemas.openxmlformats.org/officeDocument/2006/relationships/hyperlink" Target="https://drive.google.com/file/d/11Ti1nwZNPgV9LBeIntPHN_KH5KowsSwr/view?usp=drivesdk" TargetMode="External"/><Relationship Id="rId10" Type="http://schemas.openxmlformats.org/officeDocument/2006/relationships/hyperlink" Target="https://drive.google.com/file/d/1ADKVRT7DYZ_DXN_qvWxhNkn-PXdvQd54/view?usp=drivesdk" TargetMode="External"/><Relationship Id="rId19" Type="http://schemas.openxmlformats.org/officeDocument/2006/relationships/hyperlink" Target="https://drive.google.com/file/d/1lFfXyhlqR0CcoYQ749UqelZBdlB8ZRcs/view?usp=drivesdk" TargetMode="External"/><Relationship Id="rId31" Type="http://schemas.openxmlformats.org/officeDocument/2006/relationships/hyperlink" Target="https://drive.google.com/file/d/1ieCTXMb-xYK6go8U50ZBHLpuCBDRCZDT/view?usp=drivesdk" TargetMode="External"/><Relationship Id="rId44" Type="http://schemas.openxmlformats.org/officeDocument/2006/relationships/hyperlink" Target="https://drive.google.com/file/d/1Eg3blaLg2ANFqxkA2F5LgmkNPF__wWr1/view?usp=drivesdk" TargetMode="External"/><Relationship Id="rId52" Type="http://schemas.openxmlformats.org/officeDocument/2006/relationships/hyperlink" Target="https://drive.google.com/file/d/1KpYk03xtlyhS1iaOtAStZBrHuyP9JI72/view?usp=drivesdk" TargetMode="External"/><Relationship Id="rId4" Type="http://schemas.openxmlformats.org/officeDocument/2006/relationships/hyperlink" Target="https://drive.google.com/file/d/1rYvmjGy-SSXwRJoAe3KA0h6ZH3IKrcGy/view?usp=drivesdk" TargetMode="External"/><Relationship Id="rId9" Type="http://schemas.openxmlformats.org/officeDocument/2006/relationships/hyperlink" Target="https://drive.google.com/file/d/1bdH3_UkuadPTTholZ0bDiJta3huW8xzi/view?usp=drivesdk" TargetMode="External"/><Relationship Id="rId14" Type="http://schemas.openxmlformats.org/officeDocument/2006/relationships/hyperlink" Target="https://drive.google.com/file/d/1mCiSL6JR-ZV7DuCfxy0xYLyHozkgXUgD/view?usp=drivesdk" TargetMode="External"/><Relationship Id="rId22" Type="http://schemas.openxmlformats.org/officeDocument/2006/relationships/hyperlink" Target="https://drive.google.com/file/d/14dcS4Fak3CMYr64XimOvP1X0D84H6hXV/view?usp=drivesdk" TargetMode="External"/><Relationship Id="rId27" Type="http://schemas.openxmlformats.org/officeDocument/2006/relationships/hyperlink" Target="https://drive.google.com/file/d/1yMuIMOE1fX7oOhaPxgfVEBmNpGgMVjLI/view?usp=drivesdk" TargetMode="External"/><Relationship Id="rId30" Type="http://schemas.openxmlformats.org/officeDocument/2006/relationships/hyperlink" Target="https://drive.google.com/file/d/1jO8akAsSessBlUmhVLJNHEqOS2NgqIS3/view?usp=drivesdk" TargetMode="External"/><Relationship Id="rId35" Type="http://schemas.openxmlformats.org/officeDocument/2006/relationships/hyperlink" Target="https://drive.google.com/file/d/1rNAoJNt_9jC9KYSNjhTlWqER2SOOSW_s/view?usp=drivesdk" TargetMode="External"/><Relationship Id="rId43" Type="http://schemas.openxmlformats.org/officeDocument/2006/relationships/hyperlink" Target="https://drive.google.com/file/d/1kN1JhGMh_jyYieDJDzu5PSVjd58q6Iqa/view?usp=drivesdk" TargetMode="External"/><Relationship Id="rId48" Type="http://schemas.openxmlformats.org/officeDocument/2006/relationships/hyperlink" Target="https://drive.google.com/file/d/19YJFmXauLJ3tIFr0V9BOKP_vrLAVKiUr/view?usp=drivesdk" TargetMode="External"/><Relationship Id="rId8" Type="http://schemas.openxmlformats.org/officeDocument/2006/relationships/hyperlink" Target="https://drive.google.com/file/d/197gBJhEs7p74BTbYF1yDINY4dK0SbiSJ/view?usp=drivesdk" TargetMode="External"/><Relationship Id="rId51" Type="http://schemas.openxmlformats.org/officeDocument/2006/relationships/hyperlink" Target="https://drive.google.com/drive/folders/1CYuwhA5eKrqLpbqAE_LqlNgOpVeuH3b2" TargetMode="External"/><Relationship Id="rId3" Type="http://schemas.openxmlformats.org/officeDocument/2006/relationships/hyperlink" Target="https://drive.google.com/file/d/1QWpXzdq4Zz-Rrxog2JSmECcfV5YJ5Y5L/view?usp=drivesdk" TargetMode="External"/><Relationship Id="rId12" Type="http://schemas.openxmlformats.org/officeDocument/2006/relationships/hyperlink" Target="https://drive.google.com/file/d/1rRVavZ62LS6GDbXfEcGUry5Wx3aBdYAG/view?usp=drivesdk" TargetMode="External"/><Relationship Id="rId17" Type="http://schemas.openxmlformats.org/officeDocument/2006/relationships/hyperlink" Target="https://drive.google.com/file/d/1yrQ3wWNi7kcpMpfDERroZBqWw-Izbaa5/view?usp=drivesdk" TargetMode="External"/><Relationship Id="rId25" Type="http://schemas.openxmlformats.org/officeDocument/2006/relationships/hyperlink" Target="https://drive.google.com/file/d/10H10fab6afUrcjwpEl0M6NSKAcG4KX4j/view?usp=drivesdk" TargetMode="External"/><Relationship Id="rId33" Type="http://schemas.openxmlformats.org/officeDocument/2006/relationships/hyperlink" Target="https://drive.google.com/file/d/1eCMbvlJg28Br3_i-xRnPYKtdQFgGpmVs/view?usp=drivesdk" TargetMode="External"/><Relationship Id="rId38" Type="http://schemas.openxmlformats.org/officeDocument/2006/relationships/hyperlink" Target="https://drive.google.com/file/d/1lDyo5KainNsi7_R6gUHiV9dcY0s9mU__/view?usp=drivesdk" TargetMode="External"/><Relationship Id="rId46" Type="http://schemas.openxmlformats.org/officeDocument/2006/relationships/hyperlink" Target="https://drive.google.com/file/d/1_pafw2h5G9YRfhE891QGHpXWGNSLk-Gu/view?usp=drivesdk" TargetMode="External"/><Relationship Id="rId20" Type="http://schemas.openxmlformats.org/officeDocument/2006/relationships/hyperlink" Target="https://drive.google.com/file/d/1q7nnEeewBj0JnzQbaDgmf-fNzz03UdY2/view?usp=drivesdk" TargetMode="External"/><Relationship Id="rId41" Type="http://schemas.openxmlformats.org/officeDocument/2006/relationships/hyperlink" Target="https://drive.google.com/file/d/19ssfeGKTcW0KNZJI5ZRxMnrftQHffhI-/view?usp=drivesdk" TargetMode="External"/><Relationship Id="rId54" Type="http://schemas.openxmlformats.org/officeDocument/2006/relationships/hyperlink" Target="https://drive.google.com/file/d/1KngGgGCE_-deoxvxb0Il3xoUVQFjcxuY/view?usp=drivesdk" TargetMode="External"/><Relationship Id="rId1" Type="http://schemas.openxmlformats.org/officeDocument/2006/relationships/hyperlink" Target="https://drive.google.com/file/d/1xGDdo1elMfZ3HqYBYx3HOhaa4Eyt8DSp/view?usp=drivesdk" TargetMode="External"/><Relationship Id="rId6" Type="http://schemas.openxmlformats.org/officeDocument/2006/relationships/hyperlink" Target="https://drive.google.com/file/d/1Z2xegwGfYyJbPCkNEtb6aEeBkTsOhbWi/view?usp=drivesdk" TargetMode="External"/><Relationship Id="rId15" Type="http://schemas.openxmlformats.org/officeDocument/2006/relationships/hyperlink" Target="https://drive.google.com/file/d/18wcYUMcagJYdgbbJJJZFj9Ds8V2akAKr/view?usp=drivesdk" TargetMode="External"/><Relationship Id="rId23" Type="http://schemas.openxmlformats.org/officeDocument/2006/relationships/hyperlink" Target="https://drive.google.com/file/d/1QZix3hlsRXoTTsqDgkjVpsYEa81L9EIh/view?usp=drivesdk" TargetMode="External"/><Relationship Id="rId28" Type="http://schemas.openxmlformats.org/officeDocument/2006/relationships/hyperlink" Target="https://drive.google.com/file/d/1ZYYzAOlViTQiJzvTBGxnRNG5NkWtYfHi/view?usp=drivesdk" TargetMode="External"/><Relationship Id="rId36" Type="http://schemas.openxmlformats.org/officeDocument/2006/relationships/hyperlink" Target="https://drive.google.com/file/d/11tD4obh9MTiY01u_PpaRouSSEVQEHw2q/view?usp=drivesdk" TargetMode="External"/><Relationship Id="rId49" Type="http://schemas.openxmlformats.org/officeDocument/2006/relationships/hyperlink" Target="https://drive.google.com/file/d/14ijGR_cLPGbWnL25BOglKH4SMkKMzmb4/view?usp=drivesdk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4"/>
  <sheetViews>
    <sheetView showGridLines="0" topLeftCell="B1" workbookViewId="0">
      <pane ySplit="1" topLeftCell="A2" activePane="bottomLeft" state="frozen"/>
      <selection pane="bottomLeft" activeCell="H12" sqref="H12"/>
    </sheetView>
  </sheetViews>
  <sheetFormatPr defaultColWidth="12.5703125" defaultRowHeight="15.75" customHeight="1"/>
  <cols>
    <col min="1" max="1" width="83.5703125" bestFit="1" customWidth="1"/>
    <col min="2" max="2" width="19.140625" bestFit="1" customWidth="1"/>
    <col min="3" max="3" width="15" customWidth="1"/>
    <col min="4" max="4" width="17.7109375" bestFit="1" customWidth="1"/>
    <col min="5" max="5" width="12.7109375" bestFit="1" customWidth="1"/>
    <col min="6" max="6" width="76.42578125" customWidth="1"/>
    <col min="7" max="8" width="37.5703125" customWidth="1"/>
    <col min="9" max="9" width="24.42578125" customWidth="1"/>
  </cols>
  <sheetData>
    <row r="1" spans="1:9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.75" customHeight="1">
      <c r="A2" s="1" t="s">
        <v>9</v>
      </c>
      <c r="B2" s="1" t="s">
        <v>10</v>
      </c>
      <c r="C2" s="1" t="s">
        <v>11</v>
      </c>
      <c r="D2" s="2">
        <v>150.54123733333333</v>
      </c>
      <c r="E2" s="3">
        <v>45943</v>
      </c>
      <c r="F2" s="4" t="s">
        <v>12</v>
      </c>
      <c r="G2" s="5" t="s">
        <v>13</v>
      </c>
      <c r="H2" s="6" t="s">
        <v>14</v>
      </c>
      <c r="I2" s="4" t="s">
        <v>15</v>
      </c>
    </row>
    <row r="3" spans="1:9" ht="21.75" customHeight="1">
      <c r="A3" s="1" t="s">
        <v>16</v>
      </c>
      <c r="B3" s="4" t="s">
        <v>17</v>
      </c>
      <c r="C3" s="1" t="s">
        <v>18</v>
      </c>
      <c r="D3" s="2">
        <v>1319.6586291788929</v>
      </c>
      <c r="E3" s="3">
        <v>45943</v>
      </c>
      <c r="F3" s="4" t="s">
        <v>19</v>
      </c>
      <c r="G3" s="5" t="s">
        <v>20</v>
      </c>
      <c r="H3" s="6" t="s">
        <v>21</v>
      </c>
      <c r="I3" s="4" t="s">
        <v>15</v>
      </c>
    </row>
    <row r="4" spans="1:9" ht="21.75" customHeight="1">
      <c r="A4" s="1" t="s">
        <v>22</v>
      </c>
      <c r="B4" s="4" t="s">
        <v>23</v>
      </c>
      <c r="C4" s="1" t="s">
        <v>24</v>
      </c>
      <c r="D4" s="2">
        <v>296.32953666666668</v>
      </c>
      <c r="E4" s="3">
        <v>45964</v>
      </c>
      <c r="F4" s="4" t="s">
        <v>25</v>
      </c>
      <c r="G4" s="5" t="s">
        <v>26</v>
      </c>
      <c r="H4" s="6" t="s">
        <v>27</v>
      </c>
      <c r="I4" s="4" t="s">
        <v>15</v>
      </c>
    </row>
    <row r="5" spans="1:9" ht="21.75" customHeight="1">
      <c r="A5" s="1" t="s">
        <v>28</v>
      </c>
      <c r="B5" s="4"/>
      <c r="C5" s="1" t="s">
        <v>29</v>
      </c>
      <c r="D5" s="2">
        <v>396.03136666666671</v>
      </c>
      <c r="E5" s="3">
        <v>45958</v>
      </c>
      <c r="F5" s="4" t="s">
        <v>30</v>
      </c>
      <c r="G5" s="5" t="s">
        <v>31</v>
      </c>
      <c r="H5" s="6" t="s">
        <v>32</v>
      </c>
      <c r="I5" s="4" t="s">
        <v>15</v>
      </c>
    </row>
    <row r="6" spans="1:9" ht="21.75" customHeight="1">
      <c r="A6" s="1" t="s">
        <v>33</v>
      </c>
      <c r="B6" s="4"/>
      <c r="C6" s="1" t="s">
        <v>34</v>
      </c>
      <c r="D6" s="2"/>
      <c r="E6" s="3">
        <v>45944</v>
      </c>
      <c r="F6" s="4"/>
      <c r="G6" s="1"/>
      <c r="H6" s="7"/>
      <c r="I6" s="4" t="s">
        <v>15</v>
      </c>
    </row>
    <row r="7" spans="1:9" ht="21.75" customHeight="1">
      <c r="A7" s="1" t="s">
        <v>35</v>
      </c>
      <c r="B7" s="4"/>
      <c r="C7" s="1" t="s">
        <v>36</v>
      </c>
      <c r="D7" s="2"/>
      <c r="E7" s="3">
        <v>45890</v>
      </c>
      <c r="F7" s="4"/>
      <c r="G7" s="5" t="s">
        <v>37</v>
      </c>
      <c r="H7" s="6" t="s">
        <v>37</v>
      </c>
      <c r="I7" s="4" t="s">
        <v>38</v>
      </c>
    </row>
    <row r="8" spans="1:9" ht="21.75" customHeight="1">
      <c r="A8" s="1" t="s">
        <v>39</v>
      </c>
      <c r="B8" s="4"/>
      <c r="C8" s="1" t="s">
        <v>40</v>
      </c>
      <c r="D8" s="2"/>
      <c r="E8" s="3">
        <v>45966</v>
      </c>
      <c r="F8" s="4"/>
      <c r="G8" s="1"/>
      <c r="H8" s="7"/>
      <c r="I8" s="4" t="s">
        <v>38</v>
      </c>
    </row>
    <row r="9" spans="1:9" ht="21.75" customHeight="1">
      <c r="A9" s="1"/>
      <c r="B9" s="4"/>
      <c r="C9" s="1"/>
      <c r="D9" s="2"/>
      <c r="E9" s="3"/>
      <c r="F9" s="4"/>
      <c r="G9" s="1"/>
      <c r="H9" s="7"/>
      <c r="I9" s="4"/>
    </row>
    <row r="10" spans="1:9" ht="21.75" customHeight="1">
      <c r="A10" s="1"/>
      <c r="B10" s="4"/>
      <c r="C10" s="1"/>
      <c r="D10" s="2"/>
      <c r="E10" s="3"/>
      <c r="F10" s="4"/>
      <c r="G10" s="1"/>
      <c r="H10" s="7"/>
      <c r="I10" s="4"/>
    </row>
    <row r="11" spans="1:9" ht="21.75" customHeight="1">
      <c r="A11" s="1"/>
      <c r="B11" s="4"/>
      <c r="C11" s="1"/>
      <c r="D11" s="2"/>
      <c r="E11" s="3"/>
      <c r="F11" s="4"/>
      <c r="G11" s="1"/>
      <c r="H11" s="7"/>
      <c r="I11" s="4"/>
    </row>
    <row r="12" spans="1:9" ht="21.75" customHeight="1">
      <c r="A12" s="1"/>
      <c r="B12" s="4"/>
      <c r="C12" s="1"/>
      <c r="D12" s="2"/>
      <c r="E12" s="3"/>
      <c r="F12" s="4"/>
      <c r="G12" s="1"/>
      <c r="H12" s="7"/>
      <c r="I12" s="4"/>
    </row>
    <row r="13" spans="1:9" ht="21.75" customHeight="1">
      <c r="A13" s="1"/>
      <c r="B13" s="4"/>
      <c r="C13" s="1"/>
      <c r="D13" s="2"/>
      <c r="E13" s="3"/>
      <c r="F13" s="4"/>
      <c r="G13" s="1"/>
      <c r="H13" s="7"/>
      <c r="I13" s="4"/>
    </row>
    <row r="14" spans="1:9" ht="21.75" customHeight="1">
      <c r="A14" s="1"/>
      <c r="B14" s="4"/>
      <c r="C14" s="1"/>
      <c r="D14" s="2"/>
      <c r="E14" s="3"/>
      <c r="F14" s="4"/>
      <c r="G14" s="1"/>
      <c r="H14" s="7"/>
      <c r="I14" s="4"/>
    </row>
    <row r="15" spans="1:9" ht="21.75" customHeight="1">
      <c r="A15" s="1"/>
      <c r="B15" s="4"/>
      <c r="C15" s="1"/>
      <c r="D15" s="2"/>
      <c r="E15" s="3"/>
      <c r="F15" s="4"/>
      <c r="G15" s="1"/>
      <c r="H15" s="7"/>
      <c r="I15" s="4"/>
    </row>
    <row r="16" spans="1:9" ht="21.75" customHeight="1">
      <c r="A16" s="1"/>
      <c r="B16" s="4"/>
      <c r="C16" s="1"/>
      <c r="D16" s="2"/>
      <c r="E16" s="3"/>
      <c r="F16" s="4"/>
      <c r="G16" s="1"/>
      <c r="H16" s="7"/>
      <c r="I16" s="4"/>
    </row>
    <row r="17" spans="1:9" ht="21.75" customHeight="1">
      <c r="A17" s="1"/>
      <c r="B17" s="4"/>
      <c r="C17" s="1"/>
      <c r="D17" s="2"/>
      <c r="E17" s="3"/>
      <c r="F17" s="4"/>
      <c r="G17" s="1"/>
      <c r="H17" s="7"/>
      <c r="I17" s="4"/>
    </row>
    <row r="18" spans="1:9" ht="21.75" customHeight="1">
      <c r="A18" s="1"/>
      <c r="B18" s="4"/>
      <c r="C18" s="1"/>
      <c r="D18" s="2"/>
      <c r="E18" s="3"/>
      <c r="F18" s="4"/>
      <c r="G18" s="1"/>
      <c r="H18" s="7"/>
      <c r="I18" s="4"/>
    </row>
    <row r="19" spans="1:9" ht="21.75" customHeight="1">
      <c r="A19" s="1"/>
      <c r="B19" s="4"/>
      <c r="C19" s="1"/>
      <c r="D19" s="2"/>
      <c r="E19" s="3"/>
      <c r="F19" s="4"/>
      <c r="G19" s="1"/>
      <c r="H19" s="7"/>
      <c r="I19" s="4"/>
    </row>
    <row r="20" spans="1:9" ht="21.75" customHeight="1">
      <c r="A20" s="1"/>
      <c r="B20" s="4"/>
      <c r="C20" s="1"/>
      <c r="D20" s="2"/>
      <c r="E20" s="3"/>
      <c r="F20" s="4"/>
      <c r="G20" s="1"/>
      <c r="H20" s="7"/>
      <c r="I20" s="4"/>
    </row>
    <row r="21" spans="1:9" ht="21.75" customHeight="1">
      <c r="A21" s="1"/>
      <c r="B21" s="4"/>
      <c r="C21" s="1"/>
      <c r="D21" s="2"/>
      <c r="E21" s="3"/>
      <c r="F21" s="4"/>
      <c r="G21" s="1"/>
      <c r="H21" s="7"/>
      <c r="I21" s="4"/>
    </row>
    <row r="22" spans="1:9" ht="21.75" customHeight="1">
      <c r="A22" s="1"/>
      <c r="B22" s="4"/>
      <c r="C22" s="1"/>
      <c r="D22" s="2"/>
      <c r="E22" s="3"/>
      <c r="F22" s="4"/>
      <c r="G22" s="1"/>
      <c r="H22" s="7"/>
      <c r="I22" s="4"/>
    </row>
    <row r="23" spans="1:9" ht="21.75" customHeight="1">
      <c r="A23" s="1"/>
      <c r="B23" s="4"/>
      <c r="C23" s="1"/>
      <c r="D23" s="2"/>
      <c r="E23" s="3"/>
      <c r="F23" s="4"/>
      <c r="G23" s="1"/>
      <c r="H23" s="7"/>
      <c r="I23" s="4"/>
    </row>
    <row r="24" spans="1:9" ht="21.75" customHeight="1">
      <c r="A24" s="1"/>
      <c r="B24" s="4"/>
      <c r="C24" s="1"/>
      <c r="D24" s="2"/>
      <c r="E24" s="3"/>
      <c r="F24" s="4"/>
      <c r="G24" s="1"/>
      <c r="H24" s="7"/>
      <c r="I24" s="4"/>
    </row>
    <row r="25" spans="1:9" ht="21.75" customHeight="1">
      <c r="A25" s="1"/>
      <c r="B25" s="4"/>
      <c r="C25" s="1"/>
      <c r="D25" s="2"/>
      <c r="E25" s="3"/>
      <c r="F25" s="4"/>
      <c r="G25" s="1"/>
      <c r="H25" s="7"/>
      <c r="I25" s="4"/>
    </row>
    <row r="26" spans="1:9" ht="21.75" customHeight="1">
      <c r="A26" s="1"/>
      <c r="B26" s="4"/>
      <c r="C26" s="1"/>
      <c r="D26" s="2"/>
      <c r="E26" s="3"/>
      <c r="F26" s="4"/>
      <c r="G26" s="1"/>
      <c r="H26" s="7"/>
      <c r="I26" s="4"/>
    </row>
    <row r="27" spans="1:9" ht="21.75" customHeight="1">
      <c r="A27" s="1"/>
      <c r="B27" s="4"/>
      <c r="C27" s="1"/>
      <c r="D27" s="2"/>
      <c r="E27" s="3"/>
      <c r="F27" s="4"/>
      <c r="G27" s="1"/>
      <c r="H27" s="7"/>
      <c r="I27" s="4"/>
    </row>
    <row r="28" spans="1:9" ht="21.75" customHeight="1">
      <c r="A28" s="1"/>
      <c r="B28" s="4"/>
      <c r="C28" s="1"/>
      <c r="D28" s="2"/>
      <c r="E28" s="3"/>
      <c r="F28" s="4"/>
      <c r="G28" s="1"/>
      <c r="H28" s="7"/>
      <c r="I28" s="4"/>
    </row>
    <row r="29" spans="1:9" ht="21.75" customHeight="1">
      <c r="A29" s="1"/>
      <c r="B29" s="4"/>
      <c r="C29" s="1"/>
      <c r="D29" s="2"/>
      <c r="E29" s="3"/>
      <c r="F29" s="4"/>
      <c r="G29" s="1"/>
      <c r="H29" s="7"/>
      <c r="I29" s="4"/>
    </row>
    <row r="30" spans="1:9" ht="21.75" customHeight="1">
      <c r="A30" s="1"/>
      <c r="B30" s="4"/>
      <c r="C30" s="1"/>
      <c r="D30" s="2"/>
      <c r="E30" s="3"/>
      <c r="F30" s="4"/>
      <c r="G30" s="1"/>
      <c r="H30" s="7"/>
      <c r="I30" s="4"/>
    </row>
    <row r="31" spans="1:9" ht="21.75" customHeight="1">
      <c r="A31" s="1"/>
      <c r="B31" s="4"/>
      <c r="C31" s="1"/>
      <c r="D31" s="2"/>
      <c r="E31" s="3"/>
      <c r="F31" s="4"/>
      <c r="G31" s="1"/>
      <c r="H31" s="7"/>
      <c r="I31" s="4"/>
    </row>
    <row r="32" spans="1:9" ht="21.75" customHeight="1">
      <c r="A32" s="1"/>
      <c r="B32" s="4"/>
      <c r="C32" s="1"/>
      <c r="D32" s="2"/>
      <c r="E32" s="3"/>
      <c r="F32" s="4"/>
      <c r="G32" s="1"/>
      <c r="H32" s="7"/>
      <c r="I32" s="4"/>
    </row>
    <row r="33" spans="1:9" ht="21.75" customHeight="1">
      <c r="A33" s="1"/>
      <c r="B33" s="4"/>
      <c r="C33" s="1"/>
      <c r="D33" s="2"/>
      <c r="E33" s="3"/>
      <c r="F33" s="4"/>
      <c r="G33" s="1"/>
      <c r="H33" s="7"/>
      <c r="I33" s="4"/>
    </row>
    <row r="34" spans="1:9" ht="21.75" customHeight="1">
      <c r="A34" s="1"/>
      <c r="B34" s="4"/>
      <c r="C34" s="1"/>
      <c r="D34" s="2"/>
      <c r="E34" s="3"/>
      <c r="F34" s="4"/>
      <c r="G34" s="1"/>
      <c r="H34" s="7"/>
      <c r="I34" s="4"/>
    </row>
    <row r="35" spans="1:9" ht="21.75" customHeight="1">
      <c r="A35" s="1"/>
      <c r="B35" s="4"/>
      <c r="C35" s="1"/>
      <c r="D35" s="2"/>
      <c r="E35" s="3"/>
      <c r="F35" s="4"/>
      <c r="G35" s="1"/>
      <c r="H35" s="7"/>
      <c r="I35" s="4"/>
    </row>
    <row r="36" spans="1:9" ht="21.75" customHeight="1">
      <c r="A36" s="1"/>
      <c r="B36" s="4"/>
      <c r="C36" s="1"/>
      <c r="D36" s="2"/>
      <c r="E36" s="3"/>
      <c r="F36" s="4"/>
      <c r="G36" s="1"/>
      <c r="H36" s="7"/>
      <c r="I36" s="4"/>
    </row>
    <row r="37" spans="1:9" ht="21.75" customHeight="1">
      <c r="A37" s="1"/>
      <c r="B37" s="4"/>
      <c r="C37" s="1"/>
      <c r="D37" s="2"/>
      <c r="E37" s="3"/>
      <c r="F37" s="4"/>
      <c r="G37" s="1"/>
      <c r="H37" s="7"/>
      <c r="I37" s="4"/>
    </row>
    <row r="38" spans="1:9" ht="21.75" customHeight="1">
      <c r="A38" s="1"/>
      <c r="B38" s="4"/>
      <c r="C38" s="1"/>
      <c r="D38" s="2"/>
      <c r="E38" s="3"/>
      <c r="F38" s="4"/>
      <c r="G38" s="1"/>
      <c r="H38" s="7"/>
      <c r="I38" s="4"/>
    </row>
    <row r="39" spans="1:9" ht="21.75" customHeight="1">
      <c r="A39" s="1"/>
      <c r="B39" s="4"/>
      <c r="C39" s="1"/>
      <c r="D39" s="2"/>
      <c r="E39" s="3"/>
      <c r="F39" s="4"/>
      <c r="G39" s="1"/>
      <c r="H39" s="7"/>
      <c r="I39" s="4"/>
    </row>
    <row r="40" spans="1:9" ht="21.75" customHeight="1">
      <c r="A40" s="1"/>
      <c r="B40" s="4"/>
      <c r="C40" s="1"/>
      <c r="D40" s="2"/>
      <c r="E40" s="3"/>
      <c r="F40" s="4"/>
      <c r="G40" s="1"/>
      <c r="H40" s="7"/>
      <c r="I40" s="4"/>
    </row>
    <row r="41" spans="1:9" ht="21.75" customHeight="1">
      <c r="A41" s="1"/>
      <c r="B41" s="4"/>
      <c r="C41" s="1"/>
      <c r="D41" s="2"/>
      <c r="E41" s="3"/>
      <c r="F41" s="4"/>
      <c r="G41" s="1"/>
      <c r="H41" s="7"/>
      <c r="I41" s="4"/>
    </row>
    <row r="42" spans="1:9" ht="21.75" customHeight="1">
      <c r="A42" s="1"/>
      <c r="B42" s="4"/>
      <c r="C42" s="1"/>
      <c r="D42" s="2"/>
      <c r="E42" s="3"/>
      <c r="F42" s="4"/>
      <c r="G42" s="1"/>
      <c r="H42" s="7"/>
      <c r="I42" s="4"/>
    </row>
    <row r="43" spans="1:9" ht="21.75" customHeight="1">
      <c r="A43" s="1"/>
      <c r="B43" s="4"/>
      <c r="C43" s="1"/>
      <c r="D43" s="2"/>
      <c r="E43" s="3"/>
      <c r="F43" s="4"/>
      <c r="G43" s="1"/>
      <c r="H43" s="7"/>
      <c r="I43" s="4"/>
    </row>
    <row r="44" spans="1:9" ht="21.75" customHeight="1">
      <c r="A44" s="1"/>
      <c r="B44" s="4"/>
      <c r="C44" s="1"/>
      <c r="D44" s="2"/>
      <c r="E44" s="3"/>
      <c r="F44" s="4"/>
      <c r="G44" s="1"/>
      <c r="H44" s="7"/>
      <c r="I44" s="4"/>
    </row>
    <row r="45" spans="1:9" ht="21.75" customHeight="1">
      <c r="A45" s="1"/>
      <c r="B45" s="4"/>
      <c r="C45" s="1"/>
      <c r="D45" s="2"/>
      <c r="E45" s="3"/>
      <c r="F45" s="4"/>
      <c r="G45" s="1"/>
      <c r="H45" s="7"/>
      <c r="I45" s="4"/>
    </row>
    <row r="46" spans="1:9" ht="21.75" customHeight="1">
      <c r="A46" s="1"/>
      <c r="B46" s="4"/>
      <c r="C46" s="1"/>
      <c r="D46" s="2"/>
      <c r="E46" s="3"/>
      <c r="F46" s="4"/>
      <c r="G46" s="1"/>
      <c r="H46" s="7"/>
      <c r="I46" s="4"/>
    </row>
    <row r="47" spans="1:9" ht="21.75" customHeight="1">
      <c r="A47" s="1"/>
      <c r="B47" s="4"/>
      <c r="C47" s="1"/>
      <c r="D47" s="2"/>
      <c r="E47" s="3"/>
      <c r="F47" s="4"/>
      <c r="G47" s="1"/>
      <c r="H47" s="7"/>
      <c r="I47" s="4"/>
    </row>
    <row r="48" spans="1:9" ht="21.75" customHeight="1">
      <c r="A48" s="1"/>
      <c r="B48" s="4"/>
      <c r="C48" s="1"/>
      <c r="D48" s="2"/>
      <c r="E48" s="3"/>
      <c r="F48" s="4"/>
      <c r="G48" s="1"/>
      <c r="H48" s="7"/>
      <c r="I48" s="4"/>
    </row>
    <row r="49" spans="1:9" ht="21.75" customHeight="1">
      <c r="A49" s="1"/>
      <c r="B49" s="4"/>
      <c r="C49" s="1"/>
      <c r="D49" s="2"/>
      <c r="E49" s="3"/>
      <c r="F49" s="4"/>
      <c r="G49" s="1"/>
      <c r="H49" s="7"/>
      <c r="I49" s="4"/>
    </row>
    <row r="50" spans="1:9" ht="21.75" customHeight="1">
      <c r="A50" s="1"/>
      <c r="B50" s="4"/>
      <c r="C50" s="1"/>
      <c r="D50" s="2"/>
      <c r="E50" s="3"/>
      <c r="F50" s="4"/>
      <c r="G50" s="1"/>
      <c r="H50" s="7"/>
      <c r="I50" s="4"/>
    </row>
    <row r="51" spans="1:9" ht="21.75" customHeight="1">
      <c r="A51" s="1"/>
      <c r="B51" s="4"/>
      <c r="C51" s="1"/>
      <c r="D51" s="2"/>
      <c r="E51" s="3"/>
      <c r="F51" s="4"/>
      <c r="G51" s="1"/>
      <c r="H51" s="7"/>
      <c r="I51" s="4"/>
    </row>
    <row r="52" spans="1:9" ht="21.75" customHeight="1">
      <c r="A52" s="1"/>
      <c r="B52" s="4"/>
      <c r="C52" s="1"/>
      <c r="D52" s="2"/>
      <c r="E52" s="3"/>
      <c r="F52" s="4"/>
      <c r="G52" s="1"/>
      <c r="H52" s="7"/>
      <c r="I52" s="4"/>
    </row>
    <row r="53" spans="1:9" ht="21.75" customHeight="1">
      <c r="A53" s="1"/>
      <c r="B53" s="4"/>
      <c r="C53" s="1"/>
      <c r="D53" s="2"/>
      <c r="E53" s="3"/>
      <c r="F53" s="4"/>
      <c r="G53" s="1"/>
      <c r="H53" s="7"/>
      <c r="I53" s="4"/>
    </row>
    <row r="54" spans="1:9" ht="21.75" customHeight="1">
      <c r="A54" s="1"/>
      <c r="B54" s="4"/>
      <c r="C54" s="1"/>
      <c r="D54" s="2"/>
      <c r="E54" s="3"/>
      <c r="F54" s="4"/>
      <c r="G54" s="1"/>
      <c r="H54" s="7"/>
      <c r="I54" s="4"/>
    </row>
    <row r="55" spans="1:9" ht="21.75" customHeight="1">
      <c r="A55" s="1"/>
      <c r="B55" s="4"/>
      <c r="C55" s="1"/>
      <c r="D55" s="2"/>
      <c r="E55" s="3"/>
      <c r="F55" s="4"/>
      <c r="G55" s="1"/>
      <c r="H55" s="7"/>
      <c r="I55" s="4"/>
    </row>
    <row r="56" spans="1:9" ht="21.75" customHeight="1">
      <c r="A56" s="1"/>
      <c r="B56" s="4"/>
      <c r="C56" s="1"/>
      <c r="D56" s="2"/>
      <c r="E56" s="3"/>
      <c r="F56" s="4"/>
      <c r="G56" s="1"/>
      <c r="H56" s="7"/>
      <c r="I56" s="4"/>
    </row>
    <row r="57" spans="1:9" ht="21.75" customHeight="1">
      <c r="A57" s="1"/>
      <c r="B57" s="4"/>
      <c r="C57" s="1"/>
      <c r="D57" s="2"/>
      <c r="E57" s="3"/>
      <c r="F57" s="4"/>
      <c r="G57" s="1"/>
      <c r="H57" s="7"/>
      <c r="I57" s="4"/>
    </row>
    <row r="58" spans="1:9" ht="21.75" customHeight="1">
      <c r="A58" s="1"/>
      <c r="B58" s="4"/>
      <c r="C58" s="1"/>
      <c r="D58" s="2"/>
      <c r="E58" s="3"/>
      <c r="F58" s="4"/>
      <c r="G58" s="1"/>
      <c r="H58" s="7"/>
      <c r="I58" s="4"/>
    </row>
    <row r="59" spans="1:9" ht="21.75" customHeight="1">
      <c r="A59" s="1"/>
      <c r="B59" s="4"/>
      <c r="C59" s="1"/>
      <c r="D59" s="2"/>
      <c r="E59" s="3"/>
      <c r="F59" s="4"/>
      <c r="G59" s="1"/>
      <c r="H59" s="7"/>
      <c r="I59" s="4"/>
    </row>
    <row r="60" spans="1:9" ht="21.75" customHeight="1">
      <c r="A60" s="1"/>
      <c r="B60" s="4"/>
      <c r="C60" s="1"/>
      <c r="D60" s="2"/>
      <c r="E60" s="3"/>
      <c r="F60" s="4"/>
      <c r="G60" s="1"/>
      <c r="H60" s="7"/>
      <c r="I60" s="4"/>
    </row>
    <row r="61" spans="1:9" ht="21.75" customHeight="1">
      <c r="A61" s="1"/>
      <c r="B61" s="4"/>
      <c r="C61" s="1"/>
      <c r="D61" s="2"/>
      <c r="E61" s="3"/>
      <c r="F61" s="4"/>
      <c r="G61" s="1"/>
      <c r="H61" s="7"/>
      <c r="I61" s="4"/>
    </row>
    <row r="62" spans="1:9" ht="21.75" customHeight="1">
      <c r="A62" s="1"/>
      <c r="B62" s="4"/>
      <c r="C62" s="1"/>
      <c r="D62" s="2"/>
      <c r="E62" s="3"/>
      <c r="F62" s="4"/>
      <c r="G62" s="1"/>
      <c r="H62" s="7"/>
      <c r="I62" s="4"/>
    </row>
    <row r="63" spans="1:9" ht="21.75" customHeight="1">
      <c r="A63" s="1"/>
      <c r="B63" s="4"/>
      <c r="C63" s="1"/>
      <c r="D63" s="2"/>
      <c r="E63" s="3"/>
      <c r="F63" s="4"/>
      <c r="G63" s="1"/>
      <c r="H63" s="7"/>
      <c r="I63" s="4"/>
    </row>
    <row r="64" spans="1:9" ht="21.75" customHeight="1">
      <c r="A64" s="1"/>
      <c r="B64" s="4"/>
      <c r="C64" s="1"/>
      <c r="D64" s="2"/>
      <c r="E64" s="3"/>
      <c r="F64" s="4"/>
      <c r="G64" s="1"/>
      <c r="H64" s="7"/>
      <c r="I64" s="4"/>
    </row>
    <row r="65" spans="1:9" ht="21.75" customHeight="1">
      <c r="A65" s="1"/>
      <c r="B65" s="4"/>
      <c r="C65" s="1"/>
      <c r="D65" s="2"/>
      <c r="E65" s="3"/>
      <c r="F65" s="4"/>
      <c r="G65" s="1"/>
      <c r="H65" s="7"/>
      <c r="I65" s="4"/>
    </row>
    <row r="66" spans="1:9" ht="21.75" customHeight="1">
      <c r="A66" s="1"/>
      <c r="B66" s="4"/>
      <c r="C66" s="1"/>
      <c r="D66" s="2"/>
      <c r="E66" s="3"/>
      <c r="F66" s="4"/>
      <c r="G66" s="1"/>
      <c r="H66" s="7"/>
      <c r="I66" s="4"/>
    </row>
    <row r="67" spans="1:9" ht="21.75" customHeight="1">
      <c r="A67" s="1"/>
      <c r="B67" s="4"/>
      <c r="C67" s="1"/>
      <c r="D67" s="2"/>
      <c r="E67" s="3"/>
      <c r="F67" s="4"/>
      <c r="G67" s="1"/>
      <c r="H67" s="7"/>
      <c r="I67" s="4"/>
    </row>
    <row r="68" spans="1:9" ht="21.75" customHeight="1">
      <c r="A68" s="1"/>
      <c r="B68" s="4"/>
      <c r="C68" s="1"/>
      <c r="D68" s="2"/>
      <c r="E68" s="3"/>
      <c r="F68" s="4"/>
      <c r="G68" s="1"/>
      <c r="H68" s="7"/>
      <c r="I68" s="4"/>
    </row>
    <row r="69" spans="1:9" ht="21.75" customHeight="1">
      <c r="A69" s="1"/>
      <c r="B69" s="4"/>
      <c r="C69" s="1"/>
      <c r="D69" s="2"/>
      <c r="E69" s="3"/>
      <c r="F69" s="4"/>
      <c r="G69" s="1"/>
      <c r="H69" s="7"/>
      <c r="I69" s="4"/>
    </row>
    <row r="70" spans="1:9" ht="21.75" customHeight="1">
      <c r="A70" s="1"/>
      <c r="B70" s="4"/>
      <c r="C70" s="1"/>
      <c r="D70" s="2"/>
      <c r="E70" s="3"/>
      <c r="F70" s="4"/>
      <c r="G70" s="1"/>
      <c r="H70" s="7"/>
      <c r="I70" s="4"/>
    </row>
    <row r="71" spans="1:9" ht="21.75" customHeight="1">
      <c r="A71" s="1"/>
      <c r="B71" s="4"/>
      <c r="C71" s="1"/>
      <c r="D71" s="2"/>
      <c r="E71" s="3"/>
      <c r="F71" s="4"/>
      <c r="G71" s="1"/>
      <c r="H71" s="7"/>
      <c r="I71" s="4"/>
    </row>
    <row r="72" spans="1:9" ht="21.75" customHeight="1">
      <c r="A72" s="1"/>
      <c r="B72" s="4"/>
      <c r="C72" s="1"/>
      <c r="D72" s="2"/>
      <c r="E72" s="3"/>
      <c r="F72" s="4"/>
      <c r="G72" s="1"/>
      <c r="H72" s="7"/>
      <c r="I72" s="4"/>
    </row>
    <row r="73" spans="1:9" ht="21.75" customHeight="1">
      <c r="A73" s="1"/>
      <c r="B73" s="4"/>
      <c r="C73" s="1"/>
      <c r="D73" s="2"/>
      <c r="E73" s="3"/>
      <c r="F73" s="4"/>
      <c r="G73" s="1"/>
      <c r="H73" s="7"/>
      <c r="I73" s="4"/>
    </row>
    <row r="74" spans="1:9" ht="21.75" customHeight="1">
      <c r="A74" s="1"/>
      <c r="B74" s="4"/>
      <c r="C74" s="1"/>
      <c r="D74" s="2"/>
      <c r="E74" s="3"/>
      <c r="F74" s="4"/>
      <c r="G74" s="1"/>
      <c r="H74" s="7"/>
      <c r="I74" s="4"/>
    </row>
    <row r="75" spans="1:9" ht="21.75" customHeight="1">
      <c r="A75" s="1"/>
      <c r="B75" s="4"/>
      <c r="C75" s="1"/>
      <c r="D75" s="2"/>
      <c r="E75" s="3"/>
      <c r="F75" s="4"/>
      <c r="G75" s="1"/>
      <c r="H75" s="7"/>
      <c r="I75" s="4"/>
    </row>
    <row r="76" spans="1:9" ht="21.75" customHeight="1">
      <c r="A76" s="1"/>
      <c r="B76" s="4"/>
      <c r="C76" s="1"/>
      <c r="D76" s="2"/>
      <c r="E76" s="3"/>
      <c r="F76" s="4"/>
      <c r="G76" s="1"/>
      <c r="H76" s="7"/>
      <c r="I76" s="4"/>
    </row>
    <row r="77" spans="1:9" ht="21.75" customHeight="1">
      <c r="A77" s="1"/>
      <c r="B77" s="4"/>
      <c r="C77" s="1"/>
      <c r="D77" s="2"/>
      <c r="E77" s="3"/>
      <c r="F77" s="4"/>
      <c r="G77" s="1"/>
      <c r="H77" s="7"/>
      <c r="I77" s="4"/>
    </row>
    <row r="78" spans="1:9" ht="21.75" customHeight="1">
      <c r="A78" s="1"/>
      <c r="B78" s="4"/>
      <c r="C78" s="1"/>
      <c r="D78" s="2"/>
      <c r="E78" s="3"/>
      <c r="F78" s="4"/>
      <c r="G78" s="1"/>
      <c r="H78" s="7"/>
      <c r="I78" s="4"/>
    </row>
    <row r="79" spans="1:9" ht="21.75" customHeight="1">
      <c r="A79" s="1"/>
      <c r="B79" s="4"/>
      <c r="C79" s="1"/>
      <c r="D79" s="2"/>
      <c r="E79" s="3"/>
      <c r="F79" s="4"/>
      <c r="G79" s="1"/>
      <c r="H79" s="7"/>
      <c r="I79" s="4"/>
    </row>
    <row r="80" spans="1:9" ht="21.75" customHeight="1">
      <c r="A80" s="1"/>
      <c r="B80" s="4"/>
      <c r="C80" s="1"/>
      <c r="D80" s="2"/>
      <c r="E80" s="3"/>
      <c r="F80" s="4"/>
      <c r="G80" s="1"/>
      <c r="H80" s="7"/>
      <c r="I80" s="4"/>
    </row>
    <row r="81" spans="1:9" ht="21.75" customHeight="1">
      <c r="A81" s="1"/>
      <c r="B81" s="4"/>
      <c r="C81" s="1"/>
      <c r="D81" s="2"/>
      <c r="E81" s="3"/>
      <c r="F81" s="4"/>
      <c r="G81" s="1"/>
      <c r="H81" s="7"/>
      <c r="I81" s="4"/>
    </row>
    <row r="82" spans="1:9" ht="21.75" customHeight="1">
      <c r="A82" s="1"/>
      <c r="B82" s="4"/>
      <c r="C82" s="1"/>
      <c r="D82" s="2"/>
      <c r="E82" s="3"/>
      <c r="F82" s="4"/>
      <c r="G82" s="1"/>
      <c r="H82" s="7"/>
      <c r="I82" s="4"/>
    </row>
    <row r="83" spans="1:9" ht="21.75" customHeight="1">
      <c r="A83" s="1"/>
      <c r="B83" s="4"/>
      <c r="C83" s="1"/>
      <c r="D83" s="2"/>
      <c r="E83" s="3"/>
      <c r="F83" s="4"/>
      <c r="G83" s="1"/>
      <c r="H83" s="7"/>
      <c r="I83" s="4"/>
    </row>
    <row r="84" spans="1:9" ht="21.75" customHeight="1">
      <c r="A84" s="1"/>
      <c r="B84" s="4"/>
      <c r="C84" s="1"/>
      <c r="D84" s="2"/>
      <c r="E84" s="3"/>
      <c r="F84" s="4"/>
      <c r="G84" s="1"/>
      <c r="H84" s="7"/>
      <c r="I84" s="4"/>
    </row>
    <row r="85" spans="1:9" ht="21.75" customHeight="1">
      <c r="A85" s="1"/>
      <c r="B85" s="4"/>
      <c r="C85" s="1"/>
      <c r="D85" s="2"/>
      <c r="E85" s="3"/>
      <c r="F85" s="4"/>
      <c r="G85" s="1"/>
      <c r="H85" s="7"/>
      <c r="I85" s="4"/>
    </row>
    <row r="86" spans="1:9" ht="21.75" customHeight="1">
      <c r="A86" s="1"/>
      <c r="B86" s="4"/>
      <c r="C86" s="1"/>
      <c r="D86" s="2"/>
      <c r="E86" s="3"/>
      <c r="F86" s="4"/>
      <c r="G86" s="1"/>
      <c r="H86" s="7"/>
      <c r="I86" s="4"/>
    </row>
    <row r="87" spans="1:9" ht="21.75" customHeight="1">
      <c r="A87" s="1"/>
      <c r="B87" s="4"/>
      <c r="C87" s="1"/>
      <c r="D87" s="2"/>
      <c r="E87" s="3"/>
      <c r="F87" s="4"/>
      <c r="G87" s="1"/>
      <c r="H87" s="7"/>
      <c r="I87" s="4"/>
    </row>
    <row r="88" spans="1:9" ht="21.75" customHeight="1">
      <c r="A88" s="1"/>
      <c r="B88" s="4"/>
      <c r="C88" s="1"/>
      <c r="D88" s="2"/>
      <c r="E88" s="3"/>
      <c r="F88" s="4"/>
      <c r="G88" s="1"/>
      <c r="H88" s="7"/>
      <c r="I88" s="4"/>
    </row>
    <row r="89" spans="1:9" ht="21.75" customHeight="1">
      <c r="A89" s="1"/>
      <c r="B89" s="4"/>
      <c r="C89" s="1"/>
      <c r="D89" s="2"/>
      <c r="E89" s="3"/>
      <c r="F89" s="4"/>
      <c r="G89" s="1"/>
      <c r="H89" s="7"/>
      <c r="I89" s="4"/>
    </row>
    <row r="90" spans="1:9" ht="21.75" customHeight="1">
      <c r="A90" s="1"/>
      <c r="B90" s="4"/>
      <c r="C90" s="1"/>
      <c r="D90" s="2"/>
      <c r="E90" s="3"/>
      <c r="F90" s="4"/>
      <c r="G90" s="1"/>
      <c r="H90" s="7"/>
      <c r="I90" s="4"/>
    </row>
    <row r="91" spans="1:9" ht="21.75" customHeight="1">
      <c r="A91" s="1"/>
      <c r="B91" s="4"/>
      <c r="C91" s="1"/>
      <c r="D91" s="2"/>
      <c r="E91" s="3"/>
      <c r="F91" s="4"/>
      <c r="G91" s="1"/>
      <c r="H91" s="7"/>
      <c r="I91" s="4"/>
    </row>
    <row r="92" spans="1:9" ht="21.75" customHeight="1">
      <c r="A92" s="1"/>
      <c r="B92" s="4"/>
      <c r="C92" s="1"/>
      <c r="D92" s="2"/>
      <c r="E92" s="3"/>
      <c r="F92" s="4"/>
      <c r="G92" s="1"/>
      <c r="H92" s="7"/>
      <c r="I92" s="4"/>
    </row>
    <row r="93" spans="1:9" ht="21.75" customHeight="1">
      <c r="A93" s="1"/>
      <c r="B93" s="4"/>
      <c r="C93" s="1"/>
      <c r="D93" s="2"/>
      <c r="E93" s="3"/>
      <c r="F93" s="4"/>
      <c r="G93" s="1"/>
      <c r="H93" s="7"/>
      <c r="I93" s="4"/>
    </row>
    <row r="94" spans="1:9" ht="21.75" customHeight="1">
      <c r="A94" s="1"/>
      <c r="B94" s="4"/>
      <c r="C94" s="1"/>
      <c r="D94" s="2"/>
      <c r="E94" s="3"/>
      <c r="F94" s="4"/>
      <c r="G94" s="1"/>
      <c r="H94" s="7"/>
      <c r="I94" s="4"/>
    </row>
    <row r="95" spans="1:9" ht="21.75" customHeight="1">
      <c r="A95" s="1"/>
      <c r="B95" s="4"/>
      <c r="C95" s="1"/>
      <c r="D95" s="2"/>
      <c r="E95" s="3"/>
      <c r="F95" s="4"/>
      <c r="G95" s="1"/>
      <c r="H95" s="7"/>
      <c r="I95" s="4"/>
    </row>
    <row r="96" spans="1:9" ht="21.75" customHeight="1">
      <c r="A96" s="1"/>
      <c r="B96" s="4"/>
      <c r="C96" s="1"/>
      <c r="D96" s="2"/>
      <c r="E96" s="3"/>
      <c r="F96" s="4"/>
      <c r="G96" s="1"/>
      <c r="H96" s="7"/>
      <c r="I96" s="4"/>
    </row>
    <row r="97" spans="1:9" ht="21.75" customHeight="1">
      <c r="A97" s="1"/>
      <c r="B97" s="4"/>
      <c r="C97" s="1"/>
      <c r="D97" s="2"/>
      <c r="E97" s="3"/>
      <c r="F97" s="4"/>
      <c r="G97" s="1"/>
      <c r="H97" s="7"/>
      <c r="I97" s="4"/>
    </row>
    <row r="98" spans="1:9" ht="21.75" customHeight="1">
      <c r="A98" s="1"/>
      <c r="B98" s="4"/>
      <c r="C98" s="1"/>
      <c r="D98" s="2"/>
      <c r="E98" s="3"/>
      <c r="F98" s="4"/>
      <c r="G98" s="1"/>
      <c r="H98" s="7"/>
      <c r="I98" s="4"/>
    </row>
    <row r="99" spans="1:9" ht="21.75" customHeight="1">
      <c r="A99" s="1"/>
      <c r="B99" s="4"/>
      <c r="C99" s="1"/>
      <c r="D99" s="2"/>
      <c r="E99" s="3"/>
      <c r="F99" s="4"/>
      <c r="G99" s="1"/>
      <c r="H99" s="7"/>
      <c r="I99" s="4"/>
    </row>
    <row r="100" spans="1:9" ht="21.75" customHeight="1">
      <c r="A100" s="1"/>
      <c r="B100" s="4"/>
      <c r="C100" s="1"/>
      <c r="D100" s="2"/>
      <c r="E100" s="3"/>
      <c r="F100" s="4"/>
      <c r="G100" s="1"/>
      <c r="H100" s="7"/>
      <c r="I100" s="4"/>
    </row>
    <row r="101" spans="1:9" ht="21.75" customHeight="1">
      <c r="A101" s="1"/>
      <c r="B101" s="4"/>
      <c r="C101" s="1"/>
      <c r="D101" s="2"/>
      <c r="E101" s="3"/>
      <c r="F101" s="4"/>
      <c r="G101" s="1"/>
      <c r="H101" s="7"/>
      <c r="I101" s="4"/>
    </row>
    <row r="102" spans="1:9" ht="21.75" customHeight="1">
      <c r="A102" s="1"/>
      <c r="B102" s="4"/>
      <c r="C102" s="1"/>
      <c r="D102" s="2"/>
      <c r="E102" s="3"/>
      <c r="F102" s="4"/>
      <c r="G102" s="1"/>
      <c r="H102" s="7"/>
      <c r="I102" s="4"/>
    </row>
    <row r="103" spans="1:9" ht="21.75" customHeight="1">
      <c r="A103" s="1"/>
      <c r="B103" s="4"/>
      <c r="C103" s="1"/>
      <c r="D103" s="2"/>
      <c r="E103" s="3"/>
      <c r="F103" s="4"/>
      <c r="G103" s="1"/>
      <c r="H103" s="7"/>
      <c r="I103" s="4"/>
    </row>
    <row r="104" spans="1:9" ht="21.75" customHeight="1">
      <c r="A104" s="1"/>
      <c r="B104" s="4"/>
      <c r="C104" s="1"/>
      <c r="D104" s="2"/>
      <c r="E104" s="3"/>
      <c r="F104" s="4"/>
      <c r="G104" s="1"/>
      <c r="H104" s="7"/>
      <c r="I104" s="4"/>
    </row>
    <row r="105" spans="1:9" ht="21.75" customHeight="1">
      <c r="A105" s="1"/>
      <c r="B105" s="4"/>
      <c r="C105" s="1"/>
      <c r="D105" s="2"/>
      <c r="E105" s="3"/>
      <c r="F105" s="4"/>
      <c r="G105" s="1"/>
      <c r="H105" s="7"/>
      <c r="I105" s="4"/>
    </row>
    <row r="106" spans="1:9" ht="21.75" customHeight="1">
      <c r="A106" s="1"/>
      <c r="B106" s="4"/>
      <c r="C106" s="1"/>
      <c r="D106" s="2"/>
      <c r="E106" s="3"/>
      <c r="F106" s="4"/>
      <c r="G106" s="1"/>
      <c r="H106" s="7"/>
      <c r="I106" s="4"/>
    </row>
    <row r="107" spans="1:9" ht="21.75" customHeight="1">
      <c r="A107" s="1"/>
      <c r="B107" s="4"/>
      <c r="C107" s="1"/>
      <c r="D107" s="2"/>
      <c r="E107" s="3"/>
      <c r="F107" s="4"/>
      <c r="G107" s="1"/>
      <c r="H107" s="7"/>
      <c r="I107" s="4"/>
    </row>
    <row r="108" spans="1:9" ht="21.75" customHeight="1">
      <c r="A108" s="1"/>
      <c r="B108" s="4"/>
      <c r="C108" s="1"/>
      <c r="D108" s="2"/>
      <c r="E108" s="3"/>
      <c r="F108" s="4"/>
      <c r="G108" s="1"/>
      <c r="H108" s="7"/>
      <c r="I108" s="4"/>
    </row>
    <row r="109" spans="1:9" ht="21.75" customHeight="1">
      <c r="A109" s="1"/>
      <c r="B109" s="4"/>
      <c r="C109" s="1"/>
      <c r="D109" s="2"/>
      <c r="E109" s="3"/>
      <c r="F109" s="4"/>
      <c r="G109" s="1"/>
      <c r="H109" s="7"/>
      <c r="I109" s="4"/>
    </row>
    <row r="110" spans="1:9" ht="21.75" customHeight="1">
      <c r="A110" s="1"/>
      <c r="B110" s="4"/>
      <c r="C110" s="1"/>
      <c r="D110" s="2"/>
      <c r="E110" s="3"/>
      <c r="F110" s="4"/>
      <c r="G110" s="1"/>
      <c r="H110" s="7"/>
      <c r="I110" s="4"/>
    </row>
    <row r="111" spans="1:9" ht="21.75" customHeight="1">
      <c r="A111" s="1"/>
      <c r="B111" s="4"/>
      <c r="C111" s="1"/>
      <c r="D111" s="2"/>
      <c r="E111" s="3"/>
      <c r="F111" s="4"/>
      <c r="G111" s="1"/>
      <c r="H111" s="7"/>
      <c r="I111" s="4"/>
    </row>
    <row r="112" spans="1:9" ht="21.75" customHeight="1">
      <c r="A112" s="1"/>
      <c r="B112" s="4"/>
      <c r="C112" s="1"/>
      <c r="D112" s="2"/>
      <c r="E112" s="3"/>
      <c r="F112" s="4"/>
      <c r="G112" s="1"/>
      <c r="H112" s="7"/>
      <c r="I112" s="4"/>
    </row>
    <row r="113" spans="1:9" ht="21.75" customHeight="1">
      <c r="A113" s="1"/>
      <c r="B113" s="4"/>
      <c r="C113" s="1"/>
      <c r="D113" s="2"/>
      <c r="E113" s="3"/>
      <c r="F113" s="4"/>
      <c r="G113" s="1"/>
      <c r="H113" s="7"/>
      <c r="I113" s="4"/>
    </row>
    <row r="114" spans="1:9" ht="21.75" customHeight="1">
      <c r="A114" s="1"/>
      <c r="B114" s="4"/>
      <c r="C114" s="1"/>
      <c r="D114" s="2"/>
      <c r="E114" s="3"/>
      <c r="F114" s="4"/>
      <c r="G114" s="1"/>
      <c r="H114" s="7"/>
      <c r="I114" s="4"/>
    </row>
    <row r="115" spans="1:9" ht="21.75" customHeight="1">
      <c r="A115" s="1"/>
      <c r="B115" s="4"/>
      <c r="C115" s="1"/>
      <c r="D115" s="2"/>
      <c r="E115" s="3"/>
      <c r="F115" s="4"/>
      <c r="G115" s="1"/>
      <c r="H115" s="7"/>
      <c r="I115" s="4"/>
    </row>
    <row r="116" spans="1:9" ht="21.75" customHeight="1">
      <c r="A116" s="1"/>
      <c r="B116" s="4"/>
      <c r="C116" s="1"/>
      <c r="D116" s="2"/>
      <c r="E116" s="3"/>
      <c r="F116" s="4"/>
      <c r="G116" s="1"/>
      <c r="H116" s="7"/>
      <c r="I116" s="4"/>
    </row>
    <row r="117" spans="1:9" ht="21.75" customHeight="1">
      <c r="A117" s="1"/>
      <c r="B117" s="4"/>
      <c r="C117" s="1"/>
      <c r="D117" s="2"/>
      <c r="E117" s="3"/>
      <c r="F117" s="4"/>
      <c r="G117" s="1"/>
      <c r="H117" s="7"/>
      <c r="I117" s="4"/>
    </row>
    <row r="118" spans="1:9" ht="21.75" customHeight="1">
      <c r="A118" s="1"/>
      <c r="B118" s="4"/>
      <c r="C118" s="1"/>
      <c r="D118" s="2"/>
      <c r="E118" s="3"/>
      <c r="F118" s="4"/>
      <c r="G118" s="1"/>
      <c r="H118" s="7"/>
      <c r="I118" s="4"/>
    </row>
    <row r="119" spans="1:9" ht="21.75" customHeight="1">
      <c r="A119" s="1"/>
      <c r="B119" s="4"/>
      <c r="C119" s="1"/>
      <c r="D119" s="2"/>
      <c r="E119" s="3"/>
      <c r="F119" s="4"/>
      <c r="G119" s="1"/>
      <c r="H119" s="7"/>
      <c r="I119" s="4"/>
    </row>
    <row r="120" spans="1:9" ht="21.75" customHeight="1">
      <c r="A120" s="1"/>
      <c r="B120" s="4"/>
      <c r="C120" s="1"/>
      <c r="D120" s="2"/>
      <c r="E120" s="3"/>
      <c r="F120" s="4"/>
      <c r="G120" s="1"/>
      <c r="H120" s="7"/>
      <c r="I120" s="4"/>
    </row>
    <row r="121" spans="1:9" ht="21.75" customHeight="1">
      <c r="A121" s="1"/>
      <c r="B121" s="4"/>
      <c r="C121" s="1"/>
      <c r="D121" s="2"/>
      <c r="E121" s="3"/>
      <c r="F121" s="4"/>
      <c r="G121" s="1"/>
      <c r="H121" s="7"/>
      <c r="I121" s="4"/>
    </row>
    <row r="122" spans="1:9" ht="21.75" customHeight="1">
      <c r="A122" s="1"/>
      <c r="B122" s="4"/>
      <c r="C122" s="1"/>
      <c r="D122" s="2"/>
      <c r="E122" s="3"/>
      <c r="F122" s="4"/>
      <c r="G122" s="1"/>
      <c r="H122" s="7"/>
      <c r="I122" s="4"/>
    </row>
    <row r="123" spans="1:9" ht="21.75" customHeight="1">
      <c r="A123" s="1"/>
      <c r="B123" s="4"/>
      <c r="C123" s="1"/>
      <c r="D123" s="2"/>
      <c r="E123" s="3"/>
      <c r="F123" s="4"/>
      <c r="G123" s="1"/>
      <c r="H123" s="7"/>
      <c r="I123" s="4"/>
    </row>
    <row r="124" spans="1:9" ht="21.75" customHeight="1">
      <c r="A124" s="1"/>
      <c r="B124" s="4"/>
      <c r="C124" s="1"/>
      <c r="D124" s="2"/>
      <c r="E124" s="3"/>
      <c r="F124" s="4"/>
      <c r="G124" s="1"/>
      <c r="H124" s="7"/>
      <c r="I124" s="4"/>
    </row>
    <row r="125" spans="1:9" ht="21.75" customHeight="1">
      <c r="A125" s="1"/>
      <c r="B125" s="4"/>
      <c r="C125" s="1"/>
      <c r="D125" s="2"/>
      <c r="E125" s="3"/>
      <c r="F125" s="4"/>
      <c r="G125" s="1"/>
      <c r="H125" s="7"/>
      <c r="I125" s="4"/>
    </row>
    <row r="126" spans="1:9" ht="21.75" customHeight="1">
      <c r="A126" s="1"/>
      <c r="B126" s="4"/>
      <c r="C126" s="1"/>
      <c r="D126" s="2"/>
      <c r="E126" s="3"/>
      <c r="F126" s="4"/>
      <c r="G126" s="1"/>
      <c r="H126" s="7"/>
      <c r="I126" s="4"/>
    </row>
    <row r="127" spans="1:9" ht="21.75" customHeight="1">
      <c r="A127" s="1"/>
      <c r="B127" s="4"/>
      <c r="C127" s="1"/>
      <c r="D127" s="2"/>
      <c r="E127" s="3"/>
      <c r="F127" s="4"/>
      <c r="G127" s="1"/>
      <c r="H127" s="7"/>
      <c r="I127" s="4"/>
    </row>
    <row r="128" spans="1:9" ht="21.75" customHeight="1">
      <c r="A128" s="1"/>
      <c r="B128" s="4"/>
      <c r="C128" s="1"/>
      <c r="D128" s="2"/>
      <c r="E128" s="3"/>
      <c r="F128" s="4"/>
      <c r="G128" s="1"/>
      <c r="H128" s="7"/>
      <c r="I128" s="4"/>
    </row>
    <row r="129" spans="1:9" ht="21.75" customHeight="1">
      <c r="A129" s="1"/>
      <c r="B129" s="4"/>
      <c r="C129" s="1"/>
      <c r="D129" s="2"/>
      <c r="E129" s="3"/>
      <c r="F129" s="4"/>
      <c r="G129" s="1"/>
      <c r="H129" s="7"/>
      <c r="I129" s="4"/>
    </row>
    <row r="130" spans="1:9" ht="21.75" customHeight="1">
      <c r="A130" s="1"/>
      <c r="B130" s="4"/>
      <c r="C130" s="1"/>
      <c r="D130" s="2"/>
      <c r="E130" s="3"/>
      <c r="F130" s="4"/>
      <c r="G130" s="1"/>
      <c r="H130" s="7"/>
      <c r="I130" s="4"/>
    </row>
    <row r="131" spans="1:9" ht="21.75" customHeight="1">
      <c r="A131" s="1"/>
      <c r="B131" s="4"/>
      <c r="C131" s="1"/>
      <c r="D131" s="2"/>
      <c r="E131" s="3"/>
      <c r="F131" s="4"/>
      <c r="G131" s="1"/>
      <c r="H131" s="7"/>
      <c r="I131" s="4"/>
    </row>
    <row r="132" spans="1:9" ht="21.75" customHeight="1">
      <c r="A132" s="1"/>
      <c r="B132" s="4"/>
      <c r="C132" s="1"/>
      <c r="D132" s="2"/>
      <c r="E132" s="3"/>
      <c r="F132" s="4"/>
      <c r="G132" s="1"/>
      <c r="H132" s="7"/>
      <c r="I132" s="4"/>
    </row>
    <row r="133" spans="1:9" ht="21.75" customHeight="1">
      <c r="A133" s="1"/>
      <c r="B133" s="4"/>
      <c r="C133" s="1"/>
      <c r="D133" s="2"/>
      <c r="E133" s="3"/>
      <c r="F133" s="4"/>
      <c r="G133" s="1"/>
      <c r="H133" s="7"/>
      <c r="I133" s="4"/>
    </row>
    <row r="134" spans="1:9" ht="21.75" customHeight="1">
      <c r="A134" s="1"/>
      <c r="B134" s="4"/>
      <c r="C134" s="1"/>
      <c r="D134" s="2"/>
      <c r="E134" s="3"/>
      <c r="F134" s="4"/>
      <c r="G134" s="1"/>
      <c r="H134" s="7"/>
      <c r="I134" s="4"/>
    </row>
    <row r="135" spans="1:9" ht="21.75" customHeight="1">
      <c r="A135" s="1"/>
      <c r="B135" s="4"/>
      <c r="C135" s="1"/>
      <c r="D135" s="2"/>
      <c r="E135" s="3"/>
      <c r="F135" s="4"/>
      <c r="G135" s="1"/>
      <c r="H135" s="7"/>
      <c r="I135" s="4"/>
    </row>
    <row r="136" spans="1:9" ht="21.75" customHeight="1">
      <c r="A136" s="1"/>
      <c r="B136" s="4"/>
      <c r="C136" s="1"/>
      <c r="D136" s="2"/>
      <c r="E136" s="3"/>
      <c r="F136" s="4"/>
      <c r="G136" s="1"/>
      <c r="H136" s="7"/>
      <c r="I136" s="4"/>
    </row>
    <row r="137" spans="1:9" ht="21.75" customHeight="1">
      <c r="A137" s="1"/>
      <c r="B137" s="4"/>
      <c r="C137" s="1"/>
      <c r="D137" s="2"/>
      <c r="E137" s="3"/>
      <c r="F137" s="4"/>
      <c r="G137" s="1"/>
      <c r="H137" s="7"/>
      <c r="I137" s="4"/>
    </row>
    <row r="138" spans="1:9" ht="21.75" customHeight="1">
      <c r="A138" s="1"/>
      <c r="B138" s="4"/>
      <c r="C138" s="1"/>
      <c r="D138" s="2"/>
      <c r="E138" s="3"/>
      <c r="F138" s="4"/>
      <c r="G138" s="1"/>
      <c r="H138" s="7"/>
      <c r="I138" s="4"/>
    </row>
    <row r="139" spans="1:9" ht="21.75" customHeight="1">
      <c r="A139" s="1"/>
      <c r="B139" s="4"/>
      <c r="C139" s="1"/>
      <c r="D139" s="2"/>
      <c r="E139" s="3"/>
      <c r="F139" s="4"/>
      <c r="G139" s="1"/>
      <c r="H139" s="7"/>
      <c r="I139" s="4"/>
    </row>
    <row r="140" spans="1:9" ht="21.75" customHeight="1">
      <c r="A140" s="1"/>
      <c r="B140" s="4"/>
      <c r="C140" s="1"/>
      <c r="D140" s="2"/>
      <c r="E140" s="3"/>
      <c r="F140" s="4"/>
      <c r="G140" s="1"/>
      <c r="H140" s="7"/>
      <c r="I140" s="4"/>
    </row>
    <row r="141" spans="1:9" ht="21.75" customHeight="1">
      <c r="A141" s="1"/>
      <c r="B141" s="4"/>
      <c r="C141" s="1"/>
      <c r="D141" s="2"/>
      <c r="E141" s="3"/>
      <c r="F141" s="4"/>
      <c r="G141" s="1"/>
      <c r="H141" s="7"/>
      <c r="I141" s="4"/>
    </row>
    <row r="142" spans="1:9" ht="21.75" customHeight="1">
      <c r="A142" s="1"/>
      <c r="B142" s="4"/>
      <c r="C142" s="1"/>
      <c r="D142" s="2"/>
      <c r="E142" s="3"/>
      <c r="F142" s="4"/>
      <c r="G142" s="1"/>
      <c r="H142" s="7"/>
      <c r="I142" s="4"/>
    </row>
    <row r="143" spans="1:9" ht="21.75" customHeight="1">
      <c r="A143" s="1"/>
      <c r="B143" s="4"/>
      <c r="C143" s="1"/>
      <c r="D143" s="2"/>
      <c r="E143" s="3"/>
      <c r="F143" s="4"/>
      <c r="G143" s="1"/>
      <c r="H143" s="7"/>
      <c r="I143" s="4"/>
    </row>
    <row r="144" spans="1:9" ht="21.75" customHeight="1">
      <c r="A144" s="1"/>
      <c r="B144" s="4"/>
      <c r="C144" s="1"/>
      <c r="D144" s="2"/>
      <c r="E144" s="3"/>
      <c r="F144" s="4"/>
      <c r="G144" s="1"/>
      <c r="H144" s="7"/>
      <c r="I144" s="4"/>
    </row>
    <row r="145" spans="1:9" ht="21.75" customHeight="1">
      <c r="A145" s="1"/>
      <c r="B145" s="4"/>
      <c r="C145" s="1"/>
      <c r="D145" s="2"/>
      <c r="E145" s="3"/>
      <c r="F145" s="4"/>
      <c r="G145" s="1"/>
      <c r="H145" s="7"/>
      <c r="I145" s="4"/>
    </row>
    <row r="146" spans="1:9" ht="21.75" customHeight="1">
      <c r="A146" s="1"/>
      <c r="B146" s="4"/>
      <c r="C146" s="1"/>
      <c r="D146" s="2"/>
      <c r="E146" s="3"/>
      <c r="F146" s="4"/>
      <c r="G146" s="1"/>
      <c r="H146" s="7"/>
      <c r="I146" s="4"/>
    </row>
    <row r="147" spans="1:9" ht="21.75" customHeight="1">
      <c r="A147" s="1"/>
      <c r="B147" s="4"/>
      <c r="C147" s="1"/>
      <c r="D147" s="2"/>
      <c r="E147" s="3"/>
      <c r="F147" s="4"/>
      <c r="G147" s="1"/>
      <c r="H147" s="7"/>
      <c r="I147" s="4"/>
    </row>
    <row r="148" spans="1:9" ht="21.75" customHeight="1">
      <c r="A148" s="1"/>
      <c r="B148" s="4"/>
      <c r="C148" s="1"/>
      <c r="D148" s="2"/>
      <c r="E148" s="3"/>
      <c r="F148" s="4"/>
      <c r="G148" s="1"/>
      <c r="H148" s="7"/>
      <c r="I148" s="4"/>
    </row>
    <row r="149" spans="1:9" ht="21.75" customHeight="1">
      <c r="A149" s="1"/>
      <c r="B149" s="4"/>
      <c r="C149" s="1"/>
      <c r="D149" s="2"/>
      <c r="E149" s="3"/>
      <c r="F149" s="4"/>
      <c r="G149" s="1"/>
      <c r="H149" s="7"/>
      <c r="I149" s="4"/>
    </row>
    <row r="150" spans="1:9" ht="21.75" customHeight="1">
      <c r="A150" s="1"/>
      <c r="B150" s="4"/>
      <c r="C150" s="1"/>
      <c r="D150" s="2"/>
      <c r="E150" s="3"/>
      <c r="F150" s="4"/>
      <c r="G150" s="1"/>
      <c r="H150" s="7"/>
      <c r="I150" s="4"/>
    </row>
    <row r="151" spans="1:9" ht="21.75" customHeight="1">
      <c r="A151" s="1"/>
      <c r="B151" s="4"/>
      <c r="C151" s="1"/>
      <c r="D151" s="2"/>
      <c r="E151" s="3"/>
      <c r="F151" s="4"/>
      <c r="G151" s="1"/>
      <c r="H151" s="7"/>
      <c r="I151" s="4"/>
    </row>
    <row r="152" spans="1:9" ht="21.75" customHeight="1">
      <c r="A152" s="1"/>
      <c r="B152" s="4"/>
      <c r="C152" s="1"/>
      <c r="D152" s="2"/>
      <c r="E152" s="3"/>
      <c r="F152" s="4"/>
      <c r="G152" s="1"/>
      <c r="H152" s="7"/>
      <c r="I152" s="4"/>
    </row>
    <row r="153" spans="1:9" ht="21.75" customHeight="1">
      <c r="A153" s="1"/>
      <c r="B153" s="4"/>
      <c r="C153" s="1"/>
      <c r="D153" s="2"/>
      <c r="E153" s="3"/>
      <c r="F153" s="4"/>
      <c r="G153" s="1"/>
      <c r="H153" s="7"/>
      <c r="I153" s="4"/>
    </row>
    <row r="154" spans="1:9" ht="21.75" customHeight="1">
      <c r="A154" s="1"/>
      <c r="B154" s="4"/>
      <c r="C154" s="1"/>
      <c r="D154" s="2"/>
      <c r="E154" s="3"/>
      <c r="F154" s="4"/>
      <c r="G154" s="1"/>
      <c r="H154" s="7"/>
      <c r="I154" s="4"/>
    </row>
    <row r="155" spans="1:9" ht="21.75" customHeight="1">
      <c r="A155" s="1"/>
      <c r="B155" s="4"/>
      <c r="C155" s="1"/>
      <c r="D155" s="2"/>
      <c r="E155" s="3"/>
      <c r="F155" s="4"/>
      <c r="G155" s="1"/>
      <c r="H155" s="7"/>
      <c r="I155" s="4"/>
    </row>
    <row r="156" spans="1:9" ht="21.75" customHeight="1">
      <c r="A156" s="1"/>
      <c r="B156" s="4"/>
      <c r="C156" s="1"/>
      <c r="D156" s="2"/>
      <c r="E156" s="3"/>
      <c r="F156" s="4"/>
      <c r="G156" s="1"/>
      <c r="H156" s="7"/>
      <c r="I156" s="4"/>
    </row>
    <row r="157" spans="1:9" ht="21.75" customHeight="1">
      <c r="A157" s="1"/>
      <c r="B157" s="4"/>
      <c r="C157" s="1"/>
      <c r="D157" s="2"/>
      <c r="E157" s="3"/>
      <c r="F157" s="4"/>
      <c r="G157" s="1"/>
      <c r="H157" s="7"/>
      <c r="I157" s="4"/>
    </row>
    <row r="158" spans="1:9" ht="21.75" customHeight="1">
      <c r="A158" s="1"/>
      <c r="B158" s="4"/>
      <c r="C158" s="1"/>
      <c r="D158" s="2"/>
      <c r="E158" s="3"/>
      <c r="F158" s="4"/>
      <c r="G158" s="1"/>
      <c r="H158" s="7"/>
      <c r="I158" s="4"/>
    </row>
    <row r="159" spans="1:9" ht="21.75" customHeight="1">
      <c r="A159" s="1"/>
      <c r="B159" s="4"/>
      <c r="C159" s="1"/>
      <c r="D159" s="2"/>
      <c r="E159" s="3"/>
      <c r="F159" s="4"/>
      <c r="G159" s="1"/>
      <c r="H159" s="7"/>
      <c r="I159" s="4"/>
    </row>
    <row r="160" spans="1:9" ht="21.75" customHeight="1">
      <c r="A160" s="1"/>
      <c r="B160" s="4"/>
      <c r="C160" s="1"/>
      <c r="D160" s="2"/>
      <c r="E160" s="3"/>
      <c r="F160" s="4"/>
      <c r="G160" s="1"/>
      <c r="H160" s="7"/>
      <c r="I160" s="4"/>
    </row>
    <row r="161" spans="1:9" ht="21.75" customHeight="1">
      <c r="A161" s="1"/>
      <c r="B161" s="4"/>
      <c r="C161" s="1"/>
      <c r="D161" s="2"/>
      <c r="E161" s="3"/>
      <c r="F161" s="4"/>
      <c r="G161" s="1"/>
      <c r="H161" s="7"/>
      <c r="I161" s="4"/>
    </row>
    <row r="162" spans="1:9" ht="21.75" customHeight="1">
      <c r="A162" s="1"/>
      <c r="B162" s="4"/>
      <c r="C162" s="1"/>
      <c r="D162" s="2"/>
      <c r="E162" s="3"/>
      <c r="F162" s="4"/>
      <c r="G162" s="1"/>
      <c r="H162" s="7"/>
      <c r="I162" s="4"/>
    </row>
    <row r="163" spans="1:9" ht="21.75" customHeight="1">
      <c r="A163" s="1"/>
      <c r="B163" s="4"/>
      <c r="C163" s="1"/>
      <c r="D163" s="2"/>
      <c r="E163" s="3"/>
      <c r="F163" s="4"/>
      <c r="G163" s="1"/>
      <c r="H163" s="7"/>
      <c r="I163" s="4"/>
    </row>
    <row r="164" spans="1:9" ht="21.75" customHeight="1">
      <c r="A164" s="1"/>
      <c r="B164" s="4"/>
      <c r="C164" s="1"/>
      <c r="D164" s="2"/>
      <c r="E164" s="3"/>
      <c r="F164" s="4"/>
      <c r="G164" s="1"/>
      <c r="H164" s="7"/>
      <c r="I164" s="4"/>
    </row>
    <row r="165" spans="1:9" ht="21.75" customHeight="1">
      <c r="A165" s="1"/>
      <c r="B165" s="4"/>
      <c r="C165" s="1"/>
      <c r="D165" s="2"/>
      <c r="E165" s="3"/>
      <c r="F165" s="4"/>
      <c r="G165" s="1"/>
      <c r="H165" s="7"/>
      <c r="I165" s="4"/>
    </row>
    <row r="166" spans="1:9" ht="21.75" customHeight="1">
      <c r="A166" s="1"/>
      <c r="B166" s="4"/>
      <c r="C166" s="1"/>
      <c r="D166" s="2"/>
      <c r="E166" s="3"/>
      <c r="F166" s="4"/>
      <c r="G166" s="1"/>
      <c r="H166" s="7"/>
      <c r="I166" s="4"/>
    </row>
    <row r="167" spans="1:9" ht="21.75" customHeight="1">
      <c r="A167" s="1"/>
      <c r="B167" s="4"/>
      <c r="C167" s="1"/>
      <c r="D167" s="2"/>
      <c r="E167" s="3"/>
      <c r="F167" s="4"/>
      <c r="G167" s="1"/>
      <c r="H167" s="7"/>
      <c r="I167" s="4"/>
    </row>
    <row r="168" spans="1:9" ht="21.75" customHeight="1">
      <c r="A168" s="1"/>
      <c r="B168" s="4"/>
      <c r="C168" s="1"/>
      <c r="D168" s="2"/>
      <c r="E168" s="3"/>
      <c r="F168" s="4"/>
      <c r="G168" s="1"/>
      <c r="H168" s="7"/>
      <c r="I168" s="4"/>
    </row>
    <row r="169" spans="1:9" ht="21.75" customHeight="1">
      <c r="A169" s="1"/>
      <c r="B169" s="4"/>
      <c r="C169" s="1"/>
      <c r="D169" s="2"/>
      <c r="E169" s="3"/>
      <c r="F169" s="4"/>
      <c r="G169" s="1"/>
      <c r="H169" s="7"/>
      <c r="I169" s="4"/>
    </row>
    <row r="170" spans="1:9" ht="21.75" customHeight="1">
      <c r="A170" s="1"/>
      <c r="B170" s="4"/>
      <c r="C170" s="1"/>
      <c r="D170" s="2"/>
      <c r="E170" s="3"/>
      <c r="F170" s="4"/>
      <c r="G170" s="1"/>
      <c r="H170" s="7"/>
      <c r="I170" s="4"/>
    </row>
    <row r="171" spans="1:9" ht="21.75" customHeight="1">
      <c r="A171" s="1"/>
      <c r="B171" s="4"/>
      <c r="C171" s="1"/>
      <c r="D171" s="2"/>
      <c r="E171" s="3"/>
      <c r="F171" s="4"/>
      <c r="G171" s="1"/>
      <c r="H171" s="7"/>
      <c r="I171" s="4"/>
    </row>
    <row r="172" spans="1:9" ht="21.75" customHeight="1">
      <c r="A172" s="1"/>
      <c r="B172" s="4"/>
      <c r="C172" s="1"/>
      <c r="D172" s="2"/>
      <c r="E172" s="3"/>
      <c r="F172" s="4"/>
      <c r="G172" s="1"/>
      <c r="H172" s="7"/>
      <c r="I172" s="4"/>
    </row>
    <row r="173" spans="1:9" ht="21.75" customHeight="1">
      <c r="A173" s="1"/>
      <c r="B173" s="4"/>
      <c r="C173" s="1"/>
      <c r="D173" s="2"/>
      <c r="E173" s="3"/>
      <c r="F173" s="4"/>
      <c r="G173" s="1"/>
      <c r="H173" s="7"/>
      <c r="I173" s="4"/>
    </row>
    <row r="174" spans="1:9" ht="21.75" customHeight="1">
      <c r="A174" s="1"/>
      <c r="B174" s="4"/>
      <c r="C174" s="1"/>
      <c r="D174" s="2"/>
      <c r="E174" s="3"/>
      <c r="F174" s="4"/>
      <c r="G174" s="1"/>
      <c r="H174" s="7"/>
      <c r="I174" s="4"/>
    </row>
    <row r="175" spans="1:9" ht="21.75" customHeight="1">
      <c r="A175" s="1"/>
      <c r="B175" s="4"/>
      <c r="C175" s="1"/>
      <c r="D175" s="2"/>
      <c r="E175" s="3"/>
      <c r="F175" s="4"/>
      <c r="G175" s="1"/>
      <c r="H175" s="7"/>
      <c r="I175" s="4"/>
    </row>
    <row r="176" spans="1:9" ht="21.75" customHeight="1">
      <c r="A176" s="1"/>
      <c r="B176" s="4"/>
      <c r="C176" s="1"/>
      <c r="D176" s="2"/>
      <c r="E176" s="3"/>
      <c r="F176" s="4"/>
      <c r="G176" s="1"/>
      <c r="H176" s="7"/>
      <c r="I176" s="4"/>
    </row>
    <row r="177" spans="1:9" ht="21.75" customHeight="1">
      <c r="A177" s="1"/>
      <c r="B177" s="4"/>
      <c r="C177" s="1"/>
      <c r="D177" s="2"/>
      <c r="E177" s="3"/>
      <c r="F177" s="4"/>
      <c r="G177" s="1"/>
      <c r="H177" s="7"/>
      <c r="I177" s="4"/>
    </row>
    <row r="178" spans="1:9" ht="21.75" customHeight="1">
      <c r="A178" s="1"/>
      <c r="B178" s="4"/>
      <c r="C178" s="1"/>
      <c r="D178" s="2"/>
      <c r="E178" s="3"/>
      <c r="F178" s="4"/>
      <c r="G178" s="1"/>
      <c r="H178" s="7"/>
      <c r="I178" s="4"/>
    </row>
    <row r="179" spans="1:9" ht="21.75" customHeight="1">
      <c r="A179" s="1"/>
      <c r="B179" s="4"/>
      <c r="C179" s="1"/>
      <c r="D179" s="2"/>
      <c r="E179" s="3"/>
      <c r="F179" s="4"/>
      <c r="G179" s="1"/>
      <c r="H179" s="7"/>
      <c r="I179" s="4"/>
    </row>
    <row r="180" spans="1:9" ht="21.75" customHeight="1">
      <c r="A180" s="1"/>
      <c r="B180" s="4"/>
      <c r="C180" s="1"/>
      <c r="D180" s="2"/>
      <c r="E180" s="3"/>
      <c r="F180" s="4"/>
      <c r="G180" s="1"/>
      <c r="H180" s="7"/>
      <c r="I180" s="4"/>
    </row>
    <row r="181" spans="1:9" ht="21.75" customHeight="1">
      <c r="A181" s="1"/>
      <c r="B181" s="4"/>
      <c r="C181" s="1"/>
      <c r="D181" s="2"/>
      <c r="E181" s="3"/>
      <c r="F181" s="4"/>
      <c r="G181" s="1"/>
      <c r="H181" s="7"/>
      <c r="I181" s="4"/>
    </row>
    <row r="182" spans="1:9" ht="21.75" customHeight="1">
      <c r="A182" s="1"/>
      <c r="B182" s="4"/>
      <c r="C182" s="1"/>
      <c r="D182" s="2"/>
      <c r="E182" s="3"/>
      <c r="F182" s="4"/>
      <c r="G182" s="1"/>
      <c r="H182" s="7"/>
      <c r="I182" s="4"/>
    </row>
    <row r="183" spans="1:9" ht="21.75" customHeight="1">
      <c r="A183" s="1"/>
      <c r="B183" s="4"/>
      <c r="C183" s="1"/>
      <c r="D183" s="2"/>
      <c r="E183" s="3"/>
      <c r="F183" s="4"/>
      <c r="G183" s="1"/>
      <c r="H183" s="7"/>
      <c r="I183" s="4"/>
    </row>
    <row r="184" spans="1:9" ht="21.75" customHeight="1">
      <c r="A184" s="1"/>
      <c r="B184" s="4"/>
      <c r="C184" s="1"/>
      <c r="D184" s="2"/>
      <c r="E184" s="3"/>
      <c r="F184" s="4"/>
      <c r="G184" s="1"/>
      <c r="H184" s="7"/>
      <c r="I184" s="4"/>
    </row>
    <row r="185" spans="1:9" ht="21.75" customHeight="1">
      <c r="A185" s="1"/>
      <c r="B185" s="4"/>
      <c r="C185" s="1"/>
      <c r="D185" s="2"/>
      <c r="E185" s="3"/>
      <c r="F185" s="4"/>
      <c r="G185" s="1"/>
      <c r="H185" s="7"/>
      <c r="I185" s="4"/>
    </row>
    <row r="186" spans="1:9" ht="21.75" customHeight="1">
      <c r="A186" s="1"/>
      <c r="B186" s="4"/>
      <c r="C186" s="1"/>
      <c r="D186" s="2"/>
      <c r="E186" s="3"/>
      <c r="F186" s="4"/>
      <c r="G186" s="1"/>
      <c r="H186" s="7"/>
      <c r="I186" s="4"/>
    </row>
    <row r="187" spans="1:9" ht="21.75" customHeight="1">
      <c r="A187" s="1"/>
      <c r="B187" s="4"/>
      <c r="C187" s="1"/>
      <c r="D187" s="2"/>
      <c r="E187" s="3"/>
      <c r="F187" s="4"/>
      <c r="G187" s="1"/>
      <c r="H187" s="7"/>
      <c r="I187" s="4"/>
    </row>
    <row r="188" spans="1:9" ht="21.75" customHeight="1">
      <c r="A188" s="1"/>
      <c r="B188" s="4"/>
      <c r="C188" s="1"/>
      <c r="D188" s="2"/>
      <c r="E188" s="3"/>
      <c r="F188" s="4"/>
      <c r="G188" s="1"/>
      <c r="H188" s="7"/>
      <c r="I188" s="4"/>
    </row>
    <row r="189" spans="1:9" ht="21.75" customHeight="1">
      <c r="A189" s="1"/>
      <c r="B189" s="4"/>
      <c r="C189" s="1"/>
      <c r="D189" s="2"/>
      <c r="E189" s="3"/>
      <c r="F189" s="4"/>
      <c r="G189" s="1"/>
      <c r="H189" s="7"/>
      <c r="I189" s="4"/>
    </row>
    <row r="190" spans="1:9" ht="21.75" customHeight="1">
      <c r="A190" s="1"/>
      <c r="B190" s="4"/>
      <c r="C190" s="1"/>
      <c r="D190" s="2"/>
      <c r="E190" s="3"/>
      <c r="F190" s="4"/>
      <c r="G190" s="1"/>
      <c r="H190" s="7"/>
      <c r="I190" s="4"/>
    </row>
    <row r="191" spans="1:9" ht="21.75" customHeight="1">
      <c r="A191" s="1"/>
      <c r="B191" s="4"/>
      <c r="C191" s="1"/>
      <c r="D191" s="2"/>
      <c r="E191" s="3"/>
      <c r="F191" s="4"/>
      <c r="G191" s="1"/>
      <c r="H191" s="7"/>
      <c r="I191" s="4"/>
    </row>
    <row r="192" spans="1:9" ht="21.75" customHeight="1">
      <c r="A192" s="1"/>
      <c r="B192" s="4"/>
      <c r="C192" s="1"/>
      <c r="D192" s="2"/>
      <c r="E192" s="3"/>
      <c r="F192" s="4"/>
      <c r="G192" s="1"/>
      <c r="H192" s="7"/>
      <c r="I192" s="4"/>
    </row>
    <row r="193" spans="1:9" ht="21.75" customHeight="1">
      <c r="A193" s="1"/>
      <c r="B193" s="4"/>
      <c r="C193" s="1"/>
      <c r="D193" s="2"/>
      <c r="E193" s="3"/>
      <c r="F193" s="4"/>
      <c r="G193" s="1"/>
      <c r="H193" s="7"/>
      <c r="I193" s="4"/>
    </row>
    <row r="194" spans="1:9" ht="21.75" customHeight="1">
      <c r="A194" s="1"/>
      <c r="B194" s="4"/>
      <c r="C194" s="1"/>
      <c r="D194" s="2"/>
      <c r="E194" s="3"/>
      <c r="F194" s="4"/>
      <c r="G194" s="1"/>
      <c r="H194" s="7"/>
      <c r="I194" s="4"/>
    </row>
    <row r="195" spans="1:9" ht="21.75" customHeight="1">
      <c r="A195" s="1"/>
      <c r="B195" s="4"/>
      <c r="C195" s="1"/>
      <c r="D195" s="2"/>
      <c r="E195" s="3"/>
      <c r="F195" s="4"/>
      <c r="G195" s="1"/>
      <c r="H195" s="7"/>
      <c r="I195" s="4"/>
    </row>
    <row r="196" spans="1:9" ht="21.75" customHeight="1">
      <c r="A196" s="1"/>
      <c r="B196" s="4"/>
      <c r="C196" s="1"/>
      <c r="D196" s="2"/>
      <c r="E196" s="3"/>
      <c r="F196" s="4"/>
      <c r="G196" s="1"/>
      <c r="H196" s="7"/>
      <c r="I196" s="4"/>
    </row>
    <row r="197" spans="1:9" ht="21.75" customHeight="1">
      <c r="A197" s="1"/>
      <c r="B197" s="4"/>
      <c r="C197" s="1"/>
      <c r="D197" s="2"/>
      <c r="E197" s="3"/>
      <c r="F197" s="4"/>
      <c r="G197" s="1"/>
      <c r="H197" s="7"/>
      <c r="I197" s="4"/>
    </row>
    <row r="198" spans="1:9" ht="21.75" customHeight="1">
      <c r="A198" s="1"/>
      <c r="B198" s="4"/>
      <c r="C198" s="1"/>
      <c r="D198" s="2"/>
      <c r="E198" s="3"/>
      <c r="F198" s="4"/>
      <c r="G198" s="1"/>
      <c r="H198" s="7"/>
      <c r="I198" s="4"/>
    </row>
    <row r="199" spans="1:9" ht="21.75" customHeight="1">
      <c r="A199" s="1"/>
      <c r="B199" s="4"/>
      <c r="C199" s="1"/>
      <c r="D199" s="2"/>
      <c r="E199" s="3"/>
      <c r="F199" s="4"/>
      <c r="G199" s="1"/>
      <c r="H199" s="7"/>
      <c r="I199" s="4"/>
    </row>
    <row r="200" spans="1:9" ht="21.75" customHeight="1">
      <c r="A200" s="1"/>
      <c r="B200" s="4"/>
      <c r="C200" s="1"/>
      <c r="D200" s="2"/>
      <c r="E200" s="3"/>
      <c r="F200" s="4"/>
      <c r="G200" s="1"/>
      <c r="H200" s="7"/>
      <c r="I200" s="4"/>
    </row>
    <row r="201" spans="1:9" ht="21.75" customHeight="1">
      <c r="A201" s="1"/>
      <c r="B201" s="4"/>
      <c r="C201" s="1"/>
      <c r="D201" s="2"/>
      <c r="E201" s="3"/>
      <c r="F201" s="4"/>
      <c r="G201" s="1"/>
      <c r="H201" s="7"/>
      <c r="I201" s="4"/>
    </row>
    <row r="202" spans="1:9" ht="21.75" customHeight="1">
      <c r="A202" s="1"/>
      <c r="B202" s="4"/>
      <c r="C202" s="1"/>
      <c r="D202" s="2"/>
      <c r="E202" s="3"/>
      <c r="F202" s="4"/>
      <c r="G202" s="1"/>
      <c r="H202" s="7"/>
      <c r="I202" s="4"/>
    </row>
    <row r="203" spans="1:9" ht="21.75" customHeight="1">
      <c r="A203" s="1"/>
      <c r="B203" s="4"/>
      <c r="C203" s="1"/>
      <c r="D203" s="2"/>
      <c r="E203" s="3"/>
      <c r="F203" s="4"/>
      <c r="G203" s="1"/>
      <c r="H203" s="7"/>
      <c r="I203" s="4"/>
    </row>
    <row r="204" spans="1:9" ht="21.75" customHeight="1">
      <c r="A204" s="1"/>
      <c r="B204" s="4"/>
      <c r="C204" s="1"/>
      <c r="D204" s="2"/>
      <c r="E204" s="3"/>
      <c r="F204" s="4"/>
      <c r="G204" s="1"/>
      <c r="H204" s="7"/>
      <c r="I204" s="4"/>
    </row>
    <row r="205" spans="1:9" ht="21.75" customHeight="1">
      <c r="A205" s="1"/>
      <c r="B205" s="4"/>
      <c r="C205" s="1"/>
      <c r="D205" s="2"/>
      <c r="E205" s="3"/>
      <c r="F205" s="4"/>
      <c r="G205" s="1"/>
      <c r="H205" s="7"/>
      <c r="I205" s="4"/>
    </row>
    <row r="206" spans="1:9" ht="21.75" customHeight="1">
      <c r="A206" s="1"/>
      <c r="B206" s="4"/>
      <c r="C206" s="1"/>
      <c r="D206" s="2"/>
      <c r="E206" s="3"/>
      <c r="F206" s="4"/>
      <c r="G206" s="1"/>
      <c r="H206" s="7"/>
      <c r="I206" s="4"/>
    </row>
    <row r="207" spans="1:9" ht="21.75" customHeight="1">
      <c r="A207" s="1"/>
      <c r="B207" s="4"/>
      <c r="C207" s="1"/>
      <c r="D207" s="2"/>
      <c r="E207" s="3"/>
      <c r="F207" s="4"/>
      <c r="G207" s="1"/>
      <c r="H207" s="7"/>
      <c r="I207" s="4"/>
    </row>
    <row r="208" spans="1:9" ht="21.75" customHeight="1">
      <c r="A208" s="1"/>
      <c r="B208" s="4"/>
      <c r="C208" s="1"/>
      <c r="D208" s="2"/>
      <c r="E208" s="3"/>
      <c r="F208" s="4"/>
      <c r="G208" s="1"/>
      <c r="H208" s="7"/>
      <c r="I208" s="4"/>
    </row>
    <row r="209" spans="1:9" ht="21.75" customHeight="1">
      <c r="A209" s="1"/>
      <c r="B209" s="4"/>
      <c r="C209" s="1"/>
      <c r="D209" s="2"/>
      <c r="E209" s="3"/>
      <c r="F209" s="4"/>
      <c r="G209" s="1"/>
      <c r="H209" s="7"/>
      <c r="I209" s="4"/>
    </row>
    <row r="210" spans="1:9" ht="21.75" customHeight="1">
      <c r="A210" s="1"/>
      <c r="B210" s="4"/>
      <c r="C210" s="1"/>
      <c r="D210" s="2"/>
      <c r="E210" s="3"/>
      <c r="F210" s="4"/>
      <c r="G210" s="1"/>
      <c r="H210" s="7"/>
      <c r="I210" s="4"/>
    </row>
    <row r="211" spans="1:9" ht="21.75" customHeight="1">
      <c r="A211" s="1"/>
      <c r="B211" s="4"/>
      <c r="C211" s="1"/>
      <c r="D211" s="2"/>
      <c r="E211" s="3"/>
      <c r="F211" s="4"/>
      <c r="G211" s="1"/>
      <c r="H211" s="7"/>
      <c r="I211" s="4"/>
    </row>
    <row r="212" spans="1:9" ht="21.75" customHeight="1">
      <c r="A212" s="1"/>
      <c r="B212" s="4"/>
      <c r="C212" s="1"/>
      <c r="D212" s="2"/>
      <c r="E212" s="3"/>
      <c r="F212" s="4"/>
      <c r="G212" s="1"/>
      <c r="H212" s="7"/>
      <c r="I212" s="4"/>
    </row>
    <row r="213" spans="1:9" ht="21.75" customHeight="1">
      <c r="A213" s="1"/>
      <c r="B213" s="4"/>
      <c r="C213" s="1"/>
      <c r="D213" s="2"/>
      <c r="E213" s="3"/>
      <c r="F213" s="4"/>
      <c r="G213" s="1"/>
      <c r="H213" s="7"/>
      <c r="I213" s="4"/>
    </row>
    <row r="214" spans="1:9" ht="21.75" customHeight="1">
      <c r="A214" s="1"/>
      <c r="B214" s="4"/>
      <c r="C214" s="1"/>
      <c r="D214" s="2"/>
      <c r="E214" s="3"/>
      <c r="F214" s="4"/>
      <c r="G214" s="1"/>
      <c r="H214" s="7"/>
      <c r="I214" s="4"/>
    </row>
    <row r="215" spans="1:9" ht="21.75" customHeight="1">
      <c r="A215" s="1"/>
      <c r="B215" s="4"/>
      <c r="C215" s="1"/>
      <c r="D215" s="2"/>
      <c r="E215" s="3"/>
      <c r="F215" s="4"/>
      <c r="G215" s="1"/>
      <c r="H215" s="7"/>
      <c r="I215" s="4"/>
    </row>
    <row r="216" spans="1:9" ht="21.75" customHeight="1">
      <c r="A216" s="1"/>
      <c r="B216" s="4"/>
      <c r="C216" s="1"/>
      <c r="D216" s="2"/>
      <c r="E216" s="3"/>
      <c r="F216" s="4"/>
      <c r="G216" s="1"/>
      <c r="H216" s="7"/>
      <c r="I216" s="4"/>
    </row>
    <row r="217" spans="1:9" ht="21.75" customHeight="1">
      <c r="A217" s="1"/>
      <c r="B217" s="4"/>
      <c r="C217" s="1"/>
      <c r="D217" s="2"/>
      <c r="E217" s="3"/>
      <c r="F217" s="4"/>
      <c r="G217" s="1"/>
      <c r="H217" s="7"/>
      <c r="I217" s="4"/>
    </row>
    <row r="218" spans="1:9" ht="21.75" customHeight="1">
      <c r="A218" s="1"/>
      <c r="B218" s="4"/>
      <c r="C218" s="1"/>
      <c r="D218" s="2"/>
      <c r="E218" s="3"/>
      <c r="F218" s="4"/>
      <c r="G218" s="1"/>
      <c r="H218" s="7"/>
      <c r="I218" s="4"/>
    </row>
    <row r="219" spans="1:9" ht="21.75" customHeight="1">
      <c r="A219" s="1"/>
      <c r="B219" s="4"/>
      <c r="C219" s="1"/>
      <c r="D219" s="2"/>
      <c r="E219" s="3"/>
      <c r="F219" s="4"/>
      <c r="G219" s="1"/>
      <c r="H219" s="7"/>
      <c r="I219" s="4"/>
    </row>
    <row r="220" spans="1:9" ht="21.75" customHeight="1">
      <c r="A220" s="1"/>
      <c r="B220" s="4"/>
      <c r="C220" s="1"/>
      <c r="D220" s="2"/>
      <c r="E220" s="3"/>
      <c r="F220" s="4"/>
      <c r="G220" s="1"/>
      <c r="H220" s="7"/>
      <c r="I220" s="4"/>
    </row>
    <row r="221" spans="1:9" ht="21.75" customHeight="1">
      <c r="A221" s="1"/>
      <c r="B221" s="4"/>
      <c r="C221" s="1"/>
      <c r="D221" s="2"/>
      <c r="E221" s="3"/>
      <c r="F221" s="4"/>
      <c r="G221" s="1"/>
      <c r="H221" s="7"/>
      <c r="I221" s="4"/>
    </row>
    <row r="222" spans="1:9" ht="21.75" customHeight="1">
      <c r="A222" s="1"/>
      <c r="B222" s="4"/>
      <c r="C222" s="1"/>
      <c r="D222" s="2"/>
      <c r="E222" s="3"/>
      <c r="F222" s="4"/>
      <c r="G222" s="1"/>
      <c r="H222" s="7"/>
      <c r="I222" s="4"/>
    </row>
    <row r="223" spans="1:9" ht="21.75" customHeight="1">
      <c r="A223" s="1"/>
      <c r="B223" s="4"/>
      <c r="C223" s="1"/>
      <c r="D223" s="2"/>
      <c r="E223" s="3"/>
      <c r="F223" s="4"/>
      <c r="G223" s="1"/>
      <c r="H223" s="7"/>
      <c r="I223" s="4"/>
    </row>
    <row r="224" spans="1:9" ht="21.75" customHeight="1">
      <c r="A224" s="1"/>
      <c r="B224" s="4"/>
      <c r="C224" s="1"/>
      <c r="D224" s="2"/>
      <c r="E224" s="3"/>
      <c r="F224" s="4"/>
      <c r="G224" s="1"/>
      <c r="H224" s="7"/>
      <c r="I224" s="4"/>
    </row>
    <row r="225" spans="1:9" ht="21.75" customHeight="1">
      <c r="A225" s="1"/>
      <c r="B225" s="4"/>
      <c r="C225" s="1"/>
      <c r="D225" s="2"/>
      <c r="E225" s="3"/>
      <c r="F225" s="4"/>
      <c r="G225" s="1"/>
      <c r="H225" s="7"/>
      <c r="I225" s="4"/>
    </row>
    <row r="226" spans="1:9" ht="21.75" customHeight="1">
      <c r="A226" s="1"/>
      <c r="B226" s="4"/>
      <c r="C226" s="1"/>
      <c r="D226" s="2"/>
      <c r="E226" s="3"/>
      <c r="F226" s="4"/>
      <c r="G226" s="1"/>
      <c r="H226" s="7"/>
      <c r="I226" s="4"/>
    </row>
    <row r="227" spans="1:9" ht="21.75" customHeight="1">
      <c r="A227" s="1"/>
      <c r="B227" s="4"/>
      <c r="C227" s="1"/>
      <c r="D227" s="2"/>
      <c r="E227" s="3"/>
      <c r="F227" s="4"/>
      <c r="G227" s="1"/>
      <c r="H227" s="7"/>
      <c r="I227" s="4"/>
    </row>
    <row r="228" spans="1:9" ht="21.75" customHeight="1">
      <c r="A228" s="1"/>
      <c r="B228" s="4"/>
      <c r="C228" s="1"/>
      <c r="D228" s="2"/>
      <c r="E228" s="3"/>
      <c r="F228" s="4"/>
      <c r="G228" s="1"/>
      <c r="H228" s="7"/>
      <c r="I228" s="4"/>
    </row>
    <row r="229" spans="1:9" ht="21.75" customHeight="1">
      <c r="A229" s="1"/>
      <c r="B229" s="4"/>
      <c r="C229" s="1"/>
      <c r="D229" s="2"/>
      <c r="E229" s="3"/>
      <c r="F229" s="4"/>
      <c r="G229" s="1"/>
      <c r="H229" s="7"/>
      <c r="I229" s="4"/>
    </row>
    <row r="230" spans="1:9" ht="21.75" customHeight="1">
      <c r="A230" s="1"/>
      <c r="B230" s="4"/>
      <c r="C230" s="1"/>
      <c r="D230" s="2"/>
      <c r="E230" s="3"/>
      <c r="F230" s="4"/>
      <c r="G230" s="1"/>
      <c r="H230" s="7"/>
      <c r="I230" s="4"/>
    </row>
    <row r="231" spans="1:9" ht="21.75" customHeight="1">
      <c r="A231" s="1"/>
      <c r="B231" s="4"/>
      <c r="C231" s="1"/>
      <c r="D231" s="2"/>
      <c r="E231" s="3"/>
      <c r="F231" s="4"/>
      <c r="G231" s="1"/>
      <c r="H231" s="7"/>
      <c r="I231" s="4"/>
    </row>
    <row r="232" spans="1:9" ht="21.75" customHeight="1">
      <c r="A232" s="1"/>
      <c r="B232" s="4"/>
      <c r="C232" s="1"/>
      <c r="D232" s="2"/>
      <c r="E232" s="3"/>
      <c r="F232" s="4"/>
      <c r="G232" s="1"/>
      <c r="H232" s="7"/>
      <c r="I232" s="4"/>
    </row>
    <row r="233" spans="1:9" ht="21.75" customHeight="1">
      <c r="A233" s="1"/>
      <c r="B233" s="4"/>
      <c r="C233" s="1"/>
      <c r="D233" s="2"/>
      <c r="E233" s="3"/>
      <c r="F233" s="4"/>
      <c r="G233" s="1"/>
      <c r="H233" s="7"/>
      <c r="I233" s="4"/>
    </row>
    <row r="234" spans="1:9" ht="21.75" customHeight="1">
      <c r="A234" s="1"/>
      <c r="B234" s="4"/>
      <c r="C234" s="1"/>
      <c r="D234" s="2"/>
      <c r="E234" s="3"/>
      <c r="F234" s="4"/>
      <c r="G234" s="1"/>
      <c r="H234" s="7"/>
      <c r="I234" s="4"/>
    </row>
    <row r="235" spans="1:9" ht="21.75" customHeight="1">
      <c r="A235" s="1"/>
      <c r="B235" s="4"/>
      <c r="C235" s="1"/>
      <c r="D235" s="2"/>
      <c r="E235" s="3"/>
      <c r="F235" s="4"/>
      <c r="G235" s="1"/>
      <c r="H235" s="7"/>
      <c r="I235" s="4"/>
    </row>
    <row r="236" spans="1:9" ht="21.75" customHeight="1">
      <c r="A236" s="1"/>
      <c r="B236" s="4"/>
      <c r="C236" s="1"/>
      <c r="D236" s="2"/>
      <c r="E236" s="3"/>
      <c r="F236" s="4"/>
      <c r="G236" s="1"/>
      <c r="H236" s="7"/>
      <c r="I236" s="4"/>
    </row>
    <row r="237" spans="1:9" ht="21.75" customHeight="1">
      <c r="A237" s="1"/>
      <c r="B237" s="4"/>
      <c r="C237" s="1"/>
      <c r="D237" s="2"/>
      <c r="E237" s="3"/>
      <c r="F237" s="4"/>
      <c r="G237" s="1"/>
      <c r="H237" s="7"/>
      <c r="I237" s="4"/>
    </row>
    <row r="238" spans="1:9" ht="21.75" customHeight="1">
      <c r="A238" s="1"/>
      <c r="B238" s="4"/>
      <c r="C238" s="1"/>
      <c r="D238" s="2"/>
      <c r="E238" s="3"/>
      <c r="F238" s="4"/>
      <c r="G238" s="1"/>
      <c r="H238" s="7"/>
      <c r="I238" s="4"/>
    </row>
    <row r="239" spans="1:9" ht="21.75" customHeight="1">
      <c r="A239" s="1"/>
      <c r="B239" s="4"/>
      <c r="C239" s="1"/>
      <c r="D239" s="2"/>
      <c r="E239" s="3"/>
      <c r="F239" s="4"/>
      <c r="G239" s="1"/>
      <c r="H239" s="7"/>
      <c r="I239" s="4"/>
    </row>
    <row r="240" spans="1:9" ht="21.75" customHeight="1">
      <c r="A240" s="1"/>
      <c r="B240" s="4"/>
      <c r="C240" s="1"/>
      <c r="D240" s="2"/>
      <c r="E240" s="3"/>
      <c r="F240" s="4"/>
      <c r="G240" s="1"/>
      <c r="H240" s="7"/>
      <c r="I240" s="4"/>
    </row>
    <row r="241" spans="1:9" ht="21.75" customHeight="1">
      <c r="A241" s="1"/>
      <c r="B241" s="4"/>
      <c r="C241" s="1"/>
      <c r="D241" s="2"/>
      <c r="E241" s="3"/>
      <c r="F241" s="4"/>
      <c r="G241" s="1"/>
      <c r="H241" s="7"/>
      <c r="I241" s="4"/>
    </row>
    <row r="242" spans="1:9" ht="21.75" customHeight="1">
      <c r="A242" s="1"/>
      <c r="B242" s="4"/>
      <c r="C242" s="1"/>
      <c r="D242" s="2"/>
      <c r="E242" s="3"/>
      <c r="F242" s="4"/>
      <c r="G242" s="1"/>
      <c r="H242" s="7"/>
      <c r="I242" s="4"/>
    </row>
    <row r="243" spans="1:9" ht="21.75" customHeight="1">
      <c r="A243" s="1"/>
      <c r="B243" s="4"/>
      <c r="C243" s="1"/>
      <c r="D243" s="2"/>
      <c r="E243" s="3"/>
      <c r="F243" s="4"/>
      <c r="G243" s="1"/>
      <c r="H243" s="7"/>
      <c r="I243" s="4"/>
    </row>
    <row r="244" spans="1:9" ht="21.75" customHeight="1">
      <c r="A244" s="1"/>
      <c r="B244" s="4"/>
      <c r="C244" s="1"/>
      <c r="D244" s="2"/>
      <c r="E244" s="3"/>
      <c r="F244" s="4"/>
      <c r="G244" s="1"/>
      <c r="H244" s="7"/>
      <c r="I244" s="4"/>
    </row>
    <row r="245" spans="1:9" ht="21.75" customHeight="1">
      <c r="A245" s="1"/>
      <c r="B245" s="4"/>
      <c r="C245" s="1"/>
      <c r="D245" s="2"/>
      <c r="E245" s="3"/>
      <c r="F245" s="4"/>
      <c r="G245" s="1"/>
      <c r="H245" s="7"/>
      <c r="I245" s="4"/>
    </row>
    <row r="246" spans="1:9" ht="21.75" customHeight="1">
      <c r="A246" s="1"/>
      <c r="B246" s="4"/>
      <c r="C246" s="1"/>
      <c r="D246" s="2"/>
      <c r="E246" s="3"/>
      <c r="F246" s="4"/>
      <c r="G246" s="1"/>
      <c r="H246" s="7"/>
      <c r="I246" s="4"/>
    </row>
    <row r="247" spans="1:9" ht="21.75" customHeight="1">
      <c r="A247" s="1"/>
      <c r="B247" s="4"/>
      <c r="C247" s="1"/>
      <c r="D247" s="2"/>
      <c r="E247" s="3"/>
      <c r="F247" s="4"/>
      <c r="G247" s="1"/>
      <c r="H247" s="7"/>
      <c r="I247" s="4"/>
    </row>
    <row r="248" spans="1:9" ht="21.75" customHeight="1">
      <c r="A248" s="1"/>
      <c r="B248" s="4"/>
      <c r="C248" s="1"/>
      <c r="D248" s="2"/>
      <c r="E248" s="3"/>
      <c r="F248" s="4"/>
      <c r="G248" s="1"/>
      <c r="H248" s="7"/>
      <c r="I248" s="4"/>
    </row>
    <row r="249" spans="1:9" ht="21.75" customHeight="1">
      <c r="A249" s="1"/>
      <c r="B249" s="4"/>
      <c r="C249" s="1"/>
      <c r="D249" s="2"/>
      <c r="E249" s="3"/>
      <c r="F249" s="4"/>
      <c r="G249" s="1"/>
      <c r="H249" s="7"/>
      <c r="I249" s="4"/>
    </row>
    <row r="250" spans="1:9" ht="21.75" customHeight="1">
      <c r="A250" s="1"/>
      <c r="B250" s="4"/>
      <c r="C250" s="1"/>
      <c r="D250" s="2"/>
      <c r="E250" s="3"/>
      <c r="F250" s="4"/>
      <c r="G250" s="1"/>
      <c r="H250" s="7"/>
      <c r="I250" s="4"/>
    </row>
    <row r="251" spans="1:9" ht="21.75" customHeight="1">
      <c r="A251" s="1"/>
      <c r="B251" s="4"/>
      <c r="C251" s="1"/>
      <c r="D251" s="2"/>
      <c r="E251" s="3"/>
      <c r="F251" s="4"/>
      <c r="G251" s="1"/>
      <c r="H251" s="7"/>
      <c r="I251" s="4"/>
    </row>
    <row r="252" spans="1:9" ht="21.75" customHeight="1">
      <c r="A252" s="1"/>
      <c r="B252" s="4"/>
      <c r="C252" s="1"/>
      <c r="D252" s="2"/>
      <c r="E252" s="3"/>
      <c r="F252" s="4"/>
      <c r="G252" s="1"/>
      <c r="H252" s="7"/>
      <c r="I252" s="4"/>
    </row>
    <row r="253" spans="1:9" ht="21.75" customHeight="1">
      <c r="A253" s="1"/>
      <c r="B253" s="4"/>
      <c r="C253" s="1"/>
      <c r="D253" s="2"/>
      <c r="E253" s="3"/>
      <c r="F253" s="4"/>
      <c r="G253" s="1"/>
      <c r="H253" s="7"/>
      <c r="I253" s="4"/>
    </row>
    <row r="254" spans="1:9" ht="21.75" customHeight="1">
      <c r="A254" s="1"/>
      <c r="B254" s="4"/>
      <c r="C254" s="1"/>
      <c r="D254" s="2"/>
      <c r="E254" s="3"/>
      <c r="F254" s="4"/>
      <c r="G254" s="1"/>
      <c r="H254" s="7"/>
      <c r="I254" s="4"/>
    </row>
    <row r="255" spans="1:9" ht="21.75" customHeight="1">
      <c r="A255" s="1"/>
      <c r="B255" s="4"/>
      <c r="C255" s="1"/>
      <c r="D255" s="2"/>
      <c r="E255" s="3"/>
      <c r="F255" s="4"/>
      <c r="G255" s="1"/>
      <c r="H255" s="7"/>
      <c r="I255" s="4"/>
    </row>
    <row r="256" spans="1:9" ht="21.75" customHeight="1">
      <c r="A256" s="1"/>
      <c r="B256" s="4"/>
      <c r="C256" s="1"/>
      <c r="D256" s="2"/>
      <c r="E256" s="3"/>
      <c r="F256" s="4"/>
      <c r="G256" s="1"/>
      <c r="H256" s="7"/>
      <c r="I256" s="4"/>
    </row>
    <row r="257" spans="1:9" ht="21.75" customHeight="1">
      <c r="A257" s="1"/>
      <c r="B257" s="4"/>
      <c r="C257" s="1"/>
      <c r="D257" s="2"/>
      <c r="E257" s="3"/>
      <c r="F257" s="4"/>
      <c r="G257" s="1"/>
      <c r="H257" s="7"/>
      <c r="I257" s="4"/>
    </row>
    <row r="258" spans="1:9" ht="21.75" customHeight="1">
      <c r="A258" s="1"/>
      <c r="B258" s="4"/>
      <c r="C258" s="1"/>
      <c r="D258" s="2"/>
      <c r="E258" s="3"/>
      <c r="F258" s="4"/>
      <c r="G258" s="1"/>
      <c r="H258" s="7"/>
      <c r="I258" s="4"/>
    </row>
    <row r="259" spans="1:9" ht="21.75" customHeight="1">
      <c r="A259" s="1"/>
      <c r="B259" s="4"/>
      <c r="C259" s="1"/>
      <c r="D259" s="2"/>
      <c r="E259" s="3"/>
      <c r="F259" s="4"/>
      <c r="G259" s="1"/>
      <c r="H259" s="7"/>
      <c r="I259" s="4"/>
    </row>
    <row r="260" spans="1:9" ht="21.75" customHeight="1">
      <c r="A260" s="1"/>
      <c r="B260" s="4"/>
      <c r="C260" s="1"/>
      <c r="D260" s="2"/>
      <c r="E260" s="3"/>
      <c r="F260" s="4"/>
      <c r="G260" s="1"/>
      <c r="H260" s="7"/>
      <c r="I260" s="4"/>
    </row>
    <row r="261" spans="1:9" ht="21.75" customHeight="1">
      <c r="A261" s="1"/>
      <c r="B261" s="4"/>
      <c r="C261" s="1"/>
      <c r="D261" s="2"/>
      <c r="E261" s="3"/>
      <c r="F261" s="4"/>
      <c r="G261" s="1"/>
      <c r="H261" s="7"/>
      <c r="I261" s="4"/>
    </row>
    <row r="262" spans="1:9" ht="21.75" customHeight="1">
      <c r="A262" s="1"/>
      <c r="B262" s="4"/>
      <c r="C262" s="1"/>
      <c r="D262" s="2"/>
      <c r="E262" s="3"/>
      <c r="F262" s="4"/>
      <c r="G262" s="1"/>
      <c r="H262" s="7"/>
      <c r="I262" s="4"/>
    </row>
    <row r="263" spans="1:9" ht="21.75" customHeight="1">
      <c r="A263" s="1"/>
      <c r="B263" s="4"/>
      <c r="C263" s="1"/>
      <c r="D263" s="2"/>
      <c r="E263" s="3"/>
      <c r="F263" s="4"/>
      <c r="G263" s="1"/>
      <c r="H263" s="7"/>
      <c r="I263" s="4"/>
    </row>
    <row r="264" spans="1:9" ht="21.75" customHeight="1">
      <c r="A264" s="1"/>
      <c r="B264" s="4"/>
      <c r="C264" s="1"/>
      <c r="D264" s="2"/>
      <c r="E264" s="3"/>
      <c r="F264" s="4"/>
      <c r="G264" s="1"/>
      <c r="H264" s="7"/>
      <c r="I264" s="4"/>
    </row>
    <row r="265" spans="1:9" ht="21.75" customHeight="1">
      <c r="A265" s="1"/>
      <c r="B265" s="4"/>
      <c r="C265" s="1"/>
      <c r="D265" s="2"/>
      <c r="E265" s="3"/>
      <c r="F265" s="4"/>
      <c r="G265" s="1"/>
      <c r="H265" s="7"/>
      <c r="I265" s="4"/>
    </row>
    <row r="266" spans="1:9" ht="21.75" customHeight="1">
      <c r="A266" s="1"/>
      <c r="B266" s="4"/>
      <c r="C266" s="1"/>
      <c r="D266" s="2"/>
      <c r="E266" s="3"/>
      <c r="F266" s="4"/>
      <c r="G266" s="1"/>
      <c r="H266" s="7"/>
      <c r="I266" s="4"/>
    </row>
    <row r="267" spans="1:9" ht="21.75" customHeight="1">
      <c r="A267" s="1"/>
      <c r="B267" s="4"/>
      <c r="C267" s="1"/>
      <c r="D267" s="2"/>
      <c r="E267" s="3"/>
      <c r="F267" s="4"/>
      <c r="G267" s="1"/>
      <c r="H267" s="7"/>
      <c r="I267" s="4"/>
    </row>
    <row r="268" spans="1:9" ht="21.75" customHeight="1">
      <c r="A268" s="1"/>
      <c r="B268" s="4"/>
      <c r="C268" s="1"/>
      <c r="D268" s="2"/>
      <c r="E268" s="3"/>
      <c r="F268" s="4"/>
      <c r="G268" s="1"/>
      <c r="H268" s="7"/>
      <c r="I268" s="4"/>
    </row>
    <row r="269" spans="1:9" ht="21.75" customHeight="1">
      <c r="A269" s="1"/>
      <c r="B269" s="4"/>
      <c r="C269" s="1"/>
      <c r="D269" s="2"/>
      <c r="E269" s="3"/>
      <c r="F269" s="4"/>
      <c r="G269" s="1"/>
      <c r="H269" s="7"/>
      <c r="I269" s="4"/>
    </row>
    <row r="270" spans="1:9" ht="21.75" customHeight="1">
      <c r="A270" s="1"/>
      <c r="B270" s="4"/>
      <c r="C270" s="1"/>
      <c r="D270" s="2"/>
      <c r="E270" s="3"/>
      <c r="F270" s="4"/>
      <c r="G270" s="1"/>
      <c r="H270" s="7"/>
      <c r="I270" s="4"/>
    </row>
    <row r="271" spans="1:9" ht="21.75" customHeight="1">
      <c r="A271" s="1"/>
      <c r="B271" s="4"/>
      <c r="C271" s="1"/>
      <c r="D271" s="2"/>
      <c r="E271" s="3"/>
      <c r="F271" s="4"/>
      <c r="G271" s="1"/>
      <c r="H271" s="7"/>
      <c r="I271" s="4"/>
    </row>
    <row r="272" spans="1:9" ht="21.75" customHeight="1">
      <c r="A272" s="1"/>
      <c r="B272" s="4"/>
      <c r="C272" s="1"/>
      <c r="D272" s="2"/>
      <c r="E272" s="3"/>
      <c r="F272" s="4"/>
      <c r="G272" s="1"/>
      <c r="H272" s="7"/>
      <c r="I272" s="4"/>
    </row>
    <row r="273" spans="1:9" ht="21.75" customHeight="1">
      <c r="A273" s="1"/>
      <c r="B273" s="4"/>
      <c r="C273" s="1"/>
      <c r="D273" s="2"/>
      <c r="E273" s="3"/>
      <c r="F273" s="4"/>
      <c r="G273" s="1"/>
      <c r="H273" s="7"/>
      <c r="I273" s="4"/>
    </row>
    <row r="274" spans="1:9" ht="21.75" customHeight="1">
      <c r="A274" s="1"/>
      <c r="B274" s="4"/>
      <c r="C274" s="1"/>
      <c r="D274" s="2"/>
      <c r="E274" s="3"/>
      <c r="F274" s="4"/>
      <c r="G274" s="1"/>
      <c r="H274" s="7"/>
      <c r="I274" s="4"/>
    </row>
    <row r="275" spans="1:9" ht="21.75" customHeight="1">
      <c r="A275" s="1"/>
      <c r="B275" s="4"/>
      <c r="C275" s="1"/>
      <c r="D275" s="2"/>
      <c r="E275" s="3"/>
      <c r="F275" s="4"/>
      <c r="G275" s="1"/>
      <c r="H275" s="7"/>
      <c r="I275" s="4"/>
    </row>
    <row r="276" spans="1:9" ht="21.75" customHeight="1">
      <c r="A276" s="1"/>
      <c r="B276" s="4"/>
      <c r="C276" s="1"/>
      <c r="D276" s="2"/>
      <c r="E276" s="3"/>
      <c r="F276" s="4"/>
      <c r="G276" s="1"/>
      <c r="H276" s="7"/>
      <c r="I276" s="4"/>
    </row>
    <row r="277" spans="1:9" ht="21.75" customHeight="1">
      <c r="A277" s="1"/>
      <c r="B277" s="4"/>
      <c r="C277" s="1"/>
      <c r="D277" s="2"/>
      <c r="E277" s="3"/>
      <c r="F277" s="4"/>
      <c r="G277" s="1"/>
      <c r="H277" s="7"/>
      <c r="I277" s="4"/>
    </row>
    <row r="278" spans="1:9" ht="21.75" customHeight="1">
      <c r="A278" s="1"/>
      <c r="B278" s="4"/>
      <c r="C278" s="1"/>
      <c r="D278" s="2"/>
      <c r="E278" s="3"/>
      <c r="F278" s="4"/>
      <c r="G278" s="1"/>
      <c r="H278" s="7"/>
      <c r="I278" s="4"/>
    </row>
    <row r="279" spans="1:9" ht="21.75" customHeight="1">
      <c r="A279" s="1"/>
      <c r="B279" s="4"/>
      <c r="C279" s="1"/>
      <c r="D279" s="2"/>
      <c r="E279" s="3"/>
      <c r="F279" s="4"/>
      <c r="G279" s="1"/>
      <c r="H279" s="7"/>
      <c r="I279" s="4"/>
    </row>
    <row r="280" spans="1:9" ht="21.75" customHeight="1">
      <c r="A280" s="1"/>
      <c r="B280" s="4"/>
      <c r="C280" s="1"/>
      <c r="D280" s="2"/>
      <c r="E280" s="3"/>
      <c r="F280" s="4"/>
      <c r="G280" s="1"/>
      <c r="H280" s="7"/>
      <c r="I280" s="4"/>
    </row>
    <row r="281" spans="1:9" ht="21.75" customHeight="1">
      <c r="A281" s="1"/>
      <c r="B281" s="4"/>
      <c r="C281" s="1"/>
      <c r="D281" s="2"/>
      <c r="E281" s="3"/>
      <c r="F281" s="4"/>
      <c r="G281" s="1"/>
      <c r="H281" s="7"/>
      <c r="I281" s="4"/>
    </row>
    <row r="282" spans="1:9" ht="21.75" customHeight="1">
      <c r="A282" s="1"/>
      <c r="B282" s="4"/>
      <c r="C282" s="1"/>
      <c r="D282" s="2"/>
      <c r="E282" s="3"/>
      <c r="F282" s="4"/>
      <c r="G282" s="1"/>
      <c r="H282" s="7"/>
      <c r="I282" s="4"/>
    </row>
    <row r="283" spans="1:9" ht="21.75" customHeight="1">
      <c r="A283" s="1"/>
      <c r="B283" s="4"/>
      <c r="C283" s="1"/>
      <c r="D283" s="2"/>
      <c r="E283" s="3"/>
      <c r="F283" s="4"/>
      <c r="G283" s="1"/>
      <c r="H283" s="7"/>
      <c r="I283" s="4"/>
    </row>
    <row r="284" spans="1:9" ht="21.75" customHeight="1">
      <c r="A284" s="1"/>
      <c r="B284" s="4"/>
      <c r="C284" s="1"/>
      <c r="D284" s="2"/>
      <c r="E284" s="3"/>
      <c r="F284" s="4"/>
      <c r="G284" s="1"/>
      <c r="H284" s="7"/>
      <c r="I284" s="4"/>
    </row>
    <row r="285" spans="1:9" ht="21.75" customHeight="1">
      <c r="A285" s="1"/>
      <c r="B285" s="4"/>
      <c r="C285" s="1"/>
      <c r="D285" s="2"/>
      <c r="E285" s="3"/>
      <c r="F285" s="4"/>
      <c r="G285" s="1"/>
      <c r="H285" s="7"/>
      <c r="I285" s="4"/>
    </row>
    <row r="286" spans="1:9" ht="21.75" customHeight="1">
      <c r="A286" s="1"/>
      <c r="B286" s="4"/>
      <c r="C286" s="1"/>
      <c r="D286" s="2"/>
      <c r="E286" s="3"/>
      <c r="F286" s="4"/>
      <c r="G286" s="1"/>
      <c r="H286" s="7"/>
      <c r="I286" s="4"/>
    </row>
    <row r="287" spans="1:9" ht="21.75" customHeight="1">
      <c r="A287" s="1"/>
      <c r="B287" s="4"/>
      <c r="C287" s="1"/>
      <c r="D287" s="2"/>
      <c r="E287" s="3"/>
      <c r="F287" s="4"/>
      <c r="G287" s="1"/>
      <c r="H287" s="7"/>
      <c r="I287" s="4"/>
    </row>
    <row r="288" spans="1:9" ht="21.75" customHeight="1">
      <c r="A288" s="1"/>
      <c r="B288" s="4"/>
      <c r="C288" s="1"/>
      <c r="D288" s="2"/>
      <c r="E288" s="3"/>
      <c r="F288" s="4"/>
      <c r="G288" s="1"/>
      <c r="H288" s="7"/>
      <c r="I288" s="4"/>
    </row>
    <row r="289" spans="1:9" ht="21.75" customHeight="1">
      <c r="A289" s="1"/>
      <c r="B289" s="4"/>
      <c r="C289" s="1"/>
      <c r="D289" s="2"/>
      <c r="E289" s="3"/>
      <c r="F289" s="4"/>
      <c r="G289" s="1"/>
      <c r="H289" s="7"/>
      <c r="I289" s="4"/>
    </row>
    <row r="290" spans="1:9" ht="21.75" customHeight="1">
      <c r="A290" s="1"/>
      <c r="B290" s="4"/>
      <c r="C290" s="1"/>
      <c r="D290" s="2"/>
      <c r="E290" s="3"/>
      <c r="F290" s="4"/>
      <c r="G290" s="1"/>
      <c r="H290" s="7"/>
      <c r="I290" s="4"/>
    </row>
    <row r="291" spans="1:9" ht="21.75" customHeight="1">
      <c r="A291" s="1"/>
      <c r="B291" s="4"/>
      <c r="C291" s="1"/>
      <c r="D291" s="2"/>
      <c r="E291" s="3"/>
      <c r="F291" s="4"/>
      <c r="G291" s="1"/>
      <c r="H291" s="7"/>
      <c r="I291" s="4"/>
    </row>
    <row r="292" spans="1:9" ht="21.75" customHeight="1">
      <c r="A292" s="1"/>
      <c r="B292" s="4"/>
      <c r="C292" s="1"/>
      <c r="D292" s="2"/>
      <c r="E292" s="3"/>
      <c r="F292" s="4"/>
      <c r="G292" s="1"/>
      <c r="H292" s="7"/>
      <c r="I292" s="4"/>
    </row>
    <row r="293" spans="1:9" ht="21.75" customHeight="1">
      <c r="A293" s="1"/>
      <c r="B293" s="4"/>
      <c r="C293" s="1"/>
      <c r="D293" s="2"/>
      <c r="E293" s="3"/>
      <c r="F293" s="4"/>
      <c r="G293" s="1"/>
      <c r="H293" s="7"/>
      <c r="I293" s="4"/>
    </row>
    <row r="294" spans="1:9" ht="21.75" customHeight="1">
      <c r="A294" s="1"/>
      <c r="B294" s="4"/>
      <c r="C294" s="1"/>
      <c r="D294" s="2"/>
      <c r="E294" s="3"/>
      <c r="F294" s="4"/>
      <c r="G294" s="1"/>
      <c r="H294" s="7"/>
      <c r="I294" s="4"/>
    </row>
    <row r="295" spans="1:9" ht="21.75" customHeight="1">
      <c r="A295" s="1"/>
      <c r="B295" s="4"/>
      <c r="C295" s="1"/>
      <c r="D295" s="2"/>
      <c r="E295" s="3"/>
      <c r="F295" s="4"/>
      <c r="G295" s="1"/>
      <c r="H295" s="7"/>
      <c r="I295" s="4"/>
    </row>
    <row r="296" spans="1:9" ht="21.75" customHeight="1">
      <c r="A296" s="1"/>
      <c r="B296" s="4"/>
      <c r="C296" s="1"/>
      <c r="D296" s="2"/>
      <c r="E296" s="3"/>
      <c r="F296" s="4"/>
      <c r="G296" s="1"/>
      <c r="H296" s="7"/>
      <c r="I296" s="4"/>
    </row>
    <row r="297" spans="1:9" ht="21.75" customHeight="1">
      <c r="A297" s="1"/>
      <c r="B297" s="4"/>
      <c r="C297" s="1"/>
      <c r="D297" s="2"/>
      <c r="E297" s="3"/>
      <c r="F297" s="4"/>
      <c r="G297" s="1"/>
      <c r="H297" s="7"/>
      <c r="I297" s="4"/>
    </row>
    <row r="298" spans="1:9" ht="21.75" customHeight="1">
      <c r="A298" s="1"/>
      <c r="B298" s="4"/>
      <c r="C298" s="1"/>
      <c r="D298" s="2"/>
      <c r="E298" s="3"/>
      <c r="F298" s="4"/>
      <c r="G298" s="1"/>
      <c r="H298" s="7"/>
      <c r="I298" s="4"/>
    </row>
    <row r="299" spans="1:9" ht="21.75" customHeight="1">
      <c r="A299" s="1"/>
      <c r="B299" s="4"/>
      <c r="C299" s="1"/>
      <c r="D299" s="2"/>
      <c r="E299" s="3"/>
      <c r="F299" s="4"/>
      <c r="G299" s="1"/>
      <c r="H299" s="7"/>
      <c r="I299" s="4"/>
    </row>
    <row r="300" spans="1:9" ht="21.75" customHeight="1">
      <c r="A300" s="1"/>
      <c r="B300" s="4"/>
      <c r="C300" s="1"/>
      <c r="D300" s="2"/>
      <c r="E300" s="3"/>
      <c r="F300" s="4"/>
      <c r="G300" s="1"/>
      <c r="H300" s="7"/>
      <c r="I300" s="4"/>
    </row>
    <row r="301" spans="1:9" ht="21.75" customHeight="1">
      <c r="A301" s="1"/>
      <c r="B301" s="4"/>
      <c r="C301" s="1"/>
      <c r="D301" s="2"/>
      <c r="E301" s="3"/>
      <c r="F301" s="4"/>
      <c r="G301" s="1"/>
      <c r="H301" s="7"/>
      <c r="I301" s="4"/>
    </row>
    <row r="302" spans="1:9" ht="21.75" customHeight="1">
      <c r="A302" s="1"/>
      <c r="B302" s="4"/>
      <c r="C302" s="1"/>
      <c r="D302" s="2"/>
      <c r="E302" s="3"/>
      <c r="F302" s="4"/>
      <c r="G302" s="1"/>
      <c r="H302" s="7"/>
      <c r="I302" s="4"/>
    </row>
    <row r="303" spans="1:9" ht="21.75" customHeight="1">
      <c r="A303" s="1"/>
      <c r="B303" s="4"/>
      <c r="C303" s="1"/>
      <c r="D303" s="2"/>
      <c r="E303" s="3"/>
      <c r="F303" s="4"/>
      <c r="G303" s="1"/>
      <c r="H303" s="7"/>
      <c r="I303" s="4"/>
    </row>
    <row r="304" spans="1:9" ht="21.75" customHeight="1">
      <c r="A304" s="1"/>
      <c r="B304" s="4"/>
      <c r="C304" s="1"/>
      <c r="D304" s="2"/>
      <c r="E304" s="3"/>
      <c r="F304" s="4"/>
      <c r="G304" s="1"/>
      <c r="H304" s="7"/>
      <c r="I304" s="4"/>
    </row>
    <row r="305" spans="1:9" ht="21.75" customHeight="1">
      <c r="A305" s="1"/>
      <c r="B305" s="4"/>
      <c r="C305" s="1"/>
      <c r="D305" s="2"/>
      <c r="E305" s="3"/>
      <c r="F305" s="4"/>
      <c r="G305" s="1"/>
      <c r="H305" s="7"/>
      <c r="I305" s="4"/>
    </row>
    <row r="306" spans="1:9" ht="21.75" customHeight="1">
      <c r="A306" s="1"/>
      <c r="B306" s="4"/>
      <c r="C306" s="1"/>
      <c r="D306" s="2"/>
      <c r="E306" s="3"/>
      <c r="F306" s="4"/>
      <c r="G306" s="1"/>
      <c r="H306" s="7"/>
      <c r="I306" s="4"/>
    </row>
    <row r="307" spans="1:9" ht="21.75" customHeight="1">
      <c r="A307" s="1"/>
      <c r="B307" s="4"/>
      <c r="C307" s="1"/>
      <c r="D307" s="2"/>
      <c r="E307" s="3"/>
      <c r="F307" s="4"/>
      <c r="G307" s="1"/>
      <c r="H307" s="7"/>
      <c r="I307" s="4"/>
    </row>
    <row r="308" spans="1:9" ht="21.75" customHeight="1">
      <c r="A308" s="1"/>
      <c r="B308" s="4"/>
      <c r="C308" s="1"/>
      <c r="D308" s="2"/>
      <c r="E308" s="3"/>
      <c r="F308" s="4"/>
      <c r="G308" s="1"/>
      <c r="H308" s="7"/>
      <c r="I308" s="4"/>
    </row>
    <row r="309" spans="1:9" ht="21.75" customHeight="1">
      <c r="A309" s="1"/>
      <c r="B309" s="4"/>
      <c r="C309" s="1"/>
      <c r="D309" s="2"/>
      <c r="E309" s="3"/>
      <c r="F309" s="4"/>
      <c r="G309" s="1"/>
      <c r="H309" s="7"/>
      <c r="I309" s="4"/>
    </row>
    <row r="310" spans="1:9" ht="21.75" customHeight="1">
      <c r="A310" s="1"/>
      <c r="B310" s="4"/>
      <c r="C310" s="1"/>
      <c r="D310" s="2"/>
      <c r="E310" s="3"/>
      <c r="F310" s="4"/>
      <c r="G310" s="1"/>
      <c r="H310" s="7"/>
      <c r="I310" s="4"/>
    </row>
    <row r="311" spans="1:9" ht="21.75" customHeight="1">
      <c r="A311" s="1"/>
      <c r="B311" s="4"/>
      <c r="C311" s="1"/>
      <c r="D311" s="2"/>
      <c r="E311" s="3"/>
      <c r="F311" s="4"/>
      <c r="G311" s="1"/>
      <c r="H311" s="7"/>
      <c r="I311" s="4"/>
    </row>
    <row r="312" spans="1:9" ht="21.75" customHeight="1">
      <c r="A312" s="1"/>
      <c r="B312" s="4"/>
      <c r="C312" s="1"/>
      <c r="D312" s="2"/>
      <c r="E312" s="3"/>
      <c r="F312" s="4"/>
      <c r="G312" s="1"/>
      <c r="H312" s="7"/>
      <c r="I312" s="4"/>
    </row>
    <row r="313" spans="1:9" ht="21.75" customHeight="1">
      <c r="A313" s="1"/>
      <c r="B313" s="4"/>
      <c r="C313" s="1"/>
      <c r="D313" s="2"/>
      <c r="E313" s="3"/>
      <c r="F313" s="4"/>
      <c r="G313" s="1"/>
      <c r="H313" s="7"/>
      <c r="I313" s="4"/>
    </row>
    <row r="314" spans="1:9" ht="21.75" customHeight="1">
      <c r="A314" s="1"/>
      <c r="B314" s="4"/>
      <c r="C314" s="1"/>
      <c r="D314" s="2"/>
      <c r="E314" s="3"/>
      <c r="F314" s="4"/>
      <c r="G314" s="1"/>
      <c r="H314" s="7"/>
      <c r="I314" s="4"/>
    </row>
    <row r="315" spans="1:9" ht="21.75" customHeight="1">
      <c r="A315" s="1"/>
      <c r="B315" s="4"/>
      <c r="C315" s="1"/>
      <c r="D315" s="2"/>
      <c r="E315" s="3"/>
      <c r="F315" s="4"/>
      <c r="G315" s="1"/>
      <c r="H315" s="7"/>
      <c r="I315" s="4"/>
    </row>
    <row r="316" spans="1:9" ht="21.75" customHeight="1">
      <c r="A316" s="1"/>
      <c r="B316" s="4"/>
      <c r="C316" s="1"/>
      <c r="D316" s="2"/>
      <c r="E316" s="3"/>
      <c r="F316" s="4"/>
      <c r="G316" s="1"/>
      <c r="H316" s="7"/>
      <c r="I316" s="4"/>
    </row>
    <row r="317" spans="1:9" ht="21.75" customHeight="1">
      <c r="A317" s="1"/>
      <c r="B317" s="4"/>
      <c r="C317" s="1"/>
      <c r="D317" s="2"/>
      <c r="E317" s="3"/>
      <c r="F317" s="4"/>
      <c r="G317" s="1"/>
      <c r="H317" s="7"/>
      <c r="I317" s="4"/>
    </row>
    <row r="318" spans="1:9" ht="21.75" customHeight="1">
      <c r="A318" s="1"/>
      <c r="B318" s="4"/>
      <c r="C318" s="1"/>
      <c r="D318" s="2"/>
      <c r="E318" s="3"/>
      <c r="F318" s="4"/>
      <c r="G318" s="1"/>
      <c r="H318" s="7"/>
      <c r="I318" s="4"/>
    </row>
    <row r="319" spans="1:9" ht="21.75" customHeight="1">
      <c r="A319" s="1"/>
      <c r="B319" s="4"/>
      <c r="C319" s="1"/>
      <c r="D319" s="2"/>
      <c r="E319" s="3"/>
      <c r="F319" s="4"/>
      <c r="G319" s="1"/>
      <c r="H319" s="7"/>
      <c r="I319" s="4"/>
    </row>
    <row r="320" spans="1:9" ht="21.75" customHeight="1">
      <c r="A320" s="1"/>
      <c r="B320" s="4"/>
      <c r="C320" s="1"/>
      <c r="D320" s="2"/>
      <c r="E320" s="3"/>
      <c r="F320" s="4"/>
      <c r="G320" s="1"/>
      <c r="H320" s="7"/>
      <c r="I320" s="4"/>
    </row>
    <row r="321" spans="1:9" ht="21.75" customHeight="1">
      <c r="A321" s="1"/>
      <c r="B321" s="4"/>
      <c r="C321" s="1"/>
      <c r="D321" s="2"/>
      <c r="E321" s="3"/>
      <c r="F321" s="4"/>
      <c r="G321" s="1"/>
      <c r="H321" s="7"/>
      <c r="I321" s="4"/>
    </row>
    <row r="322" spans="1:9" ht="21.75" customHeight="1">
      <c r="A322" s="1"/>
      <c r="B322" s="4"/>
      <c r="C322" s="1"/>
      <c r="D322" s="2"/>
      <c r="E322" s="3"/>
      <c r="F322" s="4"/>
      <c r="G322" s="1"/>
      <c r="H322" s="7"/>
      <c r="I322" s="4"/>
    </row>
    <row r="323" spans="1:9" ht="21.75" customHeight="1">
      <c r="A323" s="1"/>
      <c r="B323" s="4"/>
      <c r="C323" s="1"/>
      <c r="D323" s="2"/>
      <c r="E323" s="3"/>
      <c r="F323" s="4"/>
      <c r="G323" s="1"/>
      <c r="H323" s="7"/>
      <c r="I323" s="4"/>
    </row>
    <row r="324" spans="1:9" ht="21.75" customHeight="1">
      <c r="A324" s="1"/>
      <c r="B324" s="4"/>
      <c r="C324" s="1"/>
      <c r="D324" s="2"/>
      <c r="E324" s="3"/>
      <c r="F324" s="4"/>
      <c r="G324" s="1"/>
      <c r="H324" s="7"/>
      <c r="I324" s="4"/>
    </row>
    <row r="325" spans="1:9" ht="21.75" customHeight="1">
      <c r="A325" s="1"/>
      <c r="B325" s="4"/>
      <c r="C325" s="1"/>
      <c r="D325" s="2"/>
      <c r="E325" s="3"/>
      <c r="F325" s="4"/>
      <c r="G325" s="1"/>
      <c r="H325" s="7"/>
      <c r="I325" s="4"/>
    </row>
    <row r="326" spans="1:9" ht="21.75" customHeight="1">
      <c r="A326" s="1"/>
      <c r="B326" s="4"/>
      <c r="C326" s="1"/>
      <c r="D326" s="2"/>
      <c r="E326" s="3"/>
      <c r="F326" s="4"/>
      <c r="G326" s="1"/>
      <c r="H326" s="7"/>
      <c r="I326" s="4"/>
    </row>
    <row r="327" spans="1:9" ht="21.75" customHeight="1">
      <c r="A327" s="1"/>
      <c r="B327" s="4"/>
      <c r="C327" s="1"/>
      <c r="D327" s="2"/>
      <c r="E327" s="3"/>
      <c r="F327" s="4"/>
      <c r="G327" s="1"/>
      <c r="H327" s="7"/>
      <c r="I327" s="4"/>
    </row>
    <row r="328" spans="1:9" ht="21.75" customHeight="1">
      <c r="A328" s="1"/>
      <c r="B328" s="4"/>
      <c r="C328" s="1"/>
      <c r="D328" s="2"/>
      <c r="E328" s="3"/>
      <c r="F328" s="4"/>
      <c r="G328" s="1"/>
      <c r="H328" s="7"/>
      <c r="I328" s="4"/>
    </row>
    <row r="329" spans="1:9" ht="21.75" customHeight="1">
      <c r="A329" s="1"/>
      <c r="B329" s="4"/>
      <c r="C329" s="1"/>
      <c r="D329" s="2"/>
      <c r="E329" s="3"/>
      <c r="F329" s="4"/>
      <c r="G329" s="1"/>
      <c r="H329" s="7"/>
      <c r="I329" s="4"/>
    </row>
    <row r="330" spans="1:9" ht="21.75" customHeight="1">
      <c r="A330" s="1"/>
      <c r="B330" s="4"/>
      <c r="C330" s="1"/>
      <c r="D330" s="2"/>
      <c r="E330" s="3"/>
      <c r="F330" s="4"/>
      <c r="G330" s="1"/>
      <c r="H330" s="7"/>
      <c r="I330" s="4"/>
    </row>
    <row r="331" spans="1:9" ht="21.75" customHeight="1">
      <c r="A331" s="1"/>
      <c r="B331" s="4"/>
      <c r="C331" s="1"/>
      <c r="D331" s="2"/>
      <c r="E331" s="3"/>
      <c r="F331" s="4"/>
      <c r="G331" s="1"/>
      <c r="H331" s="7"/>
      <c r="I331" s="4"/>
    </row>
    <row r="332" spans="1:9" ht="21.75" customHeight="1">
      <c r="A332" s="1"/>
      <c r="B332" s="4"/>
      <c r="C332" s="1"/>
      <c r="D332" s="2"/>
      <c r="E332" s="3"/>
      <c r="F332" s="4"/>
      <c r="G332" s="1"/>
      <c r="H332" s="7"/>
      <c r="I332" s="4"/>
    </row>
    <row r="333" spans="1:9" ht="21.75" customHeight="1">
      <c r="A333" s="1"/>
      <c r="B333" s="4"/>
      <c r="C333" s="1"/>
      <c r="D333" s="2"/>
      <c r="E333" s="3"/>
      <c r="F333" s="4"/>
      <c r="G333" s="1"/>
      <c r="H333" s="7"/>
      <c r="I333" s="4"/>
    </row>
    <row r="334" spans="1:9" ht="21.75" customHeight="1">
      <c r="A334" s="1"/>
      <c r="B334" s="4"/>
      <c r="C334" s="1"/>
      <c r="D334" s="2"/>
      <c r="E334" s="3"/>
      <c r="F334" s="4"/>
      <c r="G334" s="1"/>
      <c r="H334" s="7"/>
      <c r="I334" s="4"/>
    </row>
    <row r="335" spans="1:9" ht="21.75" customHeight="1">
      <c r="A335" s="1"/>
      <c r="B335" s="4"/>
      <c r="C335" s="1"/>
      <c r="D335" s="2"/>
      <c r="E335" s="3"/>
      <c r="F335" s="4"/>
      <c r="G335" s="1"/>
      <c r="H335" s="7"/>
      <c r="I335" s="4"/>
    </row>
    <row r="336" spans="1:9" ht="21.75" customHeight="1">
      <c r="A336" s="1"/>
      <c r="B336" s="4"/>
      <c r="C336" s="1"/>
      <c r="D336" s="2"/>
      <c r="E336" s="3"/>
      <c r="F336" s="4"/>
      <c r="G336" s="1"/>
      <c r="H336" s="7"/>
      <c r="I336" s="4"/>
    </row>
    <row r="337" spans="1:9" ht="21.75" customHeight="1">
      <c r="A337" s="1"/>
      <c r="B337" s="4"/>
      <c r="C337" s="1"/>
      <c r="D337" s="2"/>
      <c r="E337" s="3"/>
      <c r="F337" s="4"/>
      <c r="G337" s="1"/>
      <c r="H337" s="7"/>
      <c r="I337" s="4"/>
    </row>
    <row r="338" spans="1:9" ht="21.75" customHeight="1">
      <c r="A338" s="1"/>
      <c r="B338" s="4"/>
      <c r="C338" s="1"/>
      <c r="D338" s="2"/>
      <c r="E338" s="3"/>
      <c r="F338" s="4"/>
      <c r="G338" s="1"/>
      <c r="H338" s="7"/>
      <c r="I338" s="4"/>
    </row>
    <row r="339" spans="1:9" ht="21.75" customHeight="1">
      <c r="A339" s="1"/>
      <c r="B339" s="4"/>
      <c r="C339" s="1"/>
      <c r="D339" s="2"/>
      <c r="E339" s="3"/>
      <c r="F339" s="4"/>
      <c r="G339" s="1"/>
      <c r="H339" s="7"/>
      <c r="I339" s="4"/>
    </row>
    <row r="340" spans="1:9" ht="21.75" customHeight="1">
      <c r="A340" s="1"/>
      <c r="B340" s="4"/>
      <c r="C340" s="1"/>
      <c r="D340" s="2"/>
      <c r="E340" s="3"/>
      <c r="F340" s="4"/>
      <c r="G340" s="1"/>
      <c r="H340" s="7"/>
      <c r="I340" s="4"/>
    </row>
    <row r="341" spans="1:9" ht="21.75" customHeight="1">
      <c r="A341" s="1"/>
      <c r="B341" s="4"/>
      <c r="C341" s="1"/>
      <c r="D341" s="2"/>
      <c r="E341" s="3"/>
      <c r="F341" s="4"/>
      <c r="G341" s="1"/>
      <c r="H341" s="7"/>
      <c r="I341" s="4"/>
    </row>
    <row r="342" spans="1:9" ht="21.75" customHeight="1">
      <c r="A342" s="1"/>
      <c r="B342" s="4"/>
      <c r="C342" s="1"/>
      <c r="D342" s="2"/>
      <c r="E342" s="3"/>
      <c r="F342" s="4"/>
      <c r="G342" s="1"/>
      <c r="H342" s="7"/>
      <c r="I342" s="4"/>
    </row>
    <row r="343" spans="1:9" ht="21.75" customHeight="1">
      <c r="A343" s="1"/>
      <c r="B343" s="4"/>
      <c r="C343" s="1"/>
      <c r="D343" s="2"/>
      <c r="E343" s="3"/>
      <c r="F343" s="4"/>
      <c r="G343" s="1"/>
      <c r="H343" s="7"/>
      <c r="I343" s="4"/>
    </row>
    <row r="344" spans="1:9" ht="21.75" customHeight="1">
      <c r="A344" s="1"/>
      <c r="B344" s="4"/>
      <c r="C344" s="1"/>
      <c r="D344" s="2"/>
      <c r="E344" s="3"/>
      <c r="F344" s="4"/>
      <c r="G344" s="1"/>
      <c r="H344" s="7"/>
      <c r="I344" s="4"/>
    </row>
    <row r="345" spans="1:9" ht="21.75" customHeight="1">
      <c r="A345" s="1"/>
      <c r="B345" s="4"/>
      <c r="C345" s="1"/>
      <c r="D345" s="2"/>
      <c r="E345" s="3"/>
      <c r="F345" s="4"/>
      <c r="G345" s="1"/>
      <c r="H345" s="7"/>
      <c r="I345" s="4"/>
    </row>
    <row r="346" spans="1:9" ht="21.75" customHeight="1">
      <c r="A346" s="1"/>
      <c r="B346" s="4"/>
      <c r="C346" s="1"/>
      <c r="D346" s="2"/>
      <c r="E346" s="3"/>
      <c r="F346" s="4"/>
      <c r="G346" s="1"/>
      <c r="H346" s="7"/>
      <c r="I346" s="4"/>
    </row>
    <row r="347" spans="1:9" ht="21.75" customHeight="1">
      <c r="A347" s="1"/>
      <c r="B347" s="4"/>
      <c r="C347" s="1"/>
      <c r="D347" s="2"/>
      <c r="E347" s="3"/>
      <c r="F347" s="4"/>
      <c r="G347" s="1"/>
      <c r="H347" s="7"/>
      <c r="I347" s="4"/>
    </row>
    <row r="348" spans="1:9" ht="21.75" customHeight="1">
      <c r="A348" s="1"/>
      <c r="B348" s="4"/>
      <c r="C348" s="1"/>
      <c r="D348" s="2"/>
      <c r="E348" s="3"/>
      <c r="F348" s="4"/>
      <c r="G348" s="1"/>
      <c r="H348" s="7"/>
      <c r="I348" s="4"/>
    </row>
    <row r="349" spans="1:9" ht="21.75" customHeight="1">
      <c r="A349" s="1"/>
      <c r="B349" s="4"/>
      <c r="C349" s="1"/>
      <c r="D349" s="2"/>
      <c r="E349" s="3"/>
      <c r="F349" s="4"/>
      <c r="G349" s="1"/>
      <c r="H349" s="7"/>
      <c r="I349" s="4"/>
    </row>
    <row r="350" spans="1:9" ht="21.75" customHeight="1">
      <c r="A350" s="1"/>
      <c r="B350" s="4"/>
      <c r="C350" s="1"/>
      <c r="D350" s="2"/>
      <c r="E350" s="3"/>
      <c r="F350" s="4"/>
      <c r="G350" s="1"/>
      <c r="H350" s="7"/>
      <c r="I350" s="4"/>
    </row>
    <row r="351" spans="1:9" ht="21.75" customHeight="1">
      <c r="A351" s="1"/>
      <c r="B351" s="4"/>
      <c r="C351" s="1"/>
      <c r="D351" s="2"/>
      <c r="E351" s="3"/>
      <c r="F351" s="4"/>
      <c r="G351" s="1"/>
      <c r="H351" s="7"/>
      <c r="I351" s="4"/>
    </row>
    <row r="352" spans="1:9" ht="21.75" customHeight="1">
      <c r="A352" s="1"/>
      <c r="B352" s="4"/>
      <c r="C352" s="1"/>
      <c r="D352" s="2"/>
      <c r="E352" s="3"/>
      <c r="F352" s="4"/>
      <c r="G352" s="1"/>
      <c r="H352" s="7"/>
      <c r="I352" s="4"/>
    </row>
    <row r="353" spans="1:9" ht="21.75" customHeight="1">
      <c r="A353" s="1"/>
      <c r="B353" s="4"/>
      <c r="C353" s="1"/>
      <c r="D353" s="2"/>
      <c r="E353" s="3"/>
      <c r="F353" s="4"/>
      <c r="G353" s="1"/>
      <c r="H353" s="7"/>
      <c r="I353" s="4"/>
    </row>
    <row r="354" spans="1:9" ht="21.75" customHeight="1">
      <c r="A354" s="1"/>
      <c r="B354" s="4"/>
      <c r="C354" s="1"/>
      <c r="D354" s="2"/>
      <c r="E354" s="3"/>
      <c r="F354" s="4"/>
      <c r="G354" s="1"/>
      <c r="H354" s="7"/>
      <c r="I354" s="4"/>
    </row>
    <row r="355" spans="1:9" ht="21.75" customHeight="1">
      <c r="A355" s="1"/>
      <c r="B355" s="4"/>
      <c r="C355" s="1"/>
      <c r="D355" s="2"/>
      <c r="E355" s="3"/>
      <c r="F355" s="4"/>
      <c r="G355" s="1"/>
      <c r="H355" s="7"/>
      <c r="I355" s="4"/>
    </row>
    <row r="356" spans="1:9" ht="21.75" customHeight="1">
      <c r="A356" s="1"/>
      <c r="B356" s="4"/>
      <c r="C356" s="1"/>
      <c r="D356" s="2"/>
      <c r="E356" s="3"/>
      <c r="F356" s="4"/>
      <c r="G356" s="1"/>
      <c r="H356" s="7"/>
      <c r="I356" s="4"/>
    </row>
    <row r="357" spans="1:9" ht="21.75" customHeight="1">
      <c r="A357" s="1"/>
      <c r="B357" s="4"/>
      <c r="C357" s="1"/>
      <c r="D357" s="2"/>
      <c r="E357" s="3"/>
      <c r="F357" s="4"/>
      <c r="G357" s="1"/>
      <c r="H357" s="7"/>
      <c r="I357" s="4"/>
    </row>
    <row r="358" spans="1:9" ht="21.75" customHeight="1">
      <c r="A358" s="1"/>
      <c r="B358" s="4"/>
      <c r="C358" s="1"/>
      <c r="D358" s="2"/>
      <c r="E358" s="3"/>
      <c r="F358" s="4"/>
      <c r="G358" s="1"/>
      <c r="H358" s="7"/>
      <c r="I358" s="4"/>
    </row>
    <row r="359" spans="1:9" ht="21.75" customHeight="1">
      <c r="A359" s="1"/>
      <c r="B359" s="4"/>
      <c r="C359" s="1"/>
      <c r="D359" s="2"/>
      <c r="E359" s="3"/>
      <c r="F359" s="4"/>
      <c r="G359" s="1"/>
      <c r="H359" s="7"/>
      <c r="I359" s="4"/>
    </row>
    <row r="360" spans="1:9" ht="21.75" customHeight="1">
      <c r="A360" s="1"/>
      <c r="B360" s="4"/>
      <c r="C360" s="1"/>
      <c r="D360" s="2"/>
      <c r="E360" s="3"/>
      <c r="F360" s="4"/>
      <c r="G360" s="1"/>
      <c r="H360" s="7"/>
      <c r="I360" s="4"/>
    </row>
    <row r="361" spans="1:9" ht="21.75" customHeight="1">
      <c r="A361" s="1"/>
      <c r="B361" s="4"/>
      <c r="C361" s="1"/>
      <c r="D361" s="2"/>
      <c r="E361" s="3"/>
      <c r="F361" s="4"/>
      <c r="G361" s="1"/>
      <c r="H361" s="7"/>
      <c r="I361" s="4"/>
    </row>
    <row r="362" spans="1:9" ht="21.75" customHeight="1">
      <c r="A362" s="1"/>
      <c r="B362" s="4"/>
      <c r="C362" s="1"/>
      <c r="D362" s="2"/>
      <c r="E362" s="3"/>
      <c r="F362" s="4"/>
      <c r="G362" s="1"/>
      <c r="H362" s="7"/>
      <c r="I362" s="4"/>
    </row>
    <row r="363" spans="1:9" ht="21.75" customHeight="1">
      <c r="A363" s="1"/>
      <c r="B363" s="4"/>
      <c r="C363" s="1"/>
      <c r="D363" s="2"/>
      <c r="E363" s="3"/>
      <c r="F363" s="4"/>
      <c r="G363" s="1"/>
      <c r="H363" s="7"/>
      <c r="I363" s="4"/>
    </row>
    <row r="364" spans="1:9" ht="21.75" customHeight="1">
      <c r="A364" s="1"/>
      <c r="B364" s="4"/>
      <c r="C364" s="1"/>
      <c r="D364" s="2"/>
      <c r="E364" s="3"/>
      <c r="F364" s="4"/>
      <c r="G364" s="1"/>
      <c r="H364" s="7"/>
      <c r="I364" s="4"/>
    </row>
    <row r="365" spans="1:9" ht="21.75" customHeight="1">
      <c r="A365" s="1"/>
      <c r="B365" s="4"/>
      <c r="C365" s="1"/>
      <c r="D365" s="2"/>
      <c r="E365" s="3"/>
      <c r="F365" s="4"/>
      <c r="G365" s="1"/>
      <c r="H365" s="7"/>
      <c r="I365" s="4"/>
    </row>
    <row r="366" spans="1:9" ht="21.75" customHeight="1">
      <c r="A366" s="1"/>
      <c r="B366" s="4"/>
      <c r="C366" s="1"/>
      <c r="D366" s="2"/>
      <c r="E366" s="3"/>
      <c r="F366" s="4"/>
      <c r="G366" s="1"/>
      <c r="H366" s="7"/>
      <c r="I366" s="4"/>
    </row>
    <row r="367" spans="1:9" ht="21.75" customHeight="1">
      <c r="A367" s="1"/>
      <c r="B367" s="4"/>
      <c r="C367" s="1"/>
      <c r="D367" s="2"/>
      <c r="E367" s="3"/>
      <c r="F367" s="4"/>
      <c r="G367" s="1"/>
      <c r="H367" s="7"/>
      <c r="I367" s="4"/>
    </row>
    <row r="368" spans="1:9" ht="21.75" customHeight="1">
      <c r="A368" s="1"/>
      <c r="B368" s="4"/>
      <c r="C368" s="1"/>
      <c r="D368" s="2"/>
      <c r="E368" s="3"/>
      <c r="F368" s="4"/>
      <c r="G368" s="1"/>
      <c r="H368" s="7"/>
      <c r="I368" s="4"/>
    </row>
    <row r="369" spans="1:9" ht="21.75" customHeight="1">
      <c r="A369" s="1"/>
      <c r="B369" s="4"/>
      <c r="C369" s="1"/>
      <c r="D369" s="2"/>
      <c r="E369" s="3"/>
      <c r="F369" s="4"/>
      <c r="G369" s="1"/>
      <c r="H369" s="7"/>
      <c r="I369" s="4"/>
    </row>
    <row r="370" spans="1:9" ht="21.75" customHeight="1">
      <c r="A370" s="1"/>
      <c r="B370" s="4"/>
      <c r="C370" s="1"/>
      <c r="D370" s="2"/>
      <c r="E370" s="3"/>
      <c r="F370" s="4"/>
      <c r="G370" s="1"/>
      <c r="H370" s="7"/>
      <c r="I370" s="4"/>
    </row>
    <row r="371" spans="1:9" ht="21.75" customHeight="1">
      <c r="A371" s="1"/>
      <c r="B371" s="4"/>
      <c r="C371" s="1"/>
      <c r="D371" s="2"/>
      <c r="E371" s="3"/>
      <c r="F371" s="4"/>
      <c r="G371" s="1"/>
      <c r="H371" s="7"/>
      <c r="I371" s="4"/>
    </row>
    <row r="372" spans="1:9" ht="21.75" customHeight="1">
      <c r="A372" s="1"/>
      <c r="B372" s="4"/>
      <c r="C372" s="1"/>
      <c r="D372" s="2"/>
      <c r="E372" s="3"/>
      <c r="F372" s="4"/>
      <c r="G372" s="1"/>
      <c r="H372" s="7"/>
      <c r="I372" s="4"/>
    </row>
    <row r="373" spans="1:9" ht="21.75" customHeight="1">
      <c r="A373" s="1"/>
      <c r="B373" s="4"/>
      <c r="C373" s="1"/>
      <c r="D373" s="2"/>
      <c r="E373" s="3"/>
      <c r="F373" s="4"/>
      <c r="G373" s="1"/>
      <c r="H373" s="7"/>
      <c r="I373" s="4"/>
    </row>
    <row r="374" spans="1:9" ht="21.75" customHeight="1">
      <c r="A374" s="1"/>
      <c r="B374" s="4"/>
      <c r="C374" s="1"/>
      <c r="D374" s="2"/>
      <c r="E374" s="3"/>
      <c r="F374" s="4"/>
      <c r="G374" s="1"/>
      <c r="H374" s="7"/>
      <c r="I374" s="4"/>
    </row>
    <row r="375" spans="1:9" ht="21.75" customHeight="1">
      <c r="A375" s="1"/>
      <c r="B375" s="4"/>
      <c r="C375" s="1"/>
      <c r="D375" s="2"/>
      <c r="E375" s="3"/>
      <c r="F375" s="4"/>
      <c r="G375" s="1"/>
      <c r="H375" s="7"/>
      <c r="I375" s="4"/>
    </row>
    <row r="376" spans="1:9" ht="21.75" customHeight="1">
      <c r="A376" s="1"/>
      <c r="B376" s="4"/>
      <c r="C376" s="1"/>
      <c r="D376" s="2"/>
      <c r="E376" s="3"/>
      <c r="F376" s="4"/>
      <c r="G376" s="1"/>
      <c r="H376" s="7"/>
      <c r="I376" s="4"/>
    </row>
    <row r="377" spans="1:9" ht="21.75" customHeight="1">
      <c r="A377" s="1"/>
      <c r="B377" s="4"/>
      <c r="C377" s="1"/>
      <c r="D377" s="2"/>
      <c r="E377" s="3"/>
      <c r="F377" s="4"/>
      <c r="G377" s="1"/>
      <c r="H377" s="7"/>
      <c r="I377" s="4"/>
    </row>
    <row r="378" spans="1:9" ht="21.75" customHeight="1">
      <c r="A378" s="1"/>
      <c r="B378" s="4"/>
      <c r="C378" s="1"/>
      <c r="D378" s="2"/>
      <c r="E378" s="3"/>
      <c r="F378" s="4"/>
      <c r="G378" s="1"/>
      <c r="H378" s="7"/>
      <c r="I378" s="4"/>
    </row>
    <row r="379" spans="1:9" ht="21.75" customHeight="1">
      <c r="A379" s="1"/>
      <c r="B379" s="4"/>
      <c r="C379" s="1"/>
      <c r="D379" s="2"/>
      <c r="E379" s="3"/>
      <c r="F379" s="4"/>
      <c r="G379" s="1"/>
      <c r="H379" s="7"/>
      <c r="I379" s="4"/>
    </row>
    <row r="380" spans="1:9" ht="21.75" customHeight="1">
      <c r="A380" s="1"/>
      <c r="B380" s="4"/>
      <c r="C380" s="1"/>
      <c r="D380" s="2"/>
      <c r="E380" s="3"/>
      <c r="F380" s="4"/>
      <c r="G380" s="1"/>
      <c r="H380" s="7"/>
      <c r="I380" s="4"/>
    </row>
    <row r="381" spans="1:9" ht="21.75" customHeight="1">
      <c r="A381" s="1"/>
      <c r="B381" s="4"/>
      <c r="C381" s="1"/>
      <c r="D381" s="2"/>
      <c r="E381" s="3"/>
      <c r="F381" s="4"/>
      <c r="G381" s="1"/>
      <c r="H381" s="7"/>
      <c r="I381" s="4"/>
    </row>
    <row r="382" spans="1:9" ht="21.75" customHeight="1">
      <c r="A382" s="1"/>
      <c r="B382" s="4"/>
      <c r="C382" s="1"/>
      <c r="D382" s="2"/>
      <c r="E382" s="3"/>
      <c r="F382" s="4"/>
      <c r="G382" s="1"/>
      <c r="H382" s="7"/>
      <c r="I382" s="4"/>
    </row>
    <row r="383" spans="1:9" ht="21.75" customHeight="1">
      <c r="A383" s="1"/>
      <c r="B383" s="4"/>
      <c r="C383" s="1"/>
      <c r="D383" s="2"/>
      <c r="E383" s="3"/>
      <c r="F383" s="4"/>
      <c r="G383" s="1"/>
      <c r="H383" s="7"/>
      <c r="I383" s="4"/>
    </row>
    <row r="384" spans="1:9" ht="21.75" customHeight="1">
      <c r="A384" s="1"/>
      <c r="B384" s="4"/>
      <c r="C384" s="1"/>
      <c r="D384" s="2"/>
      <c r="E384" s="3"/>
      <c r="F384" s="4"/>
      <c r="G384" s="1"/>
      <c r="H384" s="7"/>
      <c r="I384" s="4"/>
    </row>
    <row r="385" spans="1:9" ht="21.75" customHeight="1">
      <c r="A385" s="1"/>
      <c r="B385" s="4"/>
      <c r="C385" s="1"/>
      <c r="D385" s="2"/>
      <c r="E385" s="3"/>
      <c r="F385" s="4"/>
      <c r="G385" s="1"/>
      <c r="H385" s="7"/>
      <c r="I385" s="4"/>
    </row>
    <row r="386" spans="1:9" ht="21.75" customHeight="1">
      <c r="A386" s="1"/>
      <c r="B386" s="4"/>
      <c r="C386" s="1"/>
      <c r="D386" s="2"/>
      <c r="E386" s="3"/>
      <c r="F386" s="4"/>
      <c r="G386" s="1"/>
      <c r="H386" s="7"/>
      <c r="I386" s="4"/>
    </row>
    <row r="387" spans="1:9" ht="21.75" customHeight="1">
      <c r="A387" s="1"/>
      <c r="B387" s="4"/>
      <c r="C387" s="1"/>
      <c r="D387" s="2"/>
      <c r="E387" s="3"/>
      <c r="F387" s="4"/>
      <c r="G387" s="1"/>
      <c r="H387" s="7"/>
      <c r="I387" s="4"/>
    </row>
    <row r="388" spans="1:9" ht="21.75" customHeight="1">
      <c r="A388" s="1"/>
      <c r="B388" s="4"/>
      <c r="C388" s="1"/>
      <c r="D388" s="2"/>
      <c r="E388" s="3"/>
      <c r="F388" s="4"/>
      <c r="G388" s="1"/>
      <c r="H388" s="7"/>
      <c r="I388" s="4"/>
    </row>
    <row r="389" spans="1:9" ht="21.75" customHeight="1">
      <c r="A389" s="1"/>
      <c r="B389" s="4"/>
      <c r="C389" s="1"/>
      <c r="D389" s="2"/>
      <c r="E389" s="3"/>
      <c r="F389" s="4"/>
      <c r="G389" s="1"/>
      <c r="H389" s="7"/>
      <c r="I389" s="4"/>
    </row>
    <row r="390" spans="1:9" ht="21.75" customHeight="1">
      <c r="A390" s="1"/>
      <c r="B390" s="4"/>
      <c r="C390" s="1"/>
      <c r="D390" s="2"/>
      <c r="E390" s="3"/>
      <c r="F390" s="4"/>
      <c r="G390" s="1"/>
      <c r="H390" s="7"/>
      <c r="I390" s="4"/>
    </row>
    <row r="391" spans="1:9" ht="21.75" customHeight="1">
      <c r="A391" s="1"/>
      <c r="B391" s="4"/>
      <c r="C391" s="1"/>
      <c r="D391" s="2"/>
      <c r="E391" s="3"/>
      <c r="F391" s="4"/>
      <c r="G391" s="1"/>
      <c r="H391" s="7"/>
      <c r="I391" s="4"/>
    </row>
    <row r="392" spans="1:9" ht="21.75" customHeight="1">
      <c r="A392" s="1"/>
      <c r="B392" s="4"/>
      <c r="C392" s="1"/>
      <c r="D392" s="2"/>
      <c r="E392" s="3"/>
      <c r="F392" s="4"/>
      <c r="G392" s="1"/>
      <c r="H392" s="7"/>
      <c r="I392" s="4"/>
    </row>
    <row r="393" spans="1:9" ht="21.75" customHeight="1">
      <c r="A393" s="1"/>
      <c r="B393" s="4"/>
      <c r="C393" s="1"/>
      <c r="D393" s="2"/>
      <c r="E393" s="3"/>
      <c r="F393" s="4"/>
      <c r="G393" s="1"/>
      <c r="H393" s="7"/>
      <c r="I393" s="4"/>
    </row>
    <row r="394" spans="1:9" ht="21.75" customHeight="1">
      <c r="A394" s="1"/>
      <c r="B394" s="4"/>
      <c r="C394" s="1"/>
      <c r="D394" s="2"/>
      <c r="E394" s="3"/>
      <c r="F394" s="4"/>
      <c r="G394" s="1"/>
      <c r="H394" s="7"/>
      <c r="I394" s="4"/>
    </row>
    <row r="395" spans="1:9" ht="21.75" customHeight="1">
      <c r="A395" s="1"/>
      <c r="B395" s="4"/>
      <c r="C395" s="1"/>
      <c r="D395" s="2"/>
      <c r="E395" s="3"/>
      <c r="F395" s="4"/>
      <c r="G395" s="1"/>
      <c r="H395" s="7"/>
      <c r="I395" s="4"/>
    </row>
    <row r="396" spans="1:9" ht="21.75" customHeight="1">
      <c r="A396" s="1"/>
      <c r="B396" s="4"/>
      <c r="C396" s="1"/>
      <c r="D396" s="2"/>
      <c r="E396" s="3"/>
      <c r="F396" s="4"/>
      <c r="G396" s="1"/>
      <c r="H396" s="7"/>
      <c r="I396" s="4"/>
    </row>
    <row r="397" spans="1:9" ht="21.75" customHeight="1">
      <c r="A397" s="1"/>
      <c r="B397" s="4"/>
      <c r="C397" s="1"/>
      <c r="D397" s="2"/>
      <c r="E397" s="3"/>
      <c r="F397" s="4"/>
      <c r="G397" s="1"/>
      <c r="H397" s="7"/>
      <c r="I397" s="4"/>
    </row>
    <row r="398" spans="1:9" ht="21.75" customHeight="1">
      <c r="A398" s="1"/>
      <c r="B398" s="4"/>
      <c r="C398" s="1"/>
      <c r="D398" s="2"/>
      <c r="E398" s="3"/>
      <c r="F398" s="4"/>
      <c r="G398" s="1"/>
      <c r="H398" s="7"/>
      <c r="I398" s="4"/>
    </row>
    <row r="399" spans="1:9" ht="21.75" customHeight="1">
      <c r="A399" s="1"/>
      <c r="B399" s="4"/>
      <c r="C399" s="1"/>
      <c r="D399" s="2"/>
      <c r="E399" s="3"/>
      <c r="F399" s="4"/>
      <c r="G399" s="1"/>
      <c r="H399" s="7"/>
      <c r="I399" s="4"/>
    </row>
    <row r="400" spans="1:9" ht="21.75" customHeight="1">
      <c r="A400" s="1"/>
      <c r="B400" s="4"/>
      <c r="C400" s="1"/>
      <c r="D400" s="2"/>
      <c r="E400" s="3"/>
      <c r="F400" s="4"/>
      <c r="G400" s="1"/>
      <c r="H400" s="7"/>
      <c r="I400" s="4"/>
    </row>
    <row r="401" spans="1:9" ht="21.75" customHeight="1">
      <c r="A401" s="1"/>
      <c r="B401" s="4"/>
      <c r="C401" s="1"/>
      <c r="D401" s="2"/>
      <c r="E401" s="3"/>
      <c r="F401" s="4"/>
      <c r="G401" s="1"/>
      <c r="H401" s="7"/>
      <c r="I401" s="4"/>
    </row>
    <row r="402" spans="1:9" ht="21.75" customHeight="1">
      <c r="A402" s="1"/>
      <c r="B402" s="4"/>
      <c r="C402" s="1"/>
      <c r="D402" s="2"/>
      <c r="E402" s="3"/>
      <c r="F402" s="4"/>
      <c r="G402" s="1"/>
      <c r="H402" s="7"/>
      <c r="I402" s="4"/>
    </row>
    <row r="403" spans="1:9" ht="21.75" customHeight="1">
      <c r="A403" s="1"/>
      <c r="B403" s="4"/>
      <c r="C403" s="1"/>
      <c r="D403" s="2"/>
      <c r="E403" s="3"/>
      <c r="F403" s="4"/>
      <c r="G403" s="1"/>
      <c r="H403" s="7"/>
      <c r="I403" s="4"/>
    </row>
    <row r="404" spans="1:9" ht="21.75" customHeight="1">
      <c r="A404" s="1"/>
      <c r="B404" s="4"/>
      <c r="C404" s="1"/>
      <c r="D404" s="2"/>
      <c r="E404" s="3"/>
      <c r="F404" s="4"/>
      <c r="G404" s="1"/>
      <c r="H404" s="7"/>
      <c r="I404" s="4"/>
    </row>
    <row r="405" spans="1:9" ht="21.75" customHeight="1">
      <c r="A405" s="1"/>
      <c r="B405" s="4"/>
      <c r="C405" s="1"/>
      <c r="D405" s="2"/>
      <c r="E405" s="3"/>
      <c r="F405" s="4"/>
      <c r="G405" s="1"/>
      <c r="H405" s="7"/>
      <c r="I405" s="4"/>
    </row>
    <row r="406" spans="1:9" ht="21.75" customHeight="1">
      <c r="A406" s="1"/>
      <c r="B406" s="4"/>
      <c r="C406" s="1"/>
      <c r="D406" s="2"/>
      <c r="E406" s="3"/>
      <c r="F406" s="4"/>
      <c r="G406" s="1"/>
      <c r="H406" s="7"/>
      <c r="I406" s="4"/>
    </row>
    <row r="407" spans="1:9" ht="21.75" customHeight="1">
      <c r="A407" s="1"/>
      <c r="B407" s="4"/>
      <c r="C407" s="1"/>
      <c r="D407" s="2"/>
      <c r="E407" s="3"/>
      <c r="F407" s="4"/>
      <c r="G407" s="1"/>
      <c r="H407" s="7"/>
      <c r="I407" s="4"/>
    </row>
    <row r="408" spans="1:9" ht="21.75" customHeight="1">
      <c r="A408" s="1"/>
      <c r="B408" s="4"/>
      <c r="C408" s="1"/>
      <c r="D408" s="2"/>
      <c r="E408" s="3"/>
      <c r="F408" s="4"/>
      <c r="G408" s="1"/>
      <c r="H408" s="7"/>
      <c r="I408" s="4"/>
    </row>
    <row r="409" spans="1:9" ht="21.75" customHeight="1">
      <c r="A409" s="1"/>
      <c r="B409" s="4"/>
      <c r="C409" s="1"/>
      <c r="D409" s="2"/>
      <c r="E409" s="3"/>
      <c r="F409" s="4"/>
      <c r="G409" s="1"/>
      <c r="H409" s="7"/>
      <c r="I409" s="4"/>
    </row>
    <row r="410" spans="1:9" ht="21.75" customHeight="1">
      <c r="A410" s="1"/>
      <c r="B410" s="4"/>
      <c r="C410" s="1"/>
      <c r="D410" s="2"/>
      <c r="E410" s="3"/>
      <c r="F410" s="4"/>
      <c r="G410" s="1"/>
      <c r="H410" s="7"/>
      <c r="I410" s="4"/>
    </row>
    <row r="411" spans="1:9" ht="21.75" customHeight="1">
      <c r="A411" s="1"/>
      <c r="B411" s="4"/>
      <c r="C411" s="1"/>
      <c r="D411" s="2"/>
      <c r="E411" s="3"/>
      <c r="F411" s="4"/>
      <c r="G411" s="1"/>
      <c r="H411" s="7"/>
      <c r="I411" s="4"/>
    </row>
    <row r="412" spans="1:9" ht="21.75" customHeight="1">
      <c r="A412" s="1"/>
      <c r="B412" s="4"/>
      <c r="C412" s="1"/>
      <c r="D412" s="2"/>
      <c r="E412" s="3"/>
      <c r="F412" s="4"/>
      <c r="G412" s="1"/>
      <c r="H412" s="7"/>
      <c r="I412" s="4"/>
    </row>
    <row r="413" spans="1:9" ht="21.75" customHeight="1">
      <c r="A413" s="1"/>
      <c r="B413" s="4"/>
      <c r="C413" s="1"/>
      <c r="D413" s="2"/>
      <c r="E413" s="3"/>
      <c r="F413" s="4"/>
      <c r="G413" s="1"/>
      <c r="H413" s="7"/>
      <c r="I413" s="4"/>
    </row>
    <row r="414" spans="1:9" ht="21.75" customHeight="1">
      <c r="A414" s="1"/>
      <c r="B414" s="4"/>
      <c r="C414" s="1"/>
      <c r="D414" s="2"/>
      <c r="E414" s="3"/>
      <c r="F414" s="4"/>
      <c r="G414" s="1"/>
      <c r="H414" s="7"/>
      <c r="I414" s="4"/>
    </row>
    <row r="415" spans="1:9" ht="21.75" customHeight="1">
      <c r="A415" s="1"/>
      <c r="B415" s="4"/>
      <c r="C415" s="1"/>
      <c r="D415" s="2"/>
      <c r="E415" s="3"/>
      <c r="F415" s="4"/>
      <c r="G415" s="1"/>
      <c r="H415" s="7"/>
      <c r="I415" s="4"/>
    </row>
    <row r="416" spans="1:9" ht="21.75" customHeight="1">
      <c r="A416" s="1"/>
      <c r="B416" s="4"/>
      <c r="C416" s="1"/>
      <c r="D416" s="2"/>
      <c r="E416" s="3"/>
      <c r="F416" s="4"/>
      <c r="G416" s="1"/>
      <c r="H416" s="7"/>
      <c r="I416" s="4"/>
    </row>
    <row r="417" spans="1:9" ht="21.75" customHeight="1">
      <c r="A417" s="1"/>
      <c r="B417" s="4"/>
      <c r="C417" s="1"/>
      <c r="D417" s="2"/>
      <c r="E417" s="3"/>
      <c r="F417" s="4"/>
      <c r="G417" s="1"/>
      <c r="H417" s="7"/>
      <c r="I417" s="4"/>
    </row>
    <row r="418" spans="1:9" ht="21.75" customHeight="1">
      <c r="A418" s="1"/>
      <c r="B418" s="4"/>
      <c r="C418" s="1"/>
      <c r="D418" s="2"/>
      <c r="E418" s="3"/>
      <c r="F418" s="4"/>
      <c r="G418" s="1"/>
      <c r="H418" s="7"/>
      <c r="I418" s="4"/>
    </row>
    <row r="419" spans="1:9" ht="21.75" customHeight="1">
      <c r="A419" s="1"/>
      <c r="B419" s="4"/>
      <c r="C419" s="1"/>
      <c r="D419" s="2"/>
      <c r="E419" s="3"/>
      <c r="F419" s="4"/>
      <c r="G419" s="1"/>
      <c r="H419" s="7"/>
      <c r="I419" s="4"/>
    </row>
    <row r="420" spans="1:9" ht="21.75" customHeight="1">
      <c r="A420" s="1"/>
      <c r="B420" s="4"/>
      <c r="C420" s="1"/>
      <c r="D420" s="2"/>
      <c r="E420" s="3"/>
      <c r="F420" s="4"/>
      <c r="G420" s="1"/>
      <c r="H420" s="7"/>
      <c r="I420" s="4"/>
    </row>
    <row r="421" spans="1:9" ht="21.75" customHeight="1">
      <c r="A421" s="1"/>
      <c r="B421" s="4"/>
      <c r="C421" s="1"/>
      <c r="D421" s="2"/>
      <c r="E421" s="3"/>
      <c r="F421" s="4"/>
      <c r="G421" s="1"/>
      <c r="H421" s="7"/>
      <c r="I421" s="4"/>
    </row>
    <row r="422" spans="1:9" ht="21.75" customHeight="1">
      <c r="A422" s="1"/>
      <c r="B422" s="4"/>
      <c r="C422" s="1"/>
      <c r="D422" s="2"/>
      <c r="E422" s="3"/>
      <c r="F422" s="4"/>
      <c r="G422" s="1"/>
      <c r="H422" s="7"/>
      <c r="I422" s="4"/>
    </row>
    <row r="423" spans="1:9" ht="21.75" customHeight="1">
      <c r="A423" s="1"/>
      <c r="B423" s="4"/>
      <c r="C423" s="1"/>
      <c r="D423" s="2"/>
      <c r="E423" s="3"/>
      <c r="F423" s="4"/>
      <c r="G423" s="1"/>
      <c r="H423" s="7"/>
      <c r="I423" s="4"/>
    </row>
    <row r="424" spans="1:9" ht="21.75" customHeight="1">
      <c r="A424" s="1"/>
      <c r="B424" s="4"/>
      <c r="C424" s="1"/>
      <c r="D424" s="2"/>
      <c r="E424" s="3"/>
      <c r="F424" s="4"/>
      <c r="G424" s="1"/>
      <c r="H424" s="7"/>
      <c r="I424" s="4"/>
    </row>
    <row r="425" spans="1:9" ht="21.75" customHeight="1">
      <c r="A425" s="1"/>
      <c r="B425" s="4"/>
      <c r="C425" s="1"/>
      <c r="D425" s="2"/>
      <c r="E425" s="3"/>
      <c r="F425" s="4"/>
      <c r="G425" s="1"/>
      <c r="H425" s="7"/>
      <c r="I425" s="4"/>
    </row>
    <row r="426" spans="1:9" ht="21.75" customHeight="1">
      <c r="A426" s="1"/>
      <c r="B426" s="4"/>
      <c r="C426" s="1"/>
      <c r="D426" s="2"/>
      <c r="E426" s="3"/>
      <c r="F426" s="4"/>
      <c r="G426" s="1"/>
      <c r="H426" s="7"/>
      <c r="I426" s="4"/>
    </row>
    <row r="427" spans="1:9" ht="21.75" customHeight="1">
      <c r="A427" s="1"/>
      <c r="B427" s="4"/>
      <c r="C427" s="1"/>
      <c r="D427" s="2"/>
      <c r="E427" s="3"/>
      <c r="F427" s="4"/>
      <c r="G427" s="1"/>
      <c r="H427" s="7"/>
      <c r="I427" s="4"/>
    </row>
    <row r="428" spans="1:9" ht="21.75" customHeight="1">
      <c r="A428" s="1"/>
      <c r="B428" s="4"/>
      <c r="C428" s="1"/>
      <c r="D428" s="2"/>
      <c r="E428" s="3"/>
      <c r="F428" s="4"/>
      <c r="G428" s="1"/>
      <c r="H428" s="7"/>
      <c r="I428" s="4"/>
    </row>
    <row r="429" spans="1:9" ht="21.75" customHeight="1">
      <c r="A429" s="1"/>
      <c r="B429" s="4"/>
      <c r="C429" s="1"/>
      <c r="D429" s="2"/>
      <c r="E429" s="3"/>
      <c r="F429" s="4"/>
      <c r="G429" s="1"/>
      <c r="H429" s="7"/>
      <c r="I429" s="4"/>
    </row>
    <row r="430" spans="1:9" ht="21.75" customHeight="1">
      <c r="A430" s="1"/>
      <c r="B430" s="4"/>
      <c r="C430" s="1"/>
      <c r="D430" s="2"/>
      <c r="E430" s="3"/>
      <c r="F430" s="4"/>
      <c r="G430" s="1"/>
      <c r="H430" s="7"/>
      <c r="I430" s="4"/>
    </row>
    <row r="431" spans="1:9" ht="21.75" customHeight="1">
      <c r="A431" s="1"/>
      <c r="B431" s="4"/>
      <c r="C431" s="1"/>
      <c r="D431" s="2"/>
      <c r="E431" s="3"/>
      <c r="F431" s="4"/>
      <c r="G431" s="1"/>
      <c r="H431" s="7"/>
      <c r="I431" s="4"/>
    </row>
    <row r="432" spans="1:9" ht="21.75" customHeight="1">
      <c r="A432" s="1"/>
      <c r="B432" s="4"/>
      <c r="C432" s="1"/>
      <c r="D432" s="2"/>
      <c r="E432" s="3"/>
      <c r="F432" s="4"/>
      <c r="G432" s="1"/>
      <c r="H432" s="7"/>
      <c r="I432" s="4"/>
    </row>
    <row r="433" spans="1:9" ht="21.75" customHeight="1">
      <c r="A433" s="1"/>
      <c r="B433" s="4"/>
      <c r="C433" s="1"/>
      <c r="D433" s="2"/>
      <c r="E433" s="3"/>
      <c r="F433" s="4"/>
      <c r="G433" s="1"/>
      <c r="H433" s="7"/>
      <c r="I433" s="4"/>
    </row>
    <row r="434" spans="1:9" ht="21.75" customHeight="1">
      <c r="A434" s="1"/>
      <c r="B434" s="4"/>
      <c r="C434" s="1"/>
      <c r="D434" s="2"/>
      <c r="E434" s="3"/>
      <c r="F434" s="4"/>
      <c r="G434" s="1"/>
      <c r="H434" s="7"/>
      <c r="I434" s="4"/>
    </row>
    <row r="435" spans="1:9" ht="21.75" customHeight="1">
      <c r="A435" s="1"/>
      <c r="B435" s="4"/>
      <c r="C435" s="1"/>
      <c r="D435" s="2"/>
      <c r="E435" s="3"/>
      <c r="F435" s="4"/>
      <c r="G435" s="1"/>
      <c r="H435" s="7"/>
      <c r="I435" s="4"/>
    </row>
    <row r="436" spans="1:9" ht="21.75" customHeight="1">
      <c r="A436" s="1"/>
      <c r="B436" s="4"/>
      <c r="C436" s="1"/>
      <c r="D436" s="2"/>
      <c r="E436" s="3"/>
      <c r="F436" s="4"/>
      <c r="G436" s="1"/>
      <c r="H436" s="7"/>
      <c r="I436" s="4"/>
    </row>
    <row r="437" spans="1:9" ht="21.75" customHeight="1">
      <c r="A437" s="1"/>
      <c r="B437" s="4"/>
      <c r="C437" s="1"/>
      <c r="D437" s="2"/>
      <c r="E437" s="3"/>
      <c r="F437" s="4"/>
      <c r="G437" s="1"/>
      <c r="H437" s="7"/>
      <c r="I437" s="4"/>
    </row>
    <row r="438" spans="1:9" ht="21.75" customHeight="1">
      <c r="A438" s="1"/>
      <c r="B438" s="4"/>
      <c r="C438" s="1"/>
      <c r="D438" s="2"/>
      <c r="E438" s="3"/>
      <c r="F438" s="4"/>
      <c r="G438" s="1"/>
      <c r="H438" s="7"/>
      <c r="I438" s="4"/>
    </row>
    <row r="439" spans="1:9" ht="21.75" customHeight="1">
      <c r="A439" s="1"/>
      <c r="B439" s="4"/>
      <c r="C439" s="1"/>
      <c r="D439" s="2"/>
      <c r="E439" s="3"/>
      <c r="F439" s="4"/>
      <c r="G439" s="1"/>
      <c r="H439" s="7"/>
      <c r="I439" s="4"/>
    </row>
    <row r="440" spans="1:9" ht="21.75" customHeight="1">
      <c r="A440" s="1"/>
      <c r="B440" s="4"/>
      <c r="C440" s="1"/>
      <c r="D440" s="2"/>
      <c r="E440" s="3"/>
      <c r="F440" s="4"/>
      <c r="G440" s="1"/>
      <c r="H440" s="7"/>
      <c r="I440" s="4"/>
    </row>
    <row r="441" spans="1:9" ht="21.75" customHeight="1">
      <c r="A441" s="1"/>
      <c r="B441" s="4"/>
      <c r="C441" s="1"/>
      <c r="D441" s="2"/>
      <c r="E441" s="3"/>
      <c r="F441" s="4"/>
      <c r="G441" s="1"/>
      <c r="H441" s="7"/>
      <c r="I441" s="4"/>
    </row>
    <row r="442" spans="1:9" ht="21.75" customHeight="1">
      <c r="A442" s="1"/>
      <c r="B442" s="4"/>
      <c r="C442" s="1"/>
      <c r="D442" s="2"/>
      <c r="E442" s="3"/>
      <c r="F442" s="4"/>
      <c r="G442" s="1"/>
      <c r="H442" s="7"/>
      <c r="I442" s="4"/>
    </row>
    <row r="443" spans="1:9" ht="21.75" customHeight="1">
      <c r="A443" s="1"/>
      <c r="B443" s="4"/>
      <c r="C443" s="1"/>
      <c r="D443" s="2"/>
      <c r="E443" s="3"/>
      <c r="F443" s="4"/>
      <c r="G443" s="1"/>
      <c r="H443" s="7"/>
      <c r="I443" s="4"/>
    </row>
    <row r="444" spans="1:9" ht="21.75" customHeight="1">
      <c r="A444" s="1"/>
      <c r="B444" s="4"/>
      <c r="C444" s="1"/>
      <c r="D444" s="2"/>
      <c r="E444" s="3"/>
      <c r="F444" s="4"/>
      <c r="G444" s="1"/>
      <c r="H444" s="7"/>
      <c r="I444" s="4"/>
    </row>
    <row r="445" spans="1:9" ht="21.75" customHeight="1">
      <c r="A445" s="1"/>
      <c r="B445" s="4"/>
      <c r="C445" s="1"/>
      <c r="D445" s="2"/>
      <c r="E445" s="3"/>
      <c r="F445" s="4"/>
      <c r="G445" s="1"/>
      <c r="H445" s="7"/>
      <c r="I445" s="4"/>
    </row>
    <row r="446" spans="1:9" ht="21.75" customHeight="1">
      <c r="A446" s="1"/>
      <c r="B446" s="4"/>
      <c r="C446" s="1"/>
      <c r="D446" s="2"/>
      <c r="E446" s="3"/>
      <c r="F446" s="4"/>
      <c r="G446" s="1"/>
      <c r="H446" s="7"/>
      <c r="I446" s="4"/>
    </row>
    <row r="447" spans="1:9" ht="21.75" customHeight="1">
      <c r="A447" s="1"/>
      <c r="B447" s="4"/>
      <c r="C447" s="1"/>
      <c r="D447" s="2"/>
      <c r="E447" s="3"/>
      <c r="F447" s="4"/>
      <c r="G447" s="1"/>
      <c r="H447" s="7"/>
      <c r="I447" s="4"/>
    </row>
    <row r="448" spans="1:9" ht="21.75" customHeight="1">
      <c r="A448" s="1"/>
      <c r="B448" s="4"/>
      <c r="C448" s="1"/>
      <c r="D448" s="2"/>
      <c r="E448" s="3"/>
      <c r="F448" s="4"/>
      <c r="G448" s="1"/>
      <c r="H448" s="7"/>
      <c r="I448" s="4"/>
    </row>
    <row r="449" spans="1:9" ht="21.75" customHeight="1">
      <c r="A449" s="1"/>
      <c r="B449" s="4"/>
      <c r="C449" s="1"/>
      <c r="D449" s="2"/>
      <c r="E449" s="3"/>
      <c r="F449" s="4"/>
      <c r="G449" s="1"/>
      <c r="H449" s="7"/>
      <c r="I449" s="4"/>
    </row>
    <row r="450" spans="1:9" ht="21.75" customHeight="1">
      <c r="A450" s="1"/>
      <c r="B450" s="4"/>
      <c r="C450" s="1"/>
      <c r="D450" s="2"/>
      <c r="E450" s="3"/>
      <c r="F450" s="4"/>
      <c r="G450" s="1"/>
      <c r="H450" s="7"/>
      <c r="I450" s="4"/>
    </row>
    <row r="451" spans="1:9" ht="21.75" customHeight="1">
      <c r="A451" s="1"/>
      <c r="B451" s="4"/>
      <c r="C451" s="1"/>
      <c r="D451" s="2"/>
      <c r="E451" s="3"/>
      <c r="F451" s="4"/>
      <c r="G451" s="1"/>
      <c r="H451" s="7"/>
      <c r="I451" s="4"/>
    </row>
    <row r="452" spans="1:9" ht="21.75" customHeight="1">
      <c r="A452" s="1"/>
      <c r="B452" s="4"/>
      <c r="C452" s="1"/>
      <c r="D452" s="2"/>
      <c r="E452" s="3"/>
      <c r="F452" s="4"/>
      <c r="G452" s="1"/>
      <c r="H452" s="7"/>
      <c r="I452" s="4"/>
    </row>
    <row r="453" spans="1:9" ht="21.75" customHeight="1">
      <c r="A453" s="1"/>
      <c r="B453" s="4"/>
      <c r="C453" s="1"/>
      <c r="D453" s="2"/>
      <c r="E453" s="3"/>
      <c r="F453" s="4"/>
      <c r="G453" s="1"/>
      <c r="H453" s="7"/>
      <c r="I453" s="4"/>
    </row>
    <row r="454" spans="1:9" ht="21.75" customHeight="1">
      <c r="A454" s="1"/>
      <c r="B454" s="4"/>
      <c r="C454" s="1"/>
      <c r="D454" s="2"/>
      <c r="E454" s="3"/>
      <c r="F454" s="4"/>
      <c r="G454" s="1"/>
      <c r="H454" s="7"/>
      <c r="I454" s="4"/>
    </row>
    <row r="455" spans="1:9" ht="21.75" customHeight="1">
      <c r="A455" s="1"/>
      <c r="B455" s="4"/>
      <c r="C455" s="1"/>
      <c r="D455" s="2"/>
      <c r="E455" s="3"/>
      <c r="F455" s="4"/>
      <c r="G455" s="1"/>
      <c r="H455" s="7"/>
      <c r="I455" s="4"/>
    </row>
    <row r="456" spans="1:9" ht="21.75" customHeight="1">
      <c r="A456" s="1"/>
      <c r="B456" s="4"/>
      <c r="C456" s="1"/>
      <c r="D456" s="2"/>
      <c r="E456" s="3"/>
      <c r="F456" s="4"/>
      <c r="G456" s="1"/>
      <c r="H456" s="7"/>
      <c r="I456" s="4"/>
    </row>
    <row r="457" spans="1:9" ht="21.75" customHeight="1">
      <c r="A457" s="1"/>
      <c r="B457" s="4"/>
      <c r="C457" s="1"/>
      <c r="D457" s="2"/>
      <c r="E457" s="3"/>
      <c r="F457" s="4"/>
      <c r="G457" s="1"/>
      <c r="H457" s="7"/>
      <c r="I457" s="4"/>
    </row>
    <row r="458" spans="1:9" ht="21.75" customHeight="1">
      <c r="A458" s="1"/>
      <c r="B458" s="4"/>
      <c r="C458" s="1"/>
      <c r="D458" s="2"/>
      <c r="E458" s="3"/>
      <c r="F458" s="4"/>
      <c r="G458" s="1"/>
      <c r="H458" s="7"/>
      <c r="I458" s="4"/>
    </row>
    <row r="459" spans="1:9" ht="21.75" customHeight="1">
      <c r="A459" s="1"/>
      <c r="B459" s="4"/>
      <c r="C459" s="1"/>
      <c r="D459" s="2"/>
      <c r="E459" s="3"/>
      <c r="F459" s="4"/>
      <c r="G459" s="1"/>
      <c r="H459" s="7"/>
      <c r="I459" s="4"/>
    </row>
    <row r="460" spans="1:9" ht="21.75" customHeight="1">
      <c r="A460" s="1"/>
      <c r="B460" s="4"/>
      <c r="C460" s="1"/>
      <c r="D460" s="2"/>
      <c r="E460" s="3"/>
      <c r="F460" s="4"/>
      <c r="G460" s="1"/>
      <c r="H460" s="7"/>
      <c r="I460" s="4"/>
    </row>
    <row r="461" spans="1:9" ht="21.75" customHeight="1">
      <c r="A461" s="1"/>
      <c r="B461" s="4"/>
      <c r="C461" s="1"/>
      <c r="D461" s="2"/>
      <c r="E461" s="3"/>
      <c r="F461" s="4"/>
      <c r="G461" s="1"/>
      <c r="H461" s="7"/>
      <c r="I461" s="4"/>
    </row>
    <row r="462" spans="1:9" ht="21.75" customHeight="1">
      <c r="A462" s="1"/>
      <c r="B462" s="4"/>
      <c r="C462" s="1"/>
      <c r="D462" s="2"/>
      <c r="E462" s="3"/>
      <c r="F462" s="4"/>
      <c r="G462" s="1"/>
      <c r="H462" s="7"/>
      <c r="I462" s="4"/>
    </row>
    <row r="463" spans="1:9" ht="21.75" customHeight="1">
      <c r="A463" s="1"/>
      <c r="B463" s="4"/>
      <c r="C463" s="1"/>
      <c r="D463" s="2"/>
      <c r="E463" s="3"/>
      <c r="F463" s="4"/>
      <c r="G463" s="1"/>
      <c r="H463" s="7"/>
      <c r="I463" s="4"/>
    </row>
    <row r="464" spans="1:9" ht="21.75" customHeight="1">
      <c r="A464" s="1"/>
      <c r="B464" s="4"/>
      <c r="C464" s="1"/>
      <c r="D464" s="2"/>
      <c r="E464" s="3"/>
      <c r="F464" s="4"/>
      <c r="G464" s="1"/>
      <c r="H464" s="7"/>
      <c r="I464" s="4"/>
    </row>
    <row r="465" spans="1:9" ht="21.75" customHeight="1">
      <c r="A465" s="1"/>
      <c r="B465" s="4"/>
      <c r="C465" s="1"/>
      <c r="D465" s="2"/>
      <c r="E465" s="3"/>
      <c r="F465" s="4"/>
      <c r="G465" s="1"/>
      <c r="H465" s="7"/>
      <c r="I465" s="4"/>
    </row>
    <row r="466" spans="1:9" ht="21.75" customHeight="1">
      <c r="A466" s="1"/>
      <c r="B466" s="4"/>
      <c r="C466" s="1"/>
      <c r="D466" s="2"/>
      <c r="E466" s="3"/>
      <c r="F466" s="4"/>
      <c r="G466" s="1"/>
      <c r="H466" s="7"/>
      <c r="I466" s="4"/>
    </row>
    <row r="467" spans="1:9" ht="21.75" customHeight="1">
      <c r="A467" s="1"/>
      <c r="B467" s="4"/>
      <c r="C467" s="1"/>
      <c r="D467" s="2"/>
      <c r="E467" s="3"/>
      <c r="F467" s="4"/>
      <c r="G467" s="1"/>
      <c r="H467" s="7"/>
      <c r="I467" s="4"/>
    </row>
    <row r="468" spans="1:9" ht="21.75" customHeight="1">
      <c r="A468" s="1"/>
      <c r="B468" s="4"/>
      <c r="C468" s="1"/>
      <c r="D468" s="2"/>
      <c r="E468" s="3"/>
      <c r="F468" s="4"/>
      <c r="G468" s="1"/>
      <c r="H468" s="7"/>
      <c r="I468" s="4"/>
    </row>
    <row r="469" spans="1:9" ht="21.75" customHeight="1">
      <c r="A469" s="1"/>
      <c r="B469" s="4"/>
      <c r="C469" s="1"/>
      <c r="D469" s="2"/>
      <c r="E469" s="3"/>
      <c r="F469" s="4"/>
      <c r="G469" s="1"/>
      <c r="H469" s="7"/>
      <c r="I469" s="4"/>
    </row>
    <row r="470" spans="1:9" ht="21.75" customHeight="1">
      <c r="A470" s="1"/>
      <c r="B470" s="4"/>
      <c r="C470" s="1"/>
      <c r="D470" s="2"/>
      <c r="E470" s="3"/>
      <c r="F470" s="4"/>
      <c r="G470" s="1"/>
      <c r="H470" s="7"/>
      <c r="I470" s="4"/>
    </row>
    <row r="471" spans="1:9" ht="21.75" customHeight="1">
      <c r="A471" s="1"/>
      <c r="B471" s="4"/>
      <c r="C471" s="1"/>
      <c r="D471" s="2"/>
      <c r="E471" s="3"/>
      <c r="F471" s="4"/>
      <c r="G471" s="1"/>
      <c r="H471" s="7"/>
      <c r="I471" s="4"/>
    </row>
    <row r="472" spans="1:9" ht="21.75" customHeight="1">
      <c r="A472" s="1"/>
      <c r="B472" s="4"/>
      <c r="C472" s="1"/>
      <c r="D472" s="2"/>
      <c r="E472" s="3"/>
      <c r="F472" s="4"/>
      <c r="G472" s="1"/>
      <c r="H472" s="7"/>
      <c r="I472" s="4"/>
    </row>
    <row r="473" spans="1:9" ht="21.75" customHeight="1">
      <c r="A473" s="1"/>
      <c r="B473" s="4"/>
      <c r="C473" s="1"/>
      <c r="D473" s="2"/>
      <c r="E473" s="3"/>
      <c r="F473" s="4"/>
      <c r="G473" s="1"/>
      <c r="H473" s="7"/>
      <c r="I473" s="4"/>
    </row>
    <row r="474" spans="1:9" ht="21.75" customHeight="1">
      <c r="A474" s="1"/>
      <c r="B474" s="4"/>
      <c r="C474" s="1"/>
      <c r="D474" s="2"/>
      <c r="E474" s="3"/>
      <c r="F474" s="4"/>
      <c r="G474" s="1"/>
      <c r="H474" s="7"/>
      <c r="I474" s="4"/>
    </row>
    <row r="475" spans="1:9" ht="21.75" customHeight="1">
      <c r="A475" s="1"/>
      <c r="B475" s="4"/>
      <c r="C475" s="1"/>
      <c r="D475" s="2"/>
      <c r="E475" s="3"/>
      <c r="F475" s="4"/>
      <c r="G475" s="1"/>
      <c r="H475" s="7"/>
      <c r="I475" s="4"/>
    </row>
    <row r="476" spans="1:9" ht="21.75" customHeight="1">
      <c r="A476" s="1"/>
      <c r="B476" s="4"/>
      <c r="C476" s="1"/>
      <c r="D476" s="2"/>
      <c r="E476" s="3"/>
      <c r="F476" s="4"/>
      <c r="G476" s="1"/>
      <c r="H476" s="7"/>
      <c r="I476" s="4"/>
    </row>
    <row r="477" spans="1:9" ht="21.75" customHeight="1">
      <c r="A477" s="1"/>
      <c r="B477" s="4"/>
      <c r="C477" s="1"/>
      <c r="D477" s="2"/>
      <c r="E477" s="3"/>
      <c r="F477" s="4"/>
      <c r="G477" s="1"/>
      <c r="H477" s="7"/>
      <c r="I477" s="4"/>
    </row>
    <row r="478" spans="1:9" ht="21.75" customHeight="1">
      <c r="A478" s="1"/>
      <c r="B478" s="4"/>
      <c r="C478" s="1"/>
      <c r="D478" s="2"/>
      <c r="E478" s="3"/>
      <c r="F478" s="4"/>
      <c r="G478" s="1"/>
      <c r="H478" s="7"/>
      <c r="I478" s="4"/>
    </row>
    <row r="479" spans="1:9" ht="21.75" customHeight="1">
      <c r="A479" s="1"/>
      <c r="B479" s="4"/>
      <c r="C479" s="1"/>
      <c r="D479" s="2"/>
      <c r="E479" s="3"/>
      <c r="F479" s="4"/>
      <c r="G479" s="1"/>
      <c r="H479" s="7"/>
      <c r="I479" s="4"/>
    </row>
    <row r="480" spans="1:9" ht="21.75" customHeight="1">
      <c r="A480" s="1"/>
      <c r="B480" s="4"/>
      <c r="C480" s="1"/>
      <c r="D480" s="2"/>
      <c r="E480" s="3"/>
      <c r="F480" s="4"/>
      <c r="G480" s="1"/>
      <c r="H480" s="7"/>
      <c r="I480" s="4"/>
    </row>
    <row r="481" spans="1:9" ht="21.75" customHeight="1">
      <c r="A481" s="1"/>
      <c r="B481" s="4"/>
      <c r="C481" s="1"/>
      <c r="D481" s="2"/>
      <c r="E481" s="3"/>
      <c r="F481" s="4"/>
      <c r="G481" s="1"/>
      <c r="H481" s="7"/>
      <c r="I481" s="4"/>
    </row>
    <row r="482" spans="1:9" ht="21.75" customHeight="1">
      <c r="A482" s="1"/>
      <c r="B482" s="4"/>
      <c r="C482" s="1"/>
      <c r="D482" s="2"/>
      <c r="E482" s="3"/>
      <c r="F482" s="4"/>
      <c r="G482" s="1"/>
      <c r="H482" s="7"/>
      <c r="I482" s="4"/>
    </row>
    <row r="483" spans="1:9" ht="21.75" customHeight="1">
      <c r="A483" s="1"/>
      <c r="B483" s="4"/>
      <c r="C483" s="1"/>
      <c r="D483" s="2"/>
      <c r="E483" s="3"/>
      <c r="F483" s="4"/>
      <c r="G483" s="1"/>
      <c r="H483" s="7"/>
      <c r="I483" s="4"/>
    </row>
    <row r="484" spans="1:9" ht="21.75" customHeight="1">
      <c r="A484" s="1"/>
      <c r="B484" s="4"/>
      <c r="C484" s="1"/>
      <c r="D484" s="2"/>
      <c r="E484" s="3"/>
      <c r="F484" s="4"/>
      <c r="G484" s="1"/>
      <c r="H484" s="7"/>
      <c r="I484" s="4"/>
    </row>
    <row r="485" spans="1:9" ht="21.75" customHeight="1">
      <c r="A485" s="1"/>
      <c r="B485" s="4"/>
      <c r="C485" s="1"/>
      <c r="D485" s="2"/>
      <c r="E485" s="3"/>
      <c r="F485" s="4"/>
      <c r="G485" s="1"/>
      <c r="H485" s="7"/>
      <c r="I485" s="4"/>
    </row>
    <row r="486" spans="1:9" ht="21.75" customHeight="1">
      <c r="A486" s="1"/>
      <c r="B486" s="4"/>
      <c r="C486" s="1"/>
      <c r="D486" s="2"/>
      <c r="E486" s="3"/>
      <c r="F486" s="4"/>
      <c r="G486" s="1"/>
      <c r="H486" s="7"/>
      <c r="I486" s="4"/>
    </row>
    <row r="487" spans="1:9" ht="21.75" customHeight="1">
      <c r="A487" s="1"/>
      <c r="B487" s="4"/>
      <c r="C487" s="1"/>
      <c r="D487" s="2"/>
      <c r="E487" s="3"/>
      <c r="F487" s="4"/>
      <c r="G487" s="1"/>
      <c r="H487" s="7"/>
      <c r="I487" s="4"/>
    </row>
    <row r="488" spans="1:9" ht="21.75" customHeight="1">
      <c r="A488" s="1"/>
      <c r="B488" s="4"/>
      <c r="C488" s="1"/>
      <c r="D488" s="2"/>
      <c r="E488" s="3"/>
      <c r="F488" s="4"/>
      <c r="G488" s="1"/>
      <c r="H488" s="7"/>
      <c r="I488" s="4"/>
    </row>
    <row r="489" spans="1:9" ht="21.75" customHeight="1">
      <c r="A489" s="1"/>
      <c r="B489" s="4"/>
      <c r="C489" s="1"/>
      <c r="D489" s="2"/>
      <c r="E489" s="3"/>
      <c r="F489" s="4"/>
      <c r="G489" s="1"/>
      <c r="H489" s="7"/>
      <c r="I489" s="4"/>
    </row>
    <row r="490" spans="1:9" ht="21.75" customHeight="1">
      <c r="A490" s="1"/>
      <c r="B490" s="4"/>
      <c r="C490" s="1"/>
      <c r="D490" s="2"/>
      <c r="E490" s="3"/>
      <c r="F490" s="4"/>
      <c r="G490" s="1"/>
      <c r="H490" s="7"/>
      <c r="I490" s="4"/>
    </row>
    <row r="491" spans="1:9" ht="21.75" customHeight="1">
      <c r="A491" s="1"/>
      <c r="B491" s="4"/>
      <c r="C491" s="1"/>
      <c r="D491" s="2"/>
      <c r="E491" s="3"/>
      <c r="F491" s="4"/>
      <c r="G491" s="1"/>
      <c r="H491" s="7"/>
      <c r="I491" s="4"/>
    </row>
    <row r="492" spans="1:9" ht="21.75" customHeight="1">
      <c r="A492" s="1"/>
      <c r="B492" s="4"/>
      <c r="C492" s="1"/>
      <c r="D492" s="2"/>
      <c r="E492" s="3"/>
      <c r="F492" s="4"/>
      <c r="G492" s="1"/>
      <c r="H492" s="7"/>
      <c r="I492" s="4"/>
    </row>
    <row r="493" spans="1:9" ht="21.75" customHeight="1">
      <c r="A493" s="1"/>
      <c r="B493" s="4"/>
      <c r="C493" s="1"/>
      <c r="D493" s="2"/>
      <c r="E493" s="3"/>
      <c r="F493" s="4"/>
      <c r="G493" s="1"/>
      <c r="H493" s="7"/>
      <c r="I493" s="4"/>
    </row>
    <row r="494" spans="1:9" ht="21.75" customHeight="1">
      <c r="A494" s="1"/>
      <c r="B494" s="4"/>
      <c r="C494" s="1"/>
      <c r="D494" s="2"/>
      <c r="E494" s="3"/>
      <c r="F494" s="4"/>
      <c r="G494" s="1"/>
      <c r="H494" s="7"/>
      <c r="I494" s="4"/>
    </row>
    <row r="495" spans="1:9" ht="21.75" customHeight="1">
      <c r="A495" s="1"/>
      <c r="B495" s="4"/>
      <c r="C495" s="1"/>
      <c r="D495" s="2"/>
      <c r="E495" s="3"/>
      <c r="F495" s="4"/>
      <c r="G495" s="1"/>
      <c r="H495" s="7"/>
      <c r="I495" s="4"/>
    </row>
    <row r="496" spans="1:9" ht="21.75" customHeight="1">
      <c r="A496" s="1"/>
      <c r="B496" s="4"/>
      <c r="C496" s="1"/>
      <c r="D496" s="2"/>
      <c r="E496" s="3"/>
      <c r="F496" s="4"/>
      <c r="G496" s="1"/>
      <c r="H496" s="7"/>
      <c r="I496" s="4"/>
    </row>
    <row r="497" spans="1:9" ht="21.75" customHeight="1">
      <c r="A497" s="1"/>
      <c r="B497" s="4"/>
      <c r="C497" s="1"/>
      <c r="D497" s="2"/>
      <c r="E497" s="3"/>
      <c r="F497" s="4"/>
      <c r="G497" s="1"/>
      <c r="H497" s="7"/>
      <c r="I497" s="4"/>
    </row>
    <row r="498" spans="1:9" ht="21.75" customHeight="1">
      <c r="A498" s="1"/>
      <c r="B498" s="4"/>
      <c r="C498" s="1"/>
      <c r="D498" s="2"/>
      <c r="E498" s="3"/>
      <c r="F498" s="4"/>
      <c r="G498" s="1"/>
      <c r="H498" s="7"/>
      <c r="I498" s="4"/>
    </row>
    <row r="499" spans="1:9" ht="21.75" customHeight="1">
      <c r="A499" s="1"/>
      <c r="B499" s="4"/>
      <c r="C499" s="1"/>
      <c r="D499" s="2"/>
      <c r="E499" s="3"/>
      <c r="F499" s="4"/>
      <c r="G499" s="1"/>
      <c r="H499" s="7"/>
      <c r="I499" s="4"/>
    </row>
    <row r="500" spans="1:9" ht="21.75" customHeight="1">
      <c r="A500" s="1"/>
      <c r="B500" s="4"/>
      <c r="C500" s="1"/>
      <c r="D500" s="2"/>
      <c r="E500" s="3"/>
      <c r="F500" s="4"/>
      <c r="G500" s="1"/>
      <c r="H500" s="7"/>
      <c r="I500" s="4"/>
    </row>
    <row r="501" spans="1:9" ht="21.75" customHeight="1">
      <c r="A501" s="1"/>
      <c r="B501" s="4"/>
      <c r="C501" s="1"/>
      <c r="D501" s="2"/>
      <c r="E501" s="3"/>
      <c r="F501" s="4"/>
      <c r="G501" s="1"/>
      <c r="H501" s="7"/>
      <c r="I501" s="4"/>
    </row>
    <row r="502" spans="1:9" ht="21.75" customHeight="1">
      <c r="A502" s="1"/>
      <c r="B502" s="4"/>
      <c r="C502" s="1"/>
      <c r="D502" s="2"/>
      <c r="E502" s="3"/>
      <c r="F502" s="4"/>
      <c r="G502" s="1"/>
      <c r="H502" s="7"/>
      <c r="I502" s="4"/>
    </row>
    <row r="503" spans="1:9" ht="21.75" customHeight="1">
      <c r="A503" s="1"/>
      <c r="B503" s="4"/>
      <c r="C503" s="1"/>
      <c r="D503" s="2"/>
      <c r="E503" s="3"/>
      <c r="F503" s="4"/>
      <c r="G503" s="1"/>
      <c r="H503" s="7"/>
      <c r="I503" s="4"/>
    </row>
    <row r="504" spans="1:9" ht="21.75" customHeight="1">
      <c r="A504" s="1"/>
      <c r="B504" s="4"/>
      <c r="C504" s="1"/>
      <c r="D504" s="2"/>
      <c r="E504" s="3"/>
      <c r="F504" s="4"/>
      <c r="G504" s="1"/>
      <c r="H504" s="7"/>
      <c r="I504" s="4"/>
    </row>
    <row r="505" spans="1:9" ht="21.75" customHeight="1">
      <c r="A505" s="1"/>
      <c r="B505" s="4"/>
      <c r="C505" s="1"/>
      <c r="D505" s="2"/>
      <c r="E505" s="3"/>
      <c r="F505" s="4"/>
      <c r="G505" s="1"/>
      <c r="H505" s="7"/>
      <c r="I505" s="4"/>
    </row>
    <row r="506" spans="1:9" ht="21.75" customHeight="1">
      <c r="A506" s="1"/>
      <c r="B506" s="4"/>
      <c r="C506" s="1"/>
      <c r="D506" s="2"/>
      <c r="E506" s="3"/>
      <c r="F506" s="4"/>
      <c r="G506" s="1"/>
      <c r="H506" s="7"/>
      <c r="I506" s="4"/>
    </row>
    <row r="507" spans="1:9" ht="21.75" customHeight="1">
      <c r="A507" s="1"/>
      <c r="B507" s="4"/>
      <c r="C507" s="1"/>
      <c r="D507" s="2"/>
      <c r="E507" s="3"/>
      <c r="F507" s="4"/>
      <c r="G507" s="1"/>
      <c r="H507" s="7"/>
      <c r="I507" s="4"/>
    </row>
    <row r="508" spans="1:9" ht="21.75" customHeight="1">
      <c r="A508" s="1"/>
      <c r="B508" s="4"/>
      <c r="C508" s="1"/>
      <c r="D508" s="2"/>
      <c r="E508" s="3"/>
      <c r="F508" s="4"/>
      <c r="G508" s="1"/>
      <c r="H508" s="7"/>
      <c r="I508" s="4"/>
    </row>
    <row r="509" spans="1:9" ht="21.75" customHeight="1">
      <c r="A509" s="1"/>
      <c r="B509" s="4"/>
      <c r="C509" s="1"/>
      <c r="D509" s="2"/>
      <c r="E509" s="3"/>
      <c r="F509" s="4"/>
      <c r="G509" s="1"/>
      <c r="H509" s="7"/>
      <c r="I509" s="4"/>
    </row>
    <row r="510" spans="1:9" ht="21.75" customHeight="1">
      <c r="A510" s="1"/>
      <c r="B510" s="4"/>
      <c r="C510" s="1"/>
      <c r="D510" s="2"/>
      <c r="E510" s="3"/>
      <c r="F510" s="4"/>
      <c r="G510" s="1"/>
      <c r="H510" s="7"/>
      <c r="I510" s="4"/>
    </row>
    <row r="511" spans="1:9" ht="21.75" customHeight="1">
      <c r="A511" s="1"/>
      <c r="B511" s="4"/>
      <c r="C511" s="1"/>
      <c r="D511" s="2"/>
      <c r="E511" s="3"/>
      <c r="F511" s="4"/>
      <c r="G511" s="1"/>
      <c r="H511" s="7"/>
      <c r="I511" s="4"/>
    </row>
    <row r="512" spans="1:9" ht="21.75" customHeight="1">
      <c r="A512" s="1"/>
      <c r="B512" s="4"/>
      <c r="C512" s="1"/>
      <c r="D512" s="2"/>
      <c r="E512" s="3"/>
      <c r="F512" s="4"/>
      <c r="G512" s="1"/>
      <c r="H512" s="7"/>
      <c r="I512" s="4"/>
    </row>
    <row r="513" spans="1:9" ht="21.75" customHeight="1">
      <c r="A513" s="1"/>
      <c r="B513" s="4"/>
      <c r="C513" s="1"/>
      <c r="D513" s="2"/>
      <c r="E513" s="3"/>
      <c r="F513" s="4"/>
      <c r="G513" s="1"/>
      <c r="H513" s="7"/>
      <c r="I513" s="4"/>
    </row>
    <row r="514" spans="1:9" ht="21.75" customHeight="1">
      <c r="A514" s="1"/>
      <c r="B514" s="4"/>
      <c r="C514" s="1"/>
      <c r="D514" s="2"/>
      <c r="E514" s="3"/>
      <c r="F514" s="4"/>
      <c r="G514" s="1"/>
      <c r="H514" s="7"/>
      <c r="I514" s="4"/>
    </row>
    <row r="515" spans="1:9" ht="21.75" customHeight="1">
      <c r="A515" s="1"/>
      <c r="B515" s="4"/>
      <c r="C515" s="1"/>
      <c r="D515" s="2"/>
      <c r="E515" s="3"/>
      <c r="F515" s="4"/>
      <c r="G515" s="1"/>
      <c r="H515" s="7"/>
      <c r="I515" s="4"/>
    </row>
    <row r="516" spans="1:9" ht="21.75" customHeight="1">
      <c r="A516" s="1"/>
      <c r="B516" s="4"/>
      <c r="C516" s="1"/>
      <c r="D516" s="2"/>
      <c r="E516" s="3"/>
      <c r="F516" s="4"/>
      <c r="G516" s="1"/>
      <c r="H516" s="7"/>
      <c r="I516" s="4"/>
    </row>
    <row r="517" spans="1:9" ht="21.75" customHeight="1">
      <c r="A517" s="1"/>
      <c r="B517" s="4"/>
      <c r="C517" s="1"/>
      <c r="D517" s="2"/>
      <c r="E517" s="3"/>
      <c r="F517" s="4"/>
      <c r="G517" s="1"/>
      <c r="H517" s="7"/>
      <c r="I517" s="4"/>
    </row>
    <row r="518" spans="1:9" ht="21.75" customHeight="1">
      <c r="A518" s="1"/>
      <c r="B518" s="4"/>
      <c r="C518" s="1"/>
      <c r="D518" s="2"/>
      <c r="E518" s="3"/>
      <c r="F518" s="4"/>
      <c r="G518" s="1"/>
      <c r="H518" s="7"/>
      <c r="I518" s="4"/>
    </row>
    <row r="519" spans="1:9" ht="21.75" customHeight="1">
      <c r="A519" s="1"/>
      <c r="B519" s="4"/>
      <c r="C519" s="1"/>
      <c r="D519" s="2"/>
      <c r="E519" s="3"/>
      <c r="F519" s="4"/>
      <c r="G519" s="1"/>
      <c r="H519" s="7"/>
      <c r="I519" s="4"/>
    </row>
    <row r="520" spans="1:9" ht="21.75" customHeight="1">
      <c r="A520" s="1"/>
      <c r="B520" s="4"/>
      <c r="C520" s="1"/>
      <c r="D520" s="2"/>
      <c r="E520" s="3"/>
      <c r="F520" s="4"/>
      <c r="G520" s="1"/>
      <c r="H520" s="7"/>
      <c r="I520" s="4"/>
    </row>
    <row r="521" spans="1:9" ht="21.75" customHeight="1">
      <c r="A521" s="1"/>
      <c r="B521" s="4"/>
      <c r="C521" s="1"/>
      <c r="D521" s="2"/>
      <c r="E521" s="3"/>
      <c r="F521" s="4"/>
      <c r="G521" s="1"/>
      <c r="H521" s="7"/>
      <c r="I521" s="4"/>
    </row>
    <row r="522" spans="1:9" ht="21.75" customHeight="1">
      <c r="A522" s="1"/>
      <c r="B522" s="4"/>
      <c r="C522" s="1"/>
      <c r="D522" s="2"/>
      <c r="E522" s="3"/>
      <c r="F522" s="4"/>
      <c r="G522" s="1"/>
      <c r="H522" s="7"/>
      <c r="I522" s="4"/>
    </row>
    <row r="523" spans="1:9" ht="21.75" customHeight="1">
      <c r="A523" s="1"/>
      <c r="B523" s="4"/>
      <c r="C523" s="1"/>
      <c r="D523" s="2"/>
      <c r="E523" s="3"/>
      <c r="F523" s="4"/>
      <c r="G523" s="1"/>
      <c r="H523" s="7"/>
      <c r="I523" s="4"/>
    </row>
    <row r="524" spans="1:9" ht="21.75" customHeight="1">
      <c r="A524" s="1"/>
      <c r="B524" s="4"/>
      <c r="C524" s="1"/>
      <c r="D524" s="2"/>
      <c r="E524" s="3"/>
      <c r="F524" s="4"/>
      <c r="G524" s="1"/>
      <c r="H524" s="7"/>
      <c r="I524" s="4"/>
    </row>
    <row r="525" spans="1:9" ht="21.75" customHeight="1">
      <c r="A525" s="1"/>
      <c r="B525" s="4"/>
      <c r="C525" s="1"/>
      <c r="D525" s="2"/>
      <c r="E525" s="3"/>
      <c r="F525" s="4"/>
      <c r="G525" s="1"/>
      <c r="H525" s="7"/>
      <c r="I525" s="4"/>
    </row>
    <row r="526" spans="1:9" ht="21.75" customHeight="1">
      <c r="A526" s="1"/>
      <c r="B526" s="4"/>
      <c r="C526" s="1"/>
      <c r="D526" s="2"/>
      <c r="E526" s="3"/>
      <c r="F526" s="4"/>
      <c r="G526" s="1"/>
      <c r="H526" s="7"/>
      <c r="I526" s="4"/>
    </row>
    <row r="527" spans="1:9" ht="21.75" customHeight="1">
      <c r="A527" s="1"/>
      <c r="B527" s="4"/>
      <c r="C527" s="1"/>
      <c r="D527" s="2"/>
      <c r="E527" s="3"/>
      <c r="F527" s="4"/>
      <c r="G527" s="1"/>
      <c r="H527" s="7"/>
      <c r="I527" s="4"/>
    </row>
    <row r="528" spans="1:9" ht="21.75" customHeight="1">
      <c r="A528" s="1"/>
      <c r="B528" s="4"/>
      <c r="C528" s="1"/>
      <c r="D528" s="2"/>
      <c r="E528" s="3"/>
      <c r="F528" s="4"/>
      <c r="G528" s="1"/>
      <c r="H528" s="7"/>
      <c r="I528" s="4"/>
    </row>
    <row r="529" spans="1:9" ht="21.75" customHeight="1">
      <c r="A529" s="1"/>
      <c r="B529" s="4"/>
      <c r="C529" s="1"/>
      <c r="D529" s="2"/>
      <c r="E529" s="3"/>
      <c r="F529" s="4"/>
      <c r="G529" s="1"/>
      <c r="H529" s="7"/>
      <c r="I529" s="4"/>
    </row>
    <row r="530" spans="1:9" ht="21.75" customHeight="1">
      <c r="A530" s="1"/>
      <c r="B530" s="4"/>
      <c r="C530" s="1"/>
      <c r="D530" s="2"/>
      <c r="E530" s="3"/>
      <c r="F530" s="4"/>
      <c r="G530" s="1"/>
      <c r="H530" s="7"/>
      <c r="I530" s="4"/>
    </row>
    <row r="531" spans="1:9" ht="21.75" customHeight="1">
      <c r="A531" s="1"/>
      <c r="B531" s="4"/>
      <c r="C531" s="1"/>
      <c r="D531" s="2"/>
      <c r="E531" s="3"/>
      <c r="F531" s="4"/>
      <c r="G531" s="1"/>
      <c r="H531" s="7"/>
      <c r="I531" s="4"/>
    </row>
    <row r="532" spans="1:9" ht="21.75" customHeight="1">
      <c r="A532" s="1"/>
      <c r="B532" s="4"/>
      <c r="C532" s="1"/>
      <c r="D532" s="2"/>
      <c r="E532" s="3"/>
      <c r="F532" s="4"/>
      <c r="G532" s="1"/>
      <c r="H532" s="7"/>
      <c r="I532" s="4"/>
    </row>
    <row r="533" spans="1:9" ht="21.75" customHeight="1">
      <c r="A533" s="1"/>
      <c r="B533" s="4"/>
      <c r="C533" s="1"/>
      <c r="D533" s="2"/>
      <c r="E533" s="3"/>
      <c r="F533" s="4"/>
      <c r="G533" s="1"/>
      <c r="H533" s="7"/>
      <c r="I533" s="4"/>
    </row>
    <row r="534" spans="1:9" ht="21.75" customHeight="1">
      <c r="A534" s="1"/>
      <c r="B534" s="4"/>
      <c r="C534" s="1"/>
      <c r="D534" s="2"/>
      <c r="E534" s="3"/>
      <c r="F534" s="4"/>
      <c r="G534" s="1"/>
      <c r="H534" s="7"/>
      <c r="I534" s="4"/>
    </row>
    <row r="535" spans="1:9" ht="21.75" customHeight="1">
      <c r="A535" s="1"/>
      <c r="B535" s="4"/>
      <c r="C535" s="1"/>
      <c r="D535" s="2"/>
      <c r="E535" s="3"/>
      <c r="F535" s="4"/>
      <c r="G535" s="1"/>
      <c r="H535" s="7"/>
      <c r="I535" s="4"/>
    </row>
    <row r="536" spans="1:9" ht="21.75" customHeight="1">
      <c r="A536" s="1"/>
      <c r="B536" s="4"/>
      <c r="C536" s="1"/>
      <c r="D536" s="2"/>
      <c r="E536" s="3"/>
      <c r="F536" s="4"/>
      <c r="G536" s="1"/>
      <c r="H536" s="7"/>
      <c r="I536" s="4"/>
    </row>
    <row r="537" spans="1:9" ht="21.75" customHeight="1">
      <c r="A537" s="1"/>
      <c r="B537" s="4"/>
      <c r="C537" s="1"/>
      <c r="D537" s="2"/>
      <c r="E537" s="3"/>
      <c r="F537" s="4"/>
      <c r="G537" s="1"/>
      <c r="H537" s="7"/>
      <c r="I537" s="4"/>
    </row>
    <row r="538" spans="1:9" ht="21.75" customHeight="1">
      <c r="A538" s="1"/>
      <c r="B538" s="4"/>
      <c r="C538" s="1"/>
      <c r="D538" s="2"/>
      <c r="E538" s="3"/>
      <c r="F538" s="4"/>
      <c r="G538" s="1"/>
      <c r="H538" s="7"/>
      <c r="I538" s="4"/>
    </row>
    <row r="539" spans="1:9" ht="21.75" customHeight="1">
      <c r="A539" s="1"/>
      <c r="B539" s="4"/>
      <c r="C539" s="1"/>
      <c r="D539" s="2"/>
      <c r="E539" s="3"/>
      <c r="F539" s="4"/>
      <c r="G539" s="1"/>
      <c r="H539" s="7"/>
      <c r="I539" s="4"/>
    </row>
    <row r="540" spans="1:9" ht="21.75" customHeight="1">
      <c r="A540" s="1"/>
      <c r="B540" s="4"/>
      <c r="C540" s="1"/>
      <c r="D540" s="2"/>
      <c r="E540" s="3"/>
      <c r="F540" s="4"/>
      <c r="G540" s="1"/>
      <c r="H540" s="7"/>
      <c r="I540" s="4"/>
    </row>
    <row r="541" spans="1:9" ht="21.75" customHeight="1">
      <c r="A541" s="1"/>
      <c r="B541" s="4"/>
      <c r="C541" s="1"/>
      <c r="D541" s="2"/>
      <c r="E541" s="3"/>
      <c r="F541" s="4"/>
      <c r="G541" s="1"/>
      <c r="H541" s="7"/>
      <c r="I541" s="4"/>
    </row>
    <row r="542" spans="1:9" ht="21.75" customHeight="1">
      <c r="A542" s="1"/>
      <c r="B542" s="4"/>
      <c r="C542" s="1"/>
      <c r="D542" s="2"/>
      <c r="E542" s="3"/>
      <c r="F542" s="4"/>
      <c r="G542" s="1"/>
      <c r="H542" s="7"/>
      <c r="I542" s="4"/>
    </row>
    <row r="543" spans="1:9" ht="21.75" customHeight="1">
      <c r="A543" s="1"/>
      <c r="B543" s="4"/>
      <c r="C543" s="1"/>
      <c r="D543" s="2"/>
      <c r="E543" s="3"/>
      <c r="F543" s="4"/>
      <c r="G543" s="1"/>
      <c r="H543" s="7"/>
      <c r="I543" s="4"/>
    </row>
    <row r="544" spans="1:9" ht="21.75" customHeight="1">
      <c r="A544" s="1"/>
      <c r="B544" s="4"/>
      <c r="C544" s="1"/>
      <c r="D544" s="2"/>
      <c r="E544" s="3"/>
      <c r="F544" s="4"/>
      <c r="G544" s="1"/>
      <c r="H544" s="7"/>
      <c r="I544" s="4"/>
    </row>
    <row r="545" spans="1:9" ht="21.75" customHeight="1">
      <c r="A545" s="1"/>
      <c r="B545" s="4"/>
      <c r="C545" s="1"/>
      <c r="D545" s="2"/>
      <c r="E545" s="3"/>
      <c r="F545" s="4"/>
      <c r="G545" s="1"/>
      <c r="H545" s="7"/>
      <c r="I545" s="4"/>
    </row>
    <row r="546" spans="1:9" ht="21.75" customHeight="1">
      <c r="A546" s="1"/>
      <c r="B546" s="4"/>
      <c r="C546" s="1"/>
      <c r="D546" s="2"/>
      <c r="E546" s="3"/>
      <c r="F546" s="4"/>
      <c r="G546" s="1"/>
      <c r="H546" s="7"/>
      <c r="I546" s="4"/>
    </row>
    <row r="547" spans="1:9" ht="21.75" customHeight="1">
      <c r="A547" s="1"/>
      <c r="B547" s="4"/>
      <c r="C547" s="1"/>
      <c r="D547" s="2"/>
      <c r="E547" s="3"/>
      <c r="F547" s="4"/>
      <c r="G547" s="1"/>
      <c r="H547" s="7"/>
      <c r="I547" s="4"/>
    </row>
    <row r="548" spans="1:9" ht="21.75" customHeight="1">
      <c r="A548" s="1"/>
      <c r="B548" s="4"/>
      <c r="C548" s="1"/>
      <c r="D548" s="2"/>
      <c r="E548" s="3"/>
      <c r="F548" s="4"/>
      <c r="G548" s="1"/>
      <c r="H548" s="7"/>
      <c r="I548" s="4"/>
    </row>
    <row r="549" spans="1:9" ht="21.75" customHeight="1">
      <c r="A549" s="1"/>
      <c r="B549" s="4"/>
      <c r="C549" s="1"/>
      <c r="D549" s="2"/>
      <c r="E549" s="3"/>
      <c r="F549" s="4"/>
      <c r="G549" s="1"/>
      <c r="H549" s="7"/>
      <c r="I549" s="4"/>
    </row>
    <row r="550" spans="1:9" ht="21.75" customHeight="1">
      <c r="A550" s="1"/>
      <c r="B550" s="4"/>
      <c r="C550" s="1"/>
      <c r="D550" s="2"/>
      <c r="E550" s="3"/>
      <c r="F550" s="4"/>
      <c r="G550" s="1"/>
      <c r="H550" s="7"/>
      <c r="I550" s="4"/>
    </row>
    <row r="551" spans="1:9" ht="21.75" customHeight="1">
      <c r="A551" s="1"/>
      <c r="B551" s="4"/>
      <c r="C551" s="1"/>
      <c r="D551" s="2"/>
      <c r="E551" s="3"/>
      <c r="F551" s="4"/>
      <c r="G551" s="1"/>
      <c r="H551" s="7"/>
      <c r="I551" s="4"/>
    </row>
    <row r="552" spans="1:9" ht="21.75" customHeight="1">
      <c r="A552" s="1"/>
      <c r="B552" s="4"/>
      <c r="C552" s="1"/>
      <c r="D552" s="2"/>
      <c r="E552" s="3"/>
      <c r="F552" s="4"/>
      <c r="G552" s="1"/>
      <c r="H552" s="7"/>
      <c r="I552" s="4"/>
    </row>
    <row r="553" spans="1:9" ht="21.75" customHeight="1">
      <c r="A553" s="1"/>
      <c r="B553" s="4"/>
      <c r="C553" s="1"/>
      <c r="D553" s="2"/>
      <c r="E553" s="3"/>
      <c r="F553" s="4"/>
      <c r="G553" s="1"/>
      <c r="H553" s="7"/>
      <c r="I553" s="4"/>
    </row>
    <row r="554" spans="1:9" ht="21.75" customHeight="1">
      <c r="A554" s="1"/>
      <c r="B554" s="4"/>
      <c r="C554" s="1"/>
      <c r="D554" s="2"/>
      <c r="E554" s="3"/>
      <c r="F554" s="4"/>
      <c r="G554" s="1"/>
      <c r="H554" s="7"/>
      <c r="I554" s="4"/>
    </row>
    <row r="555" spans="1:9" ht="21.75" customHeight="1">
      <c r="A555" s="1"/>
      <c r="B555" s="4"/>
      <c r="C555" s="1"/>
      <c r="D555" s="2"/>
      <c r="E555" s="3"/>
      <c r="F555" s="4"/>
      <c r="G555" s="1"/>
      <c r="H555" s="7"/>
      <c r="I555" s="4"/>
    </row>
    <row r="556" spans="1:9" ht="21.75" customHeight="1">
      <c r="A556" s="1"/>
      <c r="B556" s="4"/>
      <c r="C556" s="1"/>
      <c r="D556" s="2"/>
      <c r="E556" s="3"/>
      <c r="F556" s="4"/>
      <c r="G556" s="1"/>
      <c r="H556" s="7"/>
      <c r="I556" s="4"/>
    </row>
    <row r="557" spans="1:9" ht="21.75" customHeight="1">
      <c r="A557" s="1"/>
      <c r="B557" s="4"/>
      <c r="C557" s="1"/>
      <c r="D557" s="2"/>
      <c r="E557" s="3"/>
      <c r="F557" s="4"/>
      <c r="G557" s="1"/>
      <c r="H557" s="7"/>
      <c r="I557" s="4"/>
    </row>
    <row r="558" spans="1:9" ht="21.75" customHeight="1">
      <c r="A558" s="1"/>
      <c r="B558" s="4"/>
      <c r="C558" s="1"/>
      <c r="D558" s="2"/>
      <c r="E558" s="3"/>
      <c r="F558" s="4"/>
      <c r="G558" s="1"/>
      <c r="H558" s="7"/>
      <c r="I558" s="4"/>
    </row>
    <row r="559" spans="1:9" ht="21.75" customHeight="1">
      <c r="A559" s="1"/>
      <c r="B559" s="4"/>
      <c r="C559" s="1"/>
      <c r="D559" s="2"/>
      <c r="E559" s="3"/>
      <c r="F559" s="4"/>
      <c r="G559" s="1"/>
      <c r="H559" s="7"/>
      <c r="I559" s="4"/>
    </row>
    <row r="560" spans="1:9" ht="21.75" customHeight="1">
      <c r="A560" s="1"/>
      <c r="B560" s="4"/>
      <c r="C560" s="1"/>
      <c r="D560" s="2"/>
      <c r="E560" s="3"/>
      <c r="F560" s="4"/>
      <c r="G560" s="1"/>
      <c r="H560" s="7"/>
      <c r="I560" s="4"/>
    </row>
    <row r="561" spans="1:9" ht="21.75" customHeight="1">
      <c r="A561" s="1"/>
      <c r="B561" s="4"/>
      <c r="C561" s="1"/>
      <c r="D561" s="2"/>
      <c r="E561" s="3"/>
      <c r="F561" s="4"/>
      <c r="G561" s="1"/>
      <c r="H561" s="7"/>
      <c r="I561" s="4"/>
    </row>
    <row r="562" spans="1:9" ht="21.75" customHeight="1">
      <c r="A562" s="1"/>
      <c r="B562" s="4"/>
      <c r="C562" s="1"/>
      <c r="D562" s="2"/>
      <c r="E562" s="3"/>
      <c r="F562" s="4"/>
      <c r="G562" s="1"/>
      <c r="H562" s="7"/>
      <c r="I562" s="4"/>
    </row>
    <row r="563" spans="1:9" ht="21.75" customHeight="1">
      <c r="A563" s="1"/>
      <c r="B563" s="4"/>
      <c r="C563" s="1"/>
      <c r="D563" s="2"/>
      <c r="E563" s="3"/>
      <c r="F563" s="4"/>
      <c r="G563" s="1"/>
      <c r="H563" s="7"/>
      <c r="I563" s="4"/>
    </row>
    <row r="564" spans="1:9" ht="21.75" customHeight="1">
      <c r="A564" s="1"/>
      <c r="B564" s="4"/>
      <c r="C564" s="1"/>
      <c r="D564" s="2"/>
      <c r="E564" s="3"/>
      <c r="F564" s="4"/>
      <c r="G564" s="1"/>
      <c r="H564" s="7"/>
      <c r="I564" s="4"/>
    </row>
    <row r="565" spans="1:9" ht="21.75" customHeight="1">
      <c r="A565" s="1"/>
      <c r="B565" s="4"/>
      <c r="C565" s="1"/>
      <c r="D565" s="2"/>
      <c r="E565" s="3"/>
      <c r="F565" s="4"/>
      <c r="G565" s="1"/>
      <c r="H565" s="7"/>
      <c r="I565" s="4"/>
    </row>
    <row r="566" spans="1:9" ht="21.75" customHeight="1">
      <c r="A566" s="1"/>
      <c r="B566" s="4"/>
      <c r="C566" s="1"/>
      <c r="D566" s="2"/>
      <c r="E566" s="3"/>
      <c r="F566" s="4"/>
      <c r="G566" s="1"/>
      <c r="H566" s="7"/>
      <c r="I566" s="4"/>
    </row>
    <row r="567" spans="1:9" ht="21.75" customHeight="1">
      <c r="A567" s="1"/>
      <c r="B567" s="4"/>
      <c r="C567" s="1"/>
      <c r="D567" s="2"/>
      <c r="E567" s="3"/>
      <c r="F567" s="4"/>
      <c r="G567" s="1"/>
      <c r="H567" s="7"/>
      <c r="I567" s="4"/>
    </row>
    <row r="568" spans="1:9" ht="21.75" customHeight="1">
      <c r="A568" s="1"/>
      <c r="B568" s="4"/>
      <c r="C568" s="1"/>
      <c r="D568" s="2"/>
      <c r="E568" s="3"/>
      <c r="F568" s="4"/>
      <c r="G568" s="1"/>
      <c r="H568" s="7"/>
      <c r="I568" s="4"/>
    </row>
    <row r="569" spans="1:9" ht="21.75" customHeight="1">
      <c r="A569" s="1"/>
      <c r="B569" s="4"/>
      <c r="C569" s="1"/>
      <c r="D569" s="2"/>
      <c r="E569" s="3"/>
      <c r="F569" s="4"/>
      <c r="G569" s="1"/>
      <c r="H569" s="7"/>
      <c r="I569" s="4"/>
    </row>
    <row r="570" spans="1:9" ht="21.75" customHeight="1">
      <c r="A570" s="1"/>
      <c r="B570" s="4"/>
      <c r="C570" s="1"/>
      <c r="D570" s="2"/>
      <c r="E570" s="3"/>
      <c r="F570" s="4"/>
      <c r="G570" s="1"/>
      <c r="H570" s="7"/>
      <c r="I570" s="4"/>
    </row>
    <row r="571" spans="1:9" ht="21.75" customHeight="1">
      <c r="A571" s="1"/>
      <c r="B571" s="4"/>
      <c r="C571" s="1"/>
      <c r="D571" s="2"/>
      <c r="E571" s="3"/>
      <c r="F571" s="4"/>
      <c r="G571" s="1"/>
      <c r="H571" s="7"/>
      <c r="I571" s="4"/>
    </row>
    <row r="572" spans="1:9" ht="21.75" customHeight="1">
      <c r="A572" s="1"/>
      <c r="B572" s="4"/>
      <c r="C572" s="1"/>
      <c r="D572" s="2"/>
      <c r="E572" s="3"/>
      <c r="F572" s="4"/>
      <c r="G572" s="1"/>
      <c r="H572" s="7"/>
      <c r="I572" s="4"/>
    </row>
    <row r="573" spans="1:9" ht="21.75" customHeight="1">
      <c r="A573" s="1"/>
      <c r="B573" s="4"/>
      <c r="C573" s="1"/>
      <c r="D573" s="2"/>
      <c r="E573" s="3"/>
      <c r="F573" s="4"/>
      <c r="G573" s="1"/>
      <c r="H573" s="7"/>
      <c r="I573" s="4"/>
    </row>
    <row r="574" spans="1:9" ht="21.75" customHeight="1">
      <c r="A574" s="1"/>
      <c r="B574" s="4"/>
      <c r="C574" s="1"/>
      <c r="D574" s="2"/>
      <c r="E574" s="3"/>
      <c r="F574" s="4"/>
      <c r="G574" s="1"/>
      <c r="H574" s="7"/>
      <c r="I574" s="4"/>
    </row>
    <row r="575" spans="1:9" ht="21.75" customHeight="1">
      <c r="A575" s="1"/>
      <c r="B575" s="4"/>
      <c r="C575" s="1"/>
      <c r="D575" s="2"/>
      <c r="E575" s="3"/>
      <c r="F575" s="4"/>
      <c r="G575" s="1"/>
      <c r="H575" s="7"/>
      <c r="I575" s="4"/>
    </row>
    <row r="576" spans="1:9" ht="21.75" customHeight="1">
      <c r="A576" s="1"/>
      <c r="B576" s="4"/>
      <c r="C576" s="1"/>
      <c r="D576" s="2"/>
      <c r="E576" s="3"/>
      <c r="F576" s="4"/>
      <c r="G576" s="1"/>
      <c r="H576" s="7"/>
      <c r="I576" s="4"/>
    </row>
    <row r="577" spans="1:9" ht="21.75" customHeight="1">
      <c r="A577" s="1"/>
      <c r="B577" s="4"/>
      <c r="C577" s="1"/>
      <c r="D577" s="2"/>
      <c r="E577" s="3"/>
      <c r="F577" s="4"/>
      <c r="G577" s="1"/>
      <c r="H577" s="7"/>
      <c r="I577" s="4"/>
    </row>
    <row r="578" spans="1:9" ht="21.75" customHeight="1">
      <c r="A578" s="1"/>
      <c r="B578" s="4"/>
      <c r="C578" s="1"/>
      <c r="D578" s="2"/>
      <c r="E578" s="3"/>
      <c r="F578" s="4"/>
      <c r="G578" s="1"/>
      <c r="H578" s="7"/>
      <c r="I578" s="4"/>
    </row>
    <row r="579" spans="1:9" ht="21.75" customHeight="1">
      <c r="A579" s="1"/>
      <c r="B579" s="4"/>
      <c r="C579" s="1"/>
      <c r="D579" s="2"/>
      <c r="E579" s="3"/>
      <c r="F579" s="4"/>
      <c r="G579" s="1"/>
      <c r="H579" s="7"/>
      <c r="I579" s="4"/>
    </row>
    <row r="580" spans="1:9" ht="21.75" customHeight="1">
      <c r="A580" s="1"/>
      <c r="B580" s="4"/>
      <c r="C580" s="1"/>
      <c r="D580" s="2"/>
      <c r="E580" s="3"/>
      <c r="F580" s="4"/>
      <c r="G580" s="1"/>
      <c r="H580" s="7"/>
      <c r="I580" s="4"/>
    </row>
    <row r="581" spans="1:9" ht="21.75" customHeight="1">
      <c r="A581" s="1"/>
      <c r="B581" s="4"/>
      <c r="C581" s="1"/>
      <c r="D581" s="2"/>
      <c r="E581" s="3"/>
      <c r="F581" s="4"/>
      <c r="G581" s="1"/>
      <c r="H581" s="7"/>
      <c r="I581" s="4"/>
    </row>
    <row r="582" spans="1:9" ht="21.75" customHeight="1">
      <c r="A582" s="1"/>
      <c r="B582" s="4"/>
      <c r="C582" s="1"/>
      <c r="D582" s="2"/>
      <c r="E582" s="3"/>
      <c r="F582" s="4"/>
      <c r="G582" s="1"/>
      <c r="H582" s="7"/>
      <c r="I582" s="4"/>
    </row>
    <row r="583" spans="1:9" ht="21.75" customHeight="1">
      <c r="A583" s="1"/>
      <c r="B583" s="4"/>
      <c r="C583" s="1"/>
      <c r="D583" s="2"/>
      <c r="E583" s="3"/>
      <c r="F583" s="4"/>
      <c r="G583" s="1"/>
      <c r="H583" s="7"/>
      <c r="I583" s="4"/>
    </row>
    <row r="584" spans="1:9" ht="21.75" customHeight="1">
      <c r="A584" s="1"/>
      <c r="B584" s="4"/>
      <c r="C584" s="1"/>
      <c r="D584" s="2"/>
      <c r="E584" s="3"/>
      <c r="F584" s="4"/>
      <c r="G584" s="1"/>
      <c r="H584" s="7"/>
      <c r="I584" s="4"/>
    </row>
    <row r="585" spans="1:9" ht="21.75" customHeight="1">
      <c r="A585" s="1"/>
      <c r="B585" s="4"/>
      <c r="C585" s="1"/>
      <c r="D585" s="2"/>
      <c r="E585" s="3"/>
      <c r="F585" s="4"/>
      <c r="G585" s="1"/>
      <c r="H585" s="7"/>
      <c r="I585" s="4"/>
    </row>
    <row r="586" spans="1:9" ht="21.75" customHeight="1">
      <c r="A586" s="1"/>
      <c r="B586" s="4"/>
      <c r="C586" s="1"/>
      <c r="D586" s="2"/>
      <c r="E586" s="3"/>
      <c r="F586" s="4"/>
      <c r="G586" s="1"/>
      <c r="H586" s="7"/>
      <c r="I586" s="4"/>
    </row>
    <row r="587" spans="1:9" ht="21.75" customHeight="1">
      <c r="A587" s="1"/>
      <c r="B587" s="4"/>
      <c r="C587" s="1"/>
      <c r="D587" s="2"/>
      <c r="E587" s="3"/>
      <c r="F587" s="4"/>
      <c r="G587" s="1"/>
      <c r="H587" s="7"/>
      <c r="I587" s="4"/>
    </row>
    <row r="588" spans="1:9" ht="21.75" customHeight="1">
      <c r="A588" s="1"/>
      <c r="B588" s="4"/>
      <c r="C588" s="1"/>
      <c r="D588" s="2"/>
      <c r="E588" s="3"/>
      <c r="F588" s="4"/>
      <c r="G588" s="1"/>
      <c r="H588" s="7"/>
      <c r="I588" s="4"/>
    </row>
    <row r="589" spans="1:9" ht="21.75" customHeight="1">
      <c r="A589" s="1"/>
      <c r="B589" s="4"/>
      <c r="C589" s="1"/>
      <c r="D589" s="2"/>
      <c r="E589" s="3"/>
      <c r="F589" s="4"/>
      <c r="G589" s="1"/>
      <c r="H589" s="7"/>
      <c r="I589" s="4"/>
    </row>
    <row r="590" spans="1:9" ht="21.75" customHeight="1">
      <c r="A590" s="1"/>
      <c r="B590" s="4"/>
      <c r="C590" s="1"/>
      <c r="D590" s="2"/>
      <c r="E590" s="3"/>
      <c r="F590" s="4"/>
      <c r="G590" s="1"/>
      <c r="H590" s="7"/>
      <c r="I590" s="4"/>
    </row>
    <row r="591" spans="1:9" ht="21.75" customHeight="1">
      <c r="A591" s="1"/>
      <c r="B591" s="4"/>
      <c r="C591" s="1"/>
      <c r="D591" s="2"/>
      <c r="E591" s="3"/>
      <c r="F591" s="4"/>
      <c r="G591" s="1"/>
      <c r="H591" s="7"/>
      <c r="I591" s="4"/>
    </row>
    <row r="592" spans="1:9" ht="21.75" customHeight="1">
      <c r="A592" s="1"/>
      <c r="B592" s="4"/>
      <c r="C592" s="1"/>
      <c r="D592" s="2"/>
      <c r="E592" s="3"/>
      <c r="F592" s="4"/>
      <c r="G592" s="1"/>
      <c r="H592" s="7"/>
      <c r="I592" s="4"/>
    </row>
    <row r="593" spans="1:9" ht="21.75" customHeight="1">
      <c r="A593" s="1"/>
      <c r="B593" s="4"/>
      <c r="C593" s="1"/>
      <c r="D593" s="2"/>
      <c r="E593" s="3"/>
      <c r="F593" s="4"/>
      <c r="G593" s="1"/>
      <c r="H593" s="7"/>
      <c r="I593" s="4"/>
    </row>
    <row r="594" spans="1:9" ht="21.75" customHeight="1">
      <c r="A594" s="1"/>
      <c r="B594" s="4"/>
      <c r="C594" s="1"/>
      <c r="D594" s="2"/>
      <c r="E594" s="3"/>
      <c r="F594" s="4"/>
      <c r="G594" s="1"/>
      <c r="H594" s="7"/>
      <c r="I594" s="4"/>
    </row>
    <row r="595" spans="1:9" ht="21.75" customHeight="1">
      <c r="A595" s="1"/>
      <c r="B595" s="4"/>
      <c r="C595" s="1"/>
      <c r="D595" s="2"/>
      <c r="E595" s="3"/>
      <c r="F595" s="4"/>
      <c r="G595" s="1"/>
      <c r="H595" s="7"/>
      <c r="I595" s="4"/>
    </row>
    <row r="596" spans="1:9" ht="21.75" customHeight="1">
      <c r="A596" s="1"/>
      <c r="B596" s="4"/>
      <c r="C596" s="1"/>
      <c r="D596" s="2"/>
      <c r="E596" s="3"/>
      <c r="F596" s="4"/>
      <c r="G596" s="1"/>
      <c r="H596" s="7"/>
      <c r="I596" s="4"/>
    </row>
    <row r="597" spans="1:9" ht="21.75" customHeight="1">
      <c r="A597" s="1"/>
      <c r="B597" s="4"/>
      <c r="C597" s="1"/>
      <c r="D597" s="2"/>
      <c r="E597" s="3"/>
      <c r="F597" s="4"/>
      <c r="G597" s="1"/>
      <c r="H597" s="7"/>
      <c r="I597" s="4"/>
    </row>
    <row r="598" spans="1:9" ht="21.75" customHeight="1">
      <c r="A598" s="1"/>
      <c r="B598" s="4"/>
      <c r="C598" s="1"/>
      <c r="D598" s="2"/>
      <c r="E598" s="3"/>
      <c r="F598" s="4"/>
      <c r="G598" s="1"/>
      <c r="H598" s="7"/>
      <c r="I598" s="4"/>
    </row>
    <row r="599" spans="1:9" ht="21.75" customHeight="1">
      <c r="A599" s="1"/>
      <c r="B599" s="4"/>
      <c r="C599" s="1"/>
      <c r="D599" s="2"/>
      <c r="E599" s="3"/>
      <c r="F599" s="4"/>
      <c r="G599" s="1"/>
      <c r="H599" s="7"/>
      <c r="I599" s="4"/>
    </row>
    <row r="600" spans="1:9" ht="21.75" customHeight="1">
      <c r="A600" s="1"/>
      <c r="B600" s="4"/>
      <c r="C600" s="1"/>
      <c r="D600" s="2"/>
      <c r="E600" s="3"/>
      <c r="F600" s="4"/>
      <c r="G600" s="1"/>
      <c r="H600" s="7"/>
      <c r="I600" s="4"/>
    </row>
    <row r="601" spans="1:9" ht="21.75" customHeight="1">
      <c r="A601" s="1"/>
      <c r="B601" s="4"/>
      <c r="C601" s="1"/>
      <c r="D601" s="2"/>
      <c r="E601" s="3"/>
      <c r="F601" s="4"/>
      <c r="G601" s="1"/>
      <c r="H601" s="7"/>
      <c r="I601" s="4"/>
    </row>
    <row r="602" spans="1:9" ht="21.75" customHeight="1">
      <c r="A602" s="1"/>
      <c r="B602" s="4"/>
      <c r="C602" s="1"/>
      <c r="D602" s="2"/>
      <c r="E602" s="3"/>
      <c r="F602" s="4"/>
      <c r="G602" s="1"/>
      <c r="H602" s="7"/>
      <c r="I602" s="4"/>
    </row>
    <row r="603" spans="1:9" ht="21.75" customHeight="1">
      <c r="A603" s="1"/>
      <c r="B603" s="4"/>
      <c r="C603" s="1"/>
      <c r="D603" s="2"/>
      <c r="E603" s="3"/>
      <c r="F603" s="4"/>
      <c r="G603" s="1"/>
      <c r="H603" s="7"/>
      <c r="I603" s="4"/>
    </row>
    <row r="604" spans="1:9" ht="21.75" customHeight="1">
      <c r="A604" s="1"/>
      <c r="B604" s="4"/>
      <c r="C604" s="1"/>
      <c r="D604" s="2"/>
      <c r="E604" s="3"/>
      <c r="F604" s="4"/>
      <c r="G604" s="1"/>
      <c r="H604" s="7"/>
      <c r="I604" s="4"/>
    </row>
    <row r="605" spans="1:9" ht="21.75" customHeight="1">
      <c r="A605" s="1"/>
      <c r="B605" s="4"/>
      <c r="C605" s="1"/>
      <c r="D605" s="2"/>
      <c r="E605" s="3"/>
      <c r="F605" s="4"/>
      <c r="G605" s="1"/>
      <c r="H605" s="7"/>
      <c r="I605" s="4"/>
    </row>
    <row r="606" spans="1:9" ht="21.75" customHeight="1">
      <c r="A606" s="1"/>
      <c r="B606" s="4"/>
      <c r="C606" s="1"/>
      <c r="D606" s="2"/>
      <c r="E606" s="3"/>
      <c r="F606" s="4"/>
      <c r="G606" s="1"/>
      <c r="H606" s="7"/>
      <c r="I606" s="4"/>
    </row>
    <row r="607" spans="1:9" ht="21.75" customHeight="1">
      <c r="A607" s="1"/>
      <c r="B607" s="4"/>
      <c r="C607" s="1"/>
      <c r="D607" s="2"/>
      <c r="E607" s="3"/>
      <c r="F607" s="4"/>
      <c r="G607" s="1"/>
      <c r="H607" s="7"/>
      <c r="I607" s="4"/>
    </row>
    <row r="608" spans="1:9" ht="21.75" customHeight="1">
      <c r="A608" s="1"/>
      <c r="B608" s="4"/>
      <c r="C608" s="1"/>
      <c r="D608" s="2"/>
      <c r="E608" s="3"/>
      <c r="F608" s="4"/>
      <c r="G608" s="1"/>
      <c r="H608" s="7"/>
      <c r="I608" s="4"/>
    </row>
    <row r="609" spans="1:9" ht="21.75" customHeight="1">
      <c r="A609" s="1"/>
      <c r="B609" s="4"/>
      <c r="C609" s="1"/>
      <c r="D609" s="2"/>
      <c r="E609" s="3"/>
      <c r="F609" s="4"/>
      <c r="G609" s="1"/>
      <c r="H609" s="7"/>
      <c r="I609" s="4"/>
    </row>
    <row r="610" spans="1:9" ht="21.75" customHeight="1">
      <c r="A610" s="1"/>
      <c r="B610" s="4"/>
      <c r="C610" s="1"/>
      <c r="D610" s="2"/>
      <c r="E610" s="3"/>
      <c r="F610" s="4"/>
      <c r="G610" s="1"/>
      <c r="H610" s="7"/>
      <c r="I610" s="4"/>
    </row>
    <row r="611" spans="1:9" ht="21.75" customHeight="1">
      <c r="A611" s="1"/>
      <c r="B611" s="4"/>
      <c r="C611" s="1"/>
      <c r="D611" s="2"/>
      <c r="E611" s="3"/>
      <c r="F611" s="4"/>
      <c r="G611" s="1"/>
      <c r="H611" s="7"/>
      <c r="I611" s="4"/>
    </row>
    <row r="612" spans="1:9" ht="21.75" customHeight="1">
      <c r="A612" s="1"/>
      <c r="B612" s="4"/>
      <c r="C612" s="1"/>
      <c r="D612" s="2"/>
      <c r="E612" s="3"/>
      <c r="F612" s="4"/>
      <c r="G612" s="1"/>
      <c r="H612" s="7"/>
      <c r="I612" s="4"/>
    </row>
    <row r="613" spans="1:9" ht="21.75" customHeight="1">
      <c r="A613" s="1"/>
      <c r="B613" s="4"/>
      <c r="C613" s="1"/>
      <c r="D613" s="2"/>
      <c r="E613" s="3"/>
      <c r="F613" s="4"/>
      <c r="G613" s="1"/>
      <c r="H613" s="7"/>
      <c r="I613" s="4"/>
    </row>
    <row r="614" spans="1:9" ht="21.75" customHeight="1">
      <c r="A614" s="1"/>
      <c r="B614" s="4"/>
      <c r="C614" s="1"/>
      <c r="D614" s="2"/>
      <c r="E614" s="3"/>
      <c r="F614" s="4"/>
      <c r="G614" s="1"/>
      <c r="H614" s="7"/>
      <c r="I614" s="4"/>
    </row>
    <row r="615" spans="1:9" ht="21.75" customHeight="1">
      <c r="A615" s="1"/>
      <c r="B615" s="4"/>
      <c r="C615" s="1"/>
      <c r="D615" s="2"/>
      <c r="E615" s="3"/>
      <c r="F615" s="4"/>
      <c r="G615" s="1"/>
      <c r="H615" s="7"/>
      <c r="I615" s="4"/>
    </row>
    <row r="616" spans="1:9" ht="21.75" customHeight="1">
      <c r="A616" s="1"/>
      <c r="B616" s="4"/>
      <c r="C616" s="1"/>
      <c r="D616" s="2"/>
      <c r="E616" s="3"/>
      <c r="F616" s="4"/>
      <c r="G616" s="1"/>
      <c r="H616" s="7"/>
      <c r="I616" s="4"/>
    </row>
    <row r="617" spans="1:9" ht="21.75" customHeight="1">
      <c r="A617" s="1"/>
      <c r="B617" s="4"/>
      <c r="C617" s="1"/>
      <c r="D617" s="2"/>
      <c r="E617" s="3"/>
      <c r="F617" s="4"/>
      <c r="G617" s="1"/>
      <c r="H617" s="7"/>
      <c r="I617" s="4"/>
    </row>
    <row r="618" spans="1:9" ht="21.75" customHeight="1">
      <c r="A618" s="1"/>
      <c r="B618" s="4"/>
      <c r="C618" s="1"/>
      <c r="D618" s="2"/>
      <c r="E618" s="3"/>
      <c r="F618" s="4"/>
      <c r="G618" s="1"/>
      <c r="H618" s="7"/>
      <c r="I618" s="4"/>
    </row>
    <row r="619" spans="1:9" ht="21.75" customHeight="1">
      <c r="A619" s="1"/>
      <c r="B619" s="4"/>
      <c r="C619" s="1"/>
      <c r="D619" s="2"/>
      <c r="E619" s="3"/>
      <c r="F619" s="4"/>
      <c r="G619" s="1"/>
      <c r="H619" s="7"/>
      <c r="I619" s="4"/>
    </row>
    <row r="620" spans="1:9" ht="21.75" customHeight="1">
      <c r="A620" s="1"/>
      <c r="B620" s="4"/>
      <c r="C620" s="1"/>
      <c r="D620" s="2"/>
      <c r="E620" s="3"/>
      <c r="F620" s="4"/>
      <c r="G620" s="1"/>
      <c r="H620" s="7"/>
      <c r="I620" s="4"/>
    </row>
    <row r="621" spans="1:9" ht="21.75" customHeight="1">
      <c r="A621" s="1"/>
      <c r="B621" s="4"/>
      <c r="C621" s="1"/>
      <c r="D621" s="2"/>
      <c r="E621" s="3"/>
      <c r="F621" s="4"/>
      <c r="G621" s="1"/>
      <c r="H621" s="7"/>
      <c r="I621" s="4"/>
    </row>
    <row r="622" spans="1:9" ht="21.75" customHeight="1">
      <c r="A622" s="1"/>
      <c r="B622" s="4"/>
      <c r="C622" s="1"/>
      <c r="D622" s="2"/>
      <c r="E622" s="3"/>
      <c r="F622" s="4"/>
      <c r="G622" s="1"/>
      <c r="H622" s="7"/>
      <c r="I622" s="4"/>
    </row>
    <row r="623" spans="1:9" ht="21.75" customHeight="1">
      <c r="A623" s="1"/>
      <c r="B623" s="4"/>
      <c r="C623" s="1"/>
      <c r="D623" s="2"/>
      <c r="E623" s="3"/>
      <c r="F623" s="4"/>
      <c r="G623" s="1"/>
      <c r="H623" s="7"/>
      <c r="I623" s="4"/>
    </row>
    <row r="624" spans="1:9" ht="21.75" customHeight="1">
      <c r="A624" s="1"/>
      <c r="B624" s="4"/>
      <c r="C624" s="1"/>
      <c r="D624" s="2"/>
      <c r="E624" s="3"/>
      <c r="F624" s="4"/>
      <c r="G624" s="1"/>
      <c r="H624" s="7"/>
      <c r="I624" s="4"/>
    </row>
    <row r="625" spans="1:9" ht="21.75" customHeight="1">
      <c r="A625" s="1"/>
      <c r="B625" s="4"/>
      <c r="C625" s="1"/>
      <c r="D625" s="2"/>
      <c r="E625" s="3"/>
      <c r="F625" s="4"/>
      <c r="G625" s="1"/>
      <c r="H625" s="7"/>
      <c r="I625" s="4"/>
    </row>
    <row r="626" spans="1:9" ht="21.75" customHeight="1">
      <c r="A626" s="1"/>
      <c r="B626" s="4"/>
      <c r="C626" s="1"/>
      <c r="D626" s="2"/>
      <c r="E626" s="3"/>
      <c r="F626" s="4"/>
      <c r="G626" s="1"/>
      <c r="H626" s="7"/>
      <c r="I626" s="4"/>
    </row>
    <row r="627" spans="1:9" ht="21.75" customHeight="1">
      <c r="A627" s="1"/>
      <c r="B627" s="4"/>
      <c r="C627" s="1"/>
      <c r="D627" s="2"/>
      <c r="E627" s="3"/>
      <c r="F627" s="4"/>
      <c r="G627" s="1"/>
      <c r="H627" s="7"/>
      <c r="I627" s="4"/>
    </row>
    <row r="628" spans="1:9" ht="21.75" customHeight="1">
      <c r="A628" s="1"/>
      <c r="B628" s="4"/>
      <c r="C628" s="1"/>
      <c r="D628" s="2"/>
      <c r="E628" s="3"/>
      <c r="F628" s="4"/>
      <c r="G628" s="1"/>
      <c r="H628" s="7"/>
      <c r="I628" s="4"/>
    </row>
    <row r="629" spans="1:9" ht="21.75" customHeight="1">
      <c r="A629" s="1"/>
      <c r="B629" s="4"/>
      <c r="C629" s="1"/>
      <c r="D629" s="2"/>
      <c r="E629" s="3"/>
      <c r="F629" s="4"/>
      <c r="G629" s="1"/>
      <c r="H629" s="7"/>
      <c r="I629" s="4"/>
    </row>
    <row r="630" spans="1:9" ht="21.75" customHeight="1">
      <c r="A630" s="1"/>
      <c r="B630" s="4"/>
      <c r="C630" s="1"/>
      <c r="D630" s="2"/>
      <c r="E630" s="3"/>
      <c r="F630" s="4"/>
      <c r="G630" s="1"/>
      <c r="H630" s="7"/>
      <c r="I630" s="4"/>
    </row>
    <row r="631" spans="1:9" ht="21.75" customHeight="1">
      <c r="A631" s="1"/>
      <c r="B631" s="4"/>
      <c r="C631" s="1"/>
      <c r="D631" s="2"/>
      <c r="E631" s="3"/>
      <c r="F631" s="4"/>
      <c r="G631" s="1"/>
      <c r="H631" s="7"/>
      <c r="I631" s="4"/>
    </row>
    <row r="632" spans="1:9" ht="21.75" customHeight="1">
      <c r="A632" s="1"/>
      <c r="B632" s="4"/>
      <c r="C632" s="1"/>
      <c r="D632" s="2"/>
      <c r="E632" s="3"/>
      <c r="F632" s="4"/>
      <c r="G632" s="1"/>
      <c r="H632" s="7"/>
      <c r="I632" s="4"/>
    </row>
    <row r="633" spans="1:9" ht="21.75" customHeight="1">
      <c r="A633" s="1"/>
      <c r="B633" s="4"/>
      <c r="C633" s="1"/>
      <c r="D633" s="2"/>
      <c r="E633" s="3"/>
      <c r="F633" s="4"/>
      <c r="G633" s="1"/>
      <c r="H633" s="7"/>
      <c r="I633" s="4"/>
    </row>
    <row r="634" spans="1:9" ht="21.75" customHeight="1">
      <c r="A634" s="1"/>
      <c r="B634" s="4"/>
      <c r="C634" s="1"/>
      <c r="D634" s="2"/>
      <c r="E634" s="3"/>
      <c r="F634" s="4"/>
      <c r="G634" s="1"/>
      <c r="H634" s="7"/>
      <c r="I634" s="4"/>
    </row>
    <row r="635" spans="1:9" ht="21.75" customHeight="1">
      <c r="A635" s="1"/>
      <c r="B635" s="4"/>
      <c r="C635" s="1"/>
      <c r="D635" s="2"/>
      <c r="E635" s="3"/>
      <c r="F635" s="4"/>
      <c r="G635" s="1"/>
      <c r="H635" s="7"/>
      <c r="I635" s="4"/>
    </row>
    <row r="636" spans="1:9" ht="21.75" customHeight="1">
      <c r="A636" s="1"/>
      <c r="B636" s="4"/>
      <c r="C636" s="1"/>
      <c r="D636" s="2"/>
      <c r="E636" s="3"/>
      <c r="F636" s="4"/>
      <c r="G636" s="1"/>
      <c r="H636" s="7"/>
      <c r="I636" s="4"/>
    </row>
    <row r="637" spans="1:9" ht="21.75" customHeight="1">
      <c r="A637" s="1"/>
      <c r="B637" s="4"/>
      <c r="C637" s="1"/>
      <c r="D637" s="2"/>
      <c r="E637" s="3"/>
      <c r="F637" s="4"/>
      <c r="G637" s="1"/>
      <c r="H637" s="7"/>
      <c r="I637" s="4"/>
    </row>
    <row r="638" spans="1:9" ht="21.75" customHeight="1">
      <c r="A638" s="1"/>
      <c r="B638" s="4"/>
      <c r="C638" s="1"/>
      <c r="D638" s="2"/>
      <c r="E638" s="3"/>
      <c r="F638" s="4"/>
      <c r="G638" s="1"/>
      <c r="H638" s="7"/>
      <c r="I638" s="4"/>
    </row>
    <row r="639" spans="1:9" ht="21.75" customHeight="1">
      <c r="A639" s="1"/>
      <c r="B639" s="4"/>
      <c r="C639" s="1"/>
      <c r="D639" s="2"/>
      <c r="E639" s="3"/>
      <c r="F639" s="4"/>
      <c r="G639" s="1"/>
      <c r="H639" s="7"/>
      <c r="I639" s="4"/>
    </row>
    <row r="640" spans="1:9" ht="21.75" customHeight="1">
      <c r="A640" s="1"/>
      <c r="B640" s="4"/>
      <c r="C640" s="1"/>
      <c r="D640" s="2"/>
      <c r="E640" s="3"/>
      <c r="F640" s="4"/>
      <c r="G640" s="1"/>
      <c r="H640" s="7"/>
      <c r="I640" s="4"/>
    </row>
    <row r="641" spans="1:9" ht="21.75" customHeight="1">
      <c r="A641" s="1"/>
      <c r="B641" s="4"/>
      <c r="C641" s="1"/>
      <c r="D641" s="2"/>
      <c r="E641" s="3"/>
      <c r="F641" s="4"/>
      <c r="G641" s="1"/>
      <c r="H641" s="7"/>
      <c r="I641" s="4"/>
    </row>
    <row r="642" spans="1:9" ht="21.75" customHeight="1">
      <c r="A642" s="1"/>
      <c r="B642" s="4"/>
      <c r="C642" s="1"/>
      <c r="D642" s="2"/>
      <c r="E642" s="3"/>
      <c r="F642" s="4"/>
      <c r="G642" s="1"/>
      <c r="H642" s="7"/>
      <c r="I642" s="4"/>
    </row>
    <row r="643" spans="1:9" ht="21.75" customHeight="1">
      <c r="A643" s="1"/>
      <c r="B643" s="4"/>
      <c r="C643" s="1"/>
      <c r="D643" s="2"/>
      <c r="E643" s="3"/>
      <c r="F643" s="4"/>
      <c r="G643" s="1"/>
      <c r="H643" s="7"/>
      <c r="I643" s="4"/>
    </row>
    <row r="644" spans="1:9" ht="21.75" customHeight="1">
      <c r="A644" s="1"/>
      <c r="B644" s="4"/>
      <c r="C644" s="1"/>
      <c r="D644" s="2"/>
      <c r="E644" s="3"/>
      <c r="F644" s="4"/>
      <c r="G644" s="1"/>
      <c r="H644" s="7"/>
      <c r="I644" s="4"/>
    </row>
    <row r="645" spans="1:9" ht="21.75" customHeight="1">
      <c r="A645" s="1"/>
      <c r="B645" s="4"/>
      <c r="C645" s="1"/>
      <c r="D645" s="2"/>
      <c r="E645" s="3"/>
      <c r="F645" s="4"/>
      <c r="G645" s="1"/>
      <c r="H645" s="7"/>
      <c r="I645" s="4"/>
    </row>
    <row r="646" spans="1:9" ht="21.75" customHeight="1">
      <c r="A646" s="1"/>
      <c r="B646" s="4"/>
      <c r="C646" s="1"/>
      <c r="D646" s="2"/>
      <c r="E646" s="3"/>
      <c r="F646" s="4"/>
      <c r="G646" s="1"/>
      <c r="H646" s="7"/>
      <c r="I646" s="4"/>
    </row>
    <row r="647" spans="1:9" ht="21.75" customHeight="1">
      <c r="A647" s="1"/>
      <c r="B647" s="4"/>
      <c r="C647" s="1"/>
      <c r="D647" s="2"/>
      <c r="E647" s="3"/>
      <c r="F647" s="4"/>
      <c r="G647" s="1"/>
      <c r="H647" s="7"/>
      <c r="I647" s="4"/>
    </row>
    <row r="648" spans="1:9" ht="21.75" customHeight="1">
      <c r="A648" s="1"/>
      <c r="B648" s="4"/>
      <c r="C648" s="1"/>
      <c r="D648" s="2"/>
      <c r="E648" s="3"/>
      <c r="F648" s="4"/>
      <c r="G648" s="1"/>
      <c r="H648" s="7"/>
      <c r="I648" s="4"/>
    </row>
    <row r="649" spans="1:9" ht="21.75" customHeight="1">
      <c r="A649" s="1"/>
      <c r="B649" s="4"/>
      <c r="C649" s="1"/>
      <c r="D649" s="2"/>
      <c r="E649" s="3"/>
      <c r="F649" s="4"/>
      <c r="G649" s="1"/>
      <c r="H649" s="7"/>
      <c r="I649" s="4"/>
    </row>
    <row r="650" spans="1:9" ht="21.75" customHeight="1">
      <c r="A650" s="1"/>
      <c r="B650" s="4"/>
      <c r="C650" s="1"/>
      <c r="D650" s="2"/>
      <c r="E650" s="3"/>
      <c r="F650" s="4"/>
      <c r="G650" s="1"/>
      <c r="H650" s="7"/>
      <c r="I650" s="4"/>
    </row>
    <row r="651" spans="1:9" ht="21.75" customHeight="1">
      <c r="A651" s="1"/>
      <c r="B651" s="4"/>
      <c r="C651" s="1"/>
      <c r="D651" s="2"/>
      <c r="E651" s="3"/>
      <c r="F651" s="4"/>
      <c r="G651" s="1"/>
      <c r="H651" s="7"/>
      <c r="I651" s="4"/>
    </row>
    <row r="652" spans="1:9" ht="21.75" customHeight="1">
      <c r="A652" s="1"/>
      <c r="B652" s="4"/>
      <c r="C652" s="1"/>
      <c r="D652" s="2"/>
      <c r="E652" s="3"/>
      <c r="F652" s="4"/>
      <c r="G652" s="1"/>
      <c r="H652" s="7"/>
      <c r="I652" s="4"/>
    </row>
    <row r="653" spans="1:9" ht="21.75" customHeight="1">
      <c r="A653" s="1"/>
      <c r="B653" s="4"/>
      <c r="C653" s="1"/>
      <c r="D653" s="2"/>
      <c r="E653" s="3"/>
      <c r="F653" s="4"/>
      <c r="G653" s="1"/>
      <c r="H653" s="7"/>
      <c r="I653" s="4"/>
    </row>
    <row r="654" spans="1:9" ht="21.75" customHeight="1">
      <c r="A654" s="1"/>
      <c r="B654" s="4"/>
      <c r="C654" s="1"/>
      <c r="D654" s="2"/>
      <c r="E654" s="3"/>
      <c r="F654" s="4"/>
      <c r="G654" s="1"/>
      <c r="H654" s="7"/>
      <c r="I654" s="4"/>
    </row>
    <row r="655" spans="1:9" ht="21.75" customHeight="1">
      <c r="A655" s="1"/>
      <c r="B655" s="4"/>
      <c r="C655" s="1"/>
      <c r="D655" s="2"/>
      <c r="E655" s="3"/>
      <c r="F655" s="4"/>
      <c r="G655" s="1"/>
      <c r="H655" s="7"/>
      <c r="I655" s="4"/>
    </row>
    <row r="656" spans="1:9" ht="21.75" customHeight="1">
      <c r="A656" s="1"/>
      <c r="B656" s="4"/>
      <c r="C656" s="1"/>
      <c r="D656" s="2"/>
      <c r="E656" s="3"/>
      <c r="F656" s="4"/>
      <c r="G656" s="1"/>
      <c r="H656" s="7"/>
      <c r="I656" s="4"/>
    </row>
    <row r="657" spans="1:9" ht="21.75" customHeight="1">
      <c r="A657" s="1"/>
      <c r="B657" s="4"/>
      <c r="C657" s="1"/>
      <c r="D657" s="2"/>
      <c r="E657" s="3"/>
      <c r="F657" s="4"/>
      <c r="G657" s="1"/>
      <c r="H657" s="7"/>
      <c r="I657" s="4"/>
    </row>
    <row r="658" spans="1:9" ht="21.75" customHeight="1">
      <c r="A658" s="1"/>
      <c r="B658" s="4"/>
      <c r="C658" s="1"/>
      <c r="D658" s="2"/>
      <c r="E658" s="3"/>
      <c r="F658" s="4"/>
      <c r="G658" s="1"/>
      <c r="H658" s="7"/>
      <c r="I658" s="4"/>
    </row>
    <row r="659" spans="1:9" ht="21.75" customHeight="1">
      <c r="A659" s="1"/>
      <c r="B659" s="4"/>
      <c r="C659" s="1"/>
      <c r="D659" s="2"/>
      <c r="E659" s="3"/>
      <c r="F659" s="4"/>
      <c r="G659" s="1"/>
      <c r="H659" s="7"/>
      <c r="I659" s="4"/>
    </row>
    <row r="660" spans="1:9" ht="21.75" customHeight="1">
      <c r="A660" s="1"/>
      <c r="B660" s="4"/>
      <c r="C660" s="1"/>
      <c r="D660" s="2"/>
      <c r="E660" s="3"/>
      <c r="F660" s="4"/>
      <c r="G660" s="1"/>
      <c r="H660" s="7"/>
      <c r="I660" s="4"/>
    </row>
    <row r="661" spans="1:9" ht="21.75" customHeight="1">
      <c r="A661" s="1"/>
      <c r="B661" s="4"/>
      <c r="C661" s="1"/>
      <c r="D661" s="2"/>
      <c r="E661" s="3"/>
      <c r="F661" s="4"/>
      <c r="G661" s="1"/>
      <c r="H661" s="7"/>
      <c r="I661" s="4"/>
    </row>
    <row r="662" spans="1:9" ht="21.75" customHeight="1">
      <c r="A662" s="1"/>
      <c r="B662" s="4"/>
      <c r="C662" s="1"/>
      <c r="D662" s="2"/>
      <c r="E662" s="3"/>
      <c r="F662" s="4"/>
      <c r="G662" s="1"/>
      <c r="H662" s="7"/>
      <c r="I662" s="4"/>
    </row>
    <row r="663" spans="1:9" ht="21.75" customHeight="1">
      <c r="A663" s="1"/>
      <c r="B663" s="4"/>
      <c r="C663" s="1"/>
      <c r="D663" s="2"/>
      <c r="E663" s="3"/>
      <c r="F663" s="4"/>
      <c r="G663" s="1"/>
      <c r="H663" s="7"/>
      <c r="I663" s="4"/>
    </row>
    <row r="664" spans="1:9" ht="21.75" customHeight="1">
      <c r="A664" s="1"/>
      <c r="B664" s="4"/>
      <c r="C664" s="1"/>
      <c r="D664" s="2"/>
      <c r="E664" s="3"/>
      <c r="F664" s="4"/>
      <c r="G664" s="1"/>
      <c r="H664" s="7"/>
      <c r="I664" s="4"/>
    </row>
    <row r="665" spans="1:9" ht="21.75" customHeight="1">
      <c r="A665" s="1"/>
      <c r="B665" s="4"/>
      <c r="C665" s="1"/>
      <c r="D665" s="2"/>
      <c r="E665" s="3"/>
      <c r="F665" s="4"/>
      <c r="G665" s="1"/>
      <c r="H665" s="7"/>
      <c r="I665" s="4"/>
    </row>
    <row r="666" spans="1:9" ht="21.75" customHeight="1">
      <c r="A666" s="1"/>
      <c r="B666" s="4"/>
      <c r="C666" s="1"/>
      <c r="D666" s="2"/>
      <c r="E666" s="3"/>
      <c r="F666" s="4"/>
      <c r="G666" s="1"/>
      <c r="H666" s="7"/>
      <c r="I666" s="4"/>
    </row>
    <row r="667" spans="1:9" ht="21.75" customHeight="1">
      <c r="A667" s="1"/>
      <c r="B667" s="4"/>
      <c r="C667" s="1"/>
      <c r="D667" s="2"/>
      <c r="E667" s="3"/>
      <c r="F667" s="4"/>
      <c r="G667" s="1"/>
      <c r="H667" s="7"/>
      <c r="I667" s="4"/>
    </row>
    <row r="668" spans="1:9" ht="21.75" customHeight="1">
      <c r="A668" s="1"/>
      <c r="B668" s="4"/>
      <c r="C668" s="1"/>
      <c r="D668" s="2"/>
      <c r="E668" s="3"/>
      <c r="F668" s="4"/>
      <c r="G668" s="1"/>
      <c r="H668" s="7"/>
      <c r="I668" s="4"/>
    </row>
    <row r="669" spans="1:9" ht="21.75" customHeight="1">
      <c r="A669" s="1"/>
      <c r="B669" s="4"/>
      <c r="C669" s="1"/>
      <c r="D669" s="2"/>
      <c r="E669" s="3"/>
      <c r="F669" s="4"/>
      <c r="G669" s="1"/>
      <c r="H669" s="7"/>
      <c r="I669" s="4"/>
    </row>
    <row r="670" spans="1:9" ht="21.75" customHeight="1">
      <c r="A670" s="1"/>
      <c r="B670" s="4"/>
      <c r="C670" s="1"/>
      <c r="D670" s="2"/>
      <c r="E670" s="3"/>
      <c r="F670" s="4"/>
      <c r="G670" s="1"/>
      <c r="H670" s="7"/>
      <c r="I670" s="4"/>
    </row>
    <row r="671" spans="1:9" ht="21.75" customHeight="1">
      <c r="A671" s="1"/>
      <c r="B671" s="4"/>
      <c r="C671" s="1"/>
      <c r="D671" s="2"/>
      <c r="E671" s="3"/>
      <c r="F671" s="4"/>
      <c r="G671" s="1"/>
      <c r="H671" s="7"/>
      <c r="I671" s="4"/>
    </row>
    <row r="672" spans="1:9" ht="21.75" customHeight="1">
      <c r="A672" s="1"/>
      <c r="B672" s="4"/>
      <c r="C672" s="1"/>
      <c r="D672" s="2"/>
      <c r="E672" s="3"/>
      <c r="F672" s="4"/>
      <c r="G672" s="1"/>
      <c r="H672" s="7"/>
      <c r="I672" s="4"/>
    </row>
    <row r="673" spans="1:9" ht="21.75" customHeight="1">
      <c r="A673" s="1"/>
      <c r="B673" s="4"/>
      <c r="C673" s="1"/>
      <c r="D673" s="2"/>
      <c r="E673" s="3"/>
      <c r="F673" s="4"/>
      <c r="G673" s="1"/>
      <c r="H673" s="7"/>
      <c r="I673" s="4"/>
    </row>
    <row r="674" spans="1:9" ht="21.75" customHeight="1">
      <c r="A674" s="1"/>
      <c r="B674" s="4"/>
      <c r="C674" s="1"/>
      <c r="D674" s="2"/>
      <c r="E674" s="3"/>
      <c r="F674" s="4"/>
      <c r="G674" s="1"/>
      <c r="H674" s="7"/>
      <c r="I674" s="4"/>
    </row>
    <row r="675" spans="1:9" ht="21.75" customHeight="1">
      <c r="A675" s="1"/>
      <c r="B675" s="4"/>
      <c r="C675" s="1"/>
      <c r="D675" s="2"/>
      <c r="E675" s="3"/>
      <c r="F675" s="4"/>
      <c r="G675" s="1"/>
      <c r="H675" s="7"/>
      <c r="I675" s="4"/>
    </row>
    <row r="676" spans="1:9" ht="21.75" customHeight="1">
      <c r="A676" s="1"/>
      <c r="B676" s="4"/>
      <c r="C676" s="1"/>
      <c r="D676" s="2"/>
      <c r="E676" s="3"/>
      <c r="F676" s="4"/>
      <c r="G676" s="1"/>
      <c r="H676" s="7"/>
      <c r="I676" s="4"/>
    </row>
    <row r="677" spans="1:9" ht="21.75" customHeight="1">
      <c r="A677" s="1"/>
      <c r="B677" s="4"/>
      <c r="C677" s="1"/>
      <c r="D677" s="2"/>
      <c r="E677" s="3"/>
      <c r="F677" s="4"/>
      <c r="G677" s="1"/>
      <c r="H677" s="7"/>
      <c r="I677" s="4"/>
    </row>
    <row r="678" spans="1:9" ht="21.75" customHeight="1">
      <c r="A678" s="1"/>
      <c r="B678" s="4"/>
      <c r="C678" s="1"/>
      <c r="D678" s="2"/>
      <c r="E678" s="3"/>
      <c r="F678" s="4"/>
      <c r="G678" s="1"/>
      <c r="H678" s="7"/>
      <c r="I678" s="4"/>
    </row>
    <row r="679" spans="1:9" ht="21.75" customHeight="1">
      <c r="A679" s="1"/>
      <c r="B679" s="4"/>
      <c r="C679" s="1"/>
      <c r="D679" s="2"/>
      <c r="E679" s="3"/>
      <c r="F679" s="4"/>
      <c r="G679" s="1"/>
      <c r="H679" s="7"/>
      <c r="I679" s="4"/>
    </row>
    <row r="680" spans="1:9" ht="21.75" customHeight="1">
      <c r="A680" s="1"/>
      <c r="B680" s="4"/>
      <c r="C680" s="1"/>
      <c r="D680" s="2"/>
      <c r="E680" s="3"/>
      <c r="F680" s="4"/>
      <c r="G680" s="1"/>
      <c r="H680" s="7"/>
      <c r="I680" s="4"/>
    </row>
    <row r="681" spans="1:9" ht="21.75" customHeight="1">
      <c r="A681" s="1"/>
      <c r="B681" s="4"/>
      <c r="C681" s="1"/>
      <c r="D681" s="2"/>
      <c r="E681" s="3"/>
      <c r="F681" s="4"/>
      <c r="G681" s="1"/>
      <c r="H681" s="7"/>
      <c r="I681" s="4"/>
    </row>
    <row r="682" spans="1:9" ht="21.75" customHeight="1">
      <c r="A682" s="1"/>
      <c r="B682" s="4"/>
      <c r="C682" s="1"/>
      <c r="D682" s="2"/>
      <c r="E682" s="3"/>
      <c r="F682" s="4"/>
      <c r="G682" s="1"/>
      <c r="H682" s="7"/>
      <c r="I682" s="4"/>
    </row>
    <row r="683" spans="1:9" ht="21.75" customHeight="1">
      <c r="A683" s="1"/>
      <c r="B683" s="4"/>
      <c r="C683" s="1"/>
      <c r="D683" s="2"/>
      <c r="E683" s="3"/>
      <c r="F683" s="4"/>
      <c r="G683" s="1"/>
      <c r="H683" s="7"/>
      <c r="I683" s="4"/>
    </row>
    <row r="684" spans="1:9" ht="21.75" customHeight="1">
      <c r="A684" s="1"/>
      <c r="B684" s="4"/>
      <c r="C684" s="1"/>
      <c r="D684" s="2"/>
      <c r="E684" s="3"/>
      <c r="F684" s="4"/>
      <c r="G684" s="1"/>
      <c r="H684" s="7"/>
      <c r="I684" s="4"/>
    </row>
    <row r="685" spans="1:9" ht="21.75" customHeight="1">
      <c r="A685" s="1"/>
      <c r="B685" s="4"/>
      <c r="C685" s="1"/>
      <c r="D685" s="2"/>
      <c r="E685" s="3"/>
      <c r="F685" s="4"/>
      <c r="G685" s="1"/>
      <c r="H685" s="7"/>
      <c r="I685" s="4"/>
    </row>
    <row r="686" spans="1:9" ht="21.75" customHeight="1">
      <c r="A686" s="1"/>
      <c r="B686" s="4"/>
      <c r="C686" s="1"/>
      <c r="D686" s="2"/>
      <c r="E686" s="3"/>
      <c r="F686" s="4"/>
      <c r="G686" s="1"/>
      <c r="H686" s="7"/>
      <c r="I686" s="4"/>
    </row>
    <row r="687" spans="1:9" ht="21.75" customHeight="1">
      <c r="A687" s="1"/>
      <c r="B687" s="4"/>
      <c r="C687" s="1"/>
      <c r="D687" s="2"/>
      <c r="E687" s="3"/>
      <c r="F687" s="4"/>
      <c r="G687" s="1"/>
      <c r="H687" s="7"/>
      <c r="I687" s="4"/>
    </row>
    <row r="688" spans="1:9" ht="21.75" customHeight="1">
      <c r="A688" s="1"/>
      <c r="B688" s="4"/>
      <c r="C688" s="1"/>
      <c r="D688" s="2"/>
      <c r="E688" s="3"/>
      <c r="F688" s="4"/>
      <c r="G688" s="1"/>
      <c r="H688" s="7"/>
      <c r="I688" s="4"/>
    </row>
    <row r="689" spans="1:9" ht="21.75" customHeight="1">
      <c r="A689" s="1"/>
      <c r="B689" s="4"/>
      <c r="C689" s="1"/>
      <c r="D689" s="2"/>
      <c r="E689" s="3"/>
      <c r="F689" s="4"/>
      <c r="G689" s="1"/>
      <c r="H689" s="7"/>
      <c r="I689" s="4"/>
    </row>
    <row r="690" spans="1:9" ht="21.75" customHeight="1">
      <c r="A690" s="1"/>
      <c r="B690" s="4"/>
      <c r="C690" s="1"/>
      <c r="D690" s="2"/>
      <c r="E690" s="3"/>
      <c r="F690" s="4"/>
      <c r="G690" s="1"/>
      <c r="H690" s="7"/>
      <c r="I690" s="4"/>
    </row>
    <row r="691" spans="1:9" ht="21.75" customHeight="1">
      <c r="A691" s="1"/>
      <c r="B691" s="4"/>
      <c r="C691" s="1"/>
      <c r="D691" s="2"/>
      <c r="E691" s="3"/>
      <c r="F691" s="4"/>
      <c r="G691" s="1"/>
      <c r="H691" s="7"/>
      <c r="I691" s="4"/>
    </row>
    <row r="692" spans="1:9" ht="21.75" customHeight="1">
      <c r="A692" s="1"/>
      <c r="B692" s="4"/>
      <c r="C692" s="1"/>
      <c r="D692" s="2"/>
      <c r="E692" s="3"/>
      <c r="F692" s="4"/>
      <c r="G692" s="1"/>
      <c r="H692" s="7"/>
      <c r="I692" s="4"/>
    </row>
    <row r="693" spans="1:9" ht="21.75" customHeight="1">
      <c r="A693" s="1"/>
      <c r="B693" s="4"/>
      <c r="C693" s="1"/>
      <c r="D693" s="2"/>
      <c r="E693" s="3"/>
      <c r="F693" s="4"/>
      <c r="G693" s="1"/>
      <c r="H693" s="7"/>
      <c r="I693" s="4"/>
    </row>
    <row r="694" spans="1:9" ht="21.75" customHeight="1">
      <c r="A694" s="1"/>
      <c r="B694" s="4"/>
      <c r="C694" s="1"/>
      <c r="D694" s="2"/>
      <c r="E694" s="3"/>
      <c r="F694" s="4"/>
      <c r="G694" s="1"/>
      <c r="H694" s="7"/>
      <c r="I694" s="4"/>
    </row>
    <row r="695" spans="1:9" ht="21.75" customHeight="1">
      <c r="A695" s="1"/>
      <c r="B695" s="4"/>
      <c r="C695" s="1"/>
      <c r="D695" s="2"/>
      <c r="E695" s="3"/>
      <c r="F695" s="4"/>
      <c r="G695" s="1"/>
      <c r="H695" s="7"/>
      <c r="I695" s="4"/>
    </row>
    <row r="696" spans="1:9" ht="21.75" customHeight="1">
      <c r="A696" s="1"/>
      <c r="B696" s="4"/>
      <c r="C696" s="1"/>
      <c r="D696" s="2"/>
      <c r="E696" s="3"/>
      <c r="F696" s="4"/>
      <c r="G696" s="1"/>
      <c r="H696" s="7"/>
      <c r="I696" s="4"/>
    </row>
    <row r="697" spans="1:9" ht="21.75" customHeight="1">
      <c r="A697" s="1"/>
      <c r="B697" s="4"/>
      <c r="C697" s="1"/>
      <c r="D697" s="2"/>
      <c r="E697" s="3"/>
      <c r="F697" s="4"/>
      <c r="G697" s="1"/>
      <c r="H697" s="7"/>
      <c r="I697" s="4"/>
    </row>
    <row r="698" spans="1:9" ht="21.75" customHeight="1">
      <c r="A698" s="1"/>
      <c r="B698" s="4"/>
      <c r="C698" s="1"/>
      <c r="D698" s="2"/>
      <c r="E698" s="3"/>
      <c r="F698" s="4"/>
      <c r="G698" s="1"/>
      <c r="H698" s="7"/>
      <c r="I698" s="4"/>
    </row>
    <row r="699" spans="1:9" ht="21.75" customHeight="1">
      <c r="A699" s="1"/>
      <c r="B699" s="4"/>
      <c r="C699" s="1"/>
      <c r="D699" s="2"/>
      <c r="E699" s="3"/>
      <c r="F699" s="4"/>
      <c r="G699" s="1"/>
      <c r="H699" s="7"/>
      <c r="I699" s="4"/>
    </row>
    <row r="700" spans="1:9" ht="21.75" customHeight="1">
      <c r="A700" s="1"/>
      <c r="B700" s="4"/>
      <c r="C700" s="1"/>
      <c r="D700" s="2"/>
      <c r="E700" s="3"/>
      <c r="F700" s="4"/>
      <c r="G700" s="1"/>
      <c r="H700" s="7"/>
      <c r="I700" s="4"/>
    </row>
    <row r="701" spans="1:9" ht="21.75" customHeight="1">
      <c r="A701" s="1"/>
      <c r="B701" s="4"/>
      <c r="C701" s="1"/>
      <c r="D701" s="2"/>
      <c r="E701" s="3"/>
      <c r="F701" s="4"/>
      <c r="G701" s="1"/>
      <c r="H701" s="7"/>
      <c r="I701" s="4"/>
    </row>
    <row r="702" spans="1:9" ht="21.75" customHeight="1">
      <c r="A702" s="1"/>
      <c r="B702" s="4"/>
      <c r="C702" s="1"/>
      <c r="D702" s="2"/>
      <c r="E702" s="3"/>
      <c r="F702" s="4"/>
      <c r="G702" s="1"/>
      <c r="H702" s="7"/>
      <c r="I702" s="4"/>
    </row>
    <row r="703" spans="1:9" ht="21.75" customHeight="1">
      <c r="A703" s="1"/>
      <c r="B703" s="4"/>
      <c r="C703" s="1"/>
      <c r="D703" s="2"/>
      <c r="E703" s="3"/>
      <c r="F703" s="4"/>
      <c r="G703" s="1"/>
      <c r="H703" s="7"/>
      <c r="I703" s="4"/>
    </row>
    <row r="704" spans="1:9" ht="21.75" customHeight="1">
      <c r="A704" s="1"/>
      <c r="B704" s="4"/>
      <c r="C704" s="1"/>
      <c r="D704" s="2"/>
      <c r="E704" s="3"/>
      <c r="F704" s="4"/>
      <c r="G704" s="1"/>
      <c r="H704" s="7"/>
      <c r="I704" s="4"/>
    </row>
    <row r="705" spans="1:9" ht="21.75" customHeight="1">
      <c r="A705" s="1"/>
      <c r="B705" s="4"/>
      <c r="C705" s="1"/>
      <c r="D705" s="2"/>
      <c r="E705" s="3"/>
      <c r="F705" s="4"/>
      <c r="G705" s="1"/>
      <c r="H705" s="7"/>
      <c r="I705" s="4"/>
    </row>
    <row r="706" spans="1:9" ht="21.75" customHeight="1">
      <c r="A706" s="1"/>
      <c r="B706" s="4"/>
      <c r="C706" s="1"/>
      <c r="D706" s="2"/>
      <c r="E706" s="3"/>
      <c r="F706" s="4"/>
      <c r="G706" s="1"/>
      <c r="H706" s="7"/>
      <c r="I706" s="4"/>
    </row>
    <row r="707" spans="1:9" ht="21.75" customHeight="1">
      <c r="A707" s="1"/>
      <c r="B707" s="4"/>
      <c r="C707" s="1"/>
      <c r="D707" s="2"/>
      <c r="E707" s="3"/>
      <c r="F707" s="4"/>
      <c r="G707" s="1"/>
      <c r="H707" s="7"/>
      <c r="I707" s="4"/>
    </row>
    <row r="708" spans="1:9" ht="21.75" customHeight="1">
      <c r="A708" s="1"/>
      <c r="B708" s="4"/>
      <c r="C708" s="1"/>
      <c r="D708" s="2"/>
      <c r="E708" s="3"/>
      <c r="F708" s="4"/>
      <c r="G708" s="1"/>
      <c r="H708" s="7"/>
      <c r="I708" s="4"/>
    </row>
    <row r="709" spans="1:9" ht="21.75" customHeight="1">
      <c r="A709" s="1"/>
      <c r="B709" s="4"/>
      <c r="C709" s="1"/>
      <c r="D709" s="2"/>
      <c r="E709" s="3"/>
      <c r="F709" s="4"/>
      <c r="G709" s="1"/>
      <c r="H709" s="7"/>
      <c r="I709" s="4"/>
    </row>
    <row r="710" spans="1:9" ht="21.75" customHeight="1">
      <c r="A710" s="1"/>
      <c r="B710" s="4"/>
      <c r="C710" s="1"/>
      <c r="D710" s="2"/>
      <c r="E710" s="3"/>
      <c r="F710" s="4"/>
      <c r="G710" s="1"/>
      <c r="H710" s="7"/>
      <c r="I710" s="4"/>
    </row>
    <row r="711" spans="1:9" ht="21.75" customHeight="1">
      <c r="A711" s="1"/>
      <c r="B711" s="4"/>
      <c r="C711" s="1"/>
      <c r="D711" s="2"/>
      <c r="E711" s="3"/>
      <c r="F711" s="4"/>
      <c r="G711" s="1"/>
      <c r="H711" s="7"/>
      <c r="I711" s="4"/>
    </row>
    <row r="712" spans="1:9" ht="21.75" customHeight="1">
      <c r="A712" s="1"/>
      <c r="B712" s="4"/>
      <c r="C712" s="1"/>
      <c r="D712" s="2"/>
      <c r="E712" s="3"/>
      <c r="F712" s="4"/>
      <c r="G712" s="1"/>
      <c r="H712" s="7"/>
      <c r="I712" s="4"/>
    </row>
    <row r="713" spans="1:9" ht="21.75" customHeight="1">
      <c r="A713" s="1"/>
      <c r="B713" s="4"/>
      <c r="C713" s="1"/>
      <c r="D713" s="2"/>
      <c r="E713" s="3"/>
      <c r="F713" s="4"/>
      <c r="G713" s="1"/>
      <c r="H713" s="7"/>
      <c r="I713" s="4"/>
    </row>
    <row r="714" spans="1:9" ht="21.75" customHeight="1">
      <c r="A714" s="1"/>
      <c r="B714" s="4"/>
      <c r="C714" s="1"/>
      <c r="D714" s="2"/>
      <c r="E714" s="3"/>
      <c r="F714" s="4"/>
      <c r="G714" s="1"/>
      <c r="H714" s="7"/>
      <c r="I714" s="4"/>
    </row>
    <row r="715" spans="1:9" ht="21.75" customHeight="1">
      <c r="A715" s="1"/>
      <c r="B715" s="4"/>
      <c r="C715" s="1"/>
      <c r="D715" s="2"/>
      <c r="E715" s="3"/>
      <c r="F715" s="4"/>
      <c r="G715" s="1"/>
      <c r="H715" s="7"/>
      <c r="I715" s="4"/>
    </row>
    <row r="716" spans="1:9" ht="21.75" customHeight="1">
      <c r="A716" s="1"/>
      <c r="B716" s="4"/>
      <c r="C716" s="1"/>
      <c r="D716" s="2"/>
      <c r="E716" s="3"/>
      <c r="F716" s="4"/>
      <c r="G716" s="1"/>
      <c r="H716" s="7"/>
      <c r="I716" s="4"/>
    </row>
    <row r="717" spans="1:9" ht="21.75" customHeight="1">
      <c r="A717" s="1"/>
      <c r="B717" s="4"/>
      <c r="C717" s="1"/>
      <c r="D717" s="2"/>
      <c r="E717" s="3"/>
      <c r="F717" s="4"/>
      <c r="G717" s="1"/>
      <c r="H717" s="7"/>
      <c r="I717" s="4"/>
    </row>
    <row r="718" spans="1:9" ht="21.75" customHeight="1">
      <c r="A718" s="1"/>
      <c r="B718" s="4"/>
      <c r="C718" s="1"/>
      <c r="D718" s="2"/>
      <c r="E718" s="3"/>
      <c r="F718" s="4"/>
      <c r="G718" s="1"/>
      <c r="H718" s="7"/>
      <c r="I718" s="4"/>
    </row>
    <row r="719" spans="1:9" ht="21.75" customHeight="1">
      <c r="A719" s="1"/>
      <c r="B719" s="4"/>
      <c r="C719" s="1"/>
      <c r="D719" s="2"/>
      <c r="E719" s="3"/>
      <c r="F719" s="4"/>
      <c r="G719" s="1"/>
      <c r="H719" s="7"/>
      <c r="I719" s="4"/>
    </row>
    <row r="720" spans="1:9" ht="21.75" customHeight="1">
      <c r="A720" s="1"/>
      <c r="B720" s="4"/>
      <c r="C720" s="1"/>
      <c r="D720" s="2"/>
      <c r="E720" s="3"/>
      <c r="F720" s="4"/>
      <c r="G720" s="1"/>
      <c r="H720" s="7"/>
      <c r="I720" s="4"/>
    </row>
    <row r="721" spans="1:9" ht="21.75" customHeight="1">
      <c r="A721" s="1"/>
      <c r="B721" s="4"/>
      <c r="C721" s="1"/>
      <c r="D721" s="2"/>
      <c r="E721" s="3"/>
      <c r="F721" s="4"/>
      <c r="G721" s="1"/>
      <c r="H721" s="7"/>
      <c r="I721" s="4"/>
    </row>
    <row r="722" spans="1:9" ht="21.75" customHeight="1">
      <c r="A722" s="1"/>
      <c r="B722" s="4"/>
      <c r="C722" s="1"/>
      <c r="D722" s="2"/>
      <c r="E722" s="3"/>
      <c r="F722" s="4"/>
      <c r="G722" s="1"/>
      <c r="H722" s="7"/>
      <c r="I722" s="4"/>
    </row>
    <row r="723" spans="1:9" ht="21.75" customHeight="1">
      <c r="A723" s="1"/>
      <c r="B723" s="4"/>
      <c r="C723" s="1"/>
      <c r="D723" s="2"/>
      <c r="E723" s="3"/>
      <c r="F723" s="4"/>
      <c r="G723" s="1"/>
      <c r="H723" s="7"/>
      <c r="I723" s="4"/>
    </row>
    <row r="724" spans="1:9" ht="21.75" customHeight="1">
      <c r="A724" s="1"/>
      <c r="B724" s="4"/>
      <c r="C724" s="1"/>
      <c r="D724" s="2"/>
      <c r="E724" s="3"/>
      <c r="F724" s="4"/>
      <c r="G724" s="1"/>
      <c r="H724" s="7"/>
      <c r="I724" s="4"/>
    </row>
    <row r="725" spans="1:9" ht="21.75" customHeight="1">
      <c r="A725" s="1"/>
      <c r="B725" s="4"/>
      <c r="C725" s="1"/>
      <c r="D725" s="2"/>
      <c r="E725" s="3"/>
      <c r="F725" s="4"/>
      <c r="G725" s="1"/>
      <c r="H725" s="7"/>
      <c r="I725" s="4"/>
    </row>
    <row r="726" spans="1:9" ht="21.75" customHeight="1">
      <c r="A726" s="1"/>
      <c r="B726" s="4"/>
      <c r="C726" s="1"/>
      <c r="D726" s="2"/>
      <c r="E726" s="3"/>
      <c r="F726" s="4"/>
      <c r="G726" s="1"/>
      <c r="H726" s="7"/>
      <c r="I726" s="4"/>
    </row>
    <row r="727" spans="1:9" ht="21.75" customHeight="1">
      <c r="A727" s="1"/>
      <c r="B727" s="4"/>
      <c r="C727" s="1"/>
      <c r="D727" s="2"/>
      <c r="E727" s="3"/>
      <c r="F727" s="4"/>
      <c r="G727" s="1"/>
      <c r="H727" s="7"/>
      <c r="I727" s="4"/>
    </row>
    <row r="728" spans="1:9" ht="21.75" customHeight="1">
      <c r="A728" s="1"/>
      <c r="B728" s="4"/>
      <c r="C728" s="1"/>
      <c r="D728" s="2"/>
      <c r="E728" s="3"/>
      <c r="F728" s="4"/>
      <c r="G728" s="1"/>
      <c r="H728" s="7"/>
      <c r="I728" s="4"/>
    </row>
    <row r="729" spans="1:9" ht="21.75" customHeight="1">
      <c r="A729" s="1"/>
      <c r="B729" s="4"/>
      <c r="C729" s="1"/>
      <c r="D729" s="2"/>
      <c r="E729" s="3"/>
      <c r="F729" s="4"/>
      <c r="G729" s="1"/>
      <c r="H729" s="7"/>
      <c r="I729" s="4"/>
    </row>
    <row r="730" spans="1:9" ht="21.75" customHeight="1">
      <c r="A730" s="1"/>
      <c r="B730" s="4"/>
      <c r="C730" s="1"/>
      <c r="D730" s="2"/>
      <c r="E730" s="3"/>
      <c r="F730" s="4"/>
      <c r="G730" s="1"/>
      <c r="H730" s="7"/>
      <c r="I730" s="4"/>
    </row>
    <row r="731" spans="1:9" ht="21.75" customHeight="1">
      <c r="A731" s="1"/>
      <c r="B731" s="4"/>
      <c r="C731" s="1"/>
      <c r="D731" s="2"/>
      <c r="E731" s="3"/>
      <c r="F731" s="4"/>
      <c r="G731" s="1"/>
      <c r="H731" s="7"/>
      <c r="I731" s="4"/>
    </row>
    <row r="732" spans="1:9" ht="21.75" customHeight="1">
      <c r="A732" s="1"/>
      <c r="B732" s="4"/>
      <c r="C732" s="1"/>
      <c r="D732" s="2"/>
      <c r="E732" s="3"/>
      <c r="F732" s="4"/>
      <c r="G732" s="1"/>
      <c r="H732" s="7"/>
      <c r="I732" s="4"/>
    </row>
    <row r="733" spans="1:9" ht="21.75" customHeight="1">
      <c r="A733" s="1"/>
      <c r="B733" s="4"/>
      <c r="C733" s="1"/>
      <c r="D733" s="2"/>
      <c r="E733" s="3"/>
      <c r="F733" s="4"/>
      <c r="G733" s="1"/>
      <c r="H733" s="7"/>
      <c r="I733" s="4"/>
    </row>
    <row r="734" spans="1:9" ht="21.75" customHeight="1">
      <c r="A734" s="1"/>
      <c r="B734" s="4"/>
      <c r="C734" s="1"/>
      <c r="D734" s="2"/>
      <c r="E734" s="3"/>
      <c r="F734" s="4"/>
      <c r="G734" s="1"/>
      <c r="H734" s="7"/>
      <c r="I734" s="4"/>
    </row>
    <row r="735" spans="1:9" ht="21.75" customHeight="1">
      <c r="A735" s="1"/>
      <c r="B735" s="4"/>
      <c r="C735" s="1"/>
      <c r="D735" s="2"/>
      <c r="E735" s="3"/>
      <c r="F735" s="4"/>
      <c r="G735" s="1"/>
      <c r="H735" s="7"/>
      <c r="I735" s="4"/>
    </row>
    <row r="736" spans="1:9" ht="21.75" customHeight="1">
      <c r="A736" s="1"/>
      <c r="B736" s="4"/>
      <c r="C736" s="1"/>
      <c r="D736" s="2"/>
      <c r="E736" s="3"/>
      <c r="F736" s="4"/>
      <c r="G736" s="1"/>
      <c r="H736" s="7"/>
      <c r="I736" s="4"/>
    </row>
    <row r="737" spans="1:9" ht="21.75" customHeight="1">
      <c r="A737" s="1"/>
      <c r="B737" s="4"/>
      <c r="C737" s="1"/>
      <c r="D737" s="2"/>
      <c r="E737" s="3"/>
      <c r="F737" s="4"/>
      <c r="G737" s="1"/>
      <c r="H737" s="7"/>
      <c r="I737" s="4"/>
    </row>
    <row r="738" spans="1:9" ht="21.75" customHeight="1">
      <c r="A738" s="1"/>
      <c r="B738" s="4"/>
      <c r="C738" s="1"/>
      <c r="D738" s="2"/>
      <c r="E738" s="3"/>
      <c r="F738" s="4"/>
      <c r="G738" s="1"/>
      <c r="H738" s="7"/>
      <c r="I738" s="4"/>
    </row>
    <row r="739" spans="1:9" ht="21.75" customHeight="1">
      <c r="A739" s="1"/>
      <c r="B739" s="4"/>
      <c r="C739" s="1"/>
      <c r="D739" s="2"/>
      <c r="E739" s="3"/>
      <c r="F739" s="4"/>
      <c r="G739" s="1"/>
      <c r="H739" s="7"/>
      <c r="I739" s="4"/>
    </row>
    <row r="740" spans="1:9" ht="21.75" customHeight="1">
      <c r="A740" s="1"/>
      <c r="B740" s="4"/>
      <c r="C740" s="1"/>
      <c r="D740" s="2"/>
      <c r="E740" s="3"/>
      <c r="F740" s="4"/>
      <c r="G740" s="1"/>
      <c r="H740" s="7"/>
      <c r="I740" s="4"/>
    </row>
    <row r="741" spans="1:9" ht="21.75" customHeight="1">
      <c r="A741" s="1"/>
      <c r="B741" s="4"/>
      <c r="C741" s="1"/>
      <c r="D741" s="2"/>
      <c r="E741" s="3"/>
      <c r="F741" s="4"/>
      <c r="G741" s="1"/>
      <c r="H741" s="7"/>
      <c r="I741" s="4"/>
    </row>
    <row r="742" spans="1:9" ht="21.75" customHeight="1">
      <c r="A742" s="1"/>
      <c r="B742" s="4"/>
      <c r="C742" s="1"/>
      <c r="D742" s="2"/>
      <c r="E742" s="3"/>
      <c r="F742" s="4"/>
      <c r="G742" s="1"/>
      <c r="H742" s="7"/>
      <c r="I742" s="4"/>
    </row>
    <row r="743" spans="1:9" ht="21.75" customHeight="1">
      <c r="A743" s="1"/>
      <c r="B743" s="4"/>
      <c r="C743" s="1"/>
      <c r="D743" s="2"/>
      <c r="E743" s="3"/>
      <c r="F743" s="4"/>
      <c r="G743" s="1"/>
      <c r="H743" s="7"/>
      <c r="I743" s="4"/>
    </row>
    <row r="744" spans="1:9" ht="21.75" customHeight="1">
      <c r="A744" s="1"/>
      <c r="B744" s="4"/>
      <c r="C744" s="1"/>
      <c r="D744" s="2"/>
      <c r="E744" s="3"/>
      <c r="F744" s="4"/>
      <c r="G744" s="1"/>
      <c r="H744" s="7"/>
      <c r="I744" s="4"/>
    </row>
    <row r="745" spans="1:9" ht="21.75" customHeight="1">
      <c r="A745" s="1"/>
      <c r="B745" s="4"/>
      <c r="C745" s="1"/>
      <c r="D745" s="2"/>
      <c r="E745" s="3"/>
      <c r="F745" s="4"/>
      <c r="G745" s="1"/>
      <c r="H745" s="7"/>
      <c r="I745" s="4"/>
    </row>
    <row r="746" spans="1:9" ht="21.75" customHeight="1">
      <c r="A746" s="1"/>
      <c r="B746" s="4"/>
      <c r="C746" s="1"/>
      <c r="D746" s="2"/>
      <c r="E746" s="3"/>
      <c r="F746" s="4"/>
      <c r="G746" s="1"/>
      <c r="H746" s="7"/>
      <c r="I746" s="4"/>
    </row>
    <row r="747" spans="1:9" ht="21.75" customHeight="1">
      <c r="A747" s="1"/>
      <c r="B747" s="4"/>
      <c r="C747" s="1"/>
      <c r="D747" s="2"/>
      <c r="E747" s="3"/>
      <c r="F747" s="4"/>
      <c r="G747" s="1"/>
      <c r="H747" s="7"/>
      <c r="I747" s="4"/>
    </row>
    <row r="748" spans="1:9" ht="21.75" customHeight="1">
      <c r="A748" s="1"/>
      <c r="B748" s="4"/>
      <c r="C748" s="1"/>
      <c r="D748" s="2"/>
      <c r="E748" s="3"/>
      <c r="F748" s="4"/>
      <c r="G748" s="1"/>
      <c r="H748" s="7"/>
      <c r="I748" s="4"/>
    </row>
    <row r="749" spans="1:9" ht="21.75" customHeight="1">
      <c r="A749" s="1"/>
      <c r="B749" s="4"/>
      <c r="C749" s="1"/>
      <c r="D749" s="2"/>
      <c r="E749" s="3"/>
      <c r="F749" s="4"/>
      <c r="G749" s="1"/>
      <c r="H749" s="7"/>
      <c r="I749" s="4"/>
    </row>
    <row r="750" spans="1:9" ht="21.75" customHeight="1">
      <c r="A750" s="1"/>
      <c r="B750" s="4"/>
      <c r="C750" s="1"/>
      <c r="D750" s="2"/>
      <c r="E750" s="3"/>
      <c r="F750" s="4"/>
      <c r="G750" s="1"/>
      <c r="H750" s="7"/>
      <c r="I750" s="4"/>
    </row>
    <row r="751" spans="1:9" ht="21.75" customHeight="1">
      <c r="A751" s="1"/>
      <c r="B751" s="4"/>
      <c r="C751" s="1"/>
      <c r="D751" s="2"/>
      <c r="E751" s="3"/>
      <c r="F751" s="4"/>
      <c r="G751" s="1"/>
      <c r="H751" s="7"/>
      <c r="I751" s="4"/>
    </row>
    <row r="752" spans="1:9" ht="21.75" customHeight="1">
      <c r="A752" s="1"/>
      <c r="B752" s="4"/>
      <c r="C752" s="1"/>
      <c r="D752" s="2"/>
      <c r="E752" s="3"/>
      <c r="F752" s="4"/>
      <c r="G752" s="1"/>
      <c r="H752" s="7"/>
      <c r="I752" s="4"/>
    </row>
    <row r="753" spans="1:9" ht="21.75" customHeight="1">
      <c r="A753" s="1"/>
      <c r="B753" s="4"/>
      <c r="C753" s="1"/>
      <c r="D753" s="2"/>
      <c r="E753" s="3"/>
      <c r="F753" s="4"/>
      <c r="G753" s="1"/>
      <c r="H753" s="7"/>
      <c r="I753" s="4"/>
    </row>
    <row r="754" spans="1:9" ht="21.75" customHeight="1">
      <c r="A754" s="1"/>
      <c r="B754" s="4"/>
      <c r="C754" s="1"/>
      <c r="D754" s="2"/>
      <c r="E754" s="3"/>
      <c r="F754" s="4"/>
      <c r="G754" s="1"/>
      <c r="H754" s="7"/>
      <c r="I754" s="4"/>
    </row>
    <row r="755" spans="1:9" ht="21.75" customHeight="1">
      <c r="A755" s="1"/>
      <c r="B755" s="4"/>
      <c r="C755" s="1"/>
      <c r="D755" s="2"/>
      <c r="E755" s="3"/>
      <c r="F755" s="4"/>
      <c r="G755" s="1"/>
      <c r="H755" s="7"/>
      <c r="I755" s="4"/>
    </row>
    <row r="756" spans="1:9" ht="21.75" customHeight="1">
      <c r="A756" s="1"/>
      <c r="B756" s="4"/>
      <c r="C756" s="1"/>
      <c r="D756" s="2"/>
      <c r="E756" s="3"/>
      <c r="F756" s="4"/>
      <c r="G756" s="1"/>
      <c r="H756" s="7"/>
      <c r="I756" s="4"/>
    </row>
    <row r="757" spans="1:9" ht="21.75" customHeight="1">
      <c r="A757" s="1"/>
      <c r="B757" s="4"/>
      <c r="C757" s="1"/>
      <c r="D757" s="2"/>
      <c r="E757" s="3"/>
      <c r="F757" s="4"/>
      <c r="G757" s="1"/>
      <c r="H757" s="7"/>
      <c r="I757" s="4"/>
    </row>
    <row r="758" spans="1:9" ht="21.75" customHeight="1">
      <c r="A758" s="1"/>
      <c r="B758" s="4"/>
      <c r="C758" s="1"/>
      <c r="D758" s="2"/>
      <c r="E758" s="3"/>
      <c r="F758" s="4"/>
      <c r="G758" s="1"/>
      <c r="H758" s="7"/>
      <c r="I758" s="4"/>
    </row>
    <row r="759" spans="1:9" ht="21.75" customHeight="1">
      <c r="A759" s="1"/>
      <c r="B759" s="4"/>
      <c r="C759" s="1"/>
      <c r="D759" s="2"/>
      <c r="E759" s="3"/>
      <c r="F759" s="4"/>
      <c r="G759" s="1"/>
      <c r="H759" s="7"/>
      <c r="I759" s="4"/>
    </row>
    <row r="760" spans="1:9" ht="21.75" customHeight="1">
      <c r="A760" s="1"/>
      <c r="B760" s="4"/>
      <c r="C760" s="1"/>
      <c r="D760" s="2"/>
      <c r="E760" s="3"/>
      <c r="F760" s="4"/>
      <c r="G760" s="1"/>
      <c r="H760" s="7"/>
      <c r="I760" s="4"/>
    </row>
    <row r="761" spans="1:9" ht="21.75" customHeight="1">
      <c r="A761" s="1"/>
      <c r="B761" s="4"/>
      <c r="C761" s="1"/>
      <c r="D761" s="2"/>
      <c r="E761" s="3"/>
      <c r="F761" s="4"/>
      <c r="G761" s="1"/>
      <c r="H761" s="7"/>
      <c r="I761" s="4"/>
    </row>
    <row r="762" spans="1:9" ht="21.75" customHeight="1">
      <c r="A762" s="1"/>
      <c r="B762" s="4"/>
      <c r="C762" s="1"/>
      <c r="D762" s="2"/>
      <c r="E762" s="3"/>
      <c r="F762" s="4"/>
      <c r="G762" s="1"/>
      <c r="H762" s="7"/>
      <c r="I762" s="4"/>
    </row>
    <row r="763" spans="1:9" ht="21.75" customHeight="1">
      <c r="A763" s="1"/>
      <c r="B763" s="4"/>
      <c r="C763" s="1"/>
      <c r="D763" s="2"/>
      <c r="E763" s="3"/>
      <c r="F763" s="4"/>
      <c r="G763" s="1"/>
      <c r="H763" s="7"/>
      <c r="I763" s="4"/>
    </row>
    <row r="764" spans="1:9" ht="21.75" customHeight="1">
      <c r="A764" s="1"/>
      <c r="B764" s="4"/>
      <c r="C764" s="1"/>
      <c r="D764" s="2"/>
      <c r="E764" s="3"/>
      <c r="F764" s="4"/>
      <c r="G764" s="1"/>
      <c r="H764" s="7"/>
      <c r="I764" s="4"/>
    </row>
    <row r="765" spans="1:9" ht="21.75" customHeight="1">
      <c r="A765" s="1"/>
      <c r="B765" s="4"/>
      <c r="C765" s="1"/>
      <c r="D765" s="2"/>
      <c r="E765" s="3"/>
      <c r="F765" s="4"/>
      <c r="G765" s="1"/>
      <c r="H765" s="7"/>
      <c r="I765" s="4"/>
    </row>
    <row r="766" spans="1:9" ht="21.75" customHeight="1">
      <c r="A766" s="1"/>
      <c r="B766" s="4"/>
      <c r="C766" s="1"/>
      <c r="D766" s="2"/>
      <c r="E766" s="3"/>
      <c r="F766" s="4"/>
      <c r="G766" s="1"/>
      <c r="H766" s="7"/>
      <c r="I766" s="4"/>
    </row>
    <row r="767" spans="1:9" ht="21.75" customHeight="1">
      <c r="A767" s="1"/>
      <c r="B767" s="4"/>
      <c r="C767" s="1"/>
      <c r="D767" s="2"/>
      <c r="E767" s="3"/>
      <c r="F767" s="4"/>
      <c r="G767" s="1"/>
      <c r="H767" s="7"/>
      <c r="I767" s="4"/>
    </row>
    <row r="768" spans="1:9" ht="21.75" customHeight="1">
      <c r="A768" s="1"/>
      <c r="B768" s="4"/>
      <c r="C768" s="1"/>
      <c r="D768" s="2"/>
      <c r="E768" s="3"/>
      <c r="F768" s="4"/>
      <c r="G768" s="1"/>
      <c r="H768" s="7"/>
      <c r="I768" s="4"/>
    </row>
    <row r="769" spans="1:9" ht="21.75" customHeight="1">
      <c r="A769" s="1"/>
      <c r="B769" s="4"/>
      <c r="C769" s="1"/>
      <c r="D769" s="2"/>
      <c r="E769" s="3"/>
      <c r="F769" s="4"/>
      <c r="G769" s="1"/>
      <c r="H769" s="7"/>
      <c r="I769" s="4"/>
    </row>
    <row r="770" spans="1:9" ht="21.75" customHeight="1">
      <c r="A770" s="1"/>
      <c r="B770" s="4"/>
      <c r="C770" s="1"/>
      <c r="D770" s="2"/>
      <c r="E770" s="3"/>
      <c r="F770" s="4"/>
      <c r="G770" s="1"/>
      <c r="H770" s="7"/>
      <c r="I770" s="4"/>
    </row>
    <row r="771" spans="1:9" ht="21.75" customHeight="1">
      <c r="A771" s="1"/>
      <c r="B771" s="4"/>
      <c r="C771" s="1"/>
      <c r="D771" s="2"/>
      <c r="E771" s="3"/>
      <c r="F771" s="4"/>
      <c r="G771" s="1"/>
      <c r="H771" s="7"/>
      <c r="I771" s="4"/>
    </row>
    <row r="772" spans="1:9" ht="21.75" customHeight="1">
      <c r="A772" s="1"/>
      <c r="B772" s="4"/>
      <c r="C772" s="1"/>
      <c r="D772" s="2"/>
      <c r="E772" s="3"/>
      <c r="F772" s="4"/>
      <c r="G772" s="1"/>
      <c r="H772" s="7"/>
      <c r="I772" s="4"/>
    </row>
    <row r="773" spans="1:9" ht="21.75" customHeight="1">
      <c r="A773" s="1"/>
      <c r="B773" s="4"/>
      <c r="C773" s="1"/>
      <c r="D773" s="2"/>
      <c r="E773" s="3"/>
      <c r="F773" s="4"/>
      <c r="G773" s="1"/>
      <c r="H773" s="7"/>
      <c r="I773" s="4"/>
    </row>
    <row r="774" spans="1:9" ht="21.75" customHeight="1">
      <c r="A774" s="1"/>
      <c r="B774" s="4"/>
      <c r="C774" s="1"/>
      <c r="D774" s="2"/>
      <c r="E774" s="3"/>
      <c r="F774" s="4"/>
      <c r="G774" s="1"/>
      <c r="H774" s="7"/>
      <c r="I774" s="4"/>
    </row>
    <row r="775" spans="1:9" ht="21.75" customHeight="1">
      <c r="A775" s="1"/>
      <c r="B775" s="4"/>
      <c r="C775" s="1"/>
      <c r="D775" s="2"/>
      <c r="E775" s="3"/>
      <c r="F775" s="4"/>
      <c r="G775" s="1"/>
      <c r="H775" s="7"/>
      <c r="I775" s="4"/>
    </row>
    <row r="776" spans="1:9" ht="21.75" customHeight="1">
      <c r="A776" s="1"/>
      <c r="B776" s="4"/>
      <c r="C776" s="1"/>
      <c r="D776" s="2"/>
      <c r="E776" s="3"/>
      <c r="F776" s="4"/>
      <c r="G776" s="1"/>
      <c r="H776" s="7"/>
      <c r="I776" s="4"/>
    </row>
    <row r="777" spans="1:9" ht="21.75" customHeight="1">
      <c r="A777" s="1"/>
      <c r="B777" s="4"/>
      <c r="C777" s="1"/>
      <c r="D777" s="2"/>
      <c r="E777" s="3"/>
      <c r="F777" s="4"/>
      <c r="G777" s="1"/>
      <c r="H777" s="7"/>
      <c r="I777" s="4"/>
    </row>
    <row r="778" spans="1:9" ht="21.75" customHeight="1">
      <c r="A778" s="1"/>
      <c r="B778" s="4"/>
      <c r="C778" s="1"/>
      <c r="D778" s="2"/>
      <c r="E778" s="3"/>
      <c r="F778" s="4"/>
      <c r="G778" s="1"/>
      <c r="H778" s="7"/>
      <c r="I778" s="4"/>
    </row>
    <row r="779" spans="1:9" ht="21.75" customHeight="1">
      <c r="A779" s="1"/>
      <c r="B779" s="4"/>
      <c r="C779" s="1"/>
      <c r="D779" s="2"/>
      <c r="E779" s="3"/>
      <c r="F779" s="4"/>
      <c r="G779" s="1"/>
      <c r="H779" s="7"/>
      <c r="I779" s="4"/>
    </row>
    <row r="780" spans="1:9" ht="21.75" customHeight="1">
      <c r="A780" s="1"/>
      <c r="B780" s="4"/>
      <c r="C780" s="1"/>
      <c r="D780" s="2"/>
      <c r="E780" s="3"/>
      <c r="F780" s="4"/>
      <c r="G780" s="1"/>
      <c r="H780" s="7"/>
      <c r="I780" s="4"/>
    </row>
    <row r="781" spans="1:9" ht="21.75" customHeight="1">
      <c r="A781" s="1"/>
      <c r="B781" s="4"/>
      <c r="C781" s="1"/>
      <c r="D781" s="2"/>
      <c r="E781" s="3"/>
      <c r="F781" s="4"/>
      <c r="G781" s="1"/>
      <c r="H781" s="7"/>
      <c r="I781" s="4"/>
    </row>
    <row r="782" spans="1:9" ht="21.75" customHeight="1">
      <c r="A782" s="1"/>
      <c r="B782" s="4"/>
      <c r="C782" s="1"/>
      <c r="D782" s="2"/>
      <c r="E782" s="3"/>
      <c r="F782" s="4"/>
      <c r="G782" s="1"/>
      <c r="H782" s="7"/>
      <c r="I782" s="4"/>
    </row>
    <row r="783" spans="1:9" ht="21.75" customHeight="1">
      <c r="A783" s="1"/>
      <c r="B783" s="4"/>
      <c r="C783" s="1"/>
      <c r="D783" s="2"/>
      <c r="E783" s="3"/>
      <c r="F783" s="4"/>
      <c r="G783" s="1"/>
      <c r="H783" s="7"/>
      <c r="I783" s="4"/>
    </row>
    <row r="784" spans="1:9" ht="21.75" customHeight="1">
      <c r="A784" s="1"/>
      <c r="B784" s="4"/>
      <c r="C784" s="1"/>
      <c r="D784" s="2"/>
      <c r="E784" s="3"/>
      <c r="F784" s="4"/>
      <c r="G784" s="1"/>
      <c r="H784" s="7"/>
      <c r="I784" s="4"/>
    </row>
    <row r="785" spans="1:9" ht="21.75" customHeight="1">
      <c r="A785" s="1"/>
      <c r="B785" s="4"/>
      <c r="C785" s="1"/>
      <c r="D785" s="2"/>
      <c r="E785" s="3"/>
      <c r="F785" s="4"/>
      <c r="G785" s="1"/>
      <c r="H785" s="7"/>
      <c r="I785" s="4"/>
    </row>
    <row r="786" spans="1:9" ht="21.75" customHeight="1">
      <c r="A786" s="1"/>
      <c r="B786" s="4"/>
      <c r="C786" s="1"/>
      <c r="D786" s="2"/>
      <c r="E786" s="3"/>
      <c r="F786" s="4"/>
      <c r="G786" s="1"/>
      <c r="H786" s="7"/>
      <c r="I786" s="4"/>
    </row>
    <row r="787" spans="1:9" ht="21.75" customHeight="1">
      <c r="A787" s="1"/>
      <c r="B787" s="4"/>
      <c r="C787" s="1"/>
      <c r="D787" s="2"/>
      <c r="E787" s="3"/>
      <c r="F787" s="4"/>
      <c r="G787" s="1"/>
      <c r="H787" s="7"/>
      <c r="I787" s="4"/>
    </row>
    <row r="788" spans="1:9" ht="21.75" customHeight="1">
      <c r="A788" s="1"/>
      <c r="B788" s="4"/>
      <c r="C788" s="1"/>
      <c r="D788" s="2"/>
      <c r="E788" s="3"/>
      <c r="F788" s="4"/>
      <c r="G788" s="1"/>
      <c r="H788" s="7"/>
      <c r="I788" s="4"/>
    </row>
    <row r="789" spans="1:9" ht="21.75" customHeight="1">
      <c r="A789" s="1"/>
      <c r="B789" s="4"/>
      <c r="C789" s="1"/>
      <c r="D789" s="2"/>
      <c r="E789" s="3"/>
      <c r="F789" s="4"/>
      <c r="G789" s="1"/>
      <c r="H789" s="7"/>
      <c r="I789" s="4"/>
    </row>
    <row r="790" spans="1:9" ht="21.75" customHeight="1">
      <c r="A790" s="1"/>
      <c r="B790" s="4"/>
      <c r="C790" s="1"/>
      <c r="D790" s="2"/>
      <c r="E790" s="3"/>
      <c r="F790" s="4"/>
      <c r="G790" s="1"/>
      <c r="H790" s="7"/>
      <c r="I790" s="4"/>
    </row>
    <row r="791" spans="1:9" ht="21.75" customHeight="1">
      <c r="A791" s="1"/>
      <c r="B791" s="4"/>
      <c r="C791" s="1"/>
      <c r="D791" s="2"/>
      <c r="E791" s="3"/>
      <c r="F791" s="4"/>
      <c r="G791" s="1"/>
      <c r="H791" s="7"/>
      <c r="I791" s="4"/>
    </row>
    <row r="792" spans="1:9" ht="21.75" customHeight="1">
      <c r="A792" s="1"/>
      <c r="B792" s="4"/>
      <c r="C792" s="1"/>
      <c r="D792" s="2"/>
      <c r="E792" s="3"/>
      <c r="F792" s="4"/>
      <c r="G792" s="1"/>
      <c r="H792" s="7"/>
      <c r="I792" s="4"/>
    </row>
    <row r="793" spans="1:9" ht="21.75" customHeight="1">
      <c r="A793" s="1"/>
      <c r="B793" s="4"/>
      <c r="C793" s="1"/>
      <c r="D793" s="2"/>
      <c r="E793" s="3"/>
      <c r="F793" s="4"/>
      <c r="G793" s="1"/>
      <c r="H793" s="7"/>
      <c r="I793" s="4"/>
    </row>
    <row r="794" spans="1:9" ht="21.75" customHeight="1">
      <c r="A794" s="1"/>
      <c r="B794" s="4"/>
      <c r="C794" s="1"/>
      <c r="D794" s="2"/>
      <c r="E794" s="3"/>
      <c r="F794" s="4"/>
      <c r="G794" s="1"/>
      <c r="H794" s="7"/>
      <c r="I794" s="4"/>
    </row>
    <row r="795" spans="1:9" ht="21.75" customHeight="1">
      <c r="A795" s="1"/>
      <c r="B795" s="4"/>
      <c r="C795" s="1"/>
      <c r="D795" s="2"/>
      <c r="E795" s="3"/>
      <c r="F795" s="4"/>
      <c r="G795" s="1"/>
      <c r="H795" s="7"/>
      <c r="I795" s="4"/>
    </row>
    <row r="796" spans="1:9" ht="21.75" customHeight="1">
      <c r="A796" s="1"/>
      <c r="B796" s="4"/>
      <c r="C796" s="1"/>
      <c r="D796" s="2"/>
      <c r="E796" s="3"/>
      <c r="F796" s="4"/>
      <c r="G796" s="1"/>
      <c r="H796" s="7"/>
      <c r="I796" s="4"/>
    </row>
    <row r="797" spans="1:9" ht="21.75" customHeight="1">
      <c r="A797" s="1"/>
      <c r="B797" s="4"/>
      <c r="C797" s="1"/>
      <c r="D797" s="2"/>
      <c r="E797" s="3"/>
      <c r="F797" s="4"/>
      <c r="G797" s="1"/>
      <c r="H797" s="7"/>
      <c r="I797" s="4"/>
    </row>
    <row r="798" spans="1:9" ht="21.75" customHeight="1">
      <c r="A798" s="1"/>
      <c r="B798" s="4"/>
      <c r="C798" s="1"/>
      <c r="D798" s="2"/>
      <c r="E798" s="3"/>
      <c r="F798" s="4"/>
      <c r="G798" s="1"/>
      <c r="H798" s="7"/>
      <c r="I798" s="4"/>
    </row>
    <row r="799" spans="1:9" ht="21.75" customHeight="1">
      <c r="A799" s="1"/>
      <c r="B799" s="4"/>
      <c r="C799" s="1"/>
      <c r="D799" s="2"/>
      <c r="E799" s="3"/>
      <c r="F799" s="4"/>
      <c r="G799" s="1"/>
      <c r="H799" s="7"/>
      <c r="I799" s="4"/>
    </row>
    <row r="800" spans="1:9" ht="21.75" customHeight="1">
      <c r="A800" s="1"/>
      <c r="B800" s="4"/>
      <c r="C800" s="1"/>
      <c r="D800" s="2"/>
      <c r="E800" s="3"/>
      <c r="F800" s="4"/>
      <c r="G800" s="1"/>
      <c r="H800" s="7"/>
      <c r="I800" s="4"/>
    </row>
    <row r="801" spans="1:9" ht="21.75" customHeight="1">
      <c r="A801" s="1"/>
      <c r="B801" s="4"/>
      <c r="C801" s="1"/>
      <c r="D801" s="2"/>
      <c r="E801" s="3"/>
      <c r="F801" s="4"/>
      <c r="G801" s="1"/>
      <c r="H801" s="7"/>
      <c r="I801" s="4"/>
    </row>
    <row r="802" spans="1:9" ht="21.75" customHeight="1">
      <c r="A802" s="1"/>
      <c r="B802" s="4"/>
      <c r="C802" s="1"/>
      <c r="D802" s="2"/>
      <c r="E802" s="3"/>
      <c r="F802" s="4"/>
      <c r="G802" s="1"/>
      <c r="H802" s="7"/>
      <c r="I802" s="4"/>
    </row>
    <row r="803" spans="1:9" ht="21.75" customHeight="1">
      <c r="A803" s="1"/>
      <c r="B803" s="4"/>
      <c r="C803" s="1"/>
      <c r="D803" s="2"/>
      <c r="E803" s="3"/>
      <c r="F803" s="4"/>
      <c r="G803" s="1"/>
      <c r="H803" s="7"/>
      <c r="I803" s="4"/>
    </row>
    <row r="804" spans="1:9" ht="21.75" customHeight="1">
      <c r="A804" s="1"/>
      <c r="B804" s="4"/>
      <c r="C804" s="1"/>
      <c r="D804" s="2"/>
      <c r="E804" s="3"/>
      <c r="F804" s="4"/>
      <c r="G804" s="1"/>
      <c r="H804" s="7"/>
      <c r="I804" s="4"/>
    </row>
    <row r="805" spans="1:9" ht="21.75" customHeight="1">
      <c r="A805" s="1"/>
      <c r="B805" s="4"/>
      <c r="C805" s="1"/>
      <c r="D805" s="2"/>
      <c r="E805" s="3"/>
      <c r="F805" s="4"/>
      <c r="G805" s="1"/>
      <c r="H805" s="7"/>
      <c r="I805" s="4"/>
    </row>
    <row r="806" spans="1:9" ht="21.75" customHeight="1">
      <c r="A806" s="1"/>
      <c r="B806" s="4"/>
      <c r="C806" s="1"/>
      <c r="D806" s="2"/>
      <c r="E806" s="3"/>
      <c r="F806" s="4"/>
      <c r="G806" s="1"/>
      <c r="H806" s="7"/>
      <c r="I806" s="4"/>
    </row>
    <row r="807" spans="1:9" ht="21.75" customHeight="1">
      <c r="A807" s="1"/>
      <c r="B807" s="4"/>
      <c r="C807" s="1"/>
      <c r="D807" s="2"/>
      <c r="E807" s="3"/>
      <c r="F807" s="4"/>
      <c r="G807" s="1"/>
      <c r="H807" s="7"/>
      <c r="I807" s="4"/>
    </row>
    <row r="808" spans="1:9" ht="21.75" customHeight="1">
      <c r="A808" s="1"/>
      <c r="B808" s="4"/>
      <c r="C808" s="1"/>
      <c r="D808" s="2"/>
      <c r="E808" s="3"/>
      <c r="F808" s="4"/>
      <c r="G808" s="1"/>
      <c r="H808" s="7"/>
      <c r="I808" s="4"/>
    </row>
    <row r="809" spans="1:9" ht="21.75" customHeight="1">
      <c r="A809" s="1"/>
      <c r="B809" s="4"/>
      <c r="C809" s="1"/>
      <c r="D809" s="2"/>
      <c r="E809" s="3"/>
      <c r="F809" s="4"/>
      <c r="G809" s="1"/>
      <c r="H809" s="7"/>
      <c r="I809" s="4"/>
    </row>
    <row r="810" spans="1:9" ht="21.75" customHeight="1">
      <c r="A810" s="1"/>
      <c r="B810" s="4"/>
      <c r="C810" s="1"/>
      <c r="D810" s="2"/>
      <c r="E810" s="3"/>
      <c r="F810" s="4"/>
      <c r="G810" s="1"/>
      <c r="H810" s="7"/>
      <c r="I810" s="4"/>
    </row>
    <row r="811" spans="1:9" ht="21.75" customHeight="1">
      <c r="A811" s="1"/>
      <c r="B811" s="4"/>
      <c r="C811" s="1"/>
      <c r="D811" s="2"/>
      <c r="E811" s="3"/>
      <c r="F811" s="4"/>
      <c r="G811" s="1"/>
      <c r="H811" s="7"/>
      <c r="I811" s="4"/>
    </row>
    <row r="812" spans="1:9" ht="21.75" customHeight="1">
      <c r="A812" s="1"/>
      <c r="B812" s="4"/>
      <c r="C812" s="1"/>
      <c r="D812" s="2"/>
      <c r="E812" s="3"/>
      <c r="F812" s="4"/>
      <c r="G812" s="1"/>
      <c r="H812" s="7"/>
      <c r="I812" s="4"/>
    </row>
    <row r="813" spans="1:9" ht="21.75" customHeight="1">
      <c r="A813" s="1"/>
      <c r="B813" s="4"/>
      <c r="C813" s="1"/>
      <c r="D813" s="2"/>
      <c r="E813" s="3"/>
      <c r="F813" s="4"/>
      <c r="G813" s="1"/>
      <c r="H813" s="7"/>
      <c r="I813" s="4"/>
    </row>
    <row r="814" spans="1:9" ht="21.75" customHeight="1">
      <c r="A814" s="1"/>
      <c r="B814" s="4"/>
      <c r="C814" s="1"/>
      <c r="D814" s="2"/>
      <c r="E814" s="3"/>
      <c r="F814" s="4"/>
      <c r="G814" s="1"/>
      <c r="H814" s="7"/>
      <c r="I814" s="4"/>
    </row>
    <row r="815" spans="1:9" ht="21.75" customHeight="1">
      <c r="A815" s="1"/>
      <c r="B815" s="4"/>
      <c r="C815" s="1"/>
      <c r="D815" s="2"/>
      <c r="E815" s="3"/>
      <c r="F815" s="4"/>
      <c r="G815" s="1"/>
      <c r="H815" s="7"/>
      <c r="I815" s="4"/>
    </row>
    <row r="816" spans="1:9" ht="21.75" customHeight="1">
      <c r="A816" s="1"/>
      <c r="B816" s="4"/>
      <c r="C816" s="1"/>
      <c r="D816" s="2"/>
      <c r="E816" s="3"/>
      <c r="F816" s="4"/>
      <c r="G816" s="1"/>
      <c r="H816" s="7"/>
      <c r="I816" s="4"/>
    </row>
    <row r="817" spans="1:9" ht="21.75" customHeight="1">
      <c r="A817" s="1"/>
      <c r="B817" s="4"/>
      <c r="C817" s="1"/>
      <c r="D817" s="2"/>
      <c r="E817" s="3"/>
      <c r="F817" s="4"/>
      <c r="G817" s="1"/>
      <c r="H817" s="7"/>
      <c r="I817" s="4"/>
    </row>
    <row r="818" spans="1:9" ht="21.75" customHeight="1">
      <c r="A818" s="1"/>
      <c r="B818" s="4"/>
      <c r="C818" s="1"/>
      <c r="D818" s="2"/>
      <c r="E818" s="3"/>
      <c r="F818" s="4"/>
      <c r="G818" s="1"/>
      <c r="H818" s="7"/>
      <c r="I818" s="4"/>
    </row>
    <row r="819" spans="1:9" ht="21.75" customHeight="1">
      <c r="A819" s="1"/>
      <c r="B819" s="4"/>
      <c r="C819" s="1"/>
      <c r="D819" s="2"/>
      <c r="E819" s="3"/>
      <c r="F819" s="4"/>
      <c r="G819" s="1"/>
      <c r="H819" s="7"/>
      <c r="I819" s="4"/>
    </row>
    <row r="820" spans="1:9" ht="21.75" customHeight="1">
      <c r="A820" s="1"/>
      <c r="B820" s="4"/>
      <c r="C820" s="1"/>
      <c r="D820" s="2"/>
      <c r="E820" s="3"/>
      <c r="F820" s="4"/>
      <c r="G820" s="1"/>
      <c r="H820" s="7"/>
      <c r="I820" s="4"/>
    </row>
    <row r="821" spans="1:9" ht="21.75" customHeight="1">
      <c r="A821" s="1"/>
      <c r="B821" s="4"/>
      <c r="C821" s="1"/>
      <c r="D821" s="2"/>
      <c r="E821" s="3"/>
      <c r="F821" s="4"/>
      <c r="G821" s="1"/>
      <c r="H821" s="7"/>
      <c r="I821" s="4"/>
    </row>
    <row r="822" spans="1:9" ht="21.75" customHeight="1">
      <c r="A822" s="1"/>
      <c r="B822" s="4"/>
      <c r="C822" s="1"/>
      <c r="D822" s="2"/>
      <c r="E822" s="3"/>
      <c r="F822" s="4"/>
      <c r="G822" s="1"/>
      <c r="H822" s="7"/>
      <c r="I822" s="4"/>
    </row>
    <row r="823" spans="1:9" ht="21.75" customHeight="1">
      <c r="A823" s="1"/>
      <c r="B823" s="4"/>
      <c r="C823" s="1"/>
      <c r="D823" s="2"/>
      <c r="E823" s="3"/>
      <c r="F823" s="4"/>
      <c r="G823" s="1"/>
      <c r="H823" s="7"/>
      <c r="I823" s="4"/>
    </row>
    <row r="824" spans="1:9" ht="21.75" customHeight="1">
      <c r="A824" s="1"/>
      <c r="B824" s="4"/>
      <c r="C824" s="1"/>
      <c r="D824" s="2"/>
      <c r="E824" s="3"/>
      <c r="F824" s="4"/>
      <c r="G824" s="1"/>
      <c r="H824" s="7"/>
      <c r="I824" s="4"/>
    </row>
    <row r="825" spans="1:9" ht="21.75" customHeight="1">
      <c r="A825" s="1"/>
      <c r="B825" s="4"/>
      <c r="C825" s="1"/>
      <c r="D825" s="2"/>
      <c r="E825" s="3"/>
      <c r="F825" s="4"/>
      <c r="G825" s="1"/>
      <c r="H825" s="7"/>
      <c r="I825" s="4"/>
    </row>
    <row r="826" spans="1:9" ht="21.75" customHeight="1">
      <c r="A826" s="1"/>
      <c r="B826" s="4"/>
      <c r="C826" s="1"/>
      <c r="D826" s="2"/>
      <c r="E826" s="3"/>
      <c r="F826" s="4"/>
      <c r="G826" s="1"/>
      <c r="H826" s="7"/>
      <c r="I826" s="4"/>
    </row>
    <row r="827" spans="1:9" ht="21.75" customHeight="1">
      <c r="A827" s="1"/>
      <c r="B827" s="4"/>
      <c r="C827" s="1"/>
      <c r="D827" s="2"/>
      <c r="E827" s="3"/>
      <c r="F827" s="4"/>
      <c r="G827" s="1"/>
      <c r="H827" s="7"/>
      <c r="I827" s="4"/>
    </row>
    <row r="828" spans="1:9" ht="21.75" customHeight="1">
      <c r="A828" s="1"/>
      <c r="B828" s="4"/>
      <c r="C828" s="1"/>
      <c r="D828" s="2"/>
      <c r="E828" s="3"/>
      <c r="F828" s="4"/>
      <c r="G828" s="1"/>
      <c r="H828" s="7"/>
      <c r="I828" s="4"/>
    </row>
    <row r="829" spans="1:9" ht="21.75" customHeight="1">
      <c r="A829" s="1"/>
      <c r="B829" s="4"/>
      <c r="C829" s="1"/>
      <c r="D829" s="2"/>
      <c r="E829" s="3"/>
      <c r="F829" s="4"/>
      <c r="G829" s="1"/>
      <c r="H829" s="7"/>
      <c r="I829" s="4"/>
    </row>
    <row r="830" spans="1:9" ht="21.75" customHeight="1">
      <c r="A830" s="1"/>
      <c r="B830" s="4"/>
      <c r="C830" s="1"/>
      <c r="D830" s="2"/>
      <c r="E830" s="3"/>
      <c r="F830" s="4"/>
      <c r="G830" s="1"/>
      <c r="H830" s="7"/>
      <c r="I830" s="4"/>
    </row>
    <row r="831" spans="1:9" ht="21.75" customHeight="1">
      <c r="A831" s="1"/>
      <c r="B831" s="4"/>
      <c r="C831" s="1"/>
      <c r="D831" s="2"/>
      <c r="E831" s="3"/>
      <c r="F831" s="4"/>
      <c r="G831" s="1"/>
      <c r="H831" s="7"/>
      <c r="I831" s="4"/>
    </row>
    <row r="832" spans="1:9" ht="21.75" customHeight="1">
      <c r="A832" s="1"/>
      <c r="B832" s="4"/>
      <c r="C832" s="1"/>
      <c r="D832" s="2"/>
      <c r="E832" s="3"/>
      <c r="F832" s="4"/>
      <c r="G832" s="1"/>
      <c r="H832" s="7"/>
      <c r="I832" s="4"/>
    </row>
    <row r="833" spans="1:9" ht="21.75" customHeight="1">
      <c r="A833" s="1"/>
      <c r="B833" s="4"/>
      <c r="C833" s="1"/>
      <c r="D833" s="2"/>
      <c r="E833" s="3"/>
      <c r="F833" s="4"/>
      <c r="G833" s="1"/>
      <c r="H833" s="7"/>
      <c r="I833" s="4"/>
    </row>
    <row r="834" spans="1:9" ht="21.75" customHeight="1">
      <c r="A834" s="1"/>
      <c r="B834" s="4"/>
      <c r="C834" s="1"/>
      <c r="D834" s="2"/>
      <c r="E834" s="3"/>
      <c r="F834" s="4"/>
      <c r="G834" s="1"/>
      <c r="H834" s="7"/>
      <c r="I834" s="4"/>
    </row>
    <row r="835" spans="1:9" ht="21.75" customHeight="1">
      <c r="A835" s="1"/>
      <c r="B835" s="4"/>
      <c r="C835" s="1"/>
      <c r="D835" s="2"/>
      <c r="E835" s="3"/>
      <c r="F835" s="4"/>
      <c r="G835" s="1"/>
      <c r="H835" s="7"/>
      <c r="I835" s="4"/>
    </row>
    <row r="836" spans="1:9" ht="21.75" customHeight="1">
      <c r="A836" s="1"/>
      <c r="B836" s="4"/>
      <c r="C836" s="1"/>
      <c r="D836" s="2"/>
      <c r="E836" s="3"/>
      <c r="F836" s="4"/>
      <c r="G836" s="1"/>
      <c r="H836" s="7"/>
      <c r="I836" s="4"/>
    </row>
    <row r="837" spans="1:9" ht="21.75" customHeight="1">
      <c r="A837" s="1"/>
      <c r="B837" s="4"/>
      <c r="C837" s="1"/>
      <c r="D837" s="2"/>
      <c r="E837" s="3"/>
      <c r="F837" s="4"/>
      <c r="G837" s="1"/>
      <c r="H837" s="7"/>
      <c r="I837" s="4"/>
    </row>
    <row r="838" spans="1:9" ht="21.75" customHeight="1">
      <c r="A838" s="1"/>
      <c r="B838" s="4"/>
      <c r="C838" s="1"/>
      <c r="D838" s="2"/>
      <c r="E838" s="3"/>
      <c r="F838" s="4"/>
      <c r="G838" s="1"/>
      <c r="H838" s="7"/>
      <c r="I838" s="4"/>
    </row>
    <row r="839" spans="1:9" ht="21.75" customHeight="1">
      <c r="A839" s="1"/>
      <c r="B839" s="4"/>
      <c r="C839" s="1"/>
      <c r="D839" s="2"/>
      <c r="E839" s="3"/>
      <c r="F839" s="4"/>
      <c r="G839" s="1"/>
      <c r="H839" s="7"/>
      <c r="I839" s="4"/>
    </row>
    <row r="840" spans="1:9" ht="21.75" customHeight="1">
      <c r="A840" s="1"/>
      <c r="B840" s="4"/>
      <c r="C840" s="1"/>
      <c r="D840" s="2"/>
      <c r="E840" s="3"/>
      <c r="F840" s="4"/>
      <c r="G840" s="1"/>
      <c r="H840" s="7"/>
      <c r="I840" s="4"/>
    </row>
    <row r="841" spans="1:9" ht="21.75" customHeight="1">
      <c r="A841" s="1"/>
      <c r="B841" s="4"/>
      <c r="C841" s="1"/>
      <c r="D841" s="2"/>
      <c r="E841" s="3"/>
      <c r="F841" s="4"/>
      <c r="G841" s="1"/>
      <c r="H841" s="7"/>
      <c r="I841" s="4"/>
    </row>
    <row r="842" spans="1:9" ht="21.75" customHeight="1">
      <c r="A842" s="1"/>
      <c r="B842" s="4"/>
      <c r="C842" s="1"/>
      <c r="D842" s="2"/>
      <c r="E842" s="3"/>
      <c r="F842" s="4"/>
      <c r="G842" s="1"/>
      <c r="H842" s="7"/>
      <c r="I842" s="4"/>
    </row>
    <row r="843" spans="1:9" ht="21.75" customHeight="1">
      <c r="A843" s="1"/>
      <c r="B843" s="4"/>
      <c r="C843" s="1"/>
      <c r="D843" s="2"/>
      <c r="E843" s="3"/>
      <c r="F843" s="4"/>
      <c r="G843" s="1"/>
      <c r="H843" s="7"/>
      <c r="I843" s="4"/>
    </row>
    <row r="844" spans="1:9" ht="21.75" customHeight="1">
      <c r="A844" s="1"/>
      <c r="B844" s="4"/>
      <c r="C844" s="1"/>
      <c r="D844" s="2"/>
      <c r="E844" s="3"/>
      <c r="F844" s="4"/>
      <c r="G844" s="1"/>
      <c r="H844" s="7"/>
      <c r="I844" s="4"/>
    </row>
    <row r="845" spans="1:9" ht="21.75" customHeight="1">
      <c r="A845" s="1"/>
      <c r="B845" s="4"/>
      <c r="C845" s="1"/>
      <c r="D845" s="2"/>
      <c r="E845" s="3"/>
      <c r="F845" s="4"/>
      <c r="G845" s="1"/>
      <c r="H845" s="7"/>
      <c r="I845" s="4"/>
    </row>
    <row r="846" spans="1:9" ht="21.75" customHeight="1">
      <c r="A846" s="1"/>
      <c r="B846" s="4"/>
      <c r="C846" s="1"/>
      <c r="D846" s="2"/>
      <c r="E846" s="3"/>
      <c r="F846" s="4"/>
      <c r="G846" s="1"/>
      <c r="H846" s="7"/>
      <c r="I846" s="4"/>
    </row>
    <row r="847" spans="1:9" ht="21.75" customHeight="1">
      <c r="A847" s="1"/>
      <c r="B847" s="4"/>
      <c r="C847" s="1"/>
      <c r="D847" s="2"/>
      <c r="E847" s="3"/>
      <c r="F847" s="4"/>
      <c r="G847" s="1"/>
      <c r="H847" s="7"/>
      <c r="I847" s="4"/>
    </row>
    <row r="848" spans="1:9" ht="21.75" customHeight="1">
      <c r="A848" s="1"/>
      <c r="B848" s="4"/>
      <c r="C848" s="1"/>
      <c r="D848" s="2"/>
      <c r="E848" s="3"/>
      <c r="F848" s="4"/>
      <c r="G848" s="1"/>
      <c r="H848" s="7"/>
      <c r="I848" s="4"/>
    </row>
    <row r="849" spans="1:9" ht="21.75" customHeight="1">
      <c r="A849" s="1"/>
      <c r="B849" s="4"/>
      <c r="C849" s="1"/>
      <c r="D849" s="2"/>
      <c r="E849" s="3"/>
      <c r="F849" s="4"/>
      <c r="G849" s="1"/>
      <c r="H849" s="7"/>
      <c r="I849" s="4"/>
    </row>
    <row r="850" spans="1:9" ht="21.75" customHeight="1">
      <c r="A850" s="1"/>
      <c r="B850" s="4"/>
      <c r="C850" s="1"/>
      <c r="D850" s="2"/>
      <c r="E850" s="3"/>
      <c r="F850" s="4"/>
      <c r="G850" s="1"/>
      <c r="H850" s="7"/>
      <c r="I850" s="4"/>
    </row>
    <row r="851" spans="1:9" ht="21.75" customHeight="1">
      <c r="A851" s="1"/>
      <c r="B851" s="4"/>
      <c r="C851" s="1"/>
      <c r="D851" s="2"/>
      <c r="E851" s="3"/>
      <c r="F851" s="4"/>
      <c r="G851" s="1"/>
      <c r="H851" s="7"/>
      <c r="I851" s="4"/>
    </row>
    <row r="852" spans="1:9" ht="21.75" customHeight="1">
      <c r="A852" s="1"/>
      <c r="B852" s="4"/>
      <c r="C852" s="1"/>
      <c r="D852" s="2"/>
      <c r="E852" s="3"/>
      <c r="F852" s="4"/>
      <c r="G852" s="1"/>
      <c r="H852" s="7"/>
      <c r="I852" s="4"/>
    </row>
    <row r="853" spans="1:9" ht="21.75" customHeight="1">
      <c r="A853" s="1"/>
      <c r="B853" s="4"/>
      <c r="C853" s="1"/>
      <c r="D853" s="2"/>
      <c r="E853" s="3"/>
      <c r="F853" s="4"/>
      <c r="G853" s="1"/>
      <c r="H853" s="7"/>
      <c r="I853" s="4"/>
    </row>
    <row r="854" spans="1:9" ht="21.75" customHeight="1">
      <c r="A854" s="1"/>
      <c r="B854" s="4"/>
      <c r="C854" s="1"/>
      <c r="D854" s="2"/>
      <c r="E854" s="3"/>
      <c r="F854" s="4"/>
      <c r="G854" s="1"/>
      <c r="H854" s="7"/>
      <c r="I854" s="4"/>
    </row>
    <row r="855" spans="1:9" ht="21.75" customHeight="1">
      <c r="A855" s="1"/>
      <c r="B855" s="4"/>
      <c r="C855" s="1"/>
      <c r="D855" s="2"/>
      <c r="E855" s="3"/>
      <c r="F855" s="4"/>
      <c r="G855" s="1"/>
      <c r="H855" s="7"/>
      <c r="I855" s="4"/>
    </row>
    <row r="856" spans="1:9" ht="21.75" customHeight="1">
      <c r="A856" s="1"/>
      <c r="B856" s="4"/>
      <c r="C856" s="1"/>
      <c r="D856" s="2"/>
      <c r="E856" s="3"/>
      <c r="F856" s="4"/>
      <c r="G856" s="1"/>
      <c r="H856" s="7"/>
      <c r="I856" s="4"/>
    </row>
    <row r="857" spans="1:9" ht="21.75" customHeight="1">
      <c r="A857" s="1"/>
      <c r="B857" s="4"/>
      <c r="C857" s="1"/>
      <c r="D857" s="2"/>
      <c r="E857" s="3"/>
      <c r="F857" s="4"/>
      <c r="G857" s="1"/>
      <c r="H857" s="7"/>
      <c r="I857" s="4"/>
    </row>
    <row r="858" spans="1:9" ht="21.75" customHeight="1">
      <c r="A858" s="1"/>
      <c r="B858" s="4"/>
      <c r="C858" s="1"/>
      <c r="D858" s="2"/>
      <c r="E858" s="3"/>
      <c r="F858" s="4"/>
      <c r="G858" s="1"/>
      <c r="H858" s="7"/>
      <c r="I858" s="4"/>
    </row>
    <row r="859" spans="1:9" ht="21.75" customHeight="1">
      <c r="A859" s="1"/>
      <c r="B859" s="4"/>
      <c r="C859" s="1"/>
      <c r="D859" s="2"/>
      <c r="E859" s="3"/>
      <c r="F859" s="4"/>
      <c r="G859" s="1"/>
      <c r="H859" s="7"/>
      <c r="I859" s="4"/>
    </row>
    <row r="860" spans="1:9" ht="21.75" customHeight="1">
      <c r="A860" s="1"/>
      <c r="B860" s="4"/>
      <c r="C860" s="1"/>
      <c r="D860" s="2"/>
      <c r="E860" s="3"/>
      <c r="F860" s="4"/>
      <c r="G860" s="1"/>
      <c r="H860" s="7"/>
      <c r="I860" s="4"/>
    </row>
    <row r="861" spans="1:9" ht="21.75" customHeight="1">
      <c r="A861" s="1"/>
      <c r="B861" s="4"/>
      <c r="C861" s="1"/>
      <c r="D861" s="2"/>
      <c r="E861" s="3"/>
      <c r="F861" s="4"/>
      <c r="G861" s="1"/>
      <c r="H861" s="7"/>
      <c r="I861" s="4"/>
    </row>
    <row r="862" spans="1:9" ht="21.75" customHeight="1">
      <c r="A862" s="1"/>
      <c r="B862" s="4"/>
      <c r="C862" s="1"/>
      <c r="D862" s="2"/>
      <c r="E862" s="3"/>
      <c r="F862" s="4"/>
      <c r="G862" s="1"/>
      <c r="H862" s="7"/>
      <c r="I862" s="4"/>
    </row>
    <row r="863" spans="1:9" ht="21.75" customHeight="1">
      <c r="A863" s="1"/>
      <c r="B863" s="4"/>
      <c r="C863" s="1"/>
      <c r="D863" s="2"/>
      <c r="E863" s="3"/>
      <c r="F863" s="4"/>
      <c r="G863" s="1"/>
      <c r="H863" s="7"/>
      <c r="I863" s="4"/>
    </row>
    <row r="864" spans="1:9" ht="21.75" customHeight="1">
      <c r="A864" s="1"/>
      <c r="B864" s="4"/>
      <c r="C864" s="1"/>
      <c r="D864" s="2"/>
      <c r="E864" s="3"/>
      <c r="F864" s="4"/>
      <c r="G864" s="1"/>
      <c r="H864" s="7"/>
      <c r="I864" s="4"/>
    </row>
    <row r="865" spans="1:9" ht="21.75" customHeight="1">
      <c r="A865" s="1"/>
      <c r="B865" s="4"/>
      <c r="C865" s="1"/>
      <c r="D865" s="2"/>
      <c r="E865" s="3"/>
      <c r="F865" s="4"/>
      <c r="G865" s="1"/>
      <c r="H865" s="7"/>
      <c r="I865" s="4"/>
    </row>
    <row r="866" spans="1:9" ht="21.75" customHeight="1">
      <c r="A866" s="1"/>
      <c r="B866" s="4"/>
      <c r="C866" s="1"/>
      <c r="D866" s="2"/>
      <c r="E866" s="3"/>
      <c r="F866" s="4"/>
      <c r="G866" s="1"/>
      <c r="H866" s="7"/>
      <c r="I866" s="4"/>
    </row>
    <row r="867" spans="1:9" ht="21.75" customHeight="1">
      <c r="A867" s="1"/>
      <c r="B867" s="4"/>
      <c r="C867" s="1"/>
      <c r="D867" s="2"/>
      <c r="E867" s="3"/>
      <c r="F867" s="4"/>
      <c r="G867" s="1"/>
      <c r="H867" s="7"/>
      <c r="I867" s="4"/>
    </row>
    <row r="868" spans="1:9" ht="21.75" customHeight="1">
      <c r="A868" s="1"/>
      <c r="B868" s="4"/>
      <c r="C868" s="1"/>
      <c r="D868" s="2"/>
      <c r="E868" s="3"/>
      <c r="F868" s="4"/>
      <c r="G868" s="1"/>
      <c r="H868" s="7"/>
      <c r="I868" s="4"/>
    </row>
    <row r="869" spans="1:9" ht="21.75" customHeight="1">
      <c r="A869" s="1"/>
      <c r="B869" s="4"/>
      <c r="C869" s="1"/>
      <c r="D869" s="2"/>
      <c r="E869" s="3"/>
      <c r="F869" s="4"/>
      <c r="G869" s="1"/>
      <c r="H869" s="7"/>
      <c r="I869" s="4"/>
    </row>
    <row r="870" spans="1:9" ht="21.75" customHeight="1">
      <c r="A870" s="1"/>
      <c r="B870" s="4"/>
      <c r="C870" s="1"/>
      <c r="D870" s="2"/>
      <c r="E870" s="3"/>
      <c r="F870" s="4"/>
      <c r="G870" s="1"/>
      <c r="H870" s="7"/>
      <c r="I870" s="4"/>
    </row>
    <row r="871" spans="1:9" ht="21.75" customHeight="1">
      <c r="A871" s="1"/>
      <c r="B871" s="4"/>
      <c r="C871" s="1"/>
      <c r="D871" s="2"/>
      <c r="E871" s="3"/>
      <c r="F871" s="4"/>
      <c r="G871" s="1"/>
      <c r="H871" s="7"/>
      <c r="I871" s="4"/>
    </row>
    <row r="872" spans="1:9" ht="21.75" customHeight="1">
      <c r="A872" s="1"/>
      <c r="B872" s="4"/>
      <c r="C872" s="1"/>
      <c r="D872" s="2"/>
      <c r="E872" s="3"/>
      <c r="F872" s="4"/>
      <c r="G872" s="1"/>
      <c r="H872" s="7"/>
      <c r="I872" s="4"/>
    </row>
    <row r="873" spans="1:9" ht="21.75" customHeight="1">
      <c r="A873" s="1"/>
      <c r="B873" s="4"/>
      <c r="C873" s="1"/>
      <c r="D873" s="2"/>
      <c r="E873" s="3"/>
      <c r="F873" s="4"/>
      <c r="G873" s="1"/>
      <c r="H873" s="7"/>
      <c r="I873" s="4"/>
    </row>
    <row r="874" spans="1:9" ht="21.75" customHeight="1">
      <c r="A874" s="1"/>
      <c r="B874" s="4"/>
      <c r="C874" s="1"/>
      <c r="D874" s="2"/>
      <c r="E874" s="3"/>
      <c r="F874" s="4"/>
      <c r="G874" s="1"/>
      <c r="H874" s="7"/>
      <c r="I874" s="4"/>
    </row>
    <row r="875" spans="1:9" ht="21.75" customHeight="1">
      <c r="A875" s="1"/>
      <c r="B875" s="4"/>
      <c r="C875" s="1"/>
      <c r="D875" s="2"/>
      <c r="E875" s="3"/>
      <c r="F875" s="4"/>
      <c r="G875" s="1"/>
      <c r="H875" s="7"/>
      <c r="I875" s="4"/>
    </row>
    <row r="876" spans="1:9" ht="21.75" customHeight="1">
      <c r="A876" s="1"/>
      <c r="B876" s="4"/>
      <c r="C876" s="1"/>
      <c r="D876" s="2"/>
      <c r="E876" s="3"/>
      <c r="F876" s="4"/>
      <c r="G876" s="1"/>
      <c r="H876" s="7"/>
      <c r="I876" s="4"/>
    </row>
    <row r="877" spans="1:9" ht="21.75" customHeight="1">
      <c r="A877" s="1"/>
      <c r="B877" s="4"/>
      <c r="C877" s="1"/>
      <c r="D877" s="2"/>
      <c r="E877" s="3"/>
      <c r="F877" s="4"/>
      <c r="G877" s="1"/>
      <c r="H877" s="7"/>
      <c r="I877" s="4"/>
    </row>
    <row r="878" spans="1:9" ht="21.75" customHeight="1">
      <c r="A878" s="1"/>
      <c r="B878" s="4"/>
      <c r="C878" s="1"/>
      <c r="D878" s="2"/>
      <c r="E878" s="3"/>
      <c r="F878" s="4"/>
      <c r="G878" s="1"/>
      <c r="H878" s="7"/>
      <c r="I878" s="4"/>
    </row>
    <row r="879" spans="1:9" ht="21.75" customHeight="1">
      <c r="A879" s="1"/>
      <c r="B879" s="4"/>
      <c r="C879" s="1"/>
      <c r="D879" s="2"/>
      <c r="E879" s="3"/>
      <c r="F879" s="4"/>
      <c r="G879" s="1"/>
      <c r="H879" s="7"/>
      <c r="I879" s="4"/>
    </row>
    <row r="880" spans="1:9" ht="21.75" customHeight="1">
      <c r="A880" s="1"/>
      <c r="B880" s="4"/>
      <c r="C880" s="1"/>
      <c r="D880" s="2"/>
      <c r="E880" s="3"/>
      <c r="F880" s="4"/>
      <c r="G880" s="1"/>
      <c r="H880" s="7"/>
      <c r="I880" s="4"/>
    </row>
    <row r="881" spans="1:9" ht="21.75" customHeight="1">
      <c r="A881" s="1"/>
      <c r="B881" s="4"/>
      <c r="C881" s="1"/>
      <c r="D881" s="2"/>
      <c r="E881" s="3"/>
      <c r="F881" s="4"/>
      <c r="G881" s="1"/>
      <c r="H881" s="7"/>
      <c r="I881" s="4"/>
    </row>
    <row r="882" spans="1:9" ht="21.75" customHeight="1">
      <c r="A882" s="1"/>
      <c r="B882" s="4"/>
      <c r="C882" s="1"/>
      <c r="D882" s="2"/>
      <c r="E882" s="3"/>
      <c r="F882" s="4"/>
      <c r="G882" s="1"/>
      <c r="H882" s="7"/>
      <c r="I882" s="4"/>
    </row>
    <row r="883" spans="1:9" ht="21.75" customHeight="1">
      <c r="A883" s="1"/>
      <c r="B883" s="4"/>
      <c r="C883" s="1"/>
      <c r="D883" s="2"/>
      <c r="E883" s="3"/>
      <c r="F883" s="4"/>
      <c r="G883" s="1"/>
      <c r="H883" s="7"/>
      <c r="I883" s="4"/>
    </row>
    <row r="884" spans="1:9" ht="21.75" customHeight="1">
      <c r="A884" s="1"/>
      <c r="B884" s="4"/>
      <c r="C884" s="1"/>
      <c r="D884" s="2"/>
      <c r="E884" s="3"/>
      <c r="F884" s="4"/>
      <c r="G884" s="1"/>
      <c r="H884" s="7"/>
      <c r="I884" s="4"/>
    </row>
    <row r="885" spans="1:9" ht="21.75" customHeight="1">
      <c r="A885" s="1"/>
      <c r="B885" s="4"/>
      <c r="C885" s="1"/>
      <c r="D885" s="2"/>
      <c r="E885" s="3"/>
      <c r="F885" s="4"/>
      <c r="G885" s="1"/>
      <c r="H885" s="7"/>
      <c r="I885" s="4"/>
    </row>
    <row r="886" spans="1:9" ht="21.75" customHeight="1">
      <c r="A886" s="1"/>
      <c r="B886" s="4"/>
      <c r="C886" s="1"/>
      <c r="D886" s="2"/>
      <c r="E886" s="3"/>
      <c r="F886" s="4"/>
      <c r="G886" s="1"/>
      <c r="H886" s="7"/>
      <c r="I886" s="4"/>
    </row>
    <row r="887" spans="1:9" ht="21.75" customHeight="1">
      <c r="A887" s="1"/>
      <c r="B887" s="4"/>
      <c r="C887" s="1"/>
      <c r="D887" s="2"/>
      <c r="E887" s="3"/>
      <c r="F887" s="4"/>
      <c r="G887" s="1"/>
      <c r="H887" s="7"/>
      <c r="I887" s="4"/>
    </row>
    <row r="888" spans="1:9" ht="21.75" customHeight="1">
      <c r="A888" s="1"/>
      <c r="B888" s="4"/>
      <c r="C888" s="1"/>
      <c r="D888" s="2"/>
      <c r="E888" s="3"/>
      <c r="F888" s="4"/>
      <c r="G888" s="1"/>
      <c r="H888" s="7"/>
      <c r="I888" s="4"/>
    </row>
    <row r="889" spans="1:9" ht="21.75" customHeight="1">
      <c r="A889" s="1"/>
      <c r="B889" s="4"/>
      <c r="C889" s="1"/>
      <c r="D889" s="2"/>
      <c r="E889" s="3"/>
      <c r="F889" s="4"/>
      <c r="G889" s="1"/>
      <c r="H889" s="7"/>
      <c r="I889" s="4"/>
    </row>
    <row r="890" spans="1:9" ht="21.75" customHeight="1">
      <c r="A890" s="1"/>
      <c r="B890" s="4"/>
      <c r="C890" s="1"/>
      <c r="D890" s="2"/>
      <c r="E890" s="3"/>
      <c r="F890" s="4"/>
      <c r="G890" s="1"/>
      <c r="H890" s="7"/>
      <c r="I890" s="4"/>
    </row>
    <row r="891" spans="1:9" ht="21.75" customHeight="1">
      <c r="A891" s="1"/>
      <c r="B891" s="4"/>
      <c r="C891" s="1"/>
      <c r="D891" s="2"/>
      <c r="E891" s="3"/>
      <c r="F891" s="4"/>
      <c r="G891" s="1"/>
      <c r="H891" s="7"/>
      <c r="I891" s="4"/>
    </row>
    <row r="892" spans="1:9" ht="21.75" customHeight="1">
      <c r="A892" s="1"/>
      <c r="B892" s="4"/>
      <c r="C892" s="1"/>
      <c r="D892" s="2"/>
      <c r="E892" s="3"/>
      <c r="F892" s="4"/>
      <c r="G892" s="1"/>
      <c r="H892" s="7"/>
      <c r="I892" s="4"/>
    </row>
    <row r="893" spans="1:9" ht="21.75" customHeight="1">
      <c r="A893" s="1"/>
      <c r="B893" s="4"/>
      <c r="C893" s="1"/>
      <c r="D893" s="2"/>
      <c r="E893" s="3"/>
      <c r="F893" s="4"/>
      <c r="G893" s="1"/>
      <c r="H893" s="7"/>
      <c r="I893" s="4"/>
    </row>
    <row r="894" spans="1:9" ht="21.75" customHeight="1">
      <c r="A894" s="1"/>
      <c r="B894" s="4"/>
      <c r="C894" s="1"/>
      <c r="D894" s="2"/>
      <c r="E894" s="3"/>
      <c r="F894" s="4"/>
      <c r="G894" s="1"/>
      <c r="H894" s="7"/>
      <c r="I894" s="4"/>
    </row>
    <row r="895" spans="1:9" ht="21.75" customHeight="1">
      <c r="A895" s="1"/>
      <c r="B895" s="4"/>
      <c r="C895" s="1"/>
      <c r="D895" s="2"/>
      <c r="E895" s="3"/>
      <c r="F895" s="4"/>
      <c r="G895" s="1"/>
      <c r="H895" s="7"/>
      <c r="I895" s="4"/>
    </row>
    <row r="896" spans="1:9" ht="21.75" customHeight="1">
      <c r="A896" s="1"/>
      <c r="B896" s="4"/>
      <c r="C896" s="1"/>
      <c r="D896" s="2"/>
      <c r="E896" s="3"/>
      <c r="F896" s="4"/>
      <c r="G896" s="1"/>
      <c r="H896" s="7"/>
      <c r="I896" s="4"/>
    </row>
    <row r="897" spans="1:9" ht="21.75" customHeight="1">
      <c r="A897" s="1"/>
      <c r="B897" s="4"/>
      <c r="C897" s="1"/>
      <c r="D897" s="2"/>
      <c r="E897" s="3"/>
      <c r="F897" s="4"/>
      <c r="G897" s="1"/>
      <c r="H897" s="7"/>
      <c r="I897" s="4"/>
    </row>
    <row r="898" spans="1:9" ht="21.75" customHeight="1">
      <c r="A898" s="1"/>
      <c r="B898" s="4"/>
      <c r="C898" s="1"/>
      <c r="D898" s="2"/>
      <c r="E898" s="3"/>
      <c r="F898" s="4"/>
      <c r="G898" s="1"/>
      <c r="H898" s="7"/>
      <c r="I898" s="4"/>
    </row>
    <row r="899" spans="1:9" ht="21.75" customHeight="1">
      <c r="A899" s="1"/>
      <c r="B899" s="4"/>
      <c r="C899" s="1"/>
      <c r="D899" s="2"/>
      <c r="E899" s="3"/>
      <c r="F899" s="4"/>
      <c r="G899" s="1"/>
      <c r="H899" s="7"/>
      <c r="I899" s="4"/>
    </row>
    <row r="900" spans="1:9" ht="21.75" customHeight="1">
      <c r="A900" s="1"/>
      <c r="B900" s="4"/>
      <c r="C900" s="1"/>
      <c r="D900" s="2"/>
      <c r="E900" s="3"/>
      <c r="F900" s="4"/>
      <c r="G900" s="1"/>
      <c r="H900" s="7"/>
      <c r="I900" s="4"/>
    </row>
    <row r="901" spans="1:9" ht="21.75" customHeight="1">
      <c r="A901" s="1"/>
      <c r="B901" s="4"/>
      <c r="C901" s="1"/>
      <c r="D901" s="2"/>
      <c r="E901" s="3"/>
      <c r="F901" s="4"/>
      <c r="G901" s="1"/>
      <c r="H901" s="7"/>
      <c r="I901" s="4"/>
    </row>
    <row r="902" spans="1:9" ht="21.75" customHeight="1">
      <c r="A902" s="1"/>
      <c r="B902" s="4"/>
      <c r="C902" s="1"/>
      <c r="D902" s="2"/>
      <c r="E902" s="3"/>
      <c r="F902" s="4"/>
      <c r="G902" s="1"/>
      <c r="H902" s="7"/>
      <c r="I902" s="4"/>
    </row>
    <row r="903" spans="1:9" ht="21.75" customHeight="1">
      <c r="A903" s="1"/>
      <c r="B903" s="4"/>
      <c r="C903" s="1"/>
      <c r="D903" s="2"/>
      <c r="E903" s="3"/>
      <c r="F903" s="4"/>
      <c r="G903" s="1"/>
      <c r="H903" s="7"/>
      <c r="I903" s="4"/>
    </row>
    <row r="904" spans="1:9" ht="21.75" customHeight="1">
      <c r="A904" s="1"/>
      <c r="B904" s="4"/>
      <c r="C904" s="1"/>
      <c r="D904" s="2"/>
      <c r="E904" s="3"/>
      <c r="F904" s="4"/>
      <c r="G904" s="1"/>
      <c r="H904" s="7"/>
      <c r="I904" s="4"/>
    </row>
    <row r="905" spans="1:9" ht="21.75" customHeight="1">
      <c r="A905" s="1"/>
      <c r="B905" s="4"/>
      <c r="C905" s="1"/>
      <c r="D905" s="2"/>
      <c r="E905" s="3"/>
      <c r="F905" s="4"/>
      <c r="G905" s="1"/>
      <c r="H905" s="7"/>
      <c r="I905" s="4"/>
    </row>
    <row r="906" spans="1:9" ht="21.75" customHeight="1">
      <c r="A906" s="1"/>
      <c r="B906" s="4"/>
      <c r="C906" s="1"/>
      <c r="D906" s="2"/>
      <c r="E906" s="3"/>
      <c r="F906" s="4"/>
      <c r="G906" s="1"/>
      <c r="H906" s="7"/>
      <c r="I906" s="4"/>
    </row>
    <row r="907" spans="1:9" ht="21.75" customHeight="1">
      <c r="A907" s="1"/>
      <c r="B907" s="4"/>
      <c r="C907" s="1"/>
      <c r="D907" s="2"/>
      <c r="E907" s="3"/>
      <c r="F907" s="4"/>
      <c r="G907" s="1"/>
      <c r="H907" s="7"/>
      <c r="I907" s="4"/>
    </row>
    <row r="908" spans="1:9" ht="21.75" customHeight="1">
      <c r="A908" s="1"/>
      <c r="B908" s="4"/>
      <c r="C908" s="1"/>
      <c r="D908" s="2"/>
      <c r="E908" s="3"/>
      <c r="F908" s="4"/>
      <c r="G908" s="1"/>
      <c r="H908" s="7"/>
      <c r="I908" s="4"/>
    </row>
    <row r="909" spans="1:9" ht="21.75" customHeight="1">
      <c r="A909" s="1"/>
      <c r="B909" s="4"/>
      <c r="C909" s="1"/>
      <c r="D909" s="2"/>
      <c r="E909" s="3"/>
      <c r="F909" s="4"/>
      <c r="G909" s="1"/>
      <c r="H909" s="7"/>
      <c r="I909" s="4"/>
    </row>
    <row r="910" spans="1:9" ht="21.75" customHeight="1">
      <c r="A910" s="1"/>
      <c r="B910" s="4"/>
      <c r="C910" s="1"/>
      <c r="D910" s="2"/>
      <c r="E910" s="3"/>
      <c r="F910" s="4"/>
      <c r="G910" s="1"/>
      <c r="H910" s="7"/>
      <c r="I910" s="4"/>
    </row>
    <row r="911" spans="1:9" ht="21.75" customHeight="1">
      <c r="A911" s="1"/>
      <c r="B911" s="4"/>
      <c r="C911" s="1"/>
      <c r="D911" s="2"/>
      <c r="E911" s="3"/>
      <c r="F911" s="4"/>
      <c r="G911" s="1"/>
      <c r="H911" s="7"/>
      <c r="I911" s="4"/>
    </row>
    <row r="912" spans="1:9" ht="21.75" customHeight="1">
      <c r="A912" s="1"/>
      <c r="B912" s="4"/>
      <c r="C912" s="1"/>
      <c r="D912" s="2"/>
      <c r="E912" s="3"/>
      <c r="F912" s="4"/>
      <c r="G912" s="1"/>
      <c r="H912" s="7"/>
      <c r="I912" s="4"/>
    </row>
    <row r="913" spans="1:9" ht="21.75" customHeight="1">
      <c r="A913" s="1"/>
      <c r="B913" s="4"/>
      <c r="C913" s="1"/>
      <c r="D913" s="2"/>
      <c r="E913" s="3"/>
      <c r="F913" s="4"/>
      <c r="G913" s="1"/>
      <c r="H913" s="7"/>
      <c r="I913" s="4"/>
    </row>
    <row r="914" spans="1:9" ht="21.75" customHeight="1">
      <c r="A914" s="1"/>
      <c r="B914" s="4"/>
      <c r="C914" s="1"/>
      <c r="D914" s="2"/>
      <c r="E914" s="3"/>
      <c r="F914" s="4"/>
      <c r="G914" s="1"/>
      <c r="H914" s="7"/>
      <c r="I914" s="4"/>
    </row>
    <row r="915" spans="1:9" ht="21.75" customHeight="1">
      <c r="A915" s="1"/>
      <c r="B915" s="4"/>
      <c r="C915" s="1"/>
      <c r="D915" s="2"/>
      <c r="E915" s="3"/>
      <c r="F915" s="4"/>
      <c r="G915" s="1"/>
      <c r="H915" s="7"/>
      <c r="I915" s="4"/>
    </row>
    <row r="916" spans="1:9" ht="21.75" customHeight="1">
      <c r="A916" s="1"/>
      <c r="B916" s="4"/>
      <c r="C916" s="1"/>
      <c r="D916" s="2"/>
      <c r="E916" s="3"/>
      <c r="F916" s="4"/>
      <c r="G916" s="1"/>
      <c r="H916" s="7"/>
      <c r="I916" s="4"/>
    </row>
    <row r="917" spans="1:9" ht="21.75" customHeight="1">
      <c r="A917" s="1"/>
      <c r="B917" s="4"/>
      <c r="C917" s="1"/>
      <c r="D917" s="2"/>
      <c r="E917" s="3"/>
      <c r="F917" s="4"/>
      <c r="G917" s="1"/>
      <c r="H917" s="7"/>
      <c r="I917" s="4"/>
    </row>
    <row r="918" spans="1:9" ht="21.75" customHeight="1">
      <c r="A918" s="1"/>
      <c r="B918" s="4"/>
      <c r="C918" s="1"/>
      <c r="D918" s="2"/>
      <c r="E918" s="3"/>
      <c r="F918" s="4"/>
      <c r="G918" s="1"/>
      <c r="H918" s="7"/>
      <c r="I918" s="4"/>
    </row>
    <row r="919" spans="1:9" ht="21.75" customHeight="1">
      <c r="A919" s="1"/>
      <c r="B919" s="4"/>
      <c r="C919" s="1"/>
      <c r="D919" s="2"/>
      <c r="E919" s="3"/>
      <c r="F919" s="4"/>
      <c r="G919" s="1"/>
      <c r="H919" s="7"/>
      <c r="I919" s="4"/>
    </row>
    <row r="920" spans="1:9" ht="21.75" customHeight="1">
      <c r="A920" s="1"/>
      <c r="B920" s="4"/>
      <c r="C920" s="1"/>
      <c r="D920" s="2"/>
      <c r="E920" s="3"/>
      <c r="F920" s="4"/>
      <c r="G920" s="1"/>
      <c r="H920" s="7"/>
      <c r="I920" s="4"/>
    </row>
    <row r="921" spans="1:9" ht="21.75" customHeight="1">
      <c r="A921" s="1"/>
      <c r="B921" s="4"/>
      <c r="C921" s="1"/>
      <c r="D921" s="2"/>
      <c r="E921" s="3"/>
      <c r="F921" s="4"/>
      <c r="G921" s="1"/>
      <c r="H921" s="7"/>
      <c r="I921" s="4"/>
    </row>
    <row r="922" spans="1:9" ht="21.75" customHeight="1">
      <c r="A922" s="1"/>
      <c r="B922" s="4"/>
      <c r="C922" s="1"/>
      <c r="D922" s="2"/>
      <c r="E922" s="3"/>
      <c r="F922" s="4"/>
      <c r="G922" s="1"/>
      <c r="H922" s="7"/>
      <c r="I922" s="4"/>
    </row>
    <row r="923" spans="1:9" ht="21.75" customHeight="1">
      <c r="A923" s="1"/>
      <c r="B923" s="4"/>
      <c r="C923" s="1"/>
      <c r="D923" s="2"/>
      <c r="E923" s="3"/>
      <c r="F923" s="4"/>
      <c r="G923" s="1"/>
      <c r="H923" s="7"/>
      <c r="I923" s="4"/>
    </row>
    <row r="924" spans="1:9" ht="21.75" customHeight="1">
      <c r="A924" s="1"/>
      <c r="B924" s="4"/>
      <c r="C924" s="1"/>
      <c r="D924" s="2"/>
      <c r="E924" s="3"/>
      <c r="F924" s="4"/>
      <c r="G924" s="1"/>
      <c r="H924" s="7"/>
      <c r="I924" s="4"/>
    </row>
    <row r="925" spans="1:9" ht="21.75" customHeight="1">
      <c r="A925" s="1"/>
      <c r="B925" s="4"/>
      <c r="C925" s="1"/>
      <c r="D925" s="2"/>
      <c r="E925" s="3"/>
      <c r="F925" s="4"/>
      <c r="G925" s="1"/>
      <c r="H925" s="7"/>
      <c r="I925" s="4"/>
    </row>
    <row r="926" spans="1:9" ht="21.75" customHeight="1">
      <c r="A926" s="1"/>
      <c r="B926" s="4"/>
      <c r="C926" s="1"/>
      <c r="D926" s="2"/>
      <c r="E926" s="3"/>
      <c r="F926" s="4"/>
      <c r="G926" s="1"/>
      <c r="H926" s="7"/>
      <c r="I926" s="4"/>
    </row>
    <row r="927" spans="1:9" ht="21.75" customHeight="1">
      <c r="A927" s="1"/>
      <c r="B927" s="4"/>
      <c r="C927" s="1"/>
      <c r="D927" s="2"/>
      <c r="E927" s="3"/>
      <c r="F927" s="4"/>
      <c r="G927" s="1"/>
      <c r="H927" s="7"/>
      <c r="I927" s="4"/>
    </row>
    <row r="928" spans="1:9" ht="21.75" customHeight="1">
      <c r="A928" s="1"/>
      <c r="B928" s="4"/>
      <c r="C928" s="1"/>
      <c r="D928" s="2"/>
      <c r="E928" s="3"/>
      <c r="F928" s="4"/>
      <c r="G928" s="1"/>
      <c r="H928" s="7"/>
      <c r="I928" s="4"/>
    </row>
    <row r="929" spans="1:9" ht="21.75" customHeight="1">
      <c r="A929" s="1"/>
      <c r="B929" s="4"/>
      <c r="C929" s="1"/>
      <c r="D929" s="2"/>
      <c r="E929" s="3"/>
      <c r="F929" s="4"/>
      <c r="G929" s="1"/>
      <c r="H929" s="7"/>
      <c r="I929" s="4"/>
    </row>
    <row r="930" spans="1:9" ht="21.75" customHeight="1">
      <c r="A930" s="1"/>
      <c r="B930" s="4"/>
      <c r="C930" s="1"/>
      <c r="D930" s="2"/>
      <c r="E930" s="3"/>
      <c r="F930" s="4"/>
      <c r="G930" s="1"/>
      <c r="H930" s="7"/>
      <c r="I930" s="4"/>
    </row>
    <row r="931" spans="1:9" ht="21.75" customHeight="1">
      <c r="A931" s="1"/>
      <c r="B931" s="4"/>
      <c r="C931" s="1"/>
      <c r="D931" s="2"/>
      <c r="E931" s="3"/>
      <c r="F931" s="4"/>
      <c r="G931" s="1"/>
      <c r="H931" s="7"/>
      <c r="I931" s="4"/>
    </row>
    <row r="932" spans="1:9" ht="21.75" customHeight="1">
      <c r="A932" s="1"/>
      <c r="B932" s="4"/>
      <c r="C932" s="1"/>
      <c r="D932" s="2"/>
      <c r="E932" s="3"/>
      <c r="F932" s="4"/>
      <c r="G932" s="1"/>
      <c r="H932" s="7"/>
      <c r="I932" s="4"/>
    </row>
    <row r="933" spans="1:9" ht="21.75" customHeight="1">
      <c r="A933" s="1"/>
      <c r="B933" s="4"/>
      <c r="C933" s="1"/>
      <c r="D933" s="2"/>
      <c r="E933" s="3"/>
      <c r="F933" s="4"/>
      <c r="G933" s="1"/>
      <c r="H933" s="7"/>
      <c r="I933" s="4"/>
    </row>
    <row r="934" spans="1:9" ht="21.75" customHeight="1">
      <c r="A934" s="1"/>
      <c r="B934" s="4"/>
      <c r="C934" s="1"/>
      <c r="D934" s="2"/>
      <c r="E934" s="3"/>
      <c r="F934" s="4"/>
      <c r="G934" s="1"/>
      <c r="H934" s="7"/>
      <c r="I934" s="4"/>
    </row>
    <row r="935" spans="1:9" ht="21.75" customHeight="1">
      <c r="A935" s="1"/>
      <c r="B935" s="4"/>
      <c r="C935" s="1"/>
      <c r="D935" s="2"/>
      <c r="E935" s="3"/>
      <c r="F935" s="4"/>
      <c r="G935" s="1"/>
      <c r="H935" s="7"/>
      <c r="I935" s="4"/>
    </row>
    <row r="936" spans="1:9" ht="21.75" customHeight="1">
      <c r="A936" s="1"/>
      <c r="B936" s="4"/>
      <c r="C936" s="1"/>
      <c r="D936" s="2"/>
      <c r="E936" s="3"/>
      <c r="F936" s="4"/>
      <c r="G936" s="1"/>
      <c r="H936" s="7"/>
      <c r="I936" s="4"/>
    </row>
    <row r="937" spans="1:9" ht="21.75" customHeight="1">
      <c r="A937" s="1"/>
      <c r="B937" s="4"/>
      <c r="C937" s="1"/>
      <c r="D937" s="2"/>
      <c r="E937" s="3"/>
      <c r="F937" s="4"/>
      <c r="G937" s="1"/>
      <c r="H937" s="7"/>
      <c r="I937" s="4"/>
    </row>
    <row r="938" spans="1:9" ht="21.75" customHeight="1">
      <c r="A938" s="1"/>
      <c r="B938" s="4"/>
      <c r="C938" s="1"/>
      <c r="D938" s="2"/>
      <c r="E938" s="3"/>
      <c r="F938" s="4"/>
      <c r="G938" s="1"/>
      <c r="H938" s="7"/>
      <c r="I938" s="4"/>
    </row>
    <row r="939" spans="1:9" ht="21.75" customHeight="1">
      <c r="A939" s="1"/>
      <c r="B939" s="4"/>
      <c r="C939" s="1"/>
      <c r="D939" s="2"/>
      <c r="E939" s="3"/>
      <c r="F939" s="4"/>
      <c r="G939" s="1"/>
      <c r="H939" s="7"/>
      <c r="I939" s="4"/>
    </row>
    <row r="940" spans="1:9" ht="21.75" customHeight="1">
      <c r="A940" s="1"/>
      <c r="B940" s="4"/>
      <c r="C940" s="1"/>
      <c r="D940" s="2"/>
      <c r="E940" s="3"/>
      <c r="F940" s="4"/>
      <c r="G940" s="1"/>
      <c r="H940" s="7"/>
      <c r="I940" s="4"/>
    </row>
    <row r="941" spans="1:9" ht="21.75" customHeight="1">
      <c r="A941" s="1"/>
      <c r="B941" s="4"/>
      <c r="C941" s="1"/>
      <c r="D941" s="2"/>
      <c r="E941" s="3"/>
      <c r="F941" s="4"/>
      <c r="G941" s="1"/>
      <c r="H941" s="7"/>
      <c r="I941" s="4"/>
    </row>
    <row r="942" spans="1:9" ht="21.75" customHeight="1">
      <c r="A942" s="1"/>
      <c r="B942" s="4"/>
      <c r="C942" s="1"/>
      <c r="D942" s="2"/>
      <c r="E942" s="3"/>
      <c r="F942" s="4"/>
      <c r="G942" s="1"/>
      <c r="H942" s="7"/>
      <c r="I942" s="4"/>
    </row>
    <row r="943" spans="1:9" ht="21.75" customHeight="1">
      <c r="A943" s="1"/>
      <c r="B943" s="4"/>
      <c r="C943" s="1"/>
      <c r="D943" s="2"/>
      <c r="E943" s="3"/>
      <c r="F943" s="4"/>
      <c r="G943" s="1"/>
      <c r="H943" s="7"/>
      <c r="I943" s="4"/>
    </row>
    <row r="944" spans="1:9" ht="21.75" customHeight="1">
      <c r="A944" s="1"/>
      <c r="B944" s="4"/>
      <c r="C944" s="1"/>
      <c r="D944" s="2"/>
      <c r="E944" s="3"/>
      <c r="F944" s="4"/>
      <c r="G944" s="1"/>
      <c r="H944" s="7"/>
      <c r="I944" s="4"/>
    </row>
    <row r="945" spans="1:9" ht="21.75" customHeight="1">
      <c r="A945" s="1"/>
      <c r="B945" s="4"/>
      <c r="C945" s="1"/>
      <c r="D945" s="2"/>
      <c r="E945" s="3"/>
      <c r="F945" s="4"/>
      <c r="G945" s="1"/>
      <c r="H945" s="7"/>
      <c r="I945" s="4"/>
    </row>
    <row r="946" spans="1:9" ht="21.75" customHeight="1">
      <c r="A946" s="1"/>
      <c r="B946" s="4"/>
      <c r="C946" s="1"/>
      <c r="D946" s="2"/>
      <c r="E946" s="3"/>
      <c r="F946" s="4"/>
      <c r="G946" s="1"/>
      <c r="H946" s="7"/>
      <c r="I946" s="4"/>
    </row>
    <row r="947" spans="1:9" ht="21.75" customHeight="1">
      <c r="A947" s="1"/>
      <c r="B947" s="4"/>
      <c r="C947" s="1"/>
      <c r="D947" s="2"/>
      <c r="E947" s="3"/>
      <c r="F947" s="4"/>
      <c r="G947" s="1"/>
      <c r="H947" s="7"/>
      <c r="I947" s="4"/>
    </row>
    <row r="948" spans="1:9" ht="21.75" customHeight="1">
      <c r="A948" s="1"/>
      <c r="B948" s="4"/>
      <c r="C948" s="1"/>
      <c r="D948" s="2"/>
      <c r="E948" s="3"/>
      <c r="F948" s="4"/>
      <c r="G948" s="1"/>
      <c r="H948" s="7"/>
      <c r="I948" s="4"/>
    </row>
    <row r="949" spans="1:9" ht="21.75" customHeight="1">
      <c r="A949" s="1"/>
      <c r="B949" s="4"/>
      <c r="C949" s="1"/>
      <c r="D949" s="2"/>
      <c r="E949" s="3"/>
      <c r="F949" s="4"/>
      <c r="G949" s="1"/>
      <c r="H949" s="7"/>
      <c r="I949" s="4"/>
    </row>
    <row r="950" spans="1:9" ht="21.75" customHeight="1">
      <c r="A950" s="1"/>
      <c r="B950" s="4"/>
      <c r="C950" s="1"/>
      <c r="D950" s="2"/>
      <c r="E950" s="3"/>
      <c r="F950" s="4"/>
      <c r="G950" s="1"/>
      <c r="H950" s="7"/>
      <c r="I950" s="4"/>
    </row>
    <row r="951" spans="1:9" ht="21.75" customHeight="1">
      <c r="A951" s="1"/>
      <c r="B951" s="4"/>
      <c r="C951" s="1"/>
      <c r="D951" s="2"/>
      <c r="E951" s="3"/>
      <c r="F951" s="4"/>
      <c r="G951" s="1"/>
      <c r="H951" s="7"/>
      <c r="I951" s="4"/>
    </row>
    <row r="952" spans="1:9" ht="21.75" customHeight="1">
      <c r="A952" s="1"/>
      <c r="B952" s="4"/>
      <c r="C952" s="1"/>
      <c r="D952" s="2"/>
      <c r="E952" s="3"/>
      <c r="F952" s="4"/>
      <c r="G952" s="1"/>
      <c r="H952" s="7"/>
      <c r="I952" s="4"/>
    </row>
    <row r="953" spans="1:9" ht="21.75" customHeight="1">
      <c r="A953" s="1"/>
      <c r="B953" s="4"/>
      <c r="C953" s="1"/>
      <c r="D953" s="2"/>
      <c r="E953" s="3"/>
      <c r="F953" s="4"/>
      <c r="G953" s="1"/>
      <c r="H953" s="7"/>
      <c r="I953" s="4"/>
    </row>
    <row r="954" spans="1:9" ht="21.75" customHeight="1">
      <c r="A954" s="1"/>
      <c r="B954" s="4"/>
      <c r="C954" s="1"/>
      <c r="D954" s="2"/>
      <c r="E954" s="3"/>
      <c r="F954" s="4"/>
      <c r="G954" s="1"/>
      <c r="H954" s="7"/>
      <c r="I954" s="4"/>
    </row>
    <row r="955" spans="1:9" ht="21.75" customHeight="1">
      <c r="A955" s="1"/>
      <c r="B955" s="4"/>
      <c r="C955" s="1"/>
      <c r="D955" s="2"/>
      <c r="E955" s="3"/>
      <c r="F955" s="4"/>
      <c r="G955" s="1"/>
      <c r="H955" s="7"/>
      <c r="I955" s="4"/>
    </row>
    <row r="956" spans="1:9" ht="21.75" customHeight="1">
      <c r="A956" s="1"/>
      <c r="B956" s="4"/>
      <c r="C956" s="1"/>
      <c r="D956" s="2"/>
      <c r="E956" s="3"/>
      <c r="F956" s="4"/>
      <c r="G956" s="1"/>
      <c r="H956" s="7"/>
      <c r="I956" s="4"/>
    </row>
    <row r="957" spans="1:9" ht="21.75" customHeight="1">
      <c r="A957" s="1"/>
      <c r="B957" s="4"/>
      <c r="C957" s="1"/>
      <c r="D957" s="2"/>
      <c r="E957" s="3"/>
      <c r="F957" s="4"/>
      <c r="G957" s="1"/>
      <c r="H957" s="7"/>
      <c r="I957" s="4"/>
    </row>
    <row r="958" spans="1:9" ht="21.75" customHeight="1">
      <c r="A958" s="1"/>
      <c r="B958" s="4"/>
      <c r="C958" s="1"/>
      <c r="D958" s="2"/>
      <c r="E958" s="3"/>
      <c r="F958" s="4"/>
      <c r="G958" s="1"/>
      <c r="H958" s="7"/>
      <c r="I958" s="4"/>
    </row>
    <row r="959" spans="1:9" ht="21.75" customHeight="1">
      <c r="A959" s="1"/>
      <c r="B959" s="4"/>
      <c r="C959" s="1"/>
      <c r="D959" s="2"/>
      <c r="E959" s="3"/>
      <c r="F959" s="4"/>
      <c r="G959" s="1"/>
      <c r="H959" s="7"/>
      <c r="I959" s="4"/>
    </row>
    <row r="960" spans="1:9" ht="21.75" customHeight="1">
      <c r="A960" s="1"/>
      <c r="B960" s="4"/>
      <c r="C960" s="1"/>
      <c r="D960" s="2"/>
      <c r="E960" s="3"/>
      <c r="F960" s="4"/>
      <c r="G960" s="1"/>
      <c r="H960" s="7"/>
      <c r="I960" s="4"/>
    </row>
    <row r="961" spans="1:9" ht="21.75" customHeight="1">
      <c r="A961" s="1"/>
      <c r="B961" s="4"/>
      <c r="C961" s="1"/>
      <c r="D961" s="2"/>
      <c r="E961" s="3"/>
      <c r="F961" s="4"/>
      <c r="G961" s="1"/>
      <c r="H961" s="7"/>
      <c r="I961" s="4"/>
    </row>
    <row r="962" spans="1:9" ht="21.75" customHeight="1">
      <c r="A962" s="1"/>
      <c r="B962" s="4"/>
      <c r="C962" s="1"/>
      <c r="D962" s="2"/>
      <c r="E962" s="3"/>
      <c r="F962" s="4"/>
      <c r="G962" s="1"/>
      <c r="H962" s="7"/>
      <c r="I962" s="4"/>
    </row>
    <row r="963" spans="1:9" ht="21.75" customHeight="1">
      <c r="A963" s="1"/>
      <c r="B963" s="4"/>
      <c r="C963" s="1"/>
      <c r="D963" s="2"/>
      <c r="E963" s="3"/>
      <c r="F963" s="4"/>
      <c r="G963" s="1"/>
      <c r="H963" s="7"/>
      <c r="I963" s="4"/>
    </row>
    <row r="964" spans="1:9" ht="21.75" customHeight="1">
      <c r="A964" s="1"/>
      <c r="B964" s="4"/>
      <c r="C964" s="1"/>
      <c r="D964" s="2"/>
      <c r="E964" s="3"/>
      <c r="F964" s="4"/>
      <c r="G964" s="1"/>
      <c r="H964" s="7"/>
      <c r="I964" s="4"/>
    </row>
    <row r="965" spans="1:9" ht="21.75" customHeight="1">
      <c r="A965" s="1"/>
      <c r="B965" s="4"/>
      <c r="C965" s="1"/>
      <c r="D965" s="2"/>
      <c r="E965" s="3"/>
      <c r="F965" s="4"/>
      <c r="G965" s="1"/>
      <c r="H965" s="7"/>
      <c r="I965" s="4"/>
    </row>
    <row r="966" spans="1:9" ht="21.75" customHeight="1">
      <c r="A966" s="1"/>
      <c r="B966" s="4"/>
      <c r="C966" s="1"/>
      <c r="D966" s="2"/>
      <c r="E966" s="3"/>
      <c r="F966" s="4"/>
      <c r="G966" s="1"/>
      <c r="H966" s="7"/>
      <c r="I966" s="4"/>
    </row>
    <row r="967" spans="1:9" ht="21.75" customHeight="1">
      <c r="A967" s="1"/>
      <c r="B967" s="4"/>
      <c r="C967" s="1"/>
      <c r="D967" s="2"/>
      <c r="E967" s="3"/>
      <c r="F967" s="4"/>
      <c r="G967" s="1"/>
      <c r="H967" s="7"/>
      <c r="I967" s="4"/>
    </row>
    <row r="968" spans="1:9" ht="21.75" customHeight="1">
      <c r="A968" s="1"/>
      <c r="B968" s="4"/>
      <c r="C968" s="1"/>
      <c r="D968" s="2"/>
      <c r="E968" s="3"/>
      <c r="F968" s="4"/>
      <c r="G968" s="1"/>
      <c r="H968" s="7"/>
      <c r="I968" s="4"/>
    </row>
    <row r="969" spans="1:9" ht="21.75" customHeight="1">
      <c r="A969" s="1"/>
      <c r="B969" s="4"/>
      <c r="C969" s="1"/>
      <c r="D969" s="2"/>
      <c r="E969" s="3"/>
      <c r="F969" s="4"/>
      <c r="G969" s="1"/>
      <c r="H969" s="7"/>
      <c r="I969" s="4"/>
    </row>
    <row r="970" spans="1:9" ht="21.75" customHeight="1">
      <c r="A970" s="1"/>
      <c r="B970" s="4"/>
      <c r="C970" s="1"/>
      <c r="D970" s="2"/>
      <c r="E970" s="3"/>
      <c r="F970" s="4"/>
      <c r="G970" s="1"/>
      <c r="H970" s="7"/>
      <c r="I970" s="4"/>
    </row>
    <row r="971" spans="1:9" ht="21.75" customHeight="1">
      <c r="A971" s="1"/>
      <c r="B971" s="4"/>
      <c r="C971" s="1"/>
      <c r="D971" s="2"/>
      <c r="E971" s="3"/>
      <c r="F971" s="4"/>
      <c r="G971" s="1"/>
      <c r="H971" s="7"/>
      <c r="I971" s="4"/>
    </row>
    <row r="972" spans="1:9" ht="21.75" customHeight="1">
      <c r="A972" s="1"/>
      <c r="B972" s="4"/>
      <c r="C972" s="1"/>
      <c r="D972" s="2"/>
      <c r="E972" s="3"/>
      <c r="F972" s="4"/>
      <c r="G972" s="1"/>
      <c r="H972" s="7"/>
      <c r="I972" s="4"/>
    </row>
    <row r="973" spans="1:9" ht="21.75" customHeight="1">
      <c r="A973" s="1"/>
      <c r="B973" s="4"/>
      <c r="C973" s="1"/>
      <c r="D973" s="2"/>
      <c r="E973" s="3"/>
      <c r="F973" s="4"/>
      <c r="G973" s="1"/>
      <c r="H973" s="7"/>
      <c r="I973" s="4"/>
    </row>
    <row r="974" spans="1:9" ht="21.75" customHeight="1">
      <c r="A974" s="1"/>
      <c r="B974" s="4"/>
      <c r="C974" s="1"/>
      <c r="D974" s="2"/>
      <c r="E974" s="3"/>
      <c r="F974" s="4"/>
      <c r="G974" s="1"/>
      <c r="H974" s="7"/>
      <c r="I974" s="4"/>
    </row>
    <row r="975" spans="1:9" ht="21.75" customHeight="1">
      <c r="A975" s="1"/>
      <c r="B975" s="4"/>
      <c r="C975" s="1"/>
      <c r="D975" s="2"/>
      <c r="E975" s="3"/>
      <c r="F975" s="4"/>
      <c r="G975" s="1"/>
      <c r="H975" s="7"/>
      <c r="I975" s="4"/>
    </row>
    <row r="976" spans="1:9" ht="21.75" customHeight="1">
      <c r="A976" s="1"/>
      <c r="B976" s="4"/>
      <c r="C976" s="1"/>
      <c r="D976" s="2"/>
      <c r="E976" s="3"/>
      <c r="F976" s="4"/>
      <c r="G976" s="1"/>
      <c r="H976" s="7"/>
      <c r="I976" s="4"/>
    </row>
    <row r="977" spans="1:9" ht="21.75" customHeight="1">
      <c r="A977" s="1"/>
      <c r="B977" s="4"/>
      <c r="C977" s="1"/>
      <c r="D977" s="2"/>
      <c r="E977" s="3"/>
      <c r="F977" s="4"/>
      <c r="G977" s="1"/>
      <c r="H977" s="7"/>
      <c r="I977" s="4"/>
    </row>
    <row r="978" spans="1:9" ht="21.75" customHeight="1">
      <c r="A978" s="1"/>
      <c r="B978" s="4"/>
      <c r="C978" s="1"/>
      <c r="D978" s="2"/>
      <c r="E978" s="3"/>
      <c r="F978" s="4"/>
      <c r="G978" s="1"/>
      <c r="H978" s="7"/>
      <c r="I978" s="4"/>
    </row>
    <row r="979" spans="1:9" ht="21.75" customHeight="1">
      <c r="A979" s="1"/>
      <c r="B979" s="4"/>
      <c r="C979" s="1"/>
      <c r="D979" s="2"/>
      <c r="E979" s="3"/>
      <c r="F979" s="4"/>
      <c r="G979" s="1"/>
      <c r="H979" s="7"/>
      <c r="I979" s="4"/>
    </row>
    <row r="980" spans="1:9" ht="21.75" customHeight="1">
      <c r="A980" s="1"/>
      <c r="B980" s="4"/>
      <c r="C980" s="1"/>
      <c r="D980" s="2"/>
      <c r="E980" s="3"/>
      <c r="F980" s="4"/>
      <c r="G980" s="1"/>
      <c r="H980" s="7"/>
      <c r="I980" s="4"/>
    </row>
    <row r="981" spans="1:9" ht="21.75" customHeight="1">
      <c r="A981" s="1"/>
      <c r="B981" s="4"/>
      <c r="C981" s="1"/>
      <c r="D981" s="2"/>
      <c r="E981" s="3"/>
      <c r="F981" s="4"/>
      <c r="G981" s="1"/>
      <c r="H981" s="7"/>
      <c r="I981" s="4"/>
    </row>
    <row r="982" spans="1:9" ht="21.75" customHeight="1">
      <c r="A982" s="1"/>
      <c r="B982" s="4"/>
      <c r="C982" s="1"/>
      <c r="D982" s="2"/>
      <c r="E982" s="3"/>
      <c r="F982" s="4"/>
      <c r="G982" s="1"/>
      <c r="H982" s="7"/>
      <c r="I982" s="4"/>
    </row>
    <row r="983" spans="1:9" ht="21.75" customHeight="1">
      <c r="A983" s="1"/>
      <c r="B983" s="4"/>
      <c r="C983" s="1"/>
      <c r="D983" s="2"/>
      <c r="E983" s="3"/>
      <c r="F983" s="4"/>
      <c r="G983" s="1"/>
      <c r="H983" s="7"/>
      <c r="I983" s="4"/>
    </row>
    <row r="984" spans="1:9" ht="21.75" customHeight="1">
      <c r="A984" s="1"/>
      <c r="B984" s="4"/>
      <c r="C984" s="1"/>
      <c r="D984" s="2"/>
      <c r="E984" s="3"/>
      <c r="F984" s="4"/>
      <c r="G984" s="1"/>
      <c r="H984" s="7"/>
      <c r="I984" s="4"/>
    </row>
    <row r="985" spans="1:9" ht="21.75" customHeight="1">
      <c r="A985" s="1"/>
      <c r="B985" s="4"/>
      <c r="C985" s="1"/>
      <c r="D985" s="2"/>
      <c r="E985" s="3"/>
      <c r="F985" s="4"/>
      <c r="G985" s="1"/>
      <c r="H985" s="7"/>
      <c r="I985" s="4"/>
    </row>
    <row r="986" spans="1:9" ht="21.75" customHeight="1">
      <c r="A986" s="1"/>
      <c r="B986" s="4"/>
      <c r="C986" s="1"/>
      <c r="D986" s="2"/>
      <c r="E986" s="3"/>
      <c r="F986" s="4"/>
      <c r="G986" s="1"/>
      <c r="H986" s="7"/>
      <c r="I986" s="4"/>
    </row>
    <row r="987" spans="1:9" ht="21.75" customHeight="1">
      <c r="A987" s="1"/>
      <c r="B987" s="4"/>
      <c r="C987" s="1"/>
      <c r="D987" s="2"/>
      <c r="E987" s="3"/>
      <c r="F987" s="4"/>
      <c r="G987" s="1"/>
      <c r="H987" s="7"/>
      <c r="I987" s="4"/>
    </row>
    <row r="988" spans="1:9" ht="21.75" customHeight="1">
      <c r="A988" s="1"/>
      <c r="B988" s="4"/>
      <c r="C988" s="1"/>
      <c r="D988" s="2"/>
      <c r="E988" s="3"/>
      <c r="F988" s="4"/>
      <c r="G988" s="1"/>
      <c r="H988" s="7"/>
      <c r="I988" s="4"/>
    </row>
    <row r="989" spans="1:9" ht="21.75" customHeight="1">
      <c r="A989" s="1"/>
      <c r="B989" s="4"/>
      <c r="C989" s="1"/>
      <c r="D989" s="2"/>
      <c r="E989" s="3"/>
      <c r="F989" s="4"/>
      <c r="G989" s="1"/>
      <c r="H989" s="7"/>
      <c r="I989" s="4"/>
    </row>
    <row r="990" spans="1:9" ht="21.75" customHeight="1">
      <c r="A990" s="1"/>
      <c r="B990" s="4"/>
      <c r="C990" s="1"/>
      <c r="D990" s="2"/>
      <c r="E990" s="3"/>
      <c r="F990" s="4"/>
      <c r="G990" s="1"/>
      <c r="H990" s="7"/>
      <c r="I990" s="4"/>
    </row>
    <row r="991" spans="1:9" ht="21.75" customHeight="1">
      <c r="A991" s="1"/>
      <c r="B991" s="4"/>
      <c r="C991" s="1"/>
      <c r="D991" s="2"/>
      <c r="E991" s="3"/>
      <c r="F991" s="4"/>
      <c r="G991" s="1"/>
      <c r="H991" s="7"/>
      <c r="I991" s="4"/>
    </row>
    <row r="992" spans="1:9" ht="21.75" customHeight="1">
      <c r="A992" s="1"/>
      <c r="B992" s="4"/>
      <c r="C992" s="1"/>
      <c r="D992" s="2"/>
      <c r="E992" s="3"/>
      <c r="F992" s="4"/>
      <c r="G992" s="1"/>
      <c r="H992" s="7"/>
      <c r="I992" s="4"/>
    </row>
    <row r="993" spans="1:9" ht="21.75" customHeight="1">
      <c r="A993" s="1"/>
      <c r="B993" s="4"/>
      <c r="C993" s="1"/>
      <c r="D993" s="2"/>
      <c r="E993" s="3"/>
      <c r="F993" s="4"/>
      <c r="G993" s="1"/>
      <c r="H993" s="7"/>
      <c r="I993" s="4"/>
    </row>
    <row r="994" spans="1:9" ht="21.75" customHeight="1">
      <c r="A994" s="1"/>
      <c r="B994" s="4"/>
      <c r="C994" s="1"/>
      <c r="D994" s="2"/>
      <c r="E994" s="3"/>
      <c r="F994" s="4"/>
      <c r="G994" s="1"/>
      <c r="H994" s="7"/>
      <c r="I994" s="4"/>
    </row>
    <row r="995" spans="1:9" ht="21.75" customHeight="1">
      <c r="A995" s="1"/>
      <c r="B995" s="4"/>
      <c r="C995" s="1"/>
      <c r="D995" s="2"/>
      <c r="E995" s="3"/>
      <c r="F995" s="4"/>
      <c r="G995" s="1"/>
      <c r="H995" s="7"/>
      <c r="I995" s="4"/>
    </row>
    <row r="996" spans="1:9" ht="21.75" customHeight="1">
      <c r="A996" s="1"/>
      <c r="B996" s="4"/>
      <c r="C996" s="1"/>
      <c r="D996" s="2"/>
      <c r="E996" s="3"/>
      <c r="F996" s="4"/>
      <c r="G996" s="1"/>
      <c r="H996" s="7"/>
      <c r="I996" s="4"/>
    </row>
    <row r="997" spans="1:9" ht="21.75" customHeight="1">
      <c r="A997" s="1"/>
      <c r="B997" s="4"/>
      <c r="C997" s="1"/>
      <c r="D997" s="2"/>
      <c r="E997" s="3"/>
      <c r="F997" s="4"/>
      <c r="G997" s="1"/>
      <c r="H997" s="7"/>
      <c r="I997" s="4"/>
    </row>
    <row r="998" spans="1:9" ht="21.75" customHeight="1">
      <c r="A998" s="1"/>
      <c r="B998" s="4"/>
      <c r="C998" s="1"/>
      <c r="D998" s="2"/>
      <c r="E998" s="3"/>
      <c r="F998" s="4"/>
      <c r="G998" s="1"/>
      <c r="H998" s="7"/>
      <c r="I998" s="4"/>
    </row>
    <row r="999" spans="1:9" ht="21.75" customHeight="1">
      <c r="A999" s="1"/>
      <c r="B999" s="4"/>
      <c r="C999" s="1"/>
      <c r="D999" s="2"/>
      <c r="E999" s="3"/>
      <c r="F999" s="4"/>
      <c r="G999" s="1"/>
      <c r="H999" s="7"/>
      <c r="I999" s="4"/>
    </row>
    <row r="1000" spans="1:9" ht="21.75" customHeight="1">
      <c r="A1000" s="1"/>
      <c r="B1000" s="4"/>
      <c r="C1000" s="1"/>
      <c r="D1000" s="2"/>
      <c r="E1000" s="3"/>
      <c r="F1000" s="4"/>
      <c r="G1000" s="1"/>
      <c r="H1000" s="7"/>
      <c r="I1000" s="4"/>
    </row>
    <row r="1001" spans="1:9" ht="21.75" customHeight="1">
      <c r="A1001" s="1"/>
      <c r="B1001" s="4"/>
      <c r="C1001" s="1"/>
      <c r="D1001" s="2"/>
      <c r="E1001" s="3"/>
      <c r="F1001" s="4"/>
      <c r="G1001" s="1"/>
      <c r="H1001" s="7"/>
      <c r="I1001" s="4"/>
    </row>
    <row r="1002" spans="1:9" ht="21.75" customHeight="1">
      <c r="A1002" s="1"/>
      <c r="B1002" s="4"/>
      <c r="C1002" s="1"/>
      <c r="D1002" s="2"/>
      <c r="E1002" s="3"/>
      <c r="F1002" s="4"/>
      <c r="G1002" s="1"/>
      <c r="H1002" s="7"/>
      <c r="I1002" s="4"/>
    </row>
    <row r="1003" spans="1:9" ht="21.75" customHeight="1">
      <c r="A1003" s="1"/>
      <c r="B1003" s="4"/>
      <c r="C1003" s="1"/>
      <c r="D1003" s="2"/>
      <c r="E1003" s="3"/>
      <c r="F1003" s="4"/>
      <c r="G1003" s="1"/>
      <c r="H1003" s="7"/>
      <c r="I1003" s="4"/>
    </row>
    <row r="1004" spans="1:9" ht="21.75" customHeight="1">
      <c r="A1004" s="1"/>
      <c r="B1004" s="4"/>
      <c r="C1004" s="1"/>
      <c r="D1004" s="2"/>
      <c r="E1004" s="3"/>
      <c r="F1004" s="4"/>
      <c r="G1004" s="1"/>
      <c r="H1004" s="7"/>
      <c r="I1004" s="4"/>
    </row>
  </sheetData>
  <dataValidations count="3">
    <dataValidation type="list" allowBlank="1" showErrorMessage="1" sqref="I9:I1004" xr:uid="{00000000-0002-0000-0000-000000000000}">
      <formula1>#REF!</formula1>
    </dataValidation>
    <dataValidation type="custom" allowBlank="1" showDropDown="1" sqref="E2:E1004" xr:uid="{00000000-0002-0000-0000-000001000000}">
      <formula1>OR(NOT(ISERROR(DATEVALUE(E2))), AND(ISNUMBER(E2), LEFT(CELL("format", E2))="D"))</formula1>
    </dataValidation>
    <dataValidation type="custom" allowBlank="1" showDropDown="1" sqref="D2:D1004" xr:uid="{00000000-0002-0000-0000-000002000000}">
      <formula1>AND(ISNUMBER(D2),(NOT(OR(NOT(ISERROR(DATEVALUE(D2))), AND(ISNUMBER(D2), LEFT(CELL("format", D2))="D")))))</formula1>
    </dataValidation>
  </dataValidations>
  <hyperlinks>
    <hyperlink ref="G2" r:id="rId1" xr:uid="{00000000-0004-0000-0000-000000000000}"/>
    <hyperlink ref="H2" r:id="rId2" xr:uid="{00000000-0004-0000-0000-000001000000}"/>
    <hyperlink ref="G3" r:id="rId3" xr:uid="{00000000-0004-0000-0000-000002000000}"/>
    <hyperlink ref="H3" r:id="rId4" xr:uid="{00000000-0004-0000-0000-000003000000}"/>
    <hyperlink ref="G4" r:id="rId5" xr:uid="{00000000-0004-0000-0000-000004000000}"/>
    <hyperlink ref="H4" r:id="rId6" xr:uid="{00000000-0004-0000-0000-000005000000}"/>
    <hyperlink ref="G5" r:id="rId7" xr:uid="{00000000-0004-0000-0000-000006000000}"/>
    <hyperlink ref="H5" r:id="rId8" xr:uid="{00000000-0004-0000-0000-000007000000}"/>
    <hyperlink ref="G7" r:id="rId9" xr:uid="{00000000-0004-0000-0000-000008000000}"/>
    <hyperlink ref="H7" r:id="rId10" xr:uid="{00000000-0004-0000-0000-000009000000}"/>
  </hyperlinks>
  <pageMargins left="0.511811024" right="0.511811024" top="0.78740157499999996" bottom="0.78740157499999996" header="0" footer="0"/>
  <pageSetup orientation="landscape"/>
  <tableParts count="1">
    <tablePart r:id="rId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3B7301EB-9126-4268-8D2B-113A45CC380F}">
          <x14:formula1>
            <xm:f>Configurações!$A$1:$A$4</xm:f>
          </x14:formula1>
          <xm:sqref>I2:I8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92"/>
  <sheetViews>
    <sheetView workbookViewId="0">
      <pane ySplit="1" topLeftCell="A2" activePane="bottomLeft" state="frozen"/>
      <selection pane="bottomLeft" activeCell="C21" sqref="C21"/>
    </sheetView>
  </sheetViews>
  <sheetFormatPr defaultColWidth="12.5703125" defaultRowHeight="15.75" customHeight="1"/>
  <cols>
    <col min="1" max="1" width="46.42578125" customWidth="1"/>
    <col min="2" max="2" width="26.7109375" bestFit="1" customWidth="1"/>
    <col min="3" max="3" width="16.5703125" bestFit="1" customWidth="1"/>
    <col min="4" max="4" width="34.140625" customWidth="1"/>
    <col min="5" max="5" width="43.140625" bestFit="1" customWidth="1"/>
  </cols>
  <sheetData>
    <row r="1" spans="1:5" ht="18">
      <c r="A1" s="8" t="s">
        <v>41</v>
      </c>
      <c r="B1" s="8" t="s">
        <v>42</v>
      </c>
      <c r="C1" s="8" t="s">
        <v>43</v>
      </c>
      <c r="D1" s="9" t="s">
        <v>44</v>
      </c>
      <c r="E1" s="8" t="s">
        <v>45</v>
      </c>
    </row>
    <row r="2" spans="1:5" ht="21.75" customHeight="1">
      <c r="A2" s="10" t="s">
        <v>33</v>
      </c>
      <c r="B2" s="10" t="s">
        <v>46</v>
      </c>
      <c r="C2" s="10" t="s">
        <v>47</v>
      </c>
      <c r="D2" s="10"/>
      <c r="E2" s="10" t="s">
        <v>48</v>
      </c>
    </row>
    <row r="3" spans="1:5" ht="21.75" customHeight="1">
      <c r="A3" s="10" t="s">
        <v>49</v>
      </c>
      <c r="B3" s="10" t="s">
        <v>50</v>
      </c>
      <c r="C3" s="10" t="s">
        <v>47</v>
      </c>
      <c r="D3" s="10"/>
      <c r="E3" s="10" t="s">
        <v>51</v>
      </c>
    </row>
    <row r="4" spans="1:5" ht="21.75" customHeight="1">
      <c r="A4" s="10" t="s">
        <v>52</v>
      </c>
      <c r="B4" s="10" t="s">
        <v>53</v>
      </c>
      <c r="C4" s="10" t="s">
        <v>54</v>
      </c>
      <c r="D4" s="10"/>
      <c r="E4" s="10" t="s">
        <v>55</v>
      </c>
    </row>
    <row r="5" spans="1:5" ht="21.75" customHeight="1">
      <c r="A5" s="10" t="s">
        <v>56</v>
      </c>
      <c r="B5" s="10" t="s">
        <v>57</v>
      </c>
      <c r="C5" s="10" t="s">
        <v>58</v>
      </c>
      <c r="D5" s="10"/>
      <c r="E5" s="10" t="s">
        <v>55</v>
      </c>
    </row>
    <row r="6" spans="1:5" ht="21.75" customHeight="1">
      <c r="A6" s="10" t="s">
        <v>59</v>
      </c>
      <c r="B6" s="10" t="s">
        <v>60</v>
      </c>
      <c r="C6" s="10" t="s">
        <v>58</v>
      </c>
      <c r="D6" s="10"/>
      <c r="E6" s="10" t="s">
        <v>55</v>
      </c>
    </row>
    <row r="7" spans="1:5" ht="21.75" customHeight="1">
      <c r="A7" s="10" t="s">
        <v>61</v>
      </c>
      <c r="B7" s="10" t="s">
        <v>62</v>
      </c>
      <c r="C7" s="10" t="s">
        <v>58</v>
      </c>
      <c r="D7" s="10"/>
      <c r="E7" s="10" t="s">
        <v>55</v>
      </c>
    </row>
    <row r="8" spans="1:5" ht="21.75" customHeight="1">
      <c r="A8" s="10" t="s">
        <v>63</v>
      </c>
      <c r="B8" s="10" t="s">
        <v>64</v>
      </c>
      <c r="C8" s="10" t="s">
        <v>58</v>
      </c>
      <c r="D8" s="10"/>
      <c r="E8" s="10" t="s">
        <v>65</v>
      </c>
    </row>
    <row r="9" spans="1:5" ht="21.75" customHeight="1">
      <c r="A9" s="10" t="s">
        <v>66</v>
      </c>
      <c r="B9" s="10" t="s">
        <v>67</v>
      </c>
      <c r="C9" s="10" t="s">
        <v>47</v>
      </c>
      <c r="D9" s="10"/>
      <c r="E9" s="10" t="s">
        <v>55</v>
      </c>
    </row>
    <row r="10" spans="1:5" ht="21.75" customHeight="1">
      <c r="A10" s="10" t="s">
        <v>68</v>
      </c>
      <c r="B10" s="10" t="s">
        <v>69</v>
      </c>
      <c r="C10" s="10" t="s">
        <v>47</v>
      </c>
      <c r="D10" s="10"/>
      <c r="E10" s="10" t="s">
        <v>55</v>
      </c>
    </row>
    <row r="11" spans="1:5" ht="21.75" customHeight="1">
      <c r="A11" s="10"/>
      <c r="B11" s="10"/>
      <c r="C11" s="10"/>
      <c r="D11" s="10"/>
      <c r="E11" s="10"/>
    </row>
    <row r="12" spans="1:5" ht="21.75" customHeight="1">
      <c r="A12" s="10"/>
      <c r="B12" s="10"/>
      <c r="C12" s="10"/>
      <c r="D12" s="10"/>
      <c r="E12" s="10"/>
    </row>
    <row r="13" spans="1:5" ht="21.75" customHeight="1">
      <c r="A13" s="10"/>
      <c r="B13" s="10"/>
      <c r="C13" s="10"/>
      <c r="D13" s="10"/>
      <c r="E13" s="10"/>
    </row>
    <row r="14" spans="1:5" ht="21.75" customHeight="1">
      <c r="A14" s="10"/>
      <c r="B14" s="10"/>
      <c r="C14" s="10"/>
      <c r="D14" s="10"/>
      <c r="E14" s="10"/>
    </row>
    <row r="15" spans="1:5" ht="21.75" customHeight="1">
      <c r="A15" s="10"/>
      <c r="B15" s="10"/>
      <c r="C15" s="10"/>
      <c r="D15" s="10"/>
      <c r="E15" s="10"/>
    </row>
    <row r="16" spans="1:5" ht="21.75" customHeight="1">
      <c r="A16" s="10"/>
      <c r="B16" s="10"/>
      <c r="C16" s="10"/>
      <c r="D16" s="10"/>
      <c r="E16" s="10"/>
    </row>
    <row r="17" spans="1:5" ht="21.75" customHeight="1">
      <c r="A17" s="10"/>
      <c r="B17" s="10"/>
      <c r="C17" s="10"/>
      <c r="D17" s="10"/>
      <c r="E17" s="10"/>
    </row>
    <row r="18" spans="1:5" ht="21.75" customHeight="1">
      <c r="A18" s="10"/>
      <c r="B18" s="10"/>
      <c r="C18" s="10"/>
      <c r="D18" s="10"/>
      <c r="E18" s="10"/>
    </row>
    <row r="19" spans="1:5" ht="21.75" customHeight="1">
      <c r="A19" s="10"/>
      <c r="B19" s="10"/>
      <c r="C19" s="10"/>
      <c r="D19" s="10"/>
      <c r="E19" s="10"/>
    </row>
    <row r="20" spans="1:5" ht="21.75" customHeight="1">
      <c r="A20" s="10"/>
      <c r="B20" s="10"/>
      <c r="C20" s="10"/>
      <c r="D20" s="10"/>
      <c r="E20" s="10"/>
    </row>
    <row r="21" spans="1:5" ht="21.75" customHeight="1">
      <c r="A21" s="10"/>
      <c r="B21" s="10"/>
      <c r="C21" s="10"/>
      <c r="D21" s="10"/>
      <c r="E21" s="10"/>
    </row>
    <row r="22" spans="1:5" ht="21.75" customHeight="1">
      <c r="A22" s="10"/>
      <c r="B22" s="10"/>
      <c r="C22" s="10"/>
      <c r="D22" s="10"/>
      <c r="E22" s="10"/>
    </row>
    <row r="23" spans="1:5" ht="21.75" customHeight="1">
      <c r="A23" s="10"/>
      <c r="B23" s="10"/>
      <c r="C23" s="10"/>
      <c r="D23" s="10"/>
      <c r="E23" s="10"/>
    </row>
    <row r="24" spans="1:5" ht="21.75" customHeight="1">
      <c r="A24" s="10"/>
      <c r="B24" s="10"/>
      <c r="C24" s="10"/>
      <c r="D24" s="10"/>
      <c r="E24" s="10"/>
    </row>
    <row r="25" spans="1:5" ht="21.75" customHeight="1">
      <c r="A25" s="10"/>
      <c r="B25" s="10"/>
      <c r="C25" s="10"/>
      <c r="D25" s="10"/>
      <c r="E25" s="10"/>
    </row>
    <row r="26" spans="1:5" ht="21.75" customHeight="1">
      <c r="A26" s="10"/>
      <c r="B26" s="10"/>
      <c r="C26" s="10"/>
      <c r="D26" s="10"/>
      <c r="E26" s="10"/>
    </row>
    <row r="27" spans="1:5" ht="21.75" customHeight="1">
      <c r="A27" s="10"/>
      <c r="B27" s="10"/>
      <c r="C27" s="10"/>
      <c r="D27" s="10"/>
      <c r="E27" s="10"/>
    </row>
    <row r="28" spans="1:5" ht="21.75" customHeight="1">
      <c r="A28" s="10"/>
      <c r="B28" s="10"/>
      <c r="C28" s="10"/>
      <c r="D28" s="10"/>
      <c r="E28" s="10"/>
    </row>
    <row r="29" spans="1:5" ht="21.75" customHeight="1">
      <c r="A29" s="10"/>
      <c r="B29" s="10"/>
      <c r="C29" s="10"/>
      <c r="D29" s="10"/>
      <c r="E29" s="10"/>
    </row>
    <row r="30" spans="1:5" ht="21.75" customHeight="1">
      <c r="A30" s="10"/>
      <c r="B30" s="10"/>
      <c r="C30" s="10"/>
      <c r="D30" s="10"/>
      <c r="E30" s="10"/>
    </row>
    <row r="31" spans="1:5" ht="21.75" customHeight="1">
      <c r="A31" s="10"/>
      <c r="B31" s="10"/>
      <c r="C31" s="10"/>
      <c r="D31" s="10"/>
      <c r="E31" s="10"/>
    </row>
    <row r="32" spans="1:5" ht="21.75" customHeight="1">
      <c r="A32" s="10"/>
      <c r="B32" s="10"/>
      <c r="C32" s="10"/>
      <c r="D32" s="10"/>
      <c r="E32" s="10"/>
    </row>
    <row r="33" spans="1:5" ht="21.75" customHeight="1">
      <c r="A33" s="10"/>
      <c r="B33" s="10"/>
      <c r="C33" s="10"/>
      <c r="D33" s="10"/>
      <c r="E33" s="10"/>
    </row>
    <row r="34" spans="1:5" ht="21.75" customHeight="1">
      <c r="A34" s="10"/>
      <c r="B34" s="10"/>
      <c r="C34" s="10"/>
      <c r="D34" s="10"/>
      <c r="E34" s="10"/>
    </row>
    <row r="35" spans="1:5" ht="21.75" customHeight="1">
      <c r="A35" s="10"/>
      <c r="B35" s="10"/>
      <c r="C35" s="10"/>
      <c r="D35" s="10"/>
      <c r="E35" s="10"/>
    </row>
    <row r="36" spans="1:5" ht="21.75" customHeight="1">
      <c r="A36" s="10"/>
      <c r="B36" s="10"/>
      <c r="C36" s="10"/>
      <c r="D36" s="10"/>
      <c r="E36" s="10"/>
    </row>
    <row r="37" spans="1:5" ht="21.75" customHeight="1">
      <c r="A37" s="10"/>
      <c r="B37" s="10"/>
      <c r="C37" s="10"/>
      <c r="D37" s="10"/>
      <c r="E37" s="10"/>
    </row>
    <row r="38" spans="1:5" ht="21.75" customHeight="1">
      <c r="A38" s="10"/>
      <c r="B38" s="10"/>
      <c r="C38" s="10"/>
      <c r="D38" s="10"/>
      <c r="E38" s="10"/>
    </row>
    <row r="39" spans="1:5" ht="21.75" customHeight="1">
      <c r="A39" s="10"/>
      <c r="B39" s="10"/>
      <c r="C39" s="10"/>
      <c r="D39" s="10"/>
      <c r="E39" s="10"/>
    </row>
    <row r="40" spans="1:5" ht="21.75" customHeight="1">
      <c r="A40" s="10"/>
      <c r="B40" s="10"/>
      <c r="C40" s="10"/>
      <c r="D40" s="10"/>
      <c r="E40" s="10"/>
    </row>
    <row r="41" spans="1:5" ht="21.75" customHeight="1">
      <c r="A41" s="10"/>
      <c r="B41" s="10"/>
      <c r="C41" s="10"/>
      <c r="D41" s="10"/>
      <c r="E41" s="10"/>
    </row>
    <row r="42" spans="1:5" ht="21.75" customHeight="1">
      <c r="A42" s="10"/>
      <c r="B42" s="10"/>
      <c r="C42" s="10"/>
      <c r="D42" s="10"/>
      <c r="E42" s="10"/>
    </row>
    <row r="43" spans="1:5" ht="21.75" customHeight="1">
      <c r="A43" s="10"/>
      <c r="B43" s="10"/>
      <c r="C43" s="10"/>
      <c r="D43" s="10"/>
      <c r="E43" s="10"/>
    </row>
    <row r="44" spans="1:5" ht="21.75" customHeight="1">
      <c r="A44" s="10"/>
      <c r="B44" s="10"/>
      <c r="C44" s="10"/>
      <c r="D44" s="10"/>
      <c r="E44" s="10"/>
    </row>
    <row r="45" spans="1:5" ht="21.75" customHeight="1">
      <c r="A45" s="10"/>
      <c r="B45" s="10"/>
      <c r="C45" s="10"/>
      <c r="D45" s="10"/>
      <c r="E45" s="10"/>
    </row>
    <row r="46" spans="1:5" ht="21.75" customHeight="1">
      <c r="A46" s="10"/>
      <c r="B46" s="10"/>
      <c r="C46" s="10"/>
      <c r="D46" s="10"/>
      <c r="E46" s="10"/>
    </row>
    <row r="47" spans="1:5" ht="21.75" customHeight="1">
      <c r="A47" s="10"/>
      <c r="B47" s="10"/>
      <c r="C47" s="10"/>
      <c r="D47" s="10"/>
      <c r="E47" s="10"/>
    </row>
    <row r="48" spans="1:5" ht="21.75" customHeight="1">
      <c r="A48" s="10"/>
      <c r="B48" s="10"/>
      <c r="C48" s="10"/>
      <c r="D48" s="10"/>
      <c r="E48" s="10"/>
    </row>
    <row r="49" spans="1:5" ht="21.75" customHeight="1">
      <c r="A49" s="10"/>
      <c r="B49" s="10"/>
      <c r="C49" s="10"/>
      <c r="D49" s="10"/>
      <c r="E49" s="10"/>
    </row>
    <row r="50" spans="1:5" ht="21.75" customHeight="1">
      <c r="A50" s="10"/>
      <c r="B50" s="10"/>
      <c r="C50" s="10"/>
      <c r="D50" s="10"/>
      <c r="E50" s="10"/>
    </row>
    <row r="51" spans="1:5" ht="21.75" customHeight="1">
      <c r="A51" s="10"/>
      <c r="B51" s="10"/>
      <c r="C51" s="10"/>
      <c r="D51" s="10"/>
      <c r="E51" s="10"/>
    </row>
    <row r="52" spans="1:5" ht="21.75" customHeight="1">
      <c r="A52" s="10"/>
      <c r="B52" s="10"/>
      <c r="C52" s="10"/>
      <c r="D52" s="10"/>
      <c r="E52" s="10"/>
    </row>
    <row r="53" spans="1:5" ht="21.75" customHeight="1">
      <c r="A53" s="10"/>
      <c r="B53" s="10"/>
      <c r="C53" s="10"/>
      <c r="D53" s="10"/>
      <c r="E53" s="10"/>
    </row>
    <row r="54" spans="1:5" ht="21.75" customHeight="1">
      <c r="A54" s="10"/>
      <c r="B54" s="10"/>
      <c r="C54" s="10"/>
      <c r="D54" s="10"/>
      <c r="E54" s="10"/>
    </row>
    <row r="55" spans="1:5" ht="21.75" customHeight="1">
      <c r="A55" s="10"/>
      <c r="B55" s="10"/>
      <c r="C55" s="10"/>
      <c r="D55" s="10"/>
      <c r="E55" s="10"/>
    </row>
    <row r="56" spans="1:5" ht="21.75" customHeight="1">
      <c r="A56" s="10"/>
      <c r="B56" s="10"/>
      <c r="C56" s="10"/>
      <c r="D56" s="10"/>
      <c r="E56" s="10"/>
    </row>
    <row r="57" spans="1:5" ht="21.75" customHeight="1">
      <c r="A57" s="10"/>
      <c r="B57" s="10"/>
      <c r="C57" s="10"/>
      <c r="D57" s="10"/>
      <c r="E57" s="10"/>
    </row>
    <row r="58" spans="1:5" ht="21.75" customHeight="1">
      <c r="A58" s="10"/>
      <c r="B58" s="10"/>
      <c r="C58" s="10"/>
      <c r="D58" s="10"/>
      <c r="E58" s="10"/>
    </row>
    <row r="59" spans="1:5" ht="21.75" customHeight="1">
      <c r="A59" s="10"/>
      <c r="B59" s="10"/>
      <c r="C59" s="10"/>
      <c r="D59" s="10"/>
      <c r="E59" s="10"/>
    </row>
    <row r="60" spans="1:5" ht="21.75" customHeight="1">
      <c r="A60" s="10"/>
      <c r="B60" s="10"/>
      <c r="C60" s="10"/>
      <c r="D60" s="10"/>
      <c r="E60" s="10"/>
    </row>
    <row r="61" spans="1:5" ht="21.75" customHeight="1">
      <c r="A61" s="10"/>
      <c r="B61" s="10"/>
      <c r="C61" s="10"/>
      <c r="D61" s="10"/>
      <c r="E61" s="10"/>
    </row>
    <row r="62" spans="1:5" ht="21.75" customHeight="1">
      <c r="A62" s="10"/>
      <c r="B62" s="10"/>
      <c r="C62" s="10"/>
      <c r="D62" s="10"/>
      <c r="E62" s="10"/>
    </row>
    <row r="63" spans="1:5" ht="21.75" customHeight="1">
      <c r="A63" s="10"/>
      <c r="B63" s="10"/>
      <c r="C63" s="10"/>
      <c r="D63" s="10"/>
      <c r="E63" s="10"/>
    </row>
    <row r="64" spans="1:5" ht="21.75" customHeight="1">
      <c r="A64" s="10"/>
      <c r="B64" s="10"/>
      <c r="C64" s="10"/>
      <c r="D64" s="10"/>
      <c r="E64" s="10"/>
    </row>
    <row r="65" spans="1:5" ht="21.75" customHeight="1">
      <c r="A65" s="10"/>
      <c r="B65" s="10"/>
      <c r="C65" s="10"/>
      <c r="D65" s="10"/>
      <c r="E65" s="10"/>
    </row>
    <row r="66" spans="1:5" ht="21.75" customHeight="1">
      <c r="A66" s="10"/>
      <c r="B66" s="10"/>
      <c r="C66" s="10"/>
      <c r="D66" s="10"/>
      <c r="E66" s="10"/>
    </row>
    <row r="67" spans="1:5" ht="21.75" customHeight="1">
      <c r="A67" s="10"/>
      <c r="B67" s="10"/>
      <c r="C67" s="10"/>
      <c r="D67" s="10"/>
      <c r="E67" s="10"/>
    </row>
    <row r="68" spans="1:5" ht="21.75" customHeight="1">
      <c r="A68" s="10"/>
      <c r="B68" s="10"/>
      <c r="C68" s="10"/>
      <c r="D68" s="10"/>
      <c r="E68" s="10"/>
    </row>
    <row r="69" spans="1:5" ht="21.75" customHeight="1">
      <c r="A69" s="10"/>
      <c r="B69" s="10"/>
      <c r="C69" s="10"/>
      <c r="D69" s="10"/>
      <c r="E69" s="10"/>
    </row>
    <row r="70" spans="1:5" ht="21.75" customHeight="1">
      <c r="A70" s="10"/>
      <c r="B70" s="10"/>
      <c r="C70" s="10"/>
      <c r="D70" s="10"/>
      <c r="E70" s="10"/>
    </row>
    <row r="71" spans="1:5" ht="21.75" customHeight="1">
      <c r="A71" s="10"/>
      <c r="B71" s="10"/>
      <c r="C71" s="10"/>
      <c r="D71" s="10"/>
      <c r="E71" s="10"/>
    </row>
    <row r="72" spans="1:5" ht="21.75" customHeight="1">
      <c r="A72" s="10"/>
      <c r="B72" s="10"/>
      <c r="C72" s="10"/>
      <c r="D72" s="10"/>
      <c r="E72" s="10"/>
    </row>
    <row r="73" spans="1:5" ht="21.75" customHeight="1">
      <c r="A73" s="10"/>
      <c r="B73" s="10"/>
      <c r="C73" s="10"/>
      <c r="D73" s="10"/>
      <c r="E73" s="10"/>
    </row>
    <row r="74" spans="1:5" ht="21.75" customHeight="1">
      <c r="A74" s="10"/>
      <c r="B74" s="10"/>
      <c r="C74" s="10"/>
      <c r="D74" s="10"/>
      <c r="E74" s="10"/>
    </row>
    <row r="75" spans="1:5" ht="21.75" customHeight="1">
      <c r="A75" s="10"/>
      <c r="B75" s="10"/>
      <c r="C75" s="10"/>
      <c r="D75" s="10"/>
      <c r="E75" s="10"/>
    </row>
    <row r="76" spans="1:5" ht="21.75" customHeight="1">
      <c r="A76" s="10"/>
      <c r="B76" s="10"/>
      <c r="C76" s="10"/>
      <c r="D76" s="10"/>
      <c r="E76" s="10"/>
    </row>
    <row r="77" spans="1:5" ht="21.75" customHeight="1">
      <c r="A77" s="10"/>
      <c r="B77" s="10"/>
      <c r="C77" s="10"/>
      <c r="D77" s="10"/>
      <c r="E77" s="10"/>
    </row>
    <row r="78" spans="1:5" ht="21.75" customHeight="1">
      <c r="A78" s="10"/>
      <c r="B78" s="10"/>
      <c r="C78" s="10"/>
      <c r="D78" s="10"/>
      <c r="E78" s="10"/>
    </row>
    <row r="79" spans="1:5" ht="21.75" customHeight="1">
      <c r="A79" s="10"/>
      <c r="B79" s="10"/>
      <c r="C79" s="10"/>
      <c r="D79" s="10"/>
      <c r="E79" s="10"/>
    </row>
    <row r="80" spans="1:5" ht="21.75" customHeight="1">
      <c r="A80" s="10"/>
      <c r="B80" s="10"/>
      <c r="C80" s="10"/>
      <c r="D80" s="10"/>
      <c r="E80" s="10"/>
    </row>
    <row r="81" spans="1:5" ht="21.75" customHeight="1">
      <c r="A81" s="10"/>
      <c r="B81" s="10"/>
      <c r="C81" s="10"/>
      <c r="D81" s="10"/>
      <c r="E81" s="10"/>
    </row>
    <row r="82" spans="1:5" ht="21.75" customHeight="1">
      <c r="A82" s="10"/>
      <c r="B82" s="10"/>
      <c r="C82" s="10"/>
      <c r="D82" s="10"/>
      <c r="E82" s="10"/>
    </row>
    <row r="83" spans="1:5" ht="21.75" customHeight="1">
      <c r="A83" s="10"/>
      <c r="B83" s="10"/>
      <c r="C83" s="10"/>
      <c r="D83" s="10"/>
      <c r="E83" s="10"/>
    </row>
    <row r="84" spans="1:5" ht="21.75" customHeight="1">
      <c r="A84" s="10"/>
      <c r="B84" s="10"/>
      <c r="C84" s="10"/>
      <c r="D84" s="10"/>
      <c r="E84" s="10"/>
    </row>
    <row r="85" spans="1:5" ht="21.75" customHeight="1">
      <c r="A85" s="10"/>
      <c r="B85" s="10"/>
      <c r="C85" s="10"/>
      <c r="D85" s="10"/>
      <c r="E85" s="10"/>
    </row>
    <row r="86" spans="1:5" ht="21.75" customHeight="1">
      <c r="A86" s="10"/>
      <c r="B86" s="10"/>
      <c r="C86" s="10"/>
      <c r="D86" s="10"/>
      <c r="E86" s="10"/>
    </row>
    <row r="87" spans="1:5" ht="21.75" customHeight="1">
      <c r="A87" s="10"/>
      <c r="B87" s="10"/>
      <c r="C87" s="10"/>
      <c r="D87" s="10"/>
      <c r="E87" s="10"/>
    </row>
    <row r="88" spans="1:5" ht="21.75" customHeight="1">
      <c r="A88" s="10"/>
      <c r="B88" s="10"/>
      <c r="C88" s="10"/>
      <c r="D88" s="10"/>
      <c r="E88" s="10"/>
    </row>
    <row r="89" spans="1:5" ht="21.75" customHeight="1">
      <c r="A89" s="10"/>
      <c r="B89" s="10"/>
      <c r="C89" s="10"/>
      <c r="D89" s="10"/>
      <c r="E89" s="10"/>
    </row>
    <row r="90" spans="1:5" ht="21.75" customHeight="1">
      <c r="A90" s="10"/>
      <c r="B90" s="10"/>
      <c r="C90" s="10"/>
      <c r="D90" s="10"/>
      <c r="E90" s="10"/>
    </row>
    <row r="91" spans="1:5" ht="21.75" customHeight="1">
      <c r="A91" s="10"/>
      <c r="B91" s="10"/>
      <c r="C91" s="10"/>
      <c r="D91" s="10"/>
      <c r="E91" s="10"/>
    </row>
    <row r="92" spans="1:5" ht="21.75" customHeight="1">
      <c r="A92" s="10"/>
      <c r="B92" s="10"/>
      <c r="C92" s="10"/>
      <c r="D92" s="10"/>
      <c r="E92" s="10"/>
    </row>
    <row r="93" spans="1:5" ht="21.75" customHeight="1">
      <c r="A93" s="10"/>
      <c r="B93" s="10"/>
      <c r="C93" s="10"/>
      <c r="D93" s="10"/>
      <c r="E93" s="10"/>
    </row>
    <row r="94" spans="1:5" ht="21.75" customHeight="1">
      <c r="A94" s="10"/>
      <c r="B94" s="10"/>
      <c r="C94" s="10"/>
      <c r="D94" s="10"/>
      <c r="E94" s="10"/>
    </row>
    <row r="95" spans="1:5" ht="21.75" customHeight="1">
      <c r="A95" s="10"/>
      <c r="B95" s="10"/>
      <c r="C95" s="10"/>
      <c r="D95" s="10"/>
      <c r="E95" s="10"/>
    </row>
    <row r="96" spans="1:5" ht="21.75" customHeight="1">
      <c r="A96" s="10"/>
      <c r="B96" s="10"/>
      <c r="C96" s="10"/>
      <c r="D96" s="10"/>
      <c r="E96" s="10"/>
    </row>
    <row r="97" spans="1:5" ht="21.75" customHeight="1">
      <c r="A97" s="10"/>
      <c r="B97" s="10"/>
      <c r="C97" s="10"/>
      <c r="D97" s="10"/>
      <c r="E97" s="10"/>
    </row>
    <row r="98" spans="1:5" ht="21.75" customHeight="1">
      <c r="A98" s="10"/>
      <c r="B98" s="10"/>
      <c r="C98" s="10"/>
      <c r="D98" s="10"/>
      <c r="E98" s="10"/>
    </row>
    <row r="99" spans="1:5" ht="21.75" customHeight="1">
      <c r="A99" s="10"/>
      <c r="B99" s="10"/>
      <c r="C99" s="10"/>
      <c r="D99" s="10"/>
      <c r="E99" s="10"/>
    </row>
    <row r="100" spans="1:5" ht="21.75" customHeight="1">
      <c r="A100" s="10"/>
      <c r="B100" s="10"/>
      <c r="C100" s="10"/>
      <c r="D100" s="10"/>
      <c r="E100" s="10"/>
    </row>
    <row r="101" spans="1:5" ht="21.75" customHeight="1">
      <c r="A101" s="10"/>
      <c r="B101" s="10"/>
      <c r="C101" s="10"/>
      <c r="D101" s="10"/>
      <c r="E101" s="10"/>
    </row>
    <row r="102" spans="1:5" ht="21.75" customHeight="1">
      <c r="A102" s="10"/>
      <c r="B102" s="10"/>
      <c r="C102" s="10"/>
      <c r="D102" s="10"/>
      <c r="E102" s="10"/>
    </row>
    <row r="103" spans="1:5" ht="21.75" customHeight="1">
      <c r="A103" s="10"/>
      <c r="B103" s="10"/>
      <c r="C103" s="10"/>
      <c r="D103" s="10"/>
      <c r="E103" s="10"/>
    </row>
    <row r="104" spans="1:5" ht="21.75" customHeight="1">
      <c r="A104" s="10"/>
      <c r="B104" s="10"/>
      <c r="C104" s="10"/>
      <c r="D104" s="10"/>
      <c r="E104" s="10"/>
    </row>
    <row r="105" spans="1:5" ht="21.75" customHeight="1">
      <c r="A105" s="10"/>
      <c r="B105" s="10"/>
      <c r="C105" s="10"/>
      <c r="D105" s="10"/>
      <c r="E105" s="10"/>
    </row>
    <row r="106" spans="1:5" ht="21.75" customHeight="1">
      <c r="A106" s="10"/>
      <c r="B106" s="10"/>
      <c r="C106" s="10"/>
      <c r="D106" s="10"/>
      <c r="E106" s="10"/>
    </row>
    <row r="107" spans="1:5" ht="21.75" customHeight="1">
      <c r="A107" s="10"/>
      <c r="B107" s="10"/>
      <c r="C107" s="10"/>
      <c r="D107" s="10"/>
      <c r="E107" s="10"/>
    </row>
    <row r="108" spans="1:5" ht="21.75" customHeight="1">
      <c r="A108" s="10"/>
      <c r="B108" s="10"/>
      <c r="C108" s="10"/>
      <c r="D108" s="10"/>
      <c r="E108" s="10"/>
    </row>
    <row r="109" spans="1:5" ht="21.75" customHeight="1">
      <c r="A109" s="10"/>
      <c r="B109" s="10"/>
      <c r="C109" s="10"/>
      <c r="D109" s="10"/>
      <c r="E109" s="10"/>
    </row>
    <row r="110" spans="1:5" ht="21.75" customHeight="1">
      <c r="A110" s="10"/>
      <c r="B110" s="10"/>
      <c r="C110" s="10"/>
      <c r="D110" s="10"/>
      <c r="E110" s="10"/>
    </row>
    <row r="111" spans="1:5" ht="21.75" customHeight="1">
      <c r="A111" s="10"/>
      <c r="B111" s="10"/>
      <c r="C111" s="10"/>
      <c r="D111" s="10"/>
      <c r="E111" s="10"/>
    </row>
    <row r="112" spans="1:5" ht="21.75" customHeight="1">
      <c r="A112" s="10"/>
      <c r="B112" s="10"/>
      <c r="C112" s="10"/>
      <c r="D112" s="10"/>
      <c r="E112" s="10"/>
    </row>
    <row r="113" spans="1:5" ht="21.75" customHeight="1">
      <c r="A113" s="10"/>
      <c r="B113" s="10"/>
      <c r="C113" s="10"/>
      <c r="D113" s="10"/>
      <c r="E113" s="10"/>
    </row>
    <row r="114" spans="1:5" ht="21.75" customHeight="1">
      <c r="A114" s="10"/>
      <c r="B114" s="10"/>
      <c r="C114" s="10"/>
      <c r="D114" s="10"/>
      <c r="E114" s="10"/>
    </row>
    <row r="115" spans="1:5" ht="21.75" customHeight="1">
      <c r="A115" s="10"/>
      <c r="B115" s="10"/>
      <c r="C115" s="10"/>
      <c r="D115" s="10"/>
      <c r="E115" s="10"/>
    </row>
    <row r="116" spans="1:5" ht="21.75" customHeight="1">
      <c r="A116" s="10"/>
      <c r="B116" s="10"/>
      <c r="C116" s="10"/>
      <c r="D116" s="10"/>
      <c r="E116" s="10"/>
    </row>
    <row r="117" spans="1:5" ht="21.75" customHeight="1">
      <c r="A117" s="10"/>
      <c r="B117" s="10"/>
      <c r="C117" s="10"/>
      <c r="D117" s="10"/>
      <c r="E117" s="10"/>
    </row>
    <row r="118" spans="1:5" ht="21.75" customHeight="1">
      <c r="A118" s="10"/>
      <c r="B118" s="10"/>
      <c r="C118" s="10"/>
      <c r="D118" s="10"/>
      <c r="E118" s="10"/>
    </row>
    <row r="119" spans="1:5" ht="21.75" customHeight="1">
      <c r="A119" s="10"/>
      <c r="B119" s="10"/>
      <c r="C119" s="10"/>
      <c r="D119" s="10"/>
      <c r="E119" s="10"/>
    </row>
    <row r="120" spans="1:5" ht="21.75" customHeight="1">
      <c r="A120" s="10"/>
      <c r="B120" s="10"/>
      <c r="C120" s="10"/>
      <c r="D120" s="10"/>
      <c r="E120" s="10"/>
    </row>
    <row r="121" spans="1:5" ht="21.75" customHeight="1">
      <c r="A121" s="10"/>
      <c r="B121" s="10"/>
      <c r="C121" s="10"/>
      <c r="D121" s="10"/>
      <c r="E121" s="10"/>
    </row>
    <row r="122" spans="1:5" ht="21.75" customHeight="1">
      <c r="A122" s="10"/>
      <c r="B122" s="10"/>
      <c r="C122" s="10"/>
      <c r="D122" s="10"/>
      <c r="E122" s="10"/>
    </row>
    <row r="123" spans="1:5" ht="21.75" customHeight="1">
      <c r="A123" s="10"/>
      <c r="B123" s="10"/>
      <c r="C123" s="10"/>
      <c r="D123" s="10"/>
      <c r="E123" s="10"/>
    </row>
    <row r="124" spans="1:5" ht="21.75" customHeight="1">
      <c r="A124" s="10"/>
      <c r="B124" s="10"/>
      <c r="C124" s="10"/>
      <c r="D124" s="10"/>
      <c r="E124" s="10"/>
    </row>
    <row r="125" spans="1:5" ht="21.75" customHeight="1">
      <c r="A125" s="10"/>
      <c r="B125" s="10"/>
      <c r="C125" s="10"/>
      <c r="D125" s="10"/>
      <c r="E125" s="10"/>
    </row>
    <row r="126" spans="1:5" ht="21.75" customHeight="1">
      <c r="A126" s="10"/>
      <c r="B126" s="10"/>
      <c r="C126" s="10"/>
      <c r="D126" s="10"/>
      <c r="E126" s="10"/>
    </row>
    <row r="127" spans="1:5" ht="21.75" customHeight="1">
      <c r="A127" s="10"/>
      <c r="B127" s="10"/>
      <c r="C127" s="10"/>
      <c r="D127" s="10"/>
      <c r="E127" s="10"/>
    </row>
    <row r="128" spans="1:5" ht="21.75" customHeight="1">
      <c r="A128" s="10"/>
      <c r="B128" s="10"/>
      <c r="C128" s="10"/>
      <c r="D128" s="10"/>
      <c r="E128" s="10"/>
    </row>
    <row r="129" spans="1:5" ht="21.75" customHeight="1">
      <c r="A129" s="10"/>
      <c r="B129" s="10"/>
      <c r="C129" s="10"/>
      <c r="D129" s="10"/>
      <c r="E129" s="10"/>
    </row>
    <row r="130" spans="1:5" ht="21.75" customHeight="1">
      <c r="A130" s="10"/>
      <c r="B130" s="10"/>
      <c r="C130" s="10"/>
      <c r="D130" s="10"/>
      <c r="E130" s="10"/>
    </row>
    <row r="131" spans="1:5" ht="21.75" customHeight="1">
      <c r="A131" s="10"/>
      <c r="B131" s="10"/>
      <c r="C131" s="10"/>
      <c r="D131" s="10"/>
      <c r="E131" s="10"/>
    </row>
    <row r="132" spans="1:5" ht="21.75" customHeight="1">
      <c r="A132" s="10"/>
      <c r="B132" s="10"/>
      <c r="C132" s="10"/>
      <c r="D132" s="10"/>
      <c r="E132" s="10"/>
    </row>
    <row r="133" spans="1:5" ht="21.75" customHeight="1">
      <c r="A133" s="10"/>
      <c r="B133" s="10"/>
      <c r="C133" s="10"/>
      <c r="D133" s="10"/>
      <c r="E133" s="10"/>
    </row>
    <row r="134" spans="1:5" ht="21.75" customHeight="1">
      <c r="A134" s="10"/>
      <c r="B134" s="10"/>
      <c r="C134" s="10"/>
      <c r="D134" s="10"/>
      <c r="E134" s="10"/>
    </row>
    <row r="135" spans="1:5" ht="21.75" customHeight="1">
      <c r="A135" s="10"/>
      <c r="B135" s="10"/>
      <c r="C135" s="10"/>
      <c r="D135" s="10"/>
      <c r="E135" s="10"/>
    </row>
    <row r="136" spans="1:5" ht="21.75" customHeight="1">
      <c r="A136" s="10"/>
      <c r="B136" s="10"/>
      <c r="C136" s="10"/>
      <c r="D136" s="10"/>
      <c r="E136" s="10"/>
    </row>
    <row r="137" spans="1:5" ht="21.75" customHeight="1">
      <c r="A137" s="10"/>
      <c r="B137" s="10"/>
      <c r="C137" s="10"/>
      <c r="D137" s="10"/>
      <c r="E137" s="10"/>
    </row>
    <row r="138" spans="1:5" ht="21.75" customHeight="1">
      <c r="A138" s="10"/>
      <c r="B138" s="10"/>
      <c r="C138" s="10"/>
      <c r="D138" s="10"/>
      <c r="E138" s="10"/>
    </row>
    <row r="139" spans="1:5" ht="21.75" customHeight="1">
      <c r="A139" s="10"/>
      <c r="B139" s="10"/>
      <c r="C139" s="10"/>
      <c r="D139" s="10"/>
      <c r="E139" s="10"/>
    </row>
    <row r="140" spans="1:5" ht="21.75" customHeight="1">
      <c r="A140" s="10"/>
      <c r="B140" s="10"/>
      <c r="C140" s="10"/>
      <c r="D140" s="10"/>
      <c r="E140" s="10"/>
    </row>
    <row r="141" spans="1:5" ht="21.75" customHeight="1">
      <c r="A141" s="10"/>
      <c r="B141" s="10"/>
      <c r="C141" s="10"/>
      <c r="D141" s="10"/>
      <c r="E141" s="10"/>
    </row>
    <row r="142" spans="1:5" ht="21.75" customHeight="1">
      <c r="A142" s="10"/>
      <c r="B142" s="10"/>
      <c r="C142" s="10"/>
      <c r="D142" s="10"/>
      <c r="E142" s="10"/>
    </row>
    <row r="143" spans="1:5" ht="21.75" customHeight="1">
      <c r="A143" s="10"/>
      <c r="B143" s="10"/>
      <c r="C143" s="10"/>
      <c r="D143" s="10"/>
      <c r="E143" s="10"/>
    </row>
    <row r="144" spans="1:5" ht="21.75" customHeight="1">
      <c r="A144" s="10"/>
      <c r="B144" s="10"/>
      <c r="C144" s="10"/>
      <c r="D144" s="10"/>
      <c r="E144" s="10"/>
    </row>
    <row r="145" spans="1:5" ht="21.75" customHeight="1">
      <c r="A145" s="10"/>
      <c r="B145" s="10"/>
      <c r="C145" s="10"/>
      <c r="D145" s="10"/>
      <c r="E145" s="10"/>
    </row>
    <row r="146" spans="1:5" ht="21.75" customHeight="1">
      <c r="A146" s="10"/>
      <c r="B146" s="10"/>
      <c r="C146" s="10"/>
      <c r="D146" s="10"/>
      <c r="E146" s="10"/>
    </row>
    <row r="147" spans="1:5" ht="21.75" customHeight="1">
      <c r="A147" s="10"/>
      <c r="B147" s="10"/>
      <c r="C147" s="10"/>
      <c r="D147" s="10"/>
      <c r="E147" s="10"/>
    </row>
    <row r="148" spans="1:5" ht="21.75" customHeight="1">
      <c r="A148" s="10"/>
      <c r="B148" s="10"/>
      <c r="C148" s="10"/>
      <c r="D148" s="10"/>
      <c r="E148" s="10"/>
    </row>
    <row r="149" spans="1:5" ht="21.75" customHeight="1">
      <c r="A149" s="10"/>
      <c r="B149" s="10"/>
      <c r="C149" s="10"/>
      <c r="D149" s="10"/>
      <c r="E149" s="10"/>
    </row>
    <row r="150" spans="1:5" ht="21.75" customHeight="1">
      <c r="A150" s="10"/>
      <c r="B150" s="10"/>
      <c r="C150" s="10"/>
      <c r="D150" s="10"/>
      <c r="E150" s="10"/>
    </row>
    <row r="151" spans="1:5" ht="21.75" customHeight="1">
      <c r="A151" s="10"/>
      <c r="B151" s="10"/>
      <c r="C151" s="10"/>
      <c r="D151" s="10"/>
      <c r="E151" s="10"/>
    </row>
    <row r="152" spans="1:5" ht="21.75" customHeight="1">
      <c r="A152" s="10"/>
      <c r="B152" s="10"/>
      <c r="C152" s="10"/>
      <c r="D152" s="10"/>
      <c r="E152" s="10"/>
    </row>
    <row r="153" spans="1:5" ht="21.75" customHeight="1">
      <c r="A153" s="10"/>
      <c r="B153" s="10"/>
      <c r="C153" s="10"/>
      <c r="D153" s="10"/>
      <c r="E153" s="10"/>
    </row>
    <row r="154" spans="1:5" ht="21.75" customHeight="1">
      <c r="A154" s="10"/>
      <c r="B154" s="10"/>
      <c r="C154" s="10"/>
      <c r="D154" s="10"/>
      <c r="E154" s="10"/>
    </row>
    <row r="155" spans="1:5" ht="21.75" customHeight="1">
      <c r="A155" s="10"/>
      <c r="B155" s="10"/>
      <c r="C155" s="10"/>
      <c r="D155" s="10"/>
      <c r="E155" s="10"/>
    </row>
    <row r="156" spans="1:5" ht="21.75" customHeight="1">
      <c r="A156" s="10"/>
      <c r="B156" s="10"/>
      <c r="C156" s="10"/>
      <c r="D156" s="10"/>
      <c r="E156" s="10"/>
    </row>
    <row r="157" spans="1:5" ht="21.75" customHeight="1">
      <c r="A157" s="10"/>
      <c r="B157" s="10"/>
      <c r="C157" s="10"/>
      <c r="D157" s="10"/>
      <c r="E157" s="10"/>
    </row>
    <row r="158" spans="1:5" ht="21.75" customHeight="1">
      <c r="A158" s="10"/>
      <c r="B158" s="10"/>
      <c r="C158" s="10"/>
      <c r="D158" s="10"/>
      <c r="E158" s="10"/>
    </row>
    <row r="159" spans="1:5" ht="21.75" customHeight="1">
      <c r="A159" s="10"/>
      <c r="B159" s="10"/>
      <c r="C159" s="10"/>
      <c r="D159" s="10"/>
      <c r="E159" s="10"/>
    </row>
    <row r="160" spans="1:5" ht="21.75" customHeight="1">
      <c r="A160" s="10"/>
      <c r="B160" s="10"/>
      <c r="C160" s="10"/>
      <c r="D160" s="10"/>
      <c r="E160" s="10"/>
    </row>
    <row r="161" spans="1:5" ht="21.75" customHeight="1">
      <c r="A161" s="10"/>
      <c r="B161" s="10"/>
      <c r="C161" s="10"/>
      <c r="D161" s="10"/>
      <c r="E161" s="10"/>
    </row>
    <row r="162" spans="1:5" ht="21.75" customHeight="1">
      <c r="A162" s="10"/>
      <c r="B162" s="10"/>
      <c r="C162" s="10"/>
      <c r="D162" s="10"/>
      <c r="E162" s="10"/>
    </row>
    <row r="163" spans="1:5" ht="21.75" customHeight="1">
      <c r="A163" s="10"/>
      <c r="B163" s="10"/>
      <c r="C163" s="10"/>
      <c r="D163" s="10"/>
      <c r="E163" s="10"/>
    </row>
    <row r="164" spans="1:5" ht="21.75" customHeight="1">
      <c r="A164" s="10"/>
      <c r="B164" s="10"/>
      <c r="C164" s="10"/>
      <c r="D164" s="10"/>
      <c r="E164" s="10"/>
    </row>
    <row r="165" spans="1:5" ht="21.75" customHeight="1">
      <c r="A165" s="10"/>
      <c r="B165" s="10"/>
      <c r="C165" s="10"/>
      <c r="D165" s="10"/>
      <c r="E165" s="10"/>
    </row>
    <row r="166" spans="1:5" ht="21.75" customHeight="1">
      <c r="A166" s="10"/>
      <c r="B166" s="10"/>
      <c r="C166" s="10"/>
      <c r="D166" s="10"/>
      <c r="E166" s="10"/>
    </row>
    <row r="167" spans="1:5" ht="21.75" customHeight="1">
      <c r="A167" s="10"/>
      <c r="B167" s="10"/>
      <c r="C167" s="10"/>
      <c r="D167" s="10"/>
      <c r="E167" s="10"/>
    </row>
    <row r="168" spans="1:5" ht="21.75" customHeight="1">
      <c r="A168" s="10"/>
      <c r="B168" s="10"/>
      <c r="C168" s="10"/>
      <c r="D168" s="10"/>
      <c r="E168" s="10"/>
    </row>
    <row r="169" spans="1:5" ht="21.75" customHeight="1">
      <c r="A169" s="10"/>
      <c r="B169" s="10"/>
      <c r="C169" s="10"/>
      <c r="D169" s="10"/>
      <c r="E169" s="10"/>
    </row>
    <row r="170" spans="1:5" ht="21.75" customHeight="1">
      <c r="A170" s="10"/>
      <c r="B170" s="10"/>
      <c r="C170" s="10"/>
      <c r="D170" s="10"/>
      <c r="E170" s="10"/>
    </row>
    <row r="171" spans="1:5" ht="21.75" customHeight="1">
      <c r="A171" s="10"/>
      <c r="B171" s="10"/>
      <c r="C171" s="10"/>
      <c r="D171" s="10"/>
      <c r="E171" s="10"/>
    </row>
    <row r="172" spans="1:5" ht="21.75" customHeight="1">
      <c r="A172" s="10"/>
      <c r="B172" s="10"/>
      <c r="C172" s="10"/>
      <c r="D172" s="10"/>
      <c r="E172" s="10"/>
    </row>
    <row r="173" spans="1:5" ht="21.75" customHeight="1">
      <c r="A173" s="10"/>
      <c r="B173" s="10"/>
      <c r="C173" s="10"/>
      <c r="D173" s="10"/>
      <c r="E173" s="10"/>
    </row>
    <row r="174" spans="1:5" ht="21.75" customHeight="1">
      <c r="A174" s="10"/>
      <c r="B174" s="10"/>
      <c r="C174" s="10"/>
      <c r="D174" s="10"/>
      <c r="E174" s="10"/>
    </row>
    <row r="175" spans="1:5" ht="21.75" customHeight="1">
      <c r="A175" s="10"/>
      <c r="B175" s="10"/>
      <c r="C175" s="10"/>
      <c r="D175" s="10"/>
      <c r="E175" s="10"/>
    </row>
    <row r="176" spans="1:5" ht="21.75" customHeight="1">
      <c r="A176" s="10"/>
      <c r="B176" s="10"/>
      <c r="C176" s="10"/>
      <c r="D176" s="10"/>
      <c r="E176" s="10"/>
    </row>
    <row r="177" spans="1:5" ht="21.75" customHeight="1">
      <c r="A177" s="10"/>
      <c r="B177" s="10"/>
      <c r="C177" s="10"/>
      <c r="D177" s="10"/>
      <c r="E177" s="10"/>
    </row>
    <row r="178" spans="1:5" ht="21.75" customHeight="1">
      <c r="A178" s="10"/>
      <c r="B178" s="10"/>
      <c r="C178" s="10"/>
      <c r="D178" s="10"/>
      <c r="E178" s="10"/>
    </row>
    <row r="179" spans="1:5" ht="21.75" customHeight="1">
      <c r="A179" s="10"/>
      <c r="B179" s="10"/>
      <c r="C179" s="10"/>
      <c r="D179" s="10"/>
      <c r="E179" s="10"/>
    </row>
    <row r="180" spans="1:5" ht="21.75" customHeight="1">
      <c r="A180" s="10"/>
      <c r="B180" s="10"/>
      <c r="C180" s="10"/>
      <c r="D180" s="10"/>
      <c r="E180" s="10"/>
    </row>
    <row r="181" spans="1:5" ht="21.75" customHeight="1">
      <c r="A181" s="10"/>
      <c r="B181" s="10"/>
      <c r="C181" s="10"/>
      <c r="D181" s="10"/>
      <c r="E181" s="10"/>
    </row>
    <row r="182" spans="1:5" ht="21.75" customHeight="1">
      <c r="A182" s="10"/>
      <c r="B182" s="10"/>
      <c r="C182" s="10"/>
      <c r="D182" s="10"/>
      <c r="E182" s="10"/>
    </row>
    <row r="183" spans="1:5" ht="21.75" customHeight="1">
      <c r="A183" s="10"/>
      <c r="B183" s="10"/>
      <c r="C183" s="10"/>
      <c r="D183" s="10"/>
      <c r="E183" s="10"/>
    </row>
    <row r="184" spans="1:5" ht="21.75" customHeight="1">
      <c r="A184" s="10"/>
      <c r="B184" s="10"/>
      <c r="C184" s="10"/>
      <c r="D184" s="10"/>
      <c r="E184" s="10"/>
    </row>
    <row r="185" spans="1:5" ht="21.75" customHeight="1">
      <c r="A185" s="10"/>
      <c r="B185" s="10"/>
      <c r="C185" s="10"/>
      <c r="D185" s="10"/>
      <c r="E185" s="10"/>
    </row>
    <row r="186" spans="1:5" ht="21.75" customHeight="1">
      <c r="A186" s="10"/>
      <c r="B186" s="10"/>
      <c r="C186" s="10"/>
      <c r="D186" s="10"/>
      <c r="E186" s="10"/>
    </row>
    <row r="187" spans="1:5" ht="21.75" customHeight="1">
      <c r="A187" s="10"/>
      <c r="B187" s="10"/>
      <c r="C187" s="10"/>
      <c r="D187" s="10"/>
      <c r="E187" s="10"/>
    </row>
    <row r="188" spans="1:5" ht="21.75" customHeight="1">
      <c r="A188" s="10"/>
      <c r="B188" s="10"/>
      <c r="C188" s="10"/>
      <c r="D188" s="10"/>
      <c r="E188" s="10"/>
    </row>
    <row r="189" spans="1:5" ht="21.75" customHeight="1">
      <c r="A189" s="10"/>
      <c r="B189" s="10"/>
      <c r="C189" s="10"/>
      <c r="D189" s="10"/>
      <c r="E189" s="10"/>
    </row>
    <row r="190" spans="1:5" ht="21.75" customHeight="1">
      <c r="A190" s="10"/>
      <c r="B190" s="10"/>
      <c r="C190" s="10"/>
      <c r="D190" s="10"/>
      <c r="E190" s="10"/>
    </row>
    <row r="191" spans="1:5" ht="21.75" customHeight="1">
      <c r="A191" s="10"/>
      <c r="B191" s="10"/>
      <c r="C191" s="10"/>
      <c r="D191" s="10"/>
      <c r="E191" s="10"/>
    </row>
    <row r="192" spans="1:5" ht="21.75" customHeight="1">
      <c r="A192" s="10"/>
      <c r="B192" s="10"/>
      <c r="C192" s="10"/>
      <c r="D192" s="10"/>
      <c r="E192" s="10"/>
    </row>
    <row r="193" spans="1:5" ht="21.75" customHeight="1">
      <c r="A193" s="10"/>
      <c r="B193" s="10"/>
      <c r="C193" s="10"/>
      <c r="D193" s="10"/>
      <c r="E193" s="10"/>
    </row>
    <row r="194" spans="1:5" ht="21.75" customHeight="1">
      <c r="A194" s="10"/>
      <c r="B194" s="10"/>
      <c r="C194" s="10"/>
      <c r="D194" s="10"/>
      <c r="E194" s="10"/>
    </row>
    <row r="195" spans="1:5" ht="21.75" customHeight="1">
      <c r="A195" s="10"/>
      <c r="B195" s="10"/>
      <c r="C195" s="10"/>
      <c r="D195" s="10"/>
      <c r="E195" s="10"/>
    </row>
    <row r="196" spans="1:5" ht="21.75" customHeight="1">
      <c r="A196" s="10"/>
      <c r="B196" s="10"/>
      <c r="C196" s="10"/>
      <c r="D196" s="10"/>
      <c r="E196" s="10"/>
    </row>
    <row r="197" spans="1:5" ht="21.75" customHeight="1">
      <c r="A197" s="10"/>
      <c r="B197" s="10"/>
      <c r="C197" s="10"/>
      <c r="D197" s="10"/>
      <c r="E197" s="10"/>
    </row>
    <row r="198" spans="1:5" ht="21.75" customHeight="1">
      <c r="A198" s="10"/>
      <c r="B198" s="10"/>
      <c r="C198" s="10"/>
      <c r="D198" s="10"/>
      <c r="E198" s="10"/>
    </row>
    <row r="199" spans="1:5" ht="21.75" customHeight="1">
      <c r="A199" s="10"/>
      <c r="B199" s="10"/>
      <c r="C199" s="10"/>
      <c r="D199" s="10"/>
      <c r="E199" s="10"/>
    </row>
    <row r="200" spans="1:5" ht="21.75" customHeight="1">
      <c r="A200" s="10"/>
      <c r="B200" s="10"/>
      <c r="C200" s="10"/>
      <c r="D200" s="10"/>
      <c r="E200" s="10"/>
    </row>
    <row r="201" spans="1:5" ht="21.75" customHeight="1">
      <c r="A201" s="10"/>
      <c r="B201" s="10"/>
      <c r="C201" s="10"/>
      <c r="D201" s="10"/>
      <c r="E201" s="10"/>
    </row>
    <row r="202" spans="1:5" ht="21.75" customHeight="1">
      <c r="A202" s="10"/>
      <c r="B202" s="10"/>
      <c r="C202" s="10"/>
      <c r="D202" s="10"/>
      <c r="E202" s="10"/>
    </row>
    <row r="203" spans="1:5" ht="21.75" customHeight="1">
      <c r="A203" s="10"/>
      <c r="B203" s="10"/>
      <c r="C203" s="10"/>
      <c r="D203" s="10"/>
      <c r="E203" s="10"/>
    </row>
    <row r="204" spans="1:5" ht="21.75" customHeight="1">
      <c r="A204" s="10"/>
      <c r="B204" s="10"/>
      <c r="C204" s="10"/>
      <c r="D204" s="10"/>
      <c r="E204" s="10"/>
    </row>
    <row r="205" spans="1:5" ht="21.75" customHeight="1">
      <c r="A205" s="10"/>
      <c r="B205" s="10"/>
      <c r="C205" s="10"/>
      <c r="D205" s="10"/>
      <c r="E205" s="10"/>
    </row>
    <row r="206" spans="1:5" ht="21.75" customHeight="1">
      <c r="A206" s="10"/>
      <c r="B206" s="10"/>
      <c r="C206" s="10"/>
      <c r="D206" s="10"/>
      <c r="E206" s="10"/>
    </row>
    <row r="207" spans="1:5" ht="21.75" customHeight="1">
      <c r="A207" s="10"/>
      <c r="B207" s="10"/>
      <c r="C207" s="10"/>
      <c r="D207" s="10"/>
      <c r="E207" s="10"/>
    </row>
    <row r="208" spans="1:5" ht="21.75" customHeight="1">
      <c r="A208" s="10"/>
      <c r="B208" s="10"/>
      <c r="C208" s="10"/>
      <c r="D208" s="10"/>
      <c r="E208" s="10"/>
    </row>
    <row r="209" spans="1:5" ht="21.75" customHeight="1">
      <c r="A209" s="10"/>
      <c r="B209" s="10"/>
      <c r="C209" s="10"/>
      <c r="D209" s="10"/>
      <c r="E209" s="10"/>
    </row>
    <row r="210" spans="1:5" ht="21.75" customHeight="1">
      <c r="A210" s="10"/>
      <c r="B210" s="10"/>
      <c r="C210" s="10"/>
      <c r="D210" s="10"/>
      <c r="E210" s="10"/>
    </row>
    <row r="211" spans="1:5" ht="21.75" customHeight="1">
      <c r="A211" s="10"/>
      <c r="B211" s="10"/>
      <c r="C211" s="10"/>
      <c r="D211" s="10"/>
      <c r="E211" s="10"/>
    </row>
    <row r="212" spans="1:5" ht="21.75" customHeight="1">
      <c r="A212" s="10"/>
      <c r="B212" s="10"/>
      <c r="C212" s="10"/>
      <c r="D212" s="10"/>
      <c r="E212" s="10"/>
    </row>
    <row r="213" spans="1:5" ht="21.75" customHeight="1">
      <c r="A213" s="10"/>
      <c r="B213" s="10"/>
      <c r="C213" s="10"/>
      <c r="D213" s="10"/>
      <c r="E213" s="10"/>
    </row>
    <row r="214" spans="1:5" ht="21.75" customHeight="1">
      <c r="A214" s="10"/>
      <c r="B214" s="10"/>
      <c r="C214" s="10"/>
      <c r="D214" s="10"/>
      <c r="E214" s="10"/>
    </row>
    <row r="215" spans="1:5" ht="21.75" customHeight="1">
      <c r="A215" s="10"/>
      <c r="B215" s="10"/>
      <c r="C215" s="10"/>
      <c r="D215" s="10"/>
      <c r="E215" s="10"/>
    </row>
    <row r="216" spans="1:5" ht="21.75" customHeight="1">
      <c r="A216" s="10"/>
      <c r="B216" s="10"/>
      <c r="C216" s="10"/>
      <c r="D216" s="10"/>
      <c r="E216" s="10"/>
    </row>
    <row r="217" spans="1:5" ht="21.75" customHeight="1">
      <c r="A217" s="10"/>
      <c r="B217" s="10"/>
      <c r="C217" s="10"/>
      <c r="D217" s="10"/>
      <c r="E217" s="10"/>
    </row>
    <row r="218" spans="1:5" ht="21.75" customHeight="1">
      <c r="A218" s="10"/>
      <c r="B218" s="10"/>
      <c r="C218" s="10"/>
      <c r="D218" s="10"/>
      <c r="E218" s="10"/>
    </row>
    <row r="219" spans="1:5" ht="21.75" customHeight="1">
      <c r="A219" s="10"/>
      <c r="B219" s="10"/>
      <c r="C219" s="10"/>
      <c r="D219" s="10"/>
      <c r="E219" s="10"/>
    </row>
    <row r="220" spans="1:5" ht="21.75" customHeight="1">
      <c r="A220" s="10"/>
      <c r="B220" s="10"/>
      <c r="C220" s="10"/>
      <c r="D220" s="10"/>
      <c r="E220" s="10"/>
    </row>
    <row r="221" spans="1:5" ht="21.75" customHeight="1">
      <c r="A221" s="10"/>
      <c r="B221" s="10"/>
      <c r="C221" s="10"/>
      <c r="D221" s="10"/>
      <c r="E221" s="10"/>
    </row>
    <row r="222" spans="1:5" ht="21.75" customHeight="1">
      <c r="A222" s="10"/>
      <c r="B222" s="10"/>
      <c r="C222" s="10"/>
      <c r="D222" s="10"/>
      <c r="E222" s="10"/>
    </row>
    <row r="223" spans="1:5" ht="21.75" customHeight="1">
      <c r="A223" s="10"/>
      <c r="B223" s="10"/>
      <c r="C223" s="10"/>
      <c r="D223" s="10"/>
      <c r="E223" s="10"/>
    </row>
    <row r="224" spans="1:5" ht="21.75" customHeight="1">
      <c r="A224" s="10"/>
      <c r="B224" s="10"/>
      <c r="C224" s="10"/>
      <c r="D224" s="10"/>
      <c r="E224" s="10"/>
    </row>
    <row r="225" spans="1:5" ht="21.75" customHeight="1">
      <c r="A225" s="10"/>
      <c r="B225" s="10"/>
      <c r="C225" s="10"/>
      <c r="D225" s="10"/>
      <c r="E225" s="10"/>
    </row>
    <row r="226" spans="1:5" ht="21.75" customHeight="1">
      <c r="A226" s="10"/>
      <c r="B226" s="10"/>
      <c r="C226" s="10"/>
      <c r="D226" s="10"/>
      <c r="E226" s="10"/>
    </row>
    <row r="227" spans="1:5" ht="21.75" customHeight="1">
      <c r="A227" s="10"/>
      <c r="B227" s="10"/>
      <c r="C227" s="10"/>
      <c r="D227" s="10"/>
      <c r="E227" s="10"/>
    </row>
    <row r="228" spans="1:5" ht="21.75" customHeight="1">
      <c r="A228" s="10"/>
      <c r="B228" s="10"/>
      <c r="C228" s="10"/>
      <c r="D228" s="10"/>
      <c r="E228" s="10"/>
    </row>
    <row r="229" spans="1:5" ht="21.75" customHeight="1">
      <c r="A229" s="10"/>
      <c r="B229" s="10"/>
      <c r="C229" s="10"/>
      <c r="D229" s="10"/>
      <c r="E229" s="10"/>
    </row>
    <row r="230" spans="1:5" ht="21.75" customHeight="1">
      <c r="A230" s="10"/>
      <c r="B230" s="10"/>
      <c r="C230" s="10"/>
      <c r="D230" s="10"/>
      <c r="E230" s="10"/>
    </row>
    <row r="231" spans="1:5" ht="21.75" customHeight="1">
      <c r="A231" s="10"/>
      <c r="B231" s="10"/>
      <c r="C231" s="10"/>
      <c r="D231" s="10"/>
      <c r="E231" s="10"/>
    </row>
    <row r="232" spans="1:5" ht="21.75" customHeight="1">
      <c r="A232" s="10"/>
      <c r="B232" s="10"/>
      <c r="C232" s="10"/>
      <c r="D232" s="10"/>
      <c r="E232" s="10"/>
    </row>
    <row r="233" spans="1:5" ht="21.75" customHeight="1">
      <c r="A233" s="10"/>
      <c r="B233" s="10"/>
      <c r="C233" s="10"/>
      <c r="D233" s="10"/>
      <c r="E233" s="10"/>
    </row>
    <row r="234" spans="1:5" ht="21.75" customHeight="1">
      <c r="A234" s="10"/>
      <c r="B234" s="10"/>
      <c r="C234" s="10"/>
      <c r="D234" s="10"/>
      <c r="E234" s="10"/>
    </row>
    <row r="235" spans="1:5" ht="21.75" customHeight="1">
      <c r="A235" s="10"/>
      <c r="B235" s="10"/>
      <c r="C235" s="10"/>
      <c r="D235" s="10"/>
      <c r="E235" s="10"/>
    </row>
    <row r="236" spans="1:5" ht="21.75" customHeight="1">
      <c r="A236" s="10"/>
      <c r="B236" s="10"/>
      <c r="C236" s="10"/>
      <c r="D236" s="10"/>
      <c r="E236" s="10"/>
    </row>
    <row r="237" spans="1:5" ht="21.75" customHeight="1">
      <c r="A237" s="10"/>
      <c r="B237" s="10"/>
      <c r="C237" s="10"/>
      <c r="D237" s="10"/>
      <c r="E237" s="10"/>
    </row>
    <row r="238" spans="1:5" ht="21.75" customHeight="1">
      <c r="A238" s="10"/>
      <c r="B238" s="10"/>
      <c r="C238" s="10"/>
      <c r="D238" s="10"/>
      <c r="E238" s="10"/>
    </row>
    <row r="239" spans="1:5" ht="21.75" customHeight="1">
      <c r="A239" s="10"/>
      <c r="B239" s="10"/>
      <c r="C239" s="10"/>
      <c r="D239" s="10"/>
      <c r="E239" s="10"/>
    </row>
    <row r="240" spans="1:5" ht="21.75" customHeight="1">
      <c r="A240" s="10"/>
      <c r="B240" s="10"/>
      <c r="C240" s="10"/>
      <c r="D240" s="10"/>
      <c r="E240" s="10"/>
    </row>
    <row r="241" spans="1:5" ht="21.75" customHeight="1">
      <c r="A241" s="10"/>
      <c r="B241" s="10"/>
      <c r="C241" s="10"/>
      <c r="D241" s="10"/>
      <c r="E241" s="10"/>
    </row>
    <row r="242" spans="1:5" ht="21.75" customHeight="1">
      <c r="A242" s="10"/>
      <c r="B242" s="10"/>
      <c r="C242" s="10"/>
      <c r="D242" s="10"/>
      <c r="E242" s="10"/>
    </row>
    <row r="243" spans="1:5" ht="21.75" customHeight="1">
      <c r="A243" s="10"/>
      <c r="B243" s="10"/>
      <c r="C243" s="10"/>
      <c r="D243" s="10"/>
      <c r="E243" s="10"/>
    </row>
    <row r="244" spans="1:5" ht="21.75" customHeight="1">
      <c r="A244" s="10"/>
      <c r="B244" s="10"/>
      <c r="C244" s="10"/>
      <c r="D244" s="10"/>
      <c r="E244" s="10"/>
    </row>
    <row r="245" spans="1:5" ht="21.75" customHeight="1">
      <c r="A245" s="10"/>
      <c r="B245" s="10"/>
      <c r="C245" s="10"/>
      <c r="D245" s="10"/>
      <c r="E245" s="10"/>
    </row>
    <row r="246" spans="1:5" ht="21.75" customHeight="1">
      <c r="A246" s="10"/>
      <c r="B246" s="10"/>
      <c r="C246" s="10"/>
      <c r="D246" s="10"/>
      <c r="E246" s="10"/>
    </row>
    <row r="247" spans="1:5" ht="21.75" customHeight="1">
      <c r="A247" s="10"/>
      <c r="B247" s="10"/>
      <c r="C247" s="10"/>
      <c r="D247" s="10"/>
      <c r="E247" s="10"/>
    </row>
    <row r="248" spans="1:5" ht="21.75" customHeight="1">
      <c r="A248" s="10"/>
      <c r="B248" s="10"/>
      <c r="C248" s="10"/>
      <c r="D248" s="10"/>
      <c r="E248" s="10"/>
    </row>
    <row r="249" spans="1:5" ht="21.75" customHeight="1">
      <c r="A249" s="10"/>
      <c r="B249" s="10"/>
      <c r="C249" s="10"/>
      <c r="D249" s="10"/>
      <c r="E249" s="10"/>
    </row>
    <row r="250" spans="1:5" ht="21.75" customHeight="1">
      <c r="A250" s="10"/>
      <c r="B250" s="10"/>
      <c r="C250" s="10"/>
      <c r="D250" s="10"/>
      <c r="E250" s="10"/>
    </row>
    <row r="251" spans="1:5" ht="21.75" customHeight="1">
      <c r="A251" s="10"/>
      <c r="B251" s="10"/>
      <c r="C251" s="10"/>
      <c r="D251" s="10"/>
      <c r="E251" s="10"/>
    </row>
    <row r="252" spans="1:5" ht="21.75" customHeight="1">
      <c r="A252" s="10"/>
      <c r="B252" s="10"/>
      <c r="C252" s="10"/>
      <c r="D252" s="10"/>
      <c r="E252" s="10"/>
    </row>
    <row r="253" spans="1:5" ht="21.75" customHeight="1">
      <c r="A253" s="10"/>
      <c r="B253" s="10"/>
      <c r="C253" s="10"/>
      <c r="D253" s="10"/>
      <c r="E253" s="10"/>
    </row>
    <row r="254" spans="1:5" ht="21.75" customHeight="1">
      <c r="A254" s="10"/>
      <c r="B254" s="10"/>
      <c r="C254" s="10"/>
      <c r="D254" s="10"/>
      <c r="E254" s="10"/>
    </row>
    <row r="255" spans="1:5" ht="21.75" customHeight="1">
      <c r="A255" s="10"/>
      <c r="B255" s="10"/>
      <c r="C255" s="10"/>
      <c r="D255" s="10"/>
      <c r="E255" s="10"/>
    </row>
    <row r="256" spans="1:5" ht="21.75" customHeight="1">
      <c r="A256" s="10"/>
      <c r="B256" s="10"/>
      <c r="C256" s="10"/>
      <c r="D256" s="10"/>
      <c r="E256" s="10"/>
    </row>
    <row r="257" spans="1:5" ht="21.75" customHeight="1">
      <c r="A257" s="10"/>
      <c r="B257" s="10"/>
      <c r="C257" s="10"/>
      <c r="D257" s="10"/>
      <c r="E257" s="10"/>
    </row>
    <row r="258" spans="1:5" ht="21.75" customHeight="1">
      <c r="A258" s="10"/>
      <c r="B258" s="10"/>
      <c r="C258" s="10"/>
      <c r="D258" s="10"/>
      <c r="E258" s="10"/>
    </row>
    <row r="259" spans="1:5" ht="21.75" customHeight="1">
      <c r="A259" s="10"/>
      <c r="B259" s="10"/>
      <c r="C259" s="10"/>
      <c r="D259" s="10"/>
      <c r="E259" s="10"/>
    </row>
    <row r="260" spans="1:5" ht="21.75" customHeight="1">
      <c r="A260" s="10"/>
      <c r="B260" s="10"/>
      <c r="C260" s="10"/>
      <c r="D260" s="10"/>
      <c r="E260" s="10"/>
    </row>
    <row r="261" spans="1:5" ht="21.75" customHeight="1">
      <c r="A261" s="10"/>
      <c r="B261" s="10"/>
      <c r="C261" s="10"/>
      <c r="D261" s="10"/>
      <c r="E261" s="10"/>
    </row>
    <row r="262" spans="1:5" ht="21.75" customHeight="1">
      <c r="A262" s="10"/>
      <c r="B262" s="10"/>
      <c r="C262" s="10"/>
      <c r="D262" s="10"/>
      <c r="E262" s="10"/>
    </row>
    <row r="263" spans="1:5" ht="21.75" customHeight="1">
      <c r="A263" s="10"/>
      <c r="B263" s="10"/>
      <c r="C263" s="10"/>
      <c r="D263" s="10"/>
      <c r="E263" s="10"/>
    </row>
    <row r="264" spans="1:5" ht="21.75" customHeight="1">
      <c r="A264" s="10"/>
      <c r="B264" s="10"/>
      <c r="C264" s="10"/>
      <c r="D264" s="10"/>
      <c r="E264" s="10"/>
    </row>
    <row r="265" spans="1:5" ht="21.75" customHeight="1">
      <c r="A265" s="10"/>
      <c r="B265" s="10"/>
      <c r="C265" s="10"/>
      <c r="D265" s="10"/>
      <c r="E265" s="10"/>
    </row>
    <row r="266" spans="1:5" ht="21.75" customHeight="1">
      <c r="A266" s="10"/>
      <c r="B266" s="10"/>
      <c r="C266" s="10"/>
      <c r="D266" s="10"/>
      <c r="E266" s="10"/>
    </row>
    <row r="267" spans="1:5" ht="21.75" customHeight="1">
      <c r="A267" s="10"/>
      <c r="B267" s="10"/>
      <c r="C267" s="10"/>
      <c r="D267" s="10"/>
      <c r="E267" s="10"/>
    </row>
    <row r="268" spans="1:5" ht="21.75" customHeight="1">
      <c r="A268" s="10"/>
      <c r="B268" s="10"/>
      <c r="C268" s="10"/>
      <c r="D268" s="10"/>
      <c r="E268" s="10"/>
    </row>
    <row r="269" spans="1:5" ht="21.75" customHeight="1">
      <c r="A269" s="10"/>
      <c r="B269" s="10"/>
      <c r="C269" s="10"/>
      <c r="D269" s="10"/>
      <c r="E269" s="10"/>
    </row>
    <row r="270" spans="1:5" ht="21.75" customHeight="1">
      <c r="A270" s="10"/>
      <c r="B270" s="10"/>
      <c r="C270" s="10"/>
      <c r="D270" s="10"/>
      <c r="E270" s="10"/>
    </row>
    <row r="271" spans="1:5" ht="21.75" customHeight="1">
      <c r="A271" s="10"/>
      <c r="B271" s="10"/>
      <c r="C271" s="10"/>
      <c r="D271" s="10"/>
      <c r="E271" s="10"/>
    </row>
    <row r="272" spans="1:5" ht="21.75" customHeight="1">
      <c r="A272" s="10"/>
      <c r="B272" s="10"/>
      <c r="C272" s="10"/>
      <c r="D272" s="10"/>
      <c r="E272" s="10"/>
    </row>
    <row r="273" spans="1:5" ht="21.75" customHeight="1">
      <c r="A273" s="10"/>
      <c r="B273" s="10"/>
      <c r="C273" s="10"/>
      <c r="D273" s="10"/>
      <c r="E273" s="10"/>
    </row>
    <row r="274" spans="1:5" ht="21.75" customHeight="1">
      <c r="A274" s="10"/>
      <c r="B274" s="10"/>
      <c r="C274" s="10"/>
      <c r="D274" s="10"/>
      <c r="E274" s="10"/>
    </row>
    <row r="275" spans="1:5" ht="21.75" customHeight="1">
      <c r="A275" s="10"/>
      <c r="B275" s="10"/>
      <c r="C275" s="10"/>
      <c r="D275" s="10"/>
      <c r="E275" s="10"/>
    </row>
    <row r="276" spans="1:5" ht="21.75" customHeight="1">
      <c r="A276" s="10"/>
      <c r="B276" s="10"/>
      <c r="C276" s="10"/>
      <c r="D276" s="10"/>
      <c r="E276" s="10"/>
    </row>
    <row r="277" spans="1:5" ht="21.75" customHeight="1">
      <c r="A277" s="10"/>
      <c r="B277" s="10"/>
      <c r="C277" s="10"/>
      <c r="D277" s="10"/>
      <c r="E277" s="10"/>
    </row>
    <row r="278" spans="1:5" ht="21.75" customHeight="1">
      <c r="A278" s="10"/>
      <c r="B278" s="10"/>
      <c r="C278" s="10"/>
      <c r="D278" s="10"/>
      <c r="E278" s="10"/>
    </row>
    <row r="279" spans="1:5" ht="21.75" customHeight="1">
      <c r="A279" s="10"/>
      <c r="B279" s="10"/>
      <c r="C279" s="10"/>
      <c r="D279" s="10"/>
      <c r="E279" s="10"/>
    </row>
    <row r="280" spans="1:5" ht="21.75" customHeight="1">
      <c r="A280" s="10"/>
      <c r="B280" s="10"/>
      <c r="C280" s="10"/>
      <c r="D280" s="10"/>
      <c r="E280" s="10"/>
    </row>
    <row r="281" spans="1:5" ht="21.75" customHeight="1">
      <c r="A281" s="10"/>
      <c r="B281" s="10"/>
      <c r="C281" s="10"/>
      <c r="D281" s="10"/>
      <c r="E281" s="10"/>
    </row>
    <row r="282" spans="1:5" ht="21.75" customHeight="1">
      <c r="A282" s="10"/>
      <c r="B282" s="10"/>
      <c r="C282" s="10"/>
      <c r="D282" s="10"/>
      <c r="E282" s="10"/>
    </row>
    <row r="283" spans="1:5" ht="21.75" customHeight="1">
      <c r="A283" s="10"/>
      <c r="B283" s="10"/>
      <c r="C283" s="10"/>
      <c r="D283" s="10"/>
      <c r="E283" s="10"/>
    </row>
    <row r="284" spans="1:5" ht="21.75" customHeight="1">
      <c r="A284" s="10"/>
      <c r="B284" s="10"/>
      <c r="C284" s="10"/>
      <c r="D284" s="10"/>
      <c r="E284" s="10"/>
    </row>
    <row r="285" spans="1:5" ht="21.75" customHeight="1">
      <c r="A285" s="10"/>
      <c r="B285" s="10"/>
      <c r="C285" s="10"/>
      <c r="D285" s="10"/>
      <c r="E285" s="10"/>
    </row>
    <row r="286" spans="1:5" ht="21.75" customHeight="1">
      <c r="A286" s="10"/>
      <c r="B286" s="10"/>
      <c r="C286" s="10"/>
      <c r="D286" s="10"/>
      <c r="E286" s="10"/>
    </row>
    <row r="287" spans="1:5" ht="21.75" customHeight="1">
      <c r="A287" s="10"/>
      <c r="B287" s="10"/>
      <c r="C287" s="10"/>
      <c r="D287" s="10"/>
      <c r="E287" s="10"/>
    </row>
    <row r="288" spans="1:5" ht="21.75" customHeight="1">
      <c r="A288" s="10"/>
      <c r="B288" s="10"/>
      <c r="C288" s="10"/>
      <c r="D288" s="10"/>
      <c r="E288" s="10"/>
    </row>
    <row r="289" spans="1:5" ht="21.75" customHeight="1">
      <c r="A289" s="10"/>
      <c r="B289" s="10"/>
      <c r="C289" s="10"/>
      <c r="D289" s="10"/>
      <c r="E289" s="10"/>
    </row>
    <row r="290" spans="1:5" ht="21.75" customHeight="1">
      <c r="A290" s="10"/>
      <c r="B290" s="10"/>
      <c r="C290" s="10"/>
      <c r="D290" s="10"/>
      <c r="E290" s="10"/>
    </row>
    <row r="291" spans="1:5" ht="21.75" customHeight="1">
      <c r="A291" s="10"/>
      <c r="B291" s="10"/>
      <c r="C291" s="10"/>
      <c r="D291" s="10"/>
      <c r="E291" s="10"/>
    </row>
    <row r="292" spans="1:5" ht="21.75" customHeight="1">
      <c r="A292" s="10"/>
      <c r="B292" s="10"/>
      <c r="C292" s="10"/>
      <c r="D292" s="10"/>
      <c r="E292" s="10"/>
    </row>
    <row r="293" spans="1:5" ht="21.75" customHeight="1">
      <c r="A293" s="10"/>
      <c r="B293" s="10"/>
      <c r="C293" s="10"/>
      <c r="D293" s="10"/>
      <c r="E293" s="10"/>
    </row>
    <row r="294" spans="1:5" ht="21.75" customHeight="1">
      <c r="A294" s="10"/>
      <c r="B294" s="10"/>
      <c r="C294" s="10"/>
      <c r="D294" s="10"/>
      <c r="E294" s="10"/>
    </row>
    <row r="295" spans="1:5" ht="21.75" customHeight="1">
      <c r="A295" s="10"/>
      <c r="B295" s="10"/>
      <c r="C295" s="10"/>
      <c r="D295" s="10"/>
      <c r="E295" s="10"/>
    </row>
    <row r="296" spans="1:5" ht="21.75" customHeight="1">
      <c r="A296" s="10"/>
      <c r="B296" s="10"/>
      <c r="C296" s="10"/>
      <c r="D296" s="10"/>
      <c r="E296" s="10"/>
    </row>
    <row r="297" spans="1:5" ht="21.75" customHeight="1">
      <c r="A297" s="10"/>
      <c r="B297" s="10"/>
      <c r="C297" s="10"/>
      <c r="D297" s="10"/>
      <c r="E297" s="10"/>
    </row>
    <row r="298" spans="1:5" ht="21.75" customHeight="1">
      <c r="A298" s="10"/>
      <c r="B298" s="10"/>
      <c r="C298" s="10"/>
      <c r="D298" s="10"/>
      <c r="E298" s="10"/>
    </row>
    <row r="299" spans="1:5" ht="21.75" customHeight="1">
      <c r="A299" s="10"/>
      <c r="B299" s="10"/>
      <c r="C299" s="10"/>
      <c r="D299" s="10"/>
      <c r="E299" s="10"/>
    </row>
    <row r="300" spans="1:5" ht="21.75" customHeight="1">
      <c r="A300" s="10"/>
      <c r="B300" s="10"/>
      <c r="C300" s="10"/>
      <c r="D300" s="10"/>
      <c r="E300" s="10"/>
    </row>
    <row r="301" spans="1:5" ht="21.75" customHeight="1">
      <c r="A301" s="10"/>
      <c r="B301" s="10"/>
      <c r="C301" s="10"/>
      <c r="D301" s="10"/>
      <c r="E301" s="10"/>
    </row>
    <row r="302" spans="1:5" ht="21.75" customHeight="1">
      <c r="A302" s="10"/>
      <c r="B302" s="10"/>
      <c r="C302" s="10"/>
      <c r="D302" s="10"/>
      <c r="E302" s="10"/>
    </row>
    <row r="303" spans="1:5" ht="21.75" customHeight="1">
      <c r="A303" s="10"/>
      <c r="B303" s="10"/>
      <c r="C303" s="10"/>
      <c r="D303" s="10"/>
      <c r="E303" s="10"/>
    </row>
    <row r="304" spans="1:5" ht="21.75" customHeight="1">
      <c r="A304" s="10"/>
      <c r="B304" s="10"/>
      <c r="C304" s="10"/>
      <c r="D304" s="10"/>
      <c r="E304" s="10"/>
    </row>
    <row r="305" spans="1:5" ht="21.75" customHeight="1">
      <c r="A305" s="10"/>
      <c r="B305" s="10"/>
      <c r="C305" s="10"/>
      <c r="D305" s="10"/>
      <c r="E305" s="10"/>
    </row>
    <row r="306" spans="1:5" ht="21.75" customHeight="1">
      <c r="A306" s="10"/>
      <c r="B306" s="10"/>
      <c r="C306" s="10"/>
      <c r="D306" s="10"/>
      <c r="E306" s="10"/>
    </row>
    <row r="307" spans="1:5" ht="21.75" customHeight="1">
      <c r="A307" s="10"/>
      <c r="B307" s="10"/>
      <c r="C307" s="10"/>
      <c r="D307" s="10"/>
      <c r="E307" s="10"/>
    </row>
    <row r="308" spans="1:5" ht="21.75" customHeight="1">
      <c r="A308" s="10"/>
      <c r="B308" s="10"/>
      <c r="C308" s="10"/>
      <c r="D308" s="10"/>
      <c r="E308" s="10"/>
    </row>
    <row r="309" spans="1:5" ht="21.75" customHeight="1">
      <c r="A309" s="10"/>
      <c r="B309" s="10"/>
      <c r="C309" s="10"/>
      <c r="D309" s="10"/>
      <c r="E309" s="10"/>
    </row>
    <row r="310" spans="1:5" ht="21.75" customHeight="1">
      <c r="A310" s="10"/>
      <c r="B310" s="10"/>
      <c r="C310" s="10"/>
      <c r="D310" s="10"/>
      <c r="E310" s="10"/>
    </row>
    <row r="311" spans="1:5" ht="21.75" customHeight="1">
      <c r="A311" s="10"/>
      <c r="B311" s="10"/>
      <c r="C311" s="10"/>
      <c r="D311" s="10"/>
      <c r="E311" s="10"/>
    </row>
    <row r="312" spans="1:5" ht="21.75" customHeight="1">
      <c r="A312" s="10"/>
      <c r="B312" s="10"/>
      <c r="C312" s="10"/>
      <c r="D312" s="10"/>
      <c r="E312" s="10"/>
    </row>
    <row r="313" spans="1:5" ht="21.75" customHeight="1">
      <c r="A313" s="10"/>
      <c r="B313" s="10"/>
      <c r="C313" s="10"/>
      <c r="D313" s="10"/>
      <c r="E313" s="10"/>
    </row>
    <row r="314" spans="1:5" ht="21.75" customHeight="1">
      <c r="A314" s="10"/>
      <c r="B314" s="10"/>
      <c r="C314" s="10"/>
      <c r="D314" s="10"/>
      <c r="E314" s="10"/>
    </row>
    <row r="315" spans="1:5" ht="21.75" customHeight="1">
      <c r="A315" s="10"/>
      <c r="B315" s="10"/>
      <c r="C315" s="10"/>
      <c r="D315" s="10"/>
      <c r="E315" s="10"/>
    </row>
    <row r="316" spans="1:5" ht="21.75" customHeight="1">
      <c r="A316" s="10"/>
      <c r="B316" s="10"/>
      <c r="C316" s="10"/>
      <c r="D316" s="10"/>
      <c r="E316" s="10"/>
    </row>
    <row r="317" spans="1:5" ht="21.75" customHeight="1">
      <c r="A317" s="10"/>
      <c r="B317" s="10"/>
      <c r="C317" s="10"/>
      <c r="D317" s="10"/>
      <c r="E317" s="10"/>
    </row>
    <row r="318" spans="1:5" ht="21.75" customHeight="1">
      <c r="A318" s="10"/>
      <c r="B318" s="10"/>
      <c r="C318" s="10"/>
      <c r="D318" s="10"/>
      <c r="E318" s="10"/>
    </row>
    <row r="319" spans="1:5" ht="21.75" customHeight="1">
      <c r="A319" s="10"/>
      <c r="B319" s="10"/>
      <c r="C319" s="10"/>
      <c r="D319" s="10"/>
      <c r="E319" s="10"/>
    </row>
    <row r="320" spans="1:5" ht="21.75" customHeight="1">
      <c r="A320" s="10"/>
      <c r="B320" s="10"/>
      <c r="C320" s="10"/>
      <c r="D320" s="10"/>
      <c r="E320" s="10"/>
    </row>
    <row r="321" spans="1:5" ht="21.75" customHeight="1">
      <c r="A321" s="10"/>
      <c r="B321" s="10"/>
      <c r="C321" s="10"/>
      <c r="D321" s="10"/>
      <c r="E321" s="10"/>
    </row>
    <row r="322" spans="1:5" ht="21.75" customHeight="1">
      <c r="A322" s="10"/>
      <c r="B322" s="10"/>
      <c r="C322" s="10"/>
      <c r="D322" s="10"/>
      <c r="E322" s="10"/>
    </row>
    <row r="323" spans="1:5" ht="21.75" customHeight="1">
      <c r="A323" s="10"/>
      <c r="B323" s="10"/>
      <c r="C323" s="10"/>
      <c r="D323" s="10"/>
      <c r="E323" s="10"/>
    </row>
    <row r="324" spans="1:5" ht="21.75" customHeight="1">
      <c r="A324" s="10"/>
      <c r="B324" s="10"/>
      <c r="C324" s="10"/>
      <c r="D324" s="10"/>
      <c r="E324" s="10"/>
    </row>
    <row r="325" spans="1:5" ht="21.75" customHeight="1">
      <c r="A325" s="10"/>
      <c r="B325" s="10"/>
      <c r="C325" s="10"/>
      <c r="D325" s="10"/>
      <c r="E325" s="10"/>
    </row>
    <row r="326" spans="1:5" ht="21.75" customHeight="1">
      <c r="A326" s="10"/>
      <c r="B326" s="10"/>
      <c r="C326" s="10"/>
      <c r="D326" s="10"/>
      <c r="E326" s="10"/>
    </row>
    <row r="327" spans="1:5" ht="21.75" customHeight="1">
      <c r="A327" s="10"/>
      <c r="B327" s="10"/>
      <c r="C327" s="10"/>
      <c r="D327" s="10"/>
      <c r="E327" s="10"/>
    </row>
    <row r="328" spans="1:5" ht="21.75" customHeight="1">
      <c r="A328" s="10"/>
      <c r="B328" s="10"/>
      <c r="C328" s="10"/>
      <c r="D328" s="10"/>
      <c r="E328" s="10"/>
    </row>
    <row r="329" spans="1:5" ht="21.75" customHeight="1">
      <c r="A329" s="10"/>
      <c r="B329" s="10"/>
      <c r="C329" s="10"/>
      <c r="D329" s="10"/>
      <c r="E329" s="10"/>
    </row>
    <row r="330" spans="1:5" ht="21.75" customHeight="1">
      <c r="A330" s="10"/>
      <c r="B330" s="10"/>
      <c r="C330" s="10"/>
      <c r="D330" s="10"/>
      <c r="E330" s="10"/>
    </row>
    <row r="331" spans="1:5" ht="21.75" customHeight="1">
      <c r="A331" s="10"/>
      <c r="B331" s="10"/>
      <c r="C331" s="10"/>
      <c r="D331" s="10"/>
      <c r="E331" s="10"/>
    </row>
    <row r="332" spans="1:5" ht="21.75" customHeight="1">
      <c r="A332" s="10"/>
      <c r="B332" s="10"/>
      <c r="C332" s="10"/>
      <c r="D332" s="10"/>
      <c r="E332" s="10"/>
    </row>
    <row r="333" spans="1:5" ht="21.75" customHeight="1">
      <c r="A333" s="10"/>
      <c r="B333" s="10"/>
      <c r="C333" s="10"/>
      <c r="D333" s="10"/>
      <c r="E333" s="10"/>
    </row>
    <row r="334" spans="1:5" ht="21.75" customHeight="1">
      <c r="A334" s="10"/>
      <c r="B334" s="10"/>
      <c r="C334" s="10"/>
      <c r="D334" s="10"/>
      <c r="E334" s="10"/>
    </row>
    <row r="335" spans="1:5" ht="21.75" customHeight="1">
      <c r="A335" s="10"/>
      <c r="B335" s="10"/>
      <c r="C335" s="10"/>
      <c r="D335" s="10"/>
      <c r="E335" s="10"/>
    </row>
    <row r="336" spans="1:5" ht="21.75" customHeight="1">
      <c r="A336" s="10"/>
      <c r="B336" s="10"/>
      <c r="C336" s="10"/>
      <c r="D336" s="10"/>
      <c r="E336" s="10"/>
    </row>
    <row r="337" spans="1:5" ht="21.75" customHeight="1">
      <c r="A337" s="10"/>
      <c r="B337" s="10"/>
      <c r="C337" s="10"/>
      <c r="D337" s="10"/>
      <c r="E337" s="10"/>
    </row>
    <row r="338" spans="1:5" ht="21.75" customHeight="1">
      <c r="A338" s="10"/>
      <c r="B338" s="10"/>
      <c r="C338" s="10"/>
      <c r="D338" s="10"/>
      <c r="E338" s="10"/>
    </row>
    <row r="339" spans="1:5" ht="21.75" customHeight="1">
      <c r="A339" s="10"/>
      <c r="B339" s="10"/>
      <c r="C339" s="10"/>
      <c r="D339" s="10"/>
      <c r="E339" s="10"/>
    </row>
    <row r="340" spans="1:5" ht="21.75" customHeight="1">
      <c r="A340" s="10"/>
      <c r="B340" s="10"/>
      <c r="C340" s="10"/>
      <c r="D340" s="10"/>
      <c r="E340" s="10"/>
    </row>
    <row r="341" spans="1:5" ht="21.75" customHeight="1">
      <c r="A341" s="10"/>
      <c r="B341" s="10"/>
      <c r="C341" s="10"/>
      <c r="D341" s="10"/>
      <c r="E341" s="10"/>
    </row>
    <row r="342" spans="1:5" ht="21.75" customHeight="1">
      <c r="A342" s="10"/>
      <c r="B342" s="10"/>
      <c r="C342" s="10"/>
      <c r="D342" s="10"/>
      <c r="E342" s="10"/>
    </row>
    <row r="343" spans="1:5" ht="21.75" customHeight="1">
      <c r="A343" s="10"/>
      <c r="B343" s="10"/>
      <c r="C343" s="10"/>
      <c r="D343" s="10"/>
      <c r="E343" s="10"/>
    </row>
    <row r="344" spans="1:5" ht="21.75" customHeight="1">
      <c r="A344" s="10"/>
      <c r="B344" s="10"/>
      <c r="C344" s="10"/>
      <c r="D344" s="10"/>
      <c r="E344" s="10"/>
    </row>
    <row r="345" spans="1:5" ht="21.75" customHeight="1">
      <c r="A345" s="10"/>
      <c r="B345" s="10"/>
      <c r="C345" s="10"/>
      <c r="D345" s="10"/>
      <c r="E345" s="10"/>
    </row>
    <row r="346" spans="1:5" ht="21.75" customHeight="1">
      <c r="A346" s="10"/>
      <c r="B346" s="10"/>
      <c r="C346" s="10"/>
      <c r="D346" s="10"/>
      <c r="E346" s="10"/>
    </row>
    <row r="347" spans="1:5" ht="21.75" customHeight="1">
      <c r="A347" s="10"/>
      <c r="B347" s="10"/>
      <c r="C347" s="10"/>
      <c r="D347" s="10"/>
      <c r="E347" s="10"/>
    </row>
    <row r="348" spans="1:5" ht="21.75" customHeight="1">
      <c r="A348" s="10"/>
      <c r="B348" s="10"/>
      <c r="C348" s="10"/>
      <c r="D348" s="10"/>
      <c r="E348" s="10"/>
    </row>
    <row r="349" spans="1:5" ht="21.75" customHeight="1">
      <c r="A349" s="10"/>
      <c r="B349" s="10"/>
      <c r="C349" s="10"/>
      <c r="D349" s="10"/>
      <c r="E349" s="10"/>
    </row>
    <row r="350" spans="1:5" ht="21.75" customHeight="1">
      <c r="A350" s="10"/>
      <c r="B350" s="10"/>
      <c r="C350" s="10"/>
      <c r="D350" s="10"/>
      <c r="E350" s="10"/>
    </row>
    <row r="351" spans="1:5" ht="21.75" customHeight="1">
      <c r="A351" s="10"/>
      <c r="B351" s="10"/>
      <c r="C351" s="10"/>
      <c r="D351" s="10"/>
      <c r="E351" s="10"/>
    </row>
    <row r="352" spans="1:5" ht="21.75" customHeight="1">
      <c r="A352" s="10"/>
      <c r="B352" s="10"/>
      <c r="C352" s="10"/>
      <c r="D352" s="10"/>
      <c r="E352" s="10"/>
    </row>
    <row r="353" spans="1:5" ht="21.75" customHeight="1">
      <c r="A353" s="10"/>
      <c r="B353" s="10"/>
      <c r="C353" s="10"/>
      <c r="D353" s="10"/>
      <c r="E353" s="10"/>
    </row>
    <row r="354" spans="1:5" ht="21.75" customHeight="1">
      <c r="A354" s="10"/>
      <c r="B354" s="10"/>
      <c r="C354" s="10"/>
      <c r="D354" s="10"/>
      <c r="E354" s="10"/>
    </row>
    <row r="355" spans="1:5" ht="21.75" customHeight="1">
      <c r="A355" s="10"/>
      <c r="B355" s="10"/>
      <c r="C355" s="10"/>
      <c r="D355" s="10"/>
      <c r="E355" s="10"/>
    </row>
    <row r="356" spans="1:5" ht="21.75" customHeight="1">
      <c r="A356" s="10"/>
      <c r="B356" s="10"/>
      <c r="C356" s="10"/>
      <c r="D356" s="10"/>
      <c r="E356" s="10"/>
    </row>
    <row r="357" spans="1:5" ht="21.75" customHeight="1">
      <c r="A357" s="10"/>
      <c r="B357" s="10"/>
      <c r="C357" s="10"/>
      <c r="D357" s="10"/>
      <c r="E357" s="10"/>
    </row>
    <row r="358" spans="1:5" ht="21.75" customHeight="1">
      <c r="A358" s="10"/>
      <c r="B358" s="10"/>
      <c r="C358" s="10"/>
      <c r="D358" s="10"/>
      <c r="E358" s="10"/>
    </row>
    <row r="359" spans="1:5" ht="21.75" customHeight="1">
      <c r="A359" s="10"/>
      <c r="B359" s="10"/>
      <c r="C359" s="10"/>
      <c r="D359" s="10"/>
      <c r="E359" s="10"/>
    </row>
    <row r="360" spans="1:5" ht="21.75" customHeight="1">
      <c r="A360" s="10"/>
      <c r="B360" s="10"/>
      <c r="C360" s="10"/>
      <c r="D360" s="10"/>
      <c r="E360" s="10"/>
    </row>
    <row r="361" spans="1:5" ht="21.75" customHeight="1">
      <c r="A361" s="10"/>
      <c r="B361" s="10"/>
      <c r="C361" s="10"/>
      <c r="D361" s="10"/>
      <c r="E361" s="10"/>
    </row>
    <row r="362" spans="1:5" ht="21.75" customHeight="1">
      <c r="A362" s="10"/>
      <c r="B362" s="10"/>
      <c r="C362" s="10"/>
      <c r="D362" s="10"/>
      <c r="E362" s="10"/>
    </row>
    <row r="363" spans="1:5" ht="21.75" customHeight="1">
      <c r="A363" s="10"/>
      <c r="B363" s="10"/>
      <c r="C363" s="10"/>
      <c r="D363" s="10"/>
      <c r="E363" s="10"/>
    </row>
    <row r="364" spans="1:5" ht="21.75" customHeight="1">
      <c r="A364" s="10"/>
      <c r="B364" s="10"/>
      <c r="C364" s="10"/>
      <c r="D364" s="10"/>
      <c r="E364" s="10"/>
    </row>
    <row r="365" spans="1:5" ht="21.75" customHeight="1">
      <c r="A365" s="10"/>
      <c r="B365" s="10"/>
      <c r="C365" s="10"/>
      <c r="D365" s="10"/>
      <c r="E365" s="10"/>
    </row>
    <row r="366" spans="1:5" ht="21.75" customHeight="1">
      <c r="A366" s="10"/>
      <c r="B366" s="10"/>
      <c r="C366" s="10"/>
      <c r="D366" s="10"/>
      <c r="E366" s="10"/>
    </row>
    <row r="367" spans="1:5" ht="21.75" customHeight="1">
      <c r="A367" s="10"/>
      <c r="B367" s="10"/>
      <c r="C367" s="10"/>
      <c r="D367" s="10"/>
      <c r="E367" s="10"/>
    </row>
    <row r="368" spans="1:5" ht="21.75" customHeight="1">
      <c r="A368" s="10"/>
      <c r="B368" s="10"/>
      <c r="C368" s="10"/>
      <c r="D368" s="10"/>
      <c r="E368" s="10"/>
    </row>
    <row r="369" spans="1:5" ht="21.75" customHeight="1">
      <c r="A369" s="10"/>
      <c r="B369" s="10"/>
      <c r="C369" s="10"/>
      <c r="D369" s="10"/>
      <c r="E369" s="10"/>
    </row>
    <row r="370" spans="1:5" ht="21.75" customHeight="1">
      <c r="A370" s="10"/>
      <c r="B370" s="10"/>
      <c r="C370" s="10"/>
      <c r="D370" s="10"/>
      <c r="E370" s="10"/>
    </row>
    <row r="371" spans="1:5" ht="21.75" customHeight="1">
      <c r="A371" s="10"/>
      <c r="B371" s="10"/>
      <c r="C371" s="10"/>
      <c r="D371" s="10"/>
      <c r="E371" s="10"/>
    </row>
    <row r="372" spans="1:5" ht="21.75" customHeight="1">
      <c r="A372" s="10"/>
      <c r="B372" s="10"/>
      <c r="C372" s="10"/>
      <c r="D372" s="10"/>
      <c r="E372" s="10"/>
    </row>
    <row r="373" spans="1:5" ht="21.75" customHeight="1">
      <c r="A373" s="10"/>
      <c r="B373" s="10"/>
      <c r="C373" s="10"/>
      <c r="D373" s="10"/>
      <c r="E373" s="10"/>
    </row>
    <row r="374" spans="1:5" ht="21.75" customHeight="1">
      <c r="A374" s="10"/>
      <c r="B374" s="10"/>
      <c r="C374" s="10"/>
      <c r="D374" s="10"/>
      <c r="E374" s="10"/>
    </row>
    <row r="375" spans="1:5" ht="21.75" customHeight="1">
      <c r="A375" s="10"/>
      <c r="B375" s="10"/>
      <c r="C375" s="10"/>
      <c r="D375" s="10"/>
      <c r="E375" s="10"/>
    </row>
    <row r="376" spans="1:5" ht="21.75" customHeight="1">
      <c r="A376" s="10"/>
      <c r="B376" s="10"/>
      <c r="C376" s="10"/>
      <c r="D376" s="10"/>
      <c r="E376" s="10"/>
    </row>
    <row r="377" spans="1:5" ht="21.75" customHeight="1">
      <c r="A377" s="10"/>
      <c r="B377" s="10"/>
      <c r="C377" s="10"/>
      <c r="D377" s="10"/>
      <c r="E377" s="10"/>
    </row>
    <row r="378" spans="1:5" ht="21.75" customHeight="1">
      <c r="A378" s="10"/>
      <c r="B378" s="10"/>
      <c r="C378" s="10"/>
      <c r="D378" s="10"/>
      <c r="E378" s="10"/>
    </row>
    <row r="379" spans="1:5" ht="21.75" customHeight="1">
      <c r="A379" s="10"/>
      <c r="B379" s="10"/>
      <c r="C379" s="10"/>
      <c r="D379" s="10"/>
      <c r="E379" s="10"/>
    </row>
    <row r="380" spans="1:5" ht="21.75" customHeight="1">
      <c r="A380" s="10"/>
      <c r="B380" s="10"/>
      <c r="C380" s="10"/>
      <c r="D380" s="10"/>
      <c r="E380" s="10"/>
    </row>
    <row r="381" spans="1:5" ht="21.75" customHeight="1">
      <c r="A381" s="10"/>
      <c r="B381" s="10"/>
      <c r="C381" s="10"/>
      <c r="D381" s="10"/>
      <c r="E381" s="10"/>
    </row>
    <row r="382" spans="1:5" ht="21.75" customHeight="1">
      <c r="A382" s="10"/>
      <c r="B382" s="10"/>
      <c r="C382" s="10"/>
      <c r="D382" s="10"/>
      <c r="E382" s="10"/>
    </row>
    <row r="383" spans="1:5" ht="21.75" customHeight="1">
      <c r="A383" s="10"/>
      <c r="B383" s="10"/>
      <c r="C383" s="10"/>
      <c r="D383" s="10"/>
      <c r="E383" s="10"/>
    </row>
    <row r="384" spans="1:5" ht="21.75" customHeight="1">
      <c r="A384" s="10"/>
      <c r="B384" s="10"/>
      <c r="C384" s="10"/>
      <c r="D384" s="10"/>
      <c r="E384" s="10"/>
    </row>
    <row r="385" spans="1:5" ht="21.75" customHeight="1">
      <c r="A385" s="10"/>
      <c r="B385" s="10"/>
      <c r="C385" s="10"/>
      <c r="D385" s="10"/>
      <c r="E385" s="10"/>
    </row>
    <row r="386" spans="1:5" ht="21.75" customHeight="1">
      <c r="A386" s="10"/>
      <c r="B386" s="10"/>
      <c r="C386" s="10"/>
      <c r="D386" s="10"/>
      <c r="E386" s="10"/>
    </row>
    <row r="387" spans="1:5" ht="21.75" customHeight="1">
      <c r="A387" s="10"/>
      <c r="B387" s="10"/>
      <c r="C387" s="10"/>
      <c r="D387" s="10"/>
      <c r="E387" s="10"/>
    </row>
    <row r="388" spans="1:5" ht="21.75" customHeight="1">
      <c r="A388" s="10"/>
      <c r="B388" s="10"/>
      <c r="C388" s="10"/>
      <c r="D388" s="10"/>
      <c r="E388" s="10"/>
    </row>
    <row r="389" spans="1:5" ht="21.75" customHeight="1">
      <c r="A389" s="10"/>
      <c r="B389" s="10"/>
      <c r="C389" s="10"/>
      <c r="D389" s="10"/>
      <c r="E389" s="10"/>
    </row>
    <row r="390" spans="1:5" ht="21.75" customHeight="1">
      <c r="A390" s="10"/>
      <c r="B390" s="10"/>
      <c r="C390" s="10"/>
      <c r="D390" s="10"/>
      <c r="E390" s="10"/>
    </row>
    <row r="391" spans="1:5" ht="21.75" customHeight="1">
      <c r="A391" s="10"/>
      <c r="B391" s="10"/>
      <c r="C391" s="10"/>
      <c r="D391" s="10"/>
      <c r="E391" s="10"/>
    </row>
    <row r="392" spans="1:5" ht="21.75" customHeight="1">
      <c r="A392" s="10"/>
      <c r="B392" s="10"/>
      <c r="C392" s="10"/>
      <c r="D392" s="10"/>
      <c r="E392" s="10"/>
    </row>
    <row r="393" spans="1:5" ht="21.75" customHeight="1">
      <c r="A393" s="10"/>
      <c r="B393" s="10"/>
      <c r="C393" s="10"/>
      <c r="D393" s="10"/>
      <c r="E393" s="10"/>
    </row>
    <row r="394" spans="1:5" ht="21.75" customHeight="1">
      <c r="A394" s="10"/>
      <c r="B394" s="10"/>
      <c r="C394" s="10"/>
      <c r="D394" s="10"/>
      <c r="E394" s="10"/>
    </row>
    <row r="395" spans="1:5" ht="21.75" customHeight="1">
      <c r="A395" s="10"/>
      <c r="B395" s="10"/>
      <c r="C395" s="10"/>
      <c r="D395" s="10"/>
      <c r="E395" s="10"/>
    </row>
    <row r="396" spans="1:5" ht="21.75" customHeight="1">
      <c r="A396" s="10"/>
      <c r="B396" s="10"/>
      <c r="C396" s="10"/>
      <c r="D396" s="10"/>
      <c r="E396" s="10"/>
    </row>
    <row r="397" spans="1:5" ht="21.75" customHeight="1">
      <c r="A397" s="10"/>
      <c r="B397" s="10"/>
      <c r="C397" s="10"/>
      <c r="D397" s="10"/>
      <c r="E397" s="10"/>
    </row>
    <row r="398" spans="1:5" ht="21.75" customHeight="1">
      <c r="A398" s="10"/>
      <c r="B398" s="10"/>
      <c r="C398" s="10"/>
      <c r="D398" s="10"/>
      <c r="E398" s="10"/>
    </row>
    <row r="399" spans="1:5" ht="21.75" customHeight="1">
      <c r="A399" s="10"/>
      <c r="B399" s="10"/>
      <c r="C399" s="10"/>
      <c r="D399" s="10"/>
      <c r="E399" s="10"/>
    </row>
    <row r="400" spans="1:5" ht="21.75" customHeight="1">
      <c r="A400" s="10"/>
      <c r="B400" s="10"/>
      <c r="C400" s="10"/>
      <c r="D400" s="10"/>
      <c r="E400" s="10"/>
    </row>
    <row r="401" spans="1:5" ht="21.75" customHeight="1">
      <c r="A401" s="10"/>
      <c r="B401" s="10"/>
      <c r="C401" s="10"/>
      <c r="D401" s="10"/>
      <c r="E401" s="10"/>
    </row>
    <row r="402" spans="1:5" ht="21.75" customHeight="1">
      <c r="A402" s="10"/>
      <c r="B402" s="10"/>
      <c r="C402" s="10"/>
      <c r="D402" s="10"/>
      <c r="E402" s="10"/>
    </row>
    <row r="403" spans="1:5" ht="21.75" customHeight="1">
      <c r="A403" s="10"/>
      <c r="B403" s="10"/>
      <c r="C403" s="10"/>
      <c r="D403" s="10"/>
      <c r="E403" s="10"/>
    </row>
    <row r="404" spans="1:5" ht="21.75" customHeight="1">
      <c r="A404" s="10"/>
      <c r="B404" s="10"/>
      <c r="C404" s="10"/>
      <c r="D404" s="10"/>
      <c r="E404" s="10"/>
    </row>
    <row r="405" spans="1:5" ht="21.75" customHeight="1">
      <c r="A405" s="10"/>
      <c r="B405" s="10"/>
      <c r="C405" s="10"/>
      <c r="D405" s="10"/>
      <c r="E405" s="10"/>
    </row>
    <row r="406" spans="1:5" ht="21.75" customHeight="1">
      <c r="A406" s="10"/>
      <c r="B406" s="10"/>
      <c r="C406" s="10"/>
      <c r="D406" s="10"/>
      <c r="E406" s="10"/>
    </row>
    <row r="407" spans="1:5" ht="21.75" customHeight="1">
      <c r="A407" s="10"/>
      <c r="B407" s="10"/>
      <c r="C407" s="10"/>
      <c r="D407" s="10"/>
      <c r="E407" s="10"/>
    </row>
    <row r="408" spans="1:5" ht="21.75" customHeight="1">
      <c r="A408" s="10"/>
      <c r="B408" s="10"/>
      <c r="C408" s="10"/>
      <c r="D408" s="10"/>
      <c r="E408" s="10"/>
    </row>
    <row r="409" spans="1:5" ht="21.75" customHeight="1">
      <c r="A409" s="10"/>
      <c r="B409" s="10"/>
      <c r="C409" s="10"/>
      <c r="D409" s="10"/>
      <c r="E409" s="10"/>
    </row>
    <row r="410" spans="1:5" ht="21.75" customHeight="1">
      <c r="A410" s="10"/>
      <c r="B410" s="10"/>
      <c r="C410" s="10"/>
      <c r="D410" s="10"/>
      <c r="E410" s="10"/>
    </row>
    <row r="411" spans="1:5" ht="21.75" customHeight="1">
      <c r="A411" s="10"/>
      <c r="B411" s="10"/>
      <c r="C411" s="10"/>
      <c r="D411" s="10"/>
      <c r="E411" s="10"/>
    </row>
    <row r="412" spans="1:5" ht="21.75" customHeight="1">
      <c r="A412" s="10"/>
      <c r="B412" s="10"/>
      <c r="C412" s="10"/>
      <c r="D412" s="10"/>
      <c r="E412" s="10"/>
    </row>
    <row r="413" spans="1:5" ht="21.75" customHeight="1">
      <c r="A413" s="10"/>
      <c r="B413" s="10"/>
      <c r="C413" s="10"/>
      <c r="D413" s="10"/>
      <c r="E413" s="10"/>
    </row>
    <row r="414" spans="1:5" ht="21.75" customHeight="1">
      <c r="A414" s="10"/>
      <c r="B414" s="10"/>
      <c r="C414" s="10"/>
      <c r="D414" s="10"/>
      <c r="E414" s="10"/>
    </row>
    <row r="415" spans="1:5" ht="21.75" customHeight="1">
      <c r="A415" s="10"/>
      <c r="B415" s="10"/>
      <c r="C415" s="10"/>
      <c r="D415" s="10"/>
      <c r="E415" s="10"/>
    </row>
    <row r="416" spans="1:5" ht="21.75" customHeight="1">
      <c r="A416" s="10"/>
      <c r="B416" s="10"/>
      <c r="C416" s="10"/>
      <c r="D416" s="10"/>
      <c r="E416" s="10"/>
    </row>
    <row r="417" spans="1:5" ht="21.75" customHeight="1">
      <c r="A417" s="10"/>
      <c r="B417" s="10"/>
      <c r="C417" s="10"/>
      <c r="D417" s="10"/>
      <c r="E417" s="10"/>
    </row>
    <row r="418" spans="1:5" ht="21.75" customHeight="1">
      <c r="A418" s="10"/>
      <c r="B418" s="10"/>
      <c r="C418" s="10"/>
      <c r="D418" s="10"/>
      <c r="E418" s="10"/>
    </row>
    <row r="419" spans="1:5" ht="21.75" customHeight="1">
      <c r="A419" s="10"/>
      <c r="B419" s="10"/>
      <c r="C419" s="10"/>
      <c r="D419" s="10"/>
      <c r="E419" s="10"/>
    </row>
    <row r="420" spans="1:5" ht="21.75" customHeight="1">
      <c r="A420" s="10"/>
      <c r="B420" s="10"/>
      <c r="C420" s="10"/>
      <c r="D420" s="10"/>
      <c r="E420" s="10"/>
    </row>
    <row r="421" spans="1:5" ht="21.75" customHeight="1">
      <c r="A421" s="10"/>
      <c r="B421" s="10"/>
      <c r="C421" s="10"/>
      <c r="D421" s="10"/>
      <c r="E421" s="10"/>
    </row>
    <row r="422" spans="1:5" ht="21.75" customHeight="1">
      <c r="A422" s="10"/>
      <c r="B422" s="10"/>
      <c r="C422" s="10"/>
      <c r="D422" s="10"/>
      <c r="E422" s="10"/>
    </row>
    <row r="423" spans="1:5" ht="21.75" customHeight="1">
      <c r="A423" s="10"/>
      <c r="B423" s="10"/>
      <c r="C423" s="10"/>
      <c r="D423" s="10"/>
      <c r="E423" s="10"/>
    </row>
    <row r="424" spans="1:5" ht="21.75" customHeight="1">
      <c r="A424" s="10"/>
      <c r="B424" s="10"/>
      <c r="C424" s="10"/>
      <c r="D424" s="10"/>
      <c r="E424" s="10"/>
    </row>
    <row r="425" spans="1:5" ht="21.75" customHeight="1">
      <c r="A425" s="10"/>
      <c r="B425" s="10"/>
      <c r="C425" s="10"/>
      <c r="D425" s="10"/>
      <c r="E425" s="10"/>
    </row>
    <row r="426" spans="1:5" ht="21.75" customHeight="1">
      <c r="A426" s="10"/>
      <c r="B426" s="10"/>
      <c r="C426" s="10"/>
      <c r="D426" s="10"/>
      <c r="E426" s="10"/>
    </row>
    <row r="427" spans="1:5" ht="21.75" customHeight="1">
      <c r="A427" s="10"/>
      <c r="B427" s="10"/>
      <c r="C427" s="10"/>
      <c r="D427" s="10"/>
      <c r="E427" s="10"/>
    </row>
    <row r="428" spans="1:5" ht="21.75" customHeight="1">
      <c r="A428" s="10"/>
      <c r="B428" s="10"/>
      <c r="C428" s="10"/>
      <c r="D428" s="10"/>
      <c r="E428" s="10"/>
    </row>
    <row r="429" spans="1:5" ht="21.75" customHeight="1">
      <c r="A429" s="10"/>
      <c r="B429" s="10"/>
      <c r="C429" s="10"/>
      <c r="D429" s="10"/>
      <c r="E429" s="10"/>
    </row>
    <row r="430" spans="1:5" ht="21.75" customHeight="1">
      <c r="A430" s="10"/>
      <c r="B430" s="10"/>
      <c r="C430" s="10"/>
      <c r="D430" s="10"/>
      <c r="E430" s="10"/>
    </row>
    <row r="431" spans="1:5" ht="21.75" customHeight="1">
      <c r="A431" s="10"/>
      <c r="B431" s="10"/>
      <c r="C431" s="10"/>
      <c r="D431" s="10"/>
      <c r="E431" s="10"/>
    </row>
    <row r="432" spans="1:5" ht="21.75" customHeight="1">
      <c r="A432" s="10"/>
      <c r="B432" s="10"/>
      <c r="C432" s="10"/>
      <c r="D432" s="10"/>
      <c r="E432" s="10"/>
    </row>
    <row r="433" spans="1:5" ht="21.75" customHeight="1">
      <c r="A433" s="10"/>
      <c r="B433" s="10"/>
      <c r="C433" s="10"/>
      <c r="D433" s="10"/>
      <c r="E433" s="10"/>
    </row>
    <row r="434" spans="1:5" ht="21.75" customHeight="1">
      <c r="A434" s="10"/>
      <c r="B434" s="10"/>
      <c r="C434" s="10"/>
      <c r="D434" s="10"/>
      <c r="E434" s="10"/>
    </row>
    <row r="435" spans="1:5" ht="21.75" customHeight="1">
      <c r="A435" s="10"/>
      <c r="B435" s="10"/>
      <c r="C435" s="10"/>
      <c r="D435" s="10"/>
      <c r="E435" s="10"/>
    </row>
    <row r="436" spans="1:5" ht="21.75" customHeight="1">
      <c r="A436" s="10"/>
      <c r="B436" s="10"/>
      <c r="C436" s="10"/>
      <c r="D436" s="10"/>
      <c r="E436" s="10"/>
    </row>
    <row r="437" spans="1:5" ht="21.75" customHeight="1">
      <c r="A437" s="10"/>
      <c r="B437" s="10"/>
      <c r="C437" s="10"/>
      <c r="D437" s="10"/>
      <c r="E437" s="10"/>
    </row>
    <row r="438" spans="1:5" ht="21.75" customHeight="1">
      <c r="A438" s="10"/>
      <c r="B438" s="10"/>
      <c r="C438" s="10"/>
      <c r="D438" s="10"/>
      <c r="E438" s="10"/>
    </row>
    <row r="439" spans="1:5" ht="21.75" customHeight="1">
      <c r="A439" s="10"/>
      <c r="B439" s="10"/>
      <c r="C439" s="10"/>
      <c r="D439" s="10"/>
      <c r="E439" s="10"/>
    </row>
    <row r="440" spans="1:5" ht="21.75" customHeight="1">
      <c r="A440" s="10"/>
      <c r="B440" s="10"/>
      <c r="C440" s="10"/>
      <c r="D440" s="10"/>
      <c r="E440" s="10"/>
    </row>
    <row r="441" spans="1:5" ht="21.75" customHeight="1">
      <c r="A441" s="10"/>
      <c r="B441" s="10"/>
      <c r="C441" s="10"/>
      <c r="D441" s="10"/>
      <c r="E441" s="10"/>
    </row>
    <row r="442" spans="1:5" ht="21.75" customHeight="1">
      <c r="A442" s="10"/>
      <c r="B442" s="10"/>
      <c r="C442" s="10"/>
      <c r="D442" s="10"/>
      <c r="E442" s="10"/>
    </row>
    <row r="443" spans="1:5" ht="21.75" customHeight="1">
      <c r="A443" s="10"/>
      <c r="B443" s="10"/>
      <c r="C443" s="10"/>
      <c r="D443" s="10"/>
      <c r="E443" s="10"/>
    </row>
    <row r="444" spans="1:5" ht="21.75" customHeight="1">
      <c r="A444" s="10"/>
      <c r="B444" s="10"/>
      <c r="C444" s="10"/>
      <c r="D444" s="10"/>
      <c r="E444" s="10"/>
    </row>
    <row r="445" spans="1:5" ht="21.75" customHeight="1">
      <c r="A445" s="10"/>
      <c r="B445" s="10"/>
      <c r="C445" s="10"/>
      <c r="D445" s="10"/>
      <c r="E445" s="10"/>
    </row>
    <row r="446" spans="1:5" ht="21.75" customHeight="1">
      <c r="A446" s="10"/>
      <c r="B446" s="10"/>
      <c r="C446" s="10"/>
      <c r="D446" s="10"/>
      <c r="E446" s="10"/>
    </row>
    <row r="447" spans="1:5" ht="21.75" customHeight="1">
      <c r="A447" s="10"/>
      <c r="B447" s="10"/>
      <c r="C447" s="10"/>
      <c r="D447" s="10"/>
      <c r="E447" s="10"/>
    </row>
    <row r="448" spans="1:5" ht="21.75" customHeight="1">
      <c r="A448" s="10"/>
      <c r="B448" s="10"/>
      <c r="C448" s="10"/>
      <c r="D448" s="10"/>
      <c r="E448" s="10"/>
    </row>
    <row r="449" spans="1:5" ht="21.75" customHeight="1">
      <c r="A449" s="10"/>
      <c r="B449" s="10"/>
      <c r="C449" s="10"/>
      <c r="D449" s="10"/>
      <c r="E449" s="10"/>
    </row>
    <row r="450" spans="1:5" ht="21.75" customHeight="1">
      <c r="A450" s="10"/>
      <c r="B450" s="10"/>
      <c r="C450" s="10"/>
      <c r="D450" s="10"/>
      <c r="E450" s="10"/>
    </row>
    <row r="451" spans="1:5" ht="21.75" customHeight="1">
      <c r="A451" s="10"/>
      <c r="B451" s="10"/>
      <c r="C451" s="10"/>
      <c r="D451" s="10"/>
      <c r="E451" s="10"/>
    </row>
    <row r="452" spans="1:5" ht="21.75" customHeight="1">
      <c r="A452" s="10"/>
      <c r="B452" s="10"/>
      <c r="C452" s="10"/>
      <c r="D452" s="10"/>
      <c r="E452" s="10"/>
    </row>
    <row r="453" spans="1:5" ht="21.75" customHeight="1">
      <c r="A453" s="10"/>
      <c r="B453" s="10"/>
      <c r="C453" s="10"/>
      <c r="D453" s="10"/>
      <c r="E453" s="10"/>
    </row>
    <row r="454" spans="1:5" ht="21.75" customHeight="1">
      <c r="A454" s="10"/>
      <c r="B454" s="10"/>
      <c r="C454" s="10"/>
      <c r="D454" s="10"/>
      <c r="E454" s="10"/>
    </row>
    <row r="455" spans="1:5" ht="21.75" customHeight="1">
      <c r="A455" s="10"/>
      <c r="B455" s="10"/>
      <c r="C455" s="10"/>
      <c r="D455" s="10"/>
      <c r="E455" s="10"/>
    </row>
    <row r="456" spans="1:5" ht="21.75" customHeight="1">
      <c r="A456" s="10"/>
      <c r="B456" s="10"/>
      <c r="C456" s="10"/>
      <c r="D456" s="10"/>
      <c r="E456" s="10"/>
    </row>
    <row r="457" spans="1:5" ht="21.75" customHeight="1">
      <c r="A457" s="10"/>
      <c r="B457" s="10"/>
      <c r="C457" s="10"/>
      <c r="D457" s="10"/>
      <c r="E457" s="10"/>
    </row>
    <row r="458" spans="1:5" ht="21.75" customHeight="1">
      <c r="A458" s="10"/>
      <c r="B458" s="10"/>
      <c r="C458" s="10"/>
      <c r="D458" s="10"/>
      <c r="E458" s="10"/>
    </row>
    <row r="459" spans="1:5" ht="21.75" customHeight="1">
      <c r="A459" s="10"/>
      <c r="B459" s="10"/>
      <c r="C459" s="10"/>
      <c r="D459" s="10"/>
      <c r="E459" s="10"/>
    </row>
    <row r="460" spans="1:5" ht="21.75" customHeight="1">
      <c r="A460" s="10"/>
      <c r="B460" s="10"/>
      <c r="C460" s="10"/>
      <c r="D460" s="10"/>
      <c r="E460" s="10"/>
    </row>
    <row r="461" spans="1:5" ht="21.75" customHeight="1">
      <c r="A461" s="10"/>
      <c r="B461" s="10"/>
      <c r="C461" s="10"/>
      <c r="D461" s="10"/>
      <c r="E461" s="10"/>
    </row>
    <row r="462" spans="1:5" ht="21.75" customHeight="1">
      <c r="A462" s="10"/>
      <c r="B462" s="10"/>
      <c r="C462" s="10"/>
      <c r="D462" s="10"/>
      <c r="E462" s="10"/>
    </row>
    <row r="463" spans="1:5" ht="21.75" customHeight="1">
      <c r="A463" s="10"/>
      <c r="B463" s="10"/>
      <c r="C463" s="10"/>
      <c r="D463" s="10"/>
      <c r="E463" s="10"/>
    </row>
    <row r="464" spans="1:5" ht="21.75" customHeight="1">
      <c r="A464" s="10"/>
      <c r="B464" s="10"/>
      <c r="C464" s="10"/>
      <c r="D464" s="10"/>
      <c r="E464" s="10"/>
    </row>
    <row r="465" spans="1:5" ht="21.75" customHeight="1">
      <c r="A465" s="10"/>
      <c r="B465" s="10"/>
      <c r="C465" s="10"/>
      <c r="D465" s="10"/>
      <c r="E465" s="10"/>
    </row>
    <row r="466" spans="1:5" ht="21.75" customHeight="1">
      <c r="A466" s="10"/>
      <c r="B466" s="10"/>
      <c r="C466" s="10"/>
      <c r="D466" s="10"/>
      <c r="E466" s="10"/>
    </row>
    <row r="467" spans="1:5" ht="21.75" customHeight="1">
      <c r="A467" s="10"/>
      <c r="B467" s="10"/>
      <c r="C467" s="10"/>
      <c r="D467" s="10"/>
      <c r="E467" s="10"/>
    </row>
    <row r="468" spans="1:5" ht="21.75" customHeight="1">
      <c r="A468" s="10"/>
      <c r="B468" s="10"/>
      <c r="C468" s="10"/>
      <c r="D468" s="10"/>
      <c r="E468" s="10"/>
    </row>
    <row r="469" spans="1:5" ht="21.75" customHeight="1">
      <c r="A469" s="10"/>
      <c r="B469" s="10"/>
      <c r="C469" s="10"/>
      <c r="D469" s="10"/>
      <c r="E469" s="10"/>
    </row>
    <row r="470" spans="1:5" ht="21.75" customHeight="1">
      <c r="A470" s="10"/>
      <c r="B470" s="10"/>
      <c r="C470" s="10"/>
      <c r="D470" s="10"/>
      <c r="E470" s="10"/>
    </row>
    <row r="471" spans="1:5" ht="21.75" customHeight="1">
      <c r="A471" s="10"/>
      <c r="B471" s="10"/>
      <c r="C471" s="10"/>
      <c r="D471" s="10"/>
      <c r="E471" s="10"/>
    </row>
    <row r="472" spans="1:5" ht="21.75" customHeight="1">
      <c r="A472" s="10"/>
      <c r="B472" s="10"/>
      <c r="C472" s="10"/>
      <c r="D472" s="10"/>
      <c r="E472" s="10"/>
    </row>
    <row r="473" spans="1:5" ht="21.75" customHeight="1">
      <c r="A473" s="10"/>
      <c r="B473" s="10"/>
      <c r="C473" s="10"/>
      <c r="D473" s="10"/>
      <c r="E473" s="10"/>
    </row>
    <row r="474" spans="1:5" ht="21.75" customHeight="1">
      <c r="A474" s="10"/>
      <c r="B474" s="10"/>
      <c r="C474" s="10"/>
      <c r="D474" s="10"/>
      <c r="E474" s="10"/>
    </row>
    <row r="475" spans="1:5" ht="21.75" customHeight="1">
      <c r="A475" s="10"/>
      <c r="B475" s="10"/>
      <c r="C475" s="10"/>
      <c r="D475" s="10"/>
      <c r="E475" s="10"/>
    </row>
    <row r="476" spans="1:5" ht="21.75" customHeight="1">
      <c r="A476" s="10"/>
      <c r="B476" s="10"/>
      <c r="C476" s="10"/>
      <c r="D476" s="10"/>
      <c r="E476" s="10"/>
    </row>
    <row r="477" spans="1:5" ht="21.75" customHeight="1">
      <c r="A477" s="10"/>
      <c r="B477" s="10"/>
      <c r="C477" s="10"/>
      <c r="D477" s="10"/>
      <c r="E477" s="10"/>
    </row>
    <row r="478" spans="1:5" ht="21.75" customHeight="1">
      <c r="A478" s="10"/>
      <c r="B478" s="10"/>
      <c r="C478" s="10"/>
      <c r="D478" s="10"/>
      <c r="E478" s="10"/>
    </row>
    <row r="479" spans="1:5" ht="21.75" customHeight="1">
      <c r="A479" s="10"/>
      <c r="B479" s="10"/>
      <c r="C479" s="10"/>
      <c r="D479" s="10"/>
      <c r="E479" s="10"/>
    </row>
    <row r="480" spans="1:5" ht="21.75" customHeight="1">
      <c r="A480" s="10"/>
      <c r="B480" s="10"/>
      <c r="C480" s="10"/>
      <c r="D480" s="10"/>
      <c r="E480" s="10"/>
    </row>
    <row r="481" spans="1:5" ht="21.75" customHeight="1">
      <c r="A481" s="10"/>
      <c r="B481" s="10"/>
      <c r="C481" s="10"/>
      <c r="D481" s="10"/>
      <c r="E481" s="10"/>
    </row>
    <row r="482" spans="1:5" ht="21.75" customHeight="1">
      <c r="A482" s="10"/>
      <c r="B482" s="10"/>
      <c r="C482" s="10"/>
      <c r="D482" s="10"/>
      <c r="E482" s="10"/>
    </row>
    <row r="483" spans="1:5" ht="21.75" customHeight="1">
      <c r="A483" s="10"/>
      <c r="B483" s="10"/>
      <c r="C483" s="10"/>
      <c r="D483" s="10"/>
      <c r="E483" s="10"/>
    </row>
    <row r="484" spans="1:5" ht="21.75" customHeight="1">
      <c r="A484" s="10"/>
      <c r="B484" s="10"/>
      <c r="C484" s="10"/>
      <c r="D484" s="10"/>
      <c r="E484" s="10"/>
    </row>
    <row r="485" spans="1:5" ht="21.75" customHeight="1">
      <c r="A485" s="10"/>
      <c r="B485" s="10"/>
      <c r="C485" s="10"/>
      <c r="D485" s="10"/>
      <c r="E485" s="10"/>
    </row>
    <row r="486" spans="1:5" ht="21.75" customHeight="1">
      <c r="A486" s="10"/>
      <c r="B486" s="10"/>
      <c r="C486" s="10"/>
      <c r="D486" s="10"/>
      <c r="E486" s="10"/>
    </row>
    <row r="487" spans="1:5" ht="21.75" customHeight="1">
      <c r="A487" s="10"/>
      <c r="B487" s="10"/>
      <c r="C487" s="10"/>
      <c r="D487" s="10"/>
      <c r="E487" s="10"/>
    </row>
    <row r="488" spans="1:5" ht="21.75" customHeight="1">
      <c r="A488" s="10"/>
      <c r="B488" s="10"/>
      <c r="C488" s="10"/>
      <c r="D488" s="10"/>
      <c r="E488" s="10"/>
    </row>
    <row r="489" spans="1:5" ht="21.75" customHeight="1">
      <c r="A489" s="10"/>
      <c r="B489" s="10"/>
      <c r="C489" s="10"/>
      <c r="D489" s="10"/>
      <c r="E489" s="10"/>
    </row>
    <row r="490" spans="1:5" ht="21.75" customHeight="1">
      <c r="A490" s="10"/>
      <c r="B490" s="10"/>
      <c r="C490" s="10"/>
      <c r="D490" s="10"/>
      <c r="E490" s="10"/>
    </row>
    <row r="491" spans="1:5" ht="21.75" customHeight="1">
      <c r="A491" s="10"/>
      <c r="B491" s="10"/>
      <c r="C491" s="10"/>
      <c r="D491" s="10"/>
      <c r="E491" s="10"/>
    </row>
    <row r="492" spans="1:5" ht="21.75" customHeight="1">
      <c r="A492" s="10"/>
      <c r="B492" s="10"/>
      <c r="C492" s="10"/>
      <c r="D492" s="10"/>
      <c r="E492" s="10"/>
    </row>
    <row r="493" spans="1:5" ht="21.75" customHeight="1">
      <c r="A493" s="10"/>
      <c r="B493" s="10"/>
      <c r="C493" s="10"/>
      <c r="D493" s="10"/>
      <c r="E493" s="10"/>
    </row>
    <row r="494" spans="1:5" ht="21.75" customHeight="1">
      <c r="A494" s="10"/>
      <c r="B494" s="10"/>
      <c r="C494" s="10"/>
      <c r="D494" s="10"/>
      <c r="E494" s="10"/>
    </row>
    <row r="495" spans="1:5" ht="21.75" customHeight="1">
      <c r="A495" s="10"/>
      <c r="B495" s="10"/>
      <c r="C495" s="10"/>
      <c r="D495" s="10"/>
      <c r="E495" s="10"/>
    </row>
    <row r="496" spans="1:5" ht="21.75" customHeight="1">
      <c r="A496" s="10"/>
      <c r="B496" s="10"/>
      <c r="C496" s="10"/>
      <c r="D496" s="10"/>
      <c r="E496" s="10"/>
    </row>
    <row r="497" spans="1:5" ht="21.75" customHeight="1">
      <c r="A497" s="10"/>
      <c r="B497" s="10"/>
      <c r="C497" s="10"/>
      <c r="D497" s="10"/>
      <c r="E497" s="10"/>
    </row>
    <row r="498" spans="1:5" ht="21.75" customHeight="1">
      <c r="A498" s="10"/>
      <c r="B498" s="10"/>
      <c r="C498" s="10"/>
      <c r="D498" s="10"/>
      <c r="E498" s="10"/>
    </row>
    <row r="499" spans="1:5" ht="21.75" customHeight="1">
      <c r="A499" s="10"/>
      <c r="B499" s="10"/>
      <c r="C499" s="10"/>
      <c r="D499" s="10"/>
      <c r="E499" s="10"/>
    </row>
    <row r="500" spans="1:5" ht="21.75" customHeight="1">
      <c r="A500" s="10"/>
      <c r="B500" s="10"/>
      <c r="C500" s="10"/>
      <c r="D500" s="10"/>
      <c r="E500" s="10"/>
    </row>
    <row r="501" spans="1:5" ht="21.75" customHeight="1">
      <c r="A501" s="10"/>
      <c r="B501" s="10"/>
      <c r="C501" s="10"/>
      <c r="D501" s="10"/>
      <c r="E501" s="10"/>
    </row>
    <row r="502" spans="1:5" ht="21.75" customHeight="1">
      <c r="A502" s="10"/>
      <c r="B502" s="10"/>
      <c r="C502" s="10"/>
      <c r="D502" s="10"/>
      <c r="E502" s="10"/>
    </row>
    <row r="503" spans="1:5" ht="21.75" customHeight="1">
      <c r="A503" s="10"/>
      <c r="B503" s="10"/>
      <c r="C503" s="10"/>
      <c r="D503" s="10"/>
      <c r="E503" s="10"/>
    </row>
    <row r="504" spans="1:5" ht="21.75" customHeight="1">
      <c r="A504" s="10"/>
      <c r="B504" s="10"/>
      <c r="C504" s="10"/>
      <c r="D504" s="10"/>
      <c r="E504" s="10"/>
    </row>
    <row r="505" spans="1:5" ht="21.75" customHeight="1">
      <c r="A505" s="10"/>
      <c r="B505" s="10"/>
      <c r="C505" s="10"/>
      <c r="D505" s="10"/>
      <c r="E505" s="10"/>
    </row>
    <row r="506" spans="1:5" ht="21.75" customHeight="1">
      <c r="A506" s="10"/>
      <c r="B506" s="10"/>
      <c r="C506" s="10"/>
      <c r="D506" s="10"/>
      <c r="E506" s="10"/>
    </row>
    <row r="507" spans="1:5" ht="21.75" customHeight="1">
      <c r="A507" s="10"/>
      <c r="B507" s="10"/>
      <c r="C507" s="10"/>
      <c r="D507" s="10"/>
      <c r="E507" s="10"/>
    </row>
    <row r="508" spans="1:5" ht="21.75" customHeight="1">
      <c r="A508" s="10"/>
      <c r="B508" s="10"/>
      <c r="C508" s="10"/>
      <c r="D508" s="10"/>
      <c r="E508" s="10"/>
    </row>
    <row r="509" spans="1:5" ht="21.75" customHeight="1">
      <c r="A509" s="10"/>
      <c r="B509" s="10"/>
      <c r="C509" s="10"/>
      <c r="D509" s="10"/>
      <c r="E509" s="10"/>
    </row>
    <row r="510" spans="1:5" ht="21.75" customHeight="1">
      <c r="A510" s="10"/>
      <c r="B510" s="10"/>
      <c r="C510" s="10"/>
      <c r="D510" s="10"/>
      <c r="E510" s="10"/>
    </row>
    <row r="511" spans="1:5" ht="21.75" customHeight="1">
      <c r="A511" s="10"/>
      <c r="B511" s="10"/>
      <c r="C511" s="10"/>
      <c r="D511" s="10"/>
      <c r="E511" s="10"/>
    </row>
    <row r="512" spans="1:5" ht="21.75" customHeight="1">
      <c r="A512" s="10"/>
      <c r="B512" s="10"/>
      <c r="C512" s="10"/>
      <c r="D512" s="10"/>
      <c r="E512" s="10"/>
    </row>
    <row r="513" spans="1:5" ht="21.75" customHeight="1">
      <c r="A513" s="10"/>
      <c r="B513" s="10"/>
      <c r="C513" s="10"/>
      <c r="D513" s="10"/>
      <c r="E513" s="10"/>
    </row>
    <row r="514" spans="1:5" ht="21.75" customHeight="1">
      <c r="A514" s="10"/>
      <c r="B514" s="10"/>
      <c r="C514" s="10"/>
      <c r="D514" s="10"/>
      <c r="E514" s="10"/>
    </row>
    <row r="515" spans="1:5" ht="21.75" customHeight="1">
      <c r="A515" s="10"/>
      <c r="B515" s="10"/>
      <c r="C515" s="10"/>
      <c r="D515" s="10"/>
      <c r="E515" s="10"/>
    </row>
    <row r="516" spans="1:5" ht="21.75" customHeight="1">
      <c r="A516" s="10"/>
      <c r="B516" s="10"/>
      <c r="C516" s="10"/>
      <c r="D516" s="10"/>
      <c r="E516" s="10"/>
    </row>
    <row r="517" spans="1:5" ht="21.75" customHeight="1">
      <c r="A517" s="10"/>
      <c r="B517" s="10"/>
      <c r="C517" s="10"/>
      <c r="D517" s="10"/>
      <c r="E517" s="10"/>
    </row>
    <row r="518" spans="1:5" ht="21.75" customHeight="1">
      <c r="A518" s="10"/>
      <c r="B518" s="10"/>
      <c r="C518" s="10"/>
      <c r="D518" s="10"/>
      <c r="E518" s="10"/>
    </row>
    <row r="519" spans="1:5" ht="21.75" customHeight="1">
      <c r="A519" s="10"/>
      <c r="B519" s="10"/>
      <c r="C519" s="10"/>
      <c r="D519" s="10"/>
      <c r="E519" s="10"/>
    </row>
    <row r="520" spans="1:5" ht="21.75" customHeight="1">
      <c r="A520" s="10"/>
      <c r="B520" s="10"/>
      <c r="C520" s="10"/>
      <c r="D520" s="10"/>
      <c r="E520" s="10"/>
    </row>
    <row r="521" spans="1:5" ht="21.75" customHeight="1">
      <c r="A521" s="10"/>
      <c r="B521" s="10"/>
      <c r="C521" s="10"/>
      <c r="D521" s="10"/>
      <c r="E521" s="10"/>
    </row>
    <row r="522" spans="1:5" ht="21.75" customHeight="1">
      <c r="A522" s="10"/>
      <c r="B522" s="10"/>
      <c r="C522" s="10"/>
      <c r="D522" s="10"/>
      <c r="E522" s="10"/>
    </row>
    <row r="523" spans="1:5" ht="21.75" customHeight="1">
      <c r="A523" s="10"/>
      <c r="B523" s="10"/>
      <c r="C523" s="10"/>
      <c r="D523" s="10"/>
      <c r="E523" s="10"/>
    </row>
    <row r="524" spans="1:5" ht="21.75" customHeight="1">
      <c r="A524" s="10"/>
      <c r="B524" s="10"/>
      <c r="C524" s="10"/>
      <c r="D524" s="10"/>
      <c r="E524" s="10"/>
    </row>
    <row r="525" spans="1:5" ht="21.75" customHeight="1">
      <c r="A525" s="10"/>
      <c r="B525" s="10"/>
      <c r="C525" s="10"/>
      <c r="D525" s="10"/>
      <c r="E525" s="10"/>
    </row>
    <row r="526" spans="1:5" ht="21.75" customHeight="1">
      <c r="A526" s="10"/>
      <c r="B526" s="10"/>
      <c r="C526" s="10"/>
      <c r="D526" s="10"/>
      <c r="E526" s="10"/>
    </row>
    <row r="527" spans="1:5" ht="21.75" customHeight="1">
      <c r="A527" s="10"/>
      <c r="B527" s="10"/>
      <c r="C527" s="10"/>
      <c r="D527" s="10"/>
      <c r="E527" s="10"/>
    </row>
    <row r="528" spans="1:5" ht="21.75" customHeight="1">
      <c r="A528" s="10"/>
      <c r="B528" s="10"/>
      <c r="C528" s="10"/>
      <c r="D528" s="10"/>
      <c r="E528" s="10"/>
    </row>
    <row r="529" spans="1:5" ht="21.75" customHeight="1">
      <c r="A529" s="10"/>
      <c r="B529" s="10"/>
      <c r="C529" s="10"/>
      <c r="D529" s="10"/>
      <c r="E529" s="10"/>
    </row>
    <row r="530" spans="1:5" ht="21.75" customHeight="1">
      <c r="A530" s="10"/>
      <c r="B530" s="10"/>
      <c r="C530" s="10"/>
      <c r="D530" s="10"/>
      <c r="E530" s="10"/>
    </row>
    <row r="531" spans="1:5" ht="21.75" customHeight="1">
      <c r="A531" s="10"/>
      <c r="B531" s="10"/>
      <c r="C531" s="10"/>
      <c r="D531" s="10"/>
      <c r="E531" s="10"/>
    </row>
    <row r="532" spans="1:5" ht="21.75" customHeight="1">
      <c r="A532" s="10"/>
      <c r="B532" s="10"/>
      <c r="C532" s="10"/>
      <c r="D532" s="10"/>
      <c r="E532" s="10"/>
    </row>
    <row r="533" spans="1:5" ht="21.75" customHeight="1">
      <c r="A533" s="10"/>
      <c r="B533" s="10"/>
      <c r="C533" s="10"/>
      <c r="D533" s="10"/>
      <c r="E533" s="10"/>
    </row>
    <row r="534" spans="1:5" ht="21.75" customHeight="1">
      <c r="A534" s="10"/>
      <c r="B534" s="10"/>
      <c r="C534" s="10"/>
      <c r="D534" s="10"/>
      <c r="E534" s="10"/>
    </row>
    <row r="535" spans="1:5" ht="21.75" customHeight="1">
      <c r="A535" s="10"/>
      <c r="B535" s="10"/>
      <c r="C535" s="10"/>
      <c r="D535" s="10"/>
      <c r="E535" s="10"/>
    </row>
    <row r="536" spans="1:5" ht="21.75" customHeight="1">
      <c r="A536" s="10"/>
      <c r="B536" s="10"/>
      <c r="C536" s="10"/>
      <c r="D536" s="10"/>
      <c r="E536" s="10"/>
    </row>
    <row r="537" spans="1:5" ht="21.75" customHeight="1">
      <c r="A537" s="10"/>
      <c r="B537" s="10"/>
      <c r="C537" s="10"/>
      <c r="D537" s="10"/>
      <c r="E537" s="10"/>
    </row>
    <row r="538" spans="1:5" ht="21.75" customHeight="1">
      <c r="A538" s="10"/>
      <c r="B538" s="10"/>
      <c r="C538" s="10"/>
      <c r="D538" s="10"/>
      <c r="E538" s="10"/>
    </row>
    <row r="539" spans="1:5" ht="21.75" customHeight="1">
      <c r="A539" s="10"/>
      <c r="B539" s="10"/>
      <c r="C539" s="10"/>
      <c r="D539" s="10"/>
      <c r="E539" s="10"/>
    </row>
    <row r="540" spans="1:5" ht="21.75" customHeight="1">
      <c r="A540" s="10"/>
      <c r="B540" s="10"/>
      <c r="C540" s="10"/>
      <c r="D540" s="10"/>
      <c r="E540" s="10"/>
    </row>
    <row r="541" spans="1:5" ht="21.75" customHeight="1">
      <c r="A541" s="10"/>
      <c r="B541" s="10"/>
      <c r="C541" s="10"/>
      <c r="D541" s="10"/>
      <c r="E541" s="10"/>
    </row>
    <row r="542" spans="1:5" ht="21.75" customHeight="1">
      <c r="A542" s="10"/>
      <c r="B542" s="10"/>
      <c r="C542" s="10"/>
      <c r="D542" s="10"/>
      <c r="E542" s="10"/>
    </row>
    <row r="543" spans="1:5" ht="21.75" customHeight="1">
      <c r="A543" s="10"/>
      <c r="B543" s="10"/>
      <c r="C543" s="10"/>
      <c r="D543" s="10"/>
      <c r="E543" s="10"/>
    </row>
    <row r="544" spans="1:5" ht="21.75" customHeight="1">
      <c r="A544" s="10"/>
      <c r="B544" s="10"/>
      <c r="C544" s="10"/>
      <c r="D544" s="10"/>
      <c r="E544" s="10"/>
    </row>
    <row r="545" spans="1:5" ht="21.75" customHeight="1">
      <c r="A545" s="10"/>
      <c r="B545" s="10"/>
      <c r="C545" s="10"/>
      <c r="D545" s="10"/>
      <c r="E545" s="10"/>
    </row>
    <row r="546" spans="1:5" ht="21.75" customHeight="1">
      <c r="A546" s="10"/>
      <c r="B546" s="10"/>
      <c r="C546" s="10"/>
      <c r="D546" s="10"/>
      <c r="E546" s="10"/>
    </row>
    <row r="547" spans="1:5" ht="21.75" customHeight="1">
      <c r="A547" s="10"/>
      <c r="B547" s="10"/>
      <c r="C547" s="10"/>
      <c r="D547" s="10"/>
      <c r="E547" s="10"/>
    </row>
    <row r="548" spans="1:5" ht="21.75" customHeight="1">
      <c r="A548" s="10"/>
      <c r="B548" s="10"/>
      <c r="C548" s="10"/>
      <c r="D548" s="10"/>
      <c r="E548" s="10"/>
    </row>
    <row r="549" spans="1:5" ht="21.75" customHeight="1">
      <c r="A549" s="10"/>
      <c r="B549" s="10"/>
      <c r="C549" s="10"/>
      <c r="D549" s="10"/>
      <c r="E549" s="10"/>
    </row>
    <row r="550" spans="1:5" ht="21.75" customHeight="1">
      <c r="A550" s="10"/>
      <c r="B550" s="10"/>
      <c r="C550" s="10"/>
      <c r="D550" s="10"/>
      <c r="E550" s="10"/>
    </row>
    <row r="551" spans="1:5" ht="21.75" customHeight="1">
      <c r="A551" s="10"/>
      <c r="B551" s="10"/>
      <c r="C551" s="10"/>
      <c r="D551" s="10"/>
      <c r="E551" s="10"/>
    </row>
    <row r="552" spans="1:5" ht="21.75" customHeight="1">
      <c r="A552" s="10"/>
      <c r="B552" s="10"/>
      <c r="C552" s="10"/>
      <c r="D552" s="10"/>
      <c r="E552" s="10"/>
    </row>
    <row r="553" spans="1:5" ht="21.75" customHeight="1">
      <c r="A553" s="10"/>
      <c r="B553" s="10"/>
      <c r="C553" s="10"/>
      <c r="D553" s="10"/>
      <c r="E553" s="10"/>
    </row>
    <row r="554" spans="1:5" ht="21.75" customHeight="1">
      <c r="A554" s="10"/>
      <c r="B554" s="10"/>
      <c r="C554" s="10"/>
      <c r="D554" s="10"/>
      <c r="E554" s="10"/>
    </row>
    <row r="555" spans="1:5" ht="21.75" customHeight="1">
      <c r="A555" s="10"/>
      <c r="B555" s="10"/>
      <c r="C555" s="10"/>
      <c r="D555" s="10"/>
      <c r="E555" s="10"/>
    </row>
    <row r="556" spans="1:5" ht="21.75" customHeight="1">
      <c r="A556" s="10"/>
      <c r="B556" s="10"/>
      <c r="C556" s="10"/>
      <c r="D556" s="10"/>
      <c r="E556" s="10"/>
    </row>
    <row r="557" spans="1:5" ht="21.75" customHeight="1">
      <c r="A557" s="10"/>
      <c r="B557" s="10"/>
      <c r="C557" s="10"/>
      <c r="D557" s="10"/>
      <c r="E557" s="10"/>
    </row>
    <row r="558" spans="1:5" ht="21.75" customHeight="1">
      <c r="A558" s="10"/>
      <c r="B558" s="10"/>
      <c r="C558" s="10"/>
      <c r="D558" s="10"/>
      <c r="E558" s="10"/>
    </row>
    <row r="559" spans="1:5" ht="21.75" customHeight="1">
      <c r="A559" s="10"/>
      <c r="B559" s="10"/>
      <c r="C559" s="10"/>
      <c r="D559" s="10"/>
      <c r="E559" s="10"/>
    </row>
    <row r="560" spans="1:5" ht="21.75" customHeight="1">
      <c r="A560" s="10"/>
      <c r="B560" s="10"/>
      <c r="C560" s="10"/>
      <c r="D560" s="10"/>
      <c r="E560" s="10"/>
    </row>
    <row r="561" spans="1:5" ht="21.75" customHeight="1">
      <c r="A561" s="10"/>
      <c r="B561" s="10"/>
      <c r="C561" s="10"/>
      <c r="D561" s="10"/>
      <c r="E561" s="10"/>
    </row>
    <row r="562" spans="1:5" ht="21.75" customHeight="1">
      <c r="A562" s="10"/>
      <c r="B562" s="10"/>
      <c r="C562" s="10"/>
      <c r="D562" s="10"/>
      <c r="E562" s="10"/>
    </row>
    <row r="563" spans="1:5" ht="21.75" customHeight="1">
      <c r="A563" s="10"/>
      <c r="B563" s="10"/>
      <c r="C563" s="10"/>
      <c r="D563" s="10"/>
      <c r="E563" s="10"/>
    </row>
    <row r="564" spans="1:5" ht="21.75" customHeight="1">
      <c r="A564" s="10"/>
      <c r="B564" s="10"/>
      <c r="C564" s="10"/>
      <c r="D564" s="10"/>
      <c r="E564" s="10"/>
    </row>
    <row r="565" spans="1:5" ht="21.75" customHeight="1">
      <c r="A565" s="10"/>
      <c r="B565" s="10"/>
      <c r="C565" s="10"/>
      <c r="D565" s="10"/>
      <c r="E565" s="10"/>
    </row>
    <row r="566" spans="1:5" ht="21.75" customHeight="1">
      <c r="A566" s="10"/>
      <c r="B566" s="10"/>
      <c r="C566" s="10"/>
      <c r="D566" s="10"/>
      <c r="E566" s="10"/>
    </row>
    <row r="567" spans="1:5" ht="21.75" customHeight="1">
      <c r="A567" s="10"/>
      <c r="B567" s="10"/>
      <c r="C567" s="10"/>
      <c r="D567" s="10"/>
      <c r="E567" s="10"/>
    </row>
    <row r="568" spans="1:5" ht="21.75" customHeight="1">
      <c r="A568" s="10"/>
      <c r="B568" s="10"/>
      <c r="C568" s="10"/>
      <c r="D568" s="10"/>
      <c r="E568" s="10"/>
    </row>
    <row r="569" spans="1:5" ht="21.75" customHeight="1">
      <c r="A569" s="10"/>
      <c r="B569" s="10"/>
      <c r="C569" s="10"/>
      <c r="D569" s="10"/>
      <c r="E569" s="10"/>
    </row>
    <row r="570" spans="1:5" ht="21.75" customHeight="1">
      <c r="A570" s="10"/>
      <c r="B570" s="10"/>
      <c r="C570" s="10"/>
      <c r="D570" s="10"/>
      <c r="E570" s="10"/>
    </row>
    <row r="571" spans="1:5" ht="21.75" customHeight="1">
      <c r="A571" s="10"/>
      <c r="B571" s="10"/>
      <c r="C571" s="10"/>
      <c r="D571" s="10"/>
      <c r="E571" s="10"/>
    </row>
    <row r="572" spans="1:5" ht="21.75" customHeight="1">
      <c r="A572" s="10"/>
      <c r="B572" s="10"/>
      <c r="C572" s="10"/>
      <c r="D572" s="10"/>
      <c r="E572" s="10"/>
    </row>
    <row r="573" spans="1:5" ht="21.75" customHeight="1">
      <c r="A573" s="10"/>
      <c r="B573" s="10"/>
      <c r="C573" s="10"/>
      <c r="D573" s="10"/>
      <c r="E573" s="10"/>
    </row>
    <row r="574" spans="1:5" ht="21.75" customHeight="1">
      <c r="A574" s="10"/>
      <c r="B574" s="10"/>
      <c r="C574" s="10"/>
      <c r="D574" s="10"/>
      <c r="E574" s="10"/>
    </row>
    <row r="575" spans="1:5" ht="21.75" customHeight="1">
      <c r="A575" s="10"/>
      <c r="B575" s="10"/>
      <c r="C575" s="10"/>
      <c r="D575" s="10"/>
      <c r="E575" s="10"/>
    </row>
    <row r="576" spans="1:5" ht="21.75" customHeight="1">
      <c r="A576" s="10"/>
      <c r="B576" s="10"/>
      <c r="C576" s="10"/>
      <c r="D576" s="10"/>
      <c r="E576" s="10"/>
    </row>
    <row r="577" spans="1:5" ht="21.75" customHeight="1">
      <c r="A577" s="10"/>
      <c r="B577" s="10"/>
      <c r="C577" s="10"/>
      <c r="D577" s="10"/>
      <c r="E577" s="10"/>
    </row>
    <row r="578" spans="1:5" ht="21.75" customHeight="1">
      <c r="A578" s="10"/>
      <c r="B578" s="10"/>
      <c r="C578" s="10"/>
      <c r="D578" s="10"/>
      <c r="E578" s="10"/>
    </row>
    <row r="579" spans="1:5" ht="21.75" customHeight="1">
      <c r="A579" s="10"/>
      <c r="B579" s="10"/>
      <c r="C579" s="10"/>
      <c r="D579" s="10"/>
      <c r="E579" s="10"/>
    </row>
    <row r="580" spans="1:5" ht="21.75" customHeight="1">
      <c r="A580" s="10"/>
      <c r="B580" s="10"/>
      <c r="C580" s="10"/>
      <c r="D580" s="10"/>
      <c r="E580" s="10"/>
    </row>
    <row r="581" spans="1:5" ht="21.75" customHeight="1">
      <c r="A581" s="10"/>
      <c r="B581" s="10"/>
      <c r="C581" s="10"/>
      <c r="D581" s="10"/>
      <c r="E581" s="10"/>
    </row>
    <row r="582" spans="1:5" ht="21.75" customHeight="1">
      <c r="A582" s="10"/>
      <c r="B582" s="10"/>
      <c r="C582" s="10"/>
      <c r="D582" s="10"/>
      <c r="E582" s="10"/>
    </row>
    <row r="583" spans="1:5" ht="21.75" customHeight="1">
      <c r="A583" s="10"/>
      <c r="B583" s="10"/>
      <c r="C583" s="10"/>
      <c r="D583" s="10"/>
      <c r="E583" s="10"/>
    </row>
    <row r="584" spans="1:5" ht="21.75" customHeight="1">
      <c r="A584" s="10"/>
      <c r="B584" s="10"/>
      <c r="C584" s="10"/>
      <c r="D584" s="10"/>
      <c r="E584" s="10"/>
    </row>
    <row r="585" spans="1:5" ht="21.75" customHeight="1">
      <c r="A585" s="10"/>
      <c r="B585" s="10"/>
      <c r="C585" s="10"/>
      <c r="D585" s="10"/>
      <c r="E585" s="10"/>
    </row>
    <row r="586" spans="1:5" ht="21.75" customHeight="1">
      <c r="A586" s="10"/>
      <c r="B586" s="10"/>
      <c r="C586" s="10"/>
      <c r="D586" s="10"/>
      <c r="E586" s="10"/>
    </row>
    <row r="587" spans="1:5" ht="21.75" customHeight="1">
      <c r="A587" s="10"/>
      <c r="B587" s="10"/>
      <c r="C587" s="10"/>
      <c r="D587" s="10"/>
      <c r="E587" s="10"/>
    </row>
    <row r="588" spans="1:5" ht="21.75" customHeight="1">
      <c r="A588" s="10"/>
      <c r="B588" s="10"/>
      <c r="C588" s="10"/>
      <c r="D588" s="10"/>
      <c r="E588" s="10"/>
    </row>
    <row r="589" spans="1:5" ht="21.75" customHeight="1">
      <c r="A589" s="10"/>
      <c r="B589" s="10"/>
      <c r="C589" s="10"/>
      <c r="D589" s="10"/>
      <c r="E589" s="10"/>
    </row>
    <row r="590" spans="1:5" ht="21.75" customHeight="1">
      <c r="A590" s="10"/>
      <c r="B590" s="10"/>
      <c r="C590" s="10"/>
      <c r="D590" s="10"/>
      <c r="E590" s="10"/>
    </row>
    <row r="591" spans="1:5" ht="21.75" customHeight="1">
      <c r="A591" s="10"/>
      <c r="B591" s="10"/>
      <c r="C591" s="10"/>
      <c r="D591" s="10"/>
      <c r="E591" s="10"/>
    </row>
    <row r="592" spans="1:5" ht="21.75" customHeight="1">
      <c r="A592" s="10"/>
      <c r="B592" s="10"/>
      <c r="C592" s="10"/>
      <c r="D592" s="10"/>
      <c r="E592" s="10"/>
    </row>
    <row r="593" spans="1:5" ht="21.75" customHeight="1">
      <c r="A593" s="10"/>
      <c r="B593" s="10"/>
      <c r="C593" s="10"/>
      <c r="D593" s="10"/>
      <c r="E593" s="10"/>
    </row>
    <row r="594" spans="1:5" ht="21.75" customHeight="1">
      <c r="A594" s="10"/>
      <c r="B594" s="10"/>
      <c r="C594" s="10"/>
      <c r="D594" s="10"/>
      <c r="E594" s="10"/>
    </row>
    <row r="595" spans="1:5" ht="21.75" customHeight="1">
      <c r="A595" s="10"/>
      <c r="B595" s="10"/>
      <c r="C595" s="10"/>
      <c r="D595" s="10"/>
      <c r="E595" s="10"/>
    </row>
    <row r="596" spans="1:5" ht="21.75" customHeight="1">
      <c r="A596" s="10"/>
      <c r="B596" s="10"/>
      <c r="C596" s="10"/>
      <c r="D596" s="10"/>
      <c r="E596" s="10"/>
    </row>
    <row r="597" spans="1:5" ht="21.75" customHeight="1">
      <c r="A597" s="10"/>
      <c r="B597" s="10"/>
      <c r="C597" s="10"/>
      <c r="D597" s="10"/>
      <c r="E597" s="10"/>
    </row>
    <row r="598" spans="1:5" ht="21.75" customHeight="1">
      <c r="A598" s="10"/>
      <c r="B598" s="10"/>
      <c r="C598" s="10"/>
      <c r="D598" s="10"/>
      <c r="E598" s="10"/>
    </row>
    <row r="599" spans="1:5" ht="21.75" customHeight="1">
      <c r="A599" s="10"/>
      <c r="B599" s="10"/>
      <c r="C599" s="10"/>
      <c r="D599" s="10"/>
      <c r="E599" s="10"/>
    </row>
    <row r="600" spans="1:5" ht="21.75" customHeight="1">
      <c r="A600" s="10"/>
      <c r="B600" s="10"/>
      <c r="C600" s="10"/>
      <c r="D600" s="10"/>
      <c r="E600" s="10"/>
    </row>
    <row r="601" spans="1:5" ht="21.75" customHeight="1">
      <c r="A601" s="10"/>
      <c r="B601" s="10"/>
      <c r="C601" s="10"/>
      <c r="D601" s="10"/>
      <c r="E601" s="10"/>
    </row>
    <row r="602" spans="1:5" ht="21.75" customHeight="1">
      <c r="A602" s="10"/>
      <c r="B602" s="10"/>
      <c r="C602" s="10"/>
      <c r="D602" s="10"/>
      <c r="E602" s="10"/>
    </row>
    <row r="603" spans="1:5" ht="21.75" customHeight="1">
      <c r="A603" s="10"/>
      <c r="B603" s="10"/>
      <c r="C603" s="10"/>
      <c r="D603" s="10"/>
      <c r="E603" s="10"/>
    </row>
    <row r="604" spans="1:5" ht="21.75" customHeight="1">
      <c r="A604" s="10"/>
      <c r="B604" s="10"/>
      <c r="C604" s="10"/>
      <c r="D604" s="10"/>
      <c r="E604" s="10"/>
    </row>
    <row r="605" spans="1:5" ht="21.75" customHeight="1">
      <c r="A605" s="10"/>
      <c r="B605" s="10"/>
      <c r="C605" s="10"/>
      <c r="D605" s="10"/>
      <c r="E605" s="10"/>
    </row>
    <row r="606" spans="1:5" ht="21.75" customHeight="1">
      <c r="A606" s="10"/>
      <c r="B606" s="10"/>
      <c r="C606" s="10"/>
      <c r="D606" s="10"/>
      <c r="E606" s="10"/>
    </row>
    <row r="607" spans="1:5" ht="21.75" customHeight="1">
      <c r="A607" s="10"/>
      <c r="B607" s="10"/>
      <c r="C607" s="10"/>
      <c r="D607" s="10"/>
      <c r="E607" s="10"/>
    </row>
    <row r="608" spans="1:5" ht="21.75" customHeight="1">
      <c r="A608" s="10"/>
      <c r="B608" s="10"/>
      <c r="C608" s="10"/>
      <c r="D608" s="10"/>
      <c r="E608" s="10"/>
    </row>
    <row r="609" spans="1:5" ht="21.75" customHeight="1">
      <c r="A609" s="10"/>
      <c r="B609" s="10"/>
      <c r="C609" s="10"/>
      <c r="D609" s="10"/>
      <c r="E609" s="10"/>
    </row>
    <row r="610" spans="1:5" ht="21.75" customHeight="1">
      <c r="A610" s="10"/>
      <c r="B610" s="10"/>
      <c r="C610" s="10"/>
      <c r="D610" s="10"/>
      <c r="E610" s="10"/>
    </row>
    <row r="611" spans="1:5" ht="21.75" customHeight="1">
      <c r="A611" s="10"/>
      <c r="B611" s="10"/>
      <c r="C611" s="10"/>
      <c r="D611" s="10"/>
      <c r="E611" s="10"/>
    </row>
    <row r="612" spans="1:5" ht="21.75" customHeight="1">
      <c r="A612" s="10"/>
      <c r="B612" s="10"/>
      <c r="C612" s="10"/>
      <c r="D612" s="10"/>
      <c r="E612" s="10"/>
    </row>
    <row r="613" spans="1:5" ht="21.75" customHeight="1">
      <c r="A613" s="10"/>
      <c r="B613" s="10"/>
      <c r="C613" s="10"/>
      <c r="D613" s="10"/>
      <c r="E613" s="10"/>
    </row>
    <row r="614" spans="1:5" ht="21.75" customHeight="1">
      <c r="A614" s="10"/>
      <c r="B614" s="10"/>
      <c r="C614" s="10"/>
      <c r="D614" s="10"/>
      <c r="E614" s="10"/>
    </row>
    <row r="615" spans="1:5" ht="21.75" customHeight="1">
      <c r="A615" s="10"/>
      <c r="B615" s="10"/>
      <c r="C615" s="10"/>
      <c r="D615" s="10"/>
      <c r="E615" s="10"/>
    </row>
    <row r="616" spans="1:5" ht="21.75" customHeight="1">
      <c r="A616" s="10"/>
      <c r="B616" s="10"/>
      <c r="C616" s="10"/>
      <c r="D616" s="10"/>
      <c r="E616" s="10"/>
    </row>
    <row r="617" spans="1:5" ht="21.75" customHeight="1">
      <c r="A617" s="10"/>
      <c r="B617" s="10"/>
      <c r="C617" s="10"/>
      <c r="D617" s="10"/>
      <c r="E617" s="10"/>
    </row>
    <row r="618" spans="1:5" ht="21.75" customHeight="1">
      <c r="A618" s="10"/>
      <c r="B618" s="10"/>
      <c r="C618" s="10"/>
      <c r="D618" s="10"/>
      <c r="E618" s="10"/>
    </row>
    <row r="619" spans="1:5" ht="21.75" customHeight="1">
      <c r="A619" s="10"/>
      <c r="B619" s="10"/>
      <c r="C619" s="10"/>
      <c r="D619" s="10"/>
      <c r="E619" s="10"/>
    </row>
    <row r="620" spans="1:5" ht="21.75" customHeight="1">
      <c r="A620" s="10"/>
      <c r="B620" s="10"/>
      <c r="C620" s="10"/>
      <c r="D620" s="10"/>
      <c r="E620" s="10"/>
    </row>
    <row r="621" spans="1:5" ht="21.75" customHeight="1">
      <c r="A621" s="10"/>
      <c r="B621" s="10"/>
      <c r="C621" s="10"/>
      <c r="D621" s="10"/>
      <c r="E621" s="10"/>
    </row>
    <row r="622" spans="1:5" ht="21.75" customHeight="1">
      <c r="A622" s="10"/>
      <c r="B622" s="10"/>
      <c r="C622" s="10"/>
      <c r="D622" s="10"/>
      <c r="E622" s="10"/>
    </row>
    <row r="623" spans="1:5" ht="21.75" customHeight="1">
      <c r="A623" s="10"/>
      <c r="B623" s="10"/>
      <c r="C623" s="10"/>
      <c r="D623" s="10"/>
      <c r="E623" s="10"/>
    </row>
    <row r="624" spans="1:5" ht="21.75" customHeight="1">
      <c r="A624" s="10"/>
      <c r="B624" s="10"/>
      <c r="C624" s="10"/>
      <c r="D624" s="10"/>
      <c r="E624" s="10"/>
    </row>
    <row r="625" spans="1:5" ht="21.75" customHeight="1">
      <c r="A625" s="10"/>
      <c r="B625" s="10"/>
      <c r="C625" s="10"/>
      <c r="D625" s="10"/>
      <c r="E625" s="10"/>
    </row>
    <row r="626" spans="1:5" ht="21.75" customHeight="1">
      <c r="A626" s="10"/>
      <c r="B626" s="10"/>
      <c r="C626" s="10"/>
      <c r="D626" s="10"/>
      <c r="E626" s="10"/>
    </row>
    <row r="627" spans="1:5" ht="21.75" customHeight="1">
      <c r="A627" s="10"/>
      <c r="B627" s="10"/>
      <c r="C627" s="10"/>
      <c r="D627" s="10"/>
      <c r="E627" s="10"/>
    </row>
    <row r="628" spans="1:5" ht="21.75" customHeight="1">
      <c r="A628" s="10"/>
      <c r="B628" s="10"/>
      <c r="C628" s="10"/>
      <c r="D628" s="10"/>
      <c r="E628" s="10"/>
    </row>
    <row r="629" spans="1:5" ht="21.75" customHeight="1">
      <c r="A629" s="10"/>
      <c r="B629" s="10"/>
      <c r="C629" s="10"/>
      <c r="D629" s="10"/>
      <c r="E629" s="10"/>
    </row>
    <row r="630" spans="1:5" ht="21.75" customHeight="1">
      <c r="A630" s="10"/>
      <c r="B630" s="10"/>
      <c r="C630" s="10"/>
      <c r="D630" s="10"/>
      <c r="E630" s="10"/>
    </row>
    <row r="631" spans="1:5" ht="21.75" customHeight="1">
      <c r="A631" s="10"/>
      <c r="B631" s="10"/>
      <c r="C631" s="10"/>
      <c r="D631" s="10"/>
      <c r="E631" s="10"/>
    </row>
    <row r="632" spans="1:5" ht="21.75" customHeight="1">
      <c r="A632" s="10"/>
      <c r="B632" s="10"/>
      <c r="C632" s="10"/>
      <c r="D632" s="10"/>
      <c r="E632" s="10"/>
    </row>
    <row r="633" spans="1:5" ht="21.75" customHeight="1">
      <c r="A633" s="10"/>
      <c r="B633" s="10"/>
      <c r="C633" s="10"/>
      <c r="D633" s="10"/>
      <c r="E633" s="10"/>
    </row>
    <row r="634" spans="1:5" ht="21.75" customHeight="1">
      <c r="A634" s="10"/>
      <c r="B634" s="10"/>
      <c r="C634" s="10"/>
      <c r="D634" s="10"/>
      <c r="E634" s="10"/>
    </row>
    <row r="635" spans="1:5" ht="21.75" customHeight="1">
      <c r="A635" s="10"/>
      <c r="B635" s="10"/>
      <c r="C635" s="10"/>
      <c r="D635" s="10"/>
      <c r="E635" s="10"/>
    </row>
    <row r="636" spans="1:5" ht="21.75" customHeight="1">
      <c r="A636" s="10"/>
      <c r="B636" s="10"/>
      <c r="C636" s="10"/>
      <c r="D636" s="10"/>
      <c r="E636" s="10"/>
    </row>
    <row r="637" spans="1:5" ht="21.75" customHeight="1">
      <c r="A637" s="10"/>
      <c r="B637" s="10"/>
      <c r="C637" s="10"/>
      <c r="D637" s="10"/>
      <c r="E637" s="10"/>
    </row>
    <row r="638" spans="1:5" ht="21.75" customHeight="1">
      <c r="A638" s="10"/>
      <c r="B638" s="10"/>
      <c r="C638" s="10"/>
      <c r="D638" s="10"/>
      <c r="E638" s="10"/>
    </row>
    <row r="639" spans="1:5" ht="21.75" customHeight="1">
      <c r="A639" s="10"/>
      <c r="B639" s="10"/>
      <c r="C639" s="10"/>
      <c r="D639" s="10"/>
      <c r="E639" s="10"/>
    </row>
    <row r="640" spans="1:5" ht="21.75" customHeight="1">
      <c r="A640" s="10"/>
      <c r="B640" s="10"/>
      <c r="C640" s="10"/>
      <c r="D640" s="10"/>
      <c r="E640" s="10"/>
    </row>
    <row r="641" spans="1:5" ht="21.75" customHeight="1">
      <c r="A641" s="10"/>
      <c r="B641" s="10"/>
      <c r="C641" s="10"/>
      <c r="D641" s="10"/>
      <c r="E641" s="10"/>
    </row>
    <row r="642" spans="1:5" ht="21.75" customHeight="1">
      <c r="A642" s="10"/>
      <c r="B642" s="10"/>
      <c r="C642" s="10"/>
      <c r="D642" s="10"/>
      <c r="E642" s="10"/>
    </row>
    <row r="643" spans="1:5" ht="21.75" customHeight="1">
      <c r="A643" s="10"/>
      <c r="B643" s="10"/>
      <c r="C643" s="10"/>
      <c r="D643" s="10"/>
      <c r="E643" s="10"/>
    </row>
    <row r="644" spans="1:5" ht="21.75" customHeight="1">
      <c r="A644" s="10"/>
      <c r="B644" s="10"/>
      <c r="C644" s="10"/>
      <c r="D644" s="10"/>
      <c r="E644" s="10"/>
    </row>
    <row r="645" spans="1:5" ht="21.75" customHeight="1">
      <c r="A645" s="10"/>
      <c r="B645" s="10"/>
      <c r="C645" s="10"/>
      <c r="D645" s="10"/>
      <c r="E645" s="10"/>
    </row>
    <row r="646" spans="1:5" ht="21.75" customHeight="1">
      <c r="A646" s="10"/>
      <c r="B646" s="10"/>
      <c r="C646" s="10"/>
      <c r="D646" s="10"/>
      <c r="E646" s="10"/>
    </row>
    <row r="647" spans="1:5" ht="21.75" customHeight="1">
      <c r="A647" s="10"/>
      <c r="B647" s="10"/>
      <c r="C647" s="10"/>
      <c r="D647" s="10"/>
      <c r="E647" s="10"/>
    </row>
    <row r="648" spans="1:5" ht="21.75" customHeight="1">
      <c r="A648" s="10"/>
      <c r="B648" s="10"/>
      <c r="C648" s="10"/>
      <c r="D648" s="10"/>
      <c r="E648" s="10"/>
    </row>
    <row r="649" spans="1:5" ht="21.75" customHeight="1">
      <c r="A649" s="10"/>
      <c r="B649" s="10"/>
      <c r="C649" s="10"/>
      <c r="D649" s="10"/>
      <c r="E649" s="10"/>
    </row>
    <row r="650" spans="1:5" ht="21.75" customHeight="1">
      <c r="A650" s="10"/>
      <c r="B650" s="10"/>
      <c r="C650" s="10"/>
      <c r="D650" s="10"/>
      <c r="E650" s="10"/>
    </row>
    <row r="651" spans="1:5" ht="21.75" customHeight="1">
      <c r="A651" s="10"/>
      <c r="B651" s="10"/>
      <c r="C651" s="10"/>
      <c r="D651" s="10"/>
      <c r="E651" s="10"/>
    </row>
    <row r="652" spans="1:5" ht="21.75" customHeight="1">
      <c r="A652" s="10"/>
      <c r="B652" s="10"/>
      <c r="C652" s="10"/>
      <c r="D652" s="10"/>
      <c r="E652" s="10"/>
    </row>
    <row r="653" spans="1:5" ht="21.75" customHeight="1">
      <c r="A653" s="10"/>
      <c r="B653" s="10"/>
      <c r="C653" s="10"/>
      <c r="D653" s="10"/>
      <c r="E653" s="10"/>
    </row>
    <row r="654" spans="1:5" ht="21.75" customHeight="1">
      <c r="A654" s="10"/>
      <c r="B654" s="10"/>
      <c r="C654" s="10"/>
      <c r="D654" s="10"/>
      <c r="E654" s="10"/>
    </row>
    <row r="655" spans="1:5" ht="21.75" customHeight="1">
      <c r="A655" s="10"/>
      <c r="B655" s="10"/>
      <c r="C655" s="10"/>
      <c r="D655" s="10"/>
      <c r="E655" s="10"/>
    </row>
    <row r="656" spans="1:5" ht="21.75" customHeight="1">
      <c r="A656" s="10"/>
      <c r="B656" s="10"/>
      <c r="C656" s="10"/>
      <c r="D656" s="10"/>
      <c r="E656" s="10"/>
    </row>
    <row r="657" spans="1:5" ht="21.75" customHeight="1">
      <c r="A657" s="10"/>
      <c r="B657" s="10"/>
      <c r="C657" s="10"/>
      <c r="D657" s="10"/>
      <c r="E657" s="10"/>
    </row>
    <row r="658" spans="1:5" ht="21.75" customHeight="1">
      <c r="A658" s="10"/>
      <c r="B658" s="10"/>
      <c r="C658" s="10"/>
      <c r="D658" s="10"/>
      <c r="E658" s="10"/>
    </row>
    <row r="659" spans="1:5" ht="21.75" customHeight="1">
      <c r="A659" s="10"/>
      <c r="B659" s="10"/>
      <c r="C659" s="10"/>
      <c r="D659" s="10"/>
      <c r="E659" s="10"/>
    </row>
    <row r="660" spans="1:5" ht="21.75" customHeight="1">
      <c r="A660" s="10"/>
      <c r="B660" s="10"/>
      <c r="C660" s="10"/>
      <c r="D660" s="10"/>
      <c r="E660" s="10"/>
    </row>
    <row r="661" spans="1:5" ht="21.75" customHeight="1">
      <c r="A661" s="10"/>
      <c r="B661" s="10"/>
      <c r="C661" s="10"/>
      <c r="D661" s="10"/>
      <c r="E661" s="10"/>
    </row>
    <row r="662" spans="1:5" ht="21.75" customHeight="1">
      <c r="A662" s="10"/>
      <c r="B662" s="10"/>
      <c r="C662" s="10"/>
      <c r="D662" s="10"/>
      <c r="E662" s="10"/>
    </row>
    <row r="663" spans="1:5" ht="21.75" customHeight="1">
      <c r="A663" s="10"/>
      <c r="B663" s="10"/>
      <c r="C663" s="10"/>
      <c r="D663" s="10"/>
      <c r="E663" s="10"/>
    </row>
    <row r="664" spans="1:5" ht="21.75" customHeight="1">
      <c r="A664" s="10"/>
      <c r="B664" s="10"/>
      <c r="C664" s="10"/>
      <c r="D664" s="10"/>
      <c r="E664" s="10"/>
    </row>
    <row r="665" spans="1:5" ht="21.75" customHeight="1">
      <c r="A665" s="10"/>
      <c r="B665" s="10"/>
      <c r="C665" s="10"/>
      <c r="D665" s="10"/>
      <c r="E665" s="10"/>
    </row>
    <row r="666" spans="1:5" ht="21.75" customHeight="1">
      <c r="A666" s="10"/>
      <c r="B666" s="10"/>
      <c r="C666" s="10"/>
      <c r="D666" s="10"/>
      <c r="E666" s="10"/>
    </row>
    <row r="667" spans="1:5" ht="21.75" customHeight="1">
      <c r="A667" s="10"/>
      <c r="B667" s="10"/>
      <c r="C667" s="10"/>
      <c r="D667" s="10"/>
      <c r="E667" s="10"/>
    </row>
    <row r="668" spans="1:5" ht="21.75" customHeight="1">
      <c r="A668" s="10"/>
      <c r="B668" s="10"/>
      <c r="C668" s="10"/>
      <c r="D668" s="10"/>
      <c r="E668" s="10"/>
    </row>
    <row r="669" spans="1:5" ht="21.75" customHeight="1">
      <c r="A669" s="10"/>
      <c r="B669" s="10"/>
      <c r="C669" s="10"/>
      <c r="D669" s="10"/>
      <c r="E669" s="10"/>
    </row>
    <row r="670" spans="1:5" ht="21.75" customHeight="1">
      <c r="A670" s="10"/>
      <c r="B670" s="10"/>
      <c r="C670" s="10"/>
      <c r="D670" s="10"/>
      <c r="E670" s="10"/>
    </row>
    <row r="671" spans="1:5" ht="21.75" customHeight="1">
      <c r="A671" s="10"/>
      <c r="B671" s="10"/>
      <c r="C671" s="10"/>
      <c r="D671" s="10"/>
      <c r="E671" s="10"/>
    </row>
    <row r="672" spans="1:5" ht="21.75" customHeight="1">
      <c r="A672" s="10"/>
      <c r="B672" s="10"/>
      <c r="C672" s="10"/>
      <c r="D672" s="10"/>
      <c r="E672" s="10"/>
    </row>
    <row r="673" spans="1:5" ht="21.75" customHeight="1">
      <c r="A673" s="10"/>
      <c r="B673" s="10"/>
      <c r="C673" s="10"/>
      <c r="D673" s="10"/>
      <c r="E673" s="10"/>
    </row>
    <row r="674" spans="1:5" ht="21.75" customHeight="1">
      <c r="A674" s="10"/>
      <c r="B674" s="10"/>
      <c r="C674" s="10"/>
      <c r="D674" s="10"/>
      <c r="E674" s="10"/>
    </row>
    <row r="675" spans="1:5" ht="21.75" customHeight="1">
      <c r="A675" s="10"/>
      <c r="B675" s="10"/>
      <c r="C675" s="10"/>
      <c r="D675" s="10"/>
      <c r="E675" s="10"/>
    </row>
    <row r="676" spans="1:5" ht="21.75" customHeight="1">
      <c r="A676" s="10"/>
      <c r="B676" s="10"/>
      <c r="C676" s="10"/>
      <c r="D676" s="10"/>
      <c r="E676" s="10"/>
    </row>
    <row r="677" spans="1:5" ht="21.75" customHeight="1">
      <c r="A677" s="10"/>
      <c r="B677" s="10"/>
      <c r="C677" s="10"/>
      <c r="D677" s="10"/>
      <c r="E677" s="10"/>
    </row>
    <row r="678" spans="1:5" ht="21.75" customHeight="1">
      <c r="A678" s="10"/>
      <c r="B678" s="10"/>
      <c r="C678" s="10"/>
      <c r="D678" s="10"/>
      <c r="E678" s="10"/>
    </row>
    <row r="679" spans="1:5" ht="21.75" customHeight="1">
      <c r="A679" s="10"/>
      <c r="B679" s="10"/>
      <c r="C679" s="10"/>
      <c r="D679" s="10"/>
      <c r="E679" s="10"/>
    </row>
    <row r="680" spans="1:5" ht="21.75" customHeight="1">
      <c r="A680" s="10"/>
      <c r="B680" s="10"/>
      <c r="C680" s="10"/>
      <c r="D680" s="10"/>
      <c r="E680" s="10"/>
    </row>
    <row r="681" spans="1:5" ht="21.75" customHeight="1">
      <c r="A681" s="10"/>
      <c r="B681" s="10"/>
      <c r="C681" s="10"/>
      <c r="D681" s="10"/>
      <c r="E681" s="10"/>
    </row>
    <row r="682" spans="1:5" ht="21.75" customHeight="1">
      <c r="A682" s="10"/>
      <c r="B682" s="10"/>
      <c r="C682" s="10"/>
      <c r="D682" s="10"/>
      <c r="E682" s="10"/>
    </row>
    <row r="683" spans="1:5" ht="21.75" customHeight="1">
      <c r="A683" s="10"/>
      <c r="B683" s="10"/>
      <c r="C683" s="10"/>
      <c r="D683" s="10"/>
      <c r="E683" s="10"/>
    </row>
    <row r="684" spans="1:5" ht="21.75" customHeight="1">
      <c r="A684" s="10"/>
      <c r="B684" s="10"/>
      <c r="C684" s="10"/>
      <c r="D684" s="10"/>
      <c r="E684" s="10"/>
    </row>
    <row r="685" spans="1:5" ht="21.75" customHeight="1">
      <c r="A685" s="10"/>
      <c r="B685" s="10"/>
      <c r="C685" s="10"/>
      <c r="D685" s="10"/>
      <c r="E685" s="10"/>
    </row>
    <row r="686" spans="1:5" ht="21.75" customHeight="1">
      <c r="A686" s="10"/>
      <c r="B686" s="10"/>
      <c r="C686" s="10"/>
      <c r="D686" s="10"/>
      <c r="E686" s="10"/>
    </row>
    <row r="687" spans="1:5" ht="21.75" customHeight="1">
      <c r="A687" s="10"/>
      <c r="B687" s="10"/>
      <c r="C687" s="10"/>
      <c r="D687" s="10"/>
      <c r="E687" s="10"/>
    </row>
    <row r="688" spans="1:5" ht="21.75" customHeight="1">
      <c r="A688" s="10"/>
      <c r="B688" s="10"/>
      <c r="C688" s="10"/>
      <c r="D688" s="10"/>
      <c r="E688" s="10"/>
    </row>
    <row r="689" spans="1:5" ht="21.75" customHeight="1">
      <c r="A689" s="10"/>
      <c r="B689" s="10"/>
      <c r="C689" s="10"/>
      <c r="D689" s="10"/>
      <c r="E689" s="10"/>
    </row>
    <row r="690" spans="1:5" ht="21.75" customHeight="1">
      <c r="A690" s="10"/>
      <c r="B690" s="10"/>
      <c r="C690" s="10"/>
      <c r="D690" s="10"/>
      <c r="E690" s="10"/>
    </row>
    <row r="691" spans="1:5" ht="21.75" customHeight="1">
      <c r="A691" s="10"/>
      <c r="B691" s="10"/>
      <c r="C691" s="10"/>
      <c r="D691" s="10"/>
      <c r="E691" s="10"/>
    </row>
    <row r="692" spans="1:5" ht="21.75" customHeight="1">
      <c r="A692" s="10"/>
      <c r="B692" s="10"/>
      <c r="C692" s="10"/>
      <c r="D692" s="10"/>
      <c r="E692" s="10"/>
    </row>
    <row r="693" spans="1:5" ht="21.75" customHeight="1">
      <c r="A693" s="10"/>
      <c r="B693" s="10"/>
      <c r="C693" s="10"/>
      <c r="D693" s="10"/>
      <c r="E693" s="10"/>
    </row>
    <row r="694" spans="1:5" ht="21.75" customHeight="1">
      <c r="A694" s="10"/>
      <c r="B694" s="10"/>
      <c r="C694" s="10"/>
      <c r="D694" s="10"/>
      <c r="E694" s="10"/>
    </row>
    <row r="695" spans="1:5" ht="21.75" customHeight="1">
      <c r="A695" s="10"/>
      <c r="B695" s="10"/>
      <c r="C695" s="10"/>
      <c r="D695" s="10"/>
      <c r="E695" s="10"/>
    </row>
    <row r="696" spans="1:5" ht="21.75" customHeight="1">
      <c r="A696" s="10"/>
      <c r="B696" s="10"/>
      <c r="C696" s="10"/>
      <c r="D696" s="10"/>
      <c r="E696" s="10"/>
    </row>
    <row r="697" spans="1:5" ht="21.75" customHeight="1">
      <c r="A697" s="10"/>
      <c r="B697" s="10"/>
      <c r="C697" s="10"/>
      <c r="D697" s="10"/>
      <c r="E697" s="10"/>
    </row>
    <row r="698" spans="1:5" ht="21.75" customHeight="1">
      <c r="A698" s="10"/>
      <c r="B698" s="10"/>
      <c r="C698" s="10"/>
      <c r="D698" s="10"/>
      <c r="E698" s="10"/>
    </row>
    <row r="699" spans="1:5" ht="21.75" customHeight="1">
      <c r="A699" s="10"/>
      <c r="B699" s="10"/>
      <c r="C699" s="10"/>
      <c r="D699" s="10"/>
      <c r="E699" s="10"/>
    </row>
    <row r="700" spans="1:5" ht="21.75" customHeight="1">
      <c r="A700" s="10"/>
      <c r="B700" s="10"/>
      <c r="C700" s="10"/>
      <c r="D700" s="10"/>
      <c r="E700" s="10"/>
    </row>
    <row r="701" spans="1:5" ht="21.75" customHeight="1">
      <c r="A701" s="10"/>
      <c r="B701" s="10"/>
      <c r="C701" s="10"/>
      <c r="D701" s="10"/>
      <c r="E701" s="10"/>
    </row>
    <row r="702" spans="1:5" ht="21.75" customHeight="1">
      <c r="A702" s="10"/>
      <c r="B702" s="10"/>
      <c r="C702" s="10"/>
      <c r="D702" s="10"/>
      <c r="E702" s="10"/>
    </row>
    <row r="703" spans="1:5" ht="21.75" customHeight="1">
      <c r="A703" s="10"/>
      <c r="B703" s="10"/>
      <c r="C703" s="10"/>
      <c r="D703" s="10"/>
      <c r="E703" s="10"/>
    </row>
    <row r="704" spans="1:5" ht="21.75" customHeight="1">
      <c r="A704" s="10"/>
      <c r="B704" s="10"/>
      <c r="C704" s="10"/>
      <c r="D704" s="10"/>
      <c r="E704" s="10"/>
    </row>
    <row r="705" spans="1:5" ht="21.75" customHeight="1">
      <c r="A705" s="10"/>
      <c r="B705" s="10"/>
      <c r="C705" s="10"/>
      <c r="D705" s="10"/>
      <c r="E705" s="10"/>
    </row>
    <row r="706" spans="1:5" ht="21.75" customHeight="1">
      <c r="A706" s="10"/>
      <c r="B706" s="10"/>
      <c r="C706" s="10"/>
      <c r="D706" s="10"/>
      <c r="E706" s="10"/>
    </row>
    <row r="707" spans="1:5" ht="21.75" customHeight="1">
      <c r="A707" s="10"/>
      <c r="B707" s="10"/>
      <c r="C707" s="10"/>
      <c r="D707" s="10"/>
      <c r="E707" s="10"/>
    </row>
    <row r="708" spans="1:5" ht="21.75" customHeight="1">
      <c r="A708" s="10"/>
      <c r="B708" s="10"/>
      <c r="C708" s="10"/>
      <c r="D708" s="10"/>
      <c r="E708" s="10"/>
    </row>
    <row r="709" spans="1:5" ht="21.75" customHeight="1">
      <c r="A709" s="10"/>
      <c r="B709" s="10"/>
      <c r="C709" s="10"/>
      <c r="D709" s="10"/>
      <c r="E709" s="10"/>
    </row>
    <row r="710" spans="1:5" ht="21.75" customHeight="1">
      <c r="A710" s="10"/>
      <c r="B710" s="10"/>
      <c r="C710" s="10"/>
      <c r="D710" s="10"/>
      <c r="E710" s="10"/>
    </row>
    <row r="711" spans="1:5" ht="21.75" customHeight="1">
      <c r="A711" s="10"/>
      <c r="B711" s="10"/>
      <c r="C711" s="10"/>
      <c r="D711" s="10"/>
      <c r="E711" s="10"/>
    </row>
    <row r="712" spans="1:5" ht="21.75" customHeight="1">
      <c r="A712" s="10"/>
      <c r="B712" s="10"/>
      <c r="C712" s="10"/>
      <c r="D712" s="10"/>
      <c r="E712" s="10"/>
    </row>
    <row r="713" spans="1:5" ht="21.75" customHeight="1">
      <c r="A713" s="10"/>
      <c r="B713" s="10"/>
      <c r="C713" s="10"/>
      <c r="D713" s="10"/>
      <c r="E713" s="10"/>
    </row>
    <row r="714" spans="1:5" ht="21.75" customHeight="1">
      <c r="A714" s="10"/>
      <c r="B714" s="10"/>
      <c r="C714" s="10"/>
      <c r="D714" s="10"/>
      <c r="E714" s="10"/>
    </row>
    <row r="715" spans="1:5" ht="21.75" customHeight="1">
      <c r="A715" s="10"/>
      <c r="B715" s="10"/>
      <c r="C715" s="10"/>
      <c r="D715" s="10"/>
      <c r="E715" s="10"/>
    </row>
    <row r="716" spans="1:5" ht="21.75" customHeight="1">
      <c r="A716" s="10"/>
      <c r="B716" s="10"/>
      <c r="C716" s="10"/>
      <c r="D716" s="10"/>
      <c r="E716" s="10"/>
    </row>
    <row r="717" spans="1:5" ht="21.75" customHeight="1">
      <c r="A717" s="10"/>
      <c r="B717" s="10"/>
      <c r="C717" s="10"/>
      <c r="D717" s="10"/>
      <c r="E717" s="10"/>
    </row>
    <row r="718" spans="1:5" ht="21.75" customHeight="1">
      <c r="A718" s="10"/>
      <c r="B718" s="10"/>
      <c r="C718" s="10"/>
      <c r="D718" s="10"/>
      <c r="E718" s="10"/>
    </row>
    <row r="719" spans="1:5" ht="21.75" customHeight="1">
      <c r="A719" s="10"/>
      <c r="B719" s="10"/>
      <c r="C719" s="10"/>
      <c r="D719" s="10"/>
      <c r="E719" s="10"/>
    </row>
    <row r="720" spans="1:5" ht="21.75" customHeight="1">
      <c r="A720" s="10"/>
      <c r="B720" s="10"/>
      <c r="C720" s="10"/>
      <c r="D720" s="10"/>
      <c r="E720" s="10"/>
    </row>
    <row r="721" spans="1:5" ht="21.75" customHeight="1">
      <c r="A721" s="10"/>
      <c r="B721" s="10"/>
      <c r="C721" s="10"/>
      <c r="D721" s="10"/>
      <c r="E721" s="10"/>
    </row>
    <row r="722" spans="1:5" ht="21.75" customHeight="1">
      <c r="A722" s="10"/>
      <c r="B722" s="10"/>
      <c r="C722" s="10"/>
      <c r="D722" s="10"/>
      <c r="E722" s="10"/>
    </row>
    <row r="723" spans="1:5" ht="21.75" customHeight="1">
      <c r="A723" s="10"/>
      <c r="B723" s="10"/>
      <c r="C723" s="10"/>
      <c r="D723" s="10"/>
      <c r="E723" s="10"/>
    </row>
    <row r="724" spans="1:5" ht="21.75" customHeight="1">
      <c r="A724" s="10"/>
      <c r="B724" s="10"/>
      <c r="C724" s="10"/>
      <c r="D724" s="10"/>
      <c r="E724" s="10"/>
    </row>
    <row r="725" spans="1:5" ht="21.75" customHeight="1">
      <c r="A725" s="10"/>
      <c r="B725" s="10"/>
      <c r="C725" s="10"/>
      <c r="D725" s="10"/>
      <c r="E725" s="10"/>
    </row>
    <row r="726" spans="1:5" ht="21.75" customHeight="1">
      <c r="A726" s="10"/>
      <c r="B726" s="10"/>
      <c r="C726" s="10"/>
      <c r="D726" s="10"/>
      <c r="E726" s="10"/>
    </row>
    <row r="727" spans="1:5" ht="21.75" customHeight="1">
      <c r="A727" s="10"/>
      <c r="B727" s="10"/>
      <c r="C727" s="10"/>
      <c r="D727" s="10"/>
      <c r="E727" s="10"/>
    </row>
    <row r="728" spans="1:5" ht="21.75" customHeight="1">
      <c r="A728" s="10"/>
      <c r="B728" s="10"/>
      <c r="C728" s="10"/>
      <c r="D728" s="10"/>
      <c r="E728" s="10"/>
    </row>
    <row r="729" spans="1:5" ht="21.75" customHeight="1">
      <c r="A729" s="10"/>
      <c r="B729" s="10"/>
      <c r="C729" s="10"/>
      <c r="D729" s="10"/>
      <c r="E729" s="10"/>
    </row>
    <row r="730" spans="1:5" ht="21.75" customHeight="1">
      <c r="A730" s="10"/>
      <c r="B730" s="10"/>
      <c r="C730" s="10"/>
      <c r="D730" s="10"/>
      <c r="E730" s="10"/>
    </row>
    <row r="731" spans="1:5" ht="21.75" customHeight="1">
      <c r="A731" s="10"/>
      <c r="B731" s="10"/>
      <c r="C731" s="10"/>
      <c r="D731" s="10"/>
      <c r="E731" s="10"/>
    </row>
    <row r="732" spans="1:5" ht="21.75" customHeight="1">
      <c r="A732" s="10"/>
      <c r="B732" s="10"/>
      <c r="C732" s="10"/>
      <c r="D732" s="10"/>
      <c r="E732" s="10"/>
    </row>
    <row r="733" spans="1:5" ht="21.75" customHeight="1">
      <c r="A733" s="10"/>
      <c r="B733" s="10"/>
      <c r="C733" s="10"/>
      <c r="D733" s="10"/>
      <c r="E733" s="10"/>
    </row>
    <row r="734" spans="1:5" ht="21.75" customHeight="1">
      <c r="A734" s="10"/>
      <c r="B734" s="10"/>
      <c r="C734" s="10"/>
      <c r="D734" s="10"/>
      <c r="E734" s="10"/>
    </row>
    <row r="735" spans="1:5" ht="21.75" customHeight="1">
      <c r="A735" s="10"/>
      <c r="B735" s="10"/>
      <c r="C735" s="10"/>
      <c r="D735" s="10"/>
      <c r="E735" s="10"/>
    </row>
    <row r="736" spans="1:5" ht="21.75" customHeight="1">
      <c r="A736" s="10"/>
      <c r="B736" s="10"/>
      <c r="C736" s="10"/>
      <c r="D736" s="10"/>
      <c r="E736" s="10"/>
    </row>
    <row r="737" spans="1:5" ht="21.75" customHeight="1">
      <c r="A737" s="10"/>
      <c r="B737" s="10"/>
      <c r="C737" s="10"/>
      <c r="D737" s="10"/>
      <c r="E737" s="10"/>
    </row>
    <row r="738" spans="1:5" ht="21.75" customHeight="1">
      <c r="A738" s="10"/>
      <c r="B738" s="10"/>
      <c r="C738" s="10"/>
      <c r="D738" s="10"/>
      <c r="E738" s="10"/>
    </row>
    <row r="739" spans="1:5" ht="21.75" customHeight="1">
      <c r="A739" s="10"/>
      <c r="B739" s="10"/>
      <c r="C739" s="10"/>
      <c r="D739" s="10"/>
      <c r="E739" s="10"/>
    </row>
    <row r="740" spans="1:5" ht="21.75" customHeight="1">
      <c r="A740" s="10"/>
      <c r="B740" s="10"/>
      <c r="C740" s="10"/>
      <c r="D740" s="10"/>
      <c r="E740" s="10"/>
    </row>
    <row r="741" spans="1:5" ht="21.75" customHeight="1">
      <c r="A741" s="10"/>
      <c r="B741" s="10"/>
      <c r="C741" s="10"/>
      <c r="D741" s="10"/>
      <c r="E741" s="10"/>
    </row>
    <row r="742" spans="1:5" ht="21.75" customHeight="1">
      <c r="A742" s="10"/>
      <c r="B742" s="10"/>
      <c r="C742" s="10"/>
      <c r="D742" s="10"/>
      <c r="E742" s="10"/>
    </row>
    <row r="743" spans="1:5" ht="21.75" customHeight="1">
      <c r="A743" s="10"/>
      <c r="B743" s="10"/>
      <c r="C743" s="10"/>
      <c r="D743" s="10"/>
      <c r="E743" s="10"/>
    </row>
    <row r="744" spans="1:5" ht="21.75" customHeight="1">
      <c r="A744" s="10"/>
      <c r="B744" s="10"/>
      <c r="C744" s="10"/>
      <c r="D744" s="10"/>
      <c r="E744" s="10"/>
    </row>
    <row r="745" spans="1:5" ht="21.75" customHeight="1">
      <c r="A745" s="10"/>
      <c r="B745" s="10"/>
      <c r="C745" s="10"/>
      <c r="D745" s="10"/>
      <c r="E745" s="10"/>
    </row>
    <row r="746" spans="1:5" ht="21.75" customHeight="1">
      <c r="A746" s="10"/>
      <c r="B746" s="10"/>
      <c r="C746" s="10"/>
      <c r="D746" s="10"/>
      <c r="E746" s="10"/>
    </row>
    <row r="747" spans="1:5" ht="21.75" customHeight="1">
      <c r="A747" s="10"/>
      <c r="B747" s="10"/>
      <c r="C747" s="10"/>
      <c r="D747" s="10"/>
      <c r="E747" s="10"/>
    </row>
    <row r="748" spans="1:5" ht="21.75" customHeight="1">
      <c r="A748" s="10"/>
      <c r="B748" s="10"/>
      <c r="C748" s="10"/>
      <c r="D748" s="10"/>
      <c r="E748" s="10"/>
    </row>
    <row r="749" spans="1:5" ht="21.75" customHeight="1">
      <c r="A749" s="10"/>
      <c r="B749" s="10"/>
      <c r="C749" s="10"/>
      <c r="D749" s="10"/>
      <c r="E749" s="10"/>
    </row>
    <row r="750" spans="1:5" ht="21.75" customHeight="1">
      <c r="A750" s="10"/>
      <c r="B750" s="10"/>
      <c r="C750" s="10"/>
      <c r="D750" s="10"/>
      <c r="E750" s="10"/>
    </row>
    <row r="751" spans="1:5" ht="21.75" customHeight="1">
      <c r="A751" s="10"/>
      <c r="B751" s="10"/>
      <c r="C751" s="10"/>
      <c r="D751" s="10"/>
      <c r="E751" s="10"/>
    </row>
    <row r="752" spans="1:5" ht="21.75" customHeight="1">
      <c r="A752" s="10"/>
      <c r="B752" s="10"/>
      <c r="C752" s="10"/>
      <c r="D752" s="10"/>
      <c r="E752" s="10"/>
    </row>
    <row r="753" spans="1:5" ht="21.75" customHeight="1">
      <c r="A753" s="10"/>
      <c r="B753" s="10"/>
      <c r="C753" s="10"/>
      <c r="D753" s="10"/>
      <c r="E753" s="10"/>
    </row>
    <row r="754" spans="1:5" ht="21.75" customHeight="1">
      <c r="A754" s="10"/>
      <c r="B754" s="10"/>
      <c r="C754" s="10"/>
      <c r="D754" s="10"/>
      <c r="E754" s="10"/>
    </row>
    <row r="755" spans="1:5" ht="21.75" customHeight="1">
      <c r="A755" s="10"/>
      <c r="B755" s="10"/>
      <c r="C755" s="10"/>
      <c r="D755" s="10"/>
      <c r="E755" s="10"/>
    </row>
    <row r="756" spans="1:5" ht="21.75" customHeight="1">
      <c r="A756" s="10"/>
      <c r="B756" s="10"/>
      <c r="C756" s="10"/>
      <c r="D756" s="10"/>
      <c r="E756" s="10"/>
    </row>
    <row r="757" spans="1:5" ht="21.75" customHeight="1">
      <c r="A757" s="10"/>
      <c r="B757" s="10"/>
      <c r="C757" s="10"/>
      <c r="D757" s="10"/>
      <c r="E757" s="10"/>
    </row>
    <row r="758" spans="1:5" ht="21.75" customHeight="1">
      <c r="A758" s="10"/>
      <c r="B758" s="10"/>
      <c r="C758" s="10"/>
      <c r="D758" s="10"/>
      <c r="E758" s="10"/>
    </row>
    <row r="759" spans="1:5" ht="21.75" customHeight="1">
      <c r="A759" s="10"/>
      <c r="B759" s="10"/>
      <c r="C759" s="10"/>
      <c r="D759" s="10"/>
      <c r="E759" s="10"/>
    </row>
    <row r="760" spans="1:5" ht="21.75" customHeight="1">
      <c r="A760" s="10"/>
      <c r="B760" s="10"/>
      <c r="C760" s="10"/>
      <c r="D760" s="10"/>
      <c r="E760" s="10"/>
    </row>
    <row r="761" spans="1:5" ht="21.75" customHeight="1">
      <c r="A761" s="10"/>
      <c r="B761" s="10"/>
      <c r="C761" s="10"/>
      <c r="D761" s="10"/>
      <c r="E761" s="10"/>
    </row>
    <row r="762" spans="1:5" ht="21.75" customHeight="1">
      <c r="A762" s="10"/>
      <c r="B762" s="10"/>
      <c r="C762" s="10"/>
      <c r="D762" s="10"/>
      <c r="E762" s="10"/>
    </row>
    <row r="763" spans="1:5" ht="21.75" customHeight="1">
      <c r="A763" s="10"/>
      <c r="B763" s="10"/>
      <c r="C763" s="10"/>
      <c r="D763" s="10"/>
      <c r="E763" s="10"/>
    </row>
    <row r="764" spans="1:5" ht="21.75" customHeight="1">
      <c r="A764" s="10"/>
      <c r="B764" s="10"/>
      <c r="C764" s="10"/>
      <c r="D764" s="10"/>
      <c r="E764" s="10"/>
    </row>
    <row r="765" spans="1:5" ht="21.75" customHeight="1">
      <c r="A765" s="10"/>
      <c r="B765" s="10"/>
      <c r="C765" s="10"/>
      <c r="D765" s="10"/>
      <c r="E765" s="10"/>
    </row>
    <row r="766" spans="1:5" ht="21.75" customHeight="1">
      <c r="A766" s="10"/>
      <c r="B766" s="10"/>
      <c r="C766" s="10"/>
      <c r="D766" s="10"/>
      <c r="E766" s="10"/>
    </row>
    <row r="767" spans="1:5" ht="21.75" customHeight="1">
      <c r="A767" s="10"/>
      <c r="B767" s="10"/>
      <c r="C767" s="10"/>
      <c r="D767" s="10"/>
      <c r="E767" s="10"/>
    </row>
    <row r="768" spans="1:5" ht="21.75" customHeight="1">
      <c r="A768" s="10"/>
      <c r="B768" s="10"/>
      <c r="C768" s="10"/>
      <c r="D768" s="10"/>
      <c r="E768" s="10"/>
    </row>
    <row r="769" spans="1:5" ht="21.75" customHeight="1">
      <c r="A769" s="10"/>
      <c r="B769" s="10"/>
      <c r="C769" s="10"/>
      <c r="D769" s="10"/>
      <c r="E769" s="10"/>
    </row>
    <row r="770" spans="1:5" ht="21.75" customHeight="1">
      <c r="A770" s="10"/>
      <c r="B770" s="10"/>
      <c r="C770" s="10"/>
      <c r="D770" s="10"/>
      <c r="E770" s="10"/>
    </row>
    <row r="771" spans="1:5" ht="21.75" customHeight="1">
      <c r="A771" s="10"/>
      <c r="B771" s="10"/>
      <c r="C771" s="10"/>
      <c r="D771" s="10"/>
      <c r="E771" s="10"/>
    </row>
    <row r="772" spans="1:5" ht="21.75" customHeight="1">
      <c r="A772" s="10"/>
      <c r="B772" s="10"/>
      <c r="C772" s="10"/>
      <c r="D772" s="10"/>
      <c r="E772" s="10"/>
    </row>
    <row r="773" spans="1:5" ht="21.75" customHeight="1">
      <c r="A773" s="10"/>
      <c r="B773" s="10"/>
      <c r="C773" s="10"/>
      <c r="D773" s="10"/>
      <c r="E773" s="10"/>
    </row>
    <row r="774" spans="1:5" ht="21.75" customHeight="1">
      <c r="A774" s="10"/>
      <c r="B774" s="10"/>
      <c r="C774" s="10"/>
      <c r="D774" s="10"/>
      <c r="E774" s="10"/>
    </row>
    <row r="775" spans="1:5" ht="21.75" customHeight="1">
      <c r="A775" s="10"/>
      <c r="B775" s="10"/>
      <c r="C775" s="10"/>
      <c r="D775" s="10"/>
      <c r="E775" s="10"/>
    </row>
    <row r="776" spans="1:5" ht="21.75" customHeight="1">
      <c r="A776" s="10"/>
      <c r="B776" s="10"/>
      <c r="C776" s="10"/>
      <c r="D776" s="10"/>
      <c r="E776" s="10"/>
    </row>
    <row r="777" spans="1:5" ht="21.75" customHeight="1">
      <c r="A777" s="10"/>
      <c r="B777" s="10"/>
      <c r="C777" s="10"/>
      <c r="D777" s="10"/>
      <c r="E777" s="10"/>
    </row>
    <row r="778" spans="1:5" ht="21.75" customHeight="1">
      <c r="A778" s="10"/>
      <c r="B778" s="10"/>
      <c r="C778" s="10"/>
      <c r="D778" s="10"/>
      <c r="E778" s="10"/>
    </row>
    <row r="779" spans="1:5" ht="21.75" customHeight="1">
      <c r="A779" s="10"/>
      <c r="B779" s="10"/>
      <c r="C779" s="10"/>
      <c r="D779" s="10"/>
      <c r="E779" s="10"/>
    </row>
    <row r="780" spans="1:5" ht="21.75" customHeight="1">
      <c r="A780" s="10"/>
      <c r="B780" s="10"/>
      <c r="C780" s="10"/>
      <c r="D780" s="10"/>
      <c r="E780" s="10"/>
    </row>
    <row r="781" spans="1:5" ht="21.75" customHeight="1">
      <c r="A781" s="10"/>
      <c r="B781" s="10"/>
      <c r="C781" s="10"/>
      <c r="D781" s="10"/>
      <c r="E781" s="10"/>
    </row>
    <row r="782" spans="1:5" ht="21.75" customHeight="1">
      <c r="A782" s="10"/>
      <c r="B782" s="10"/>
      <c r="C782" s="10"/>
      <c r="D782" s="10"/>
      <c r="E782" s="10"/>
    </row>
    <row r="783" spans="1:5" ht="21.75" customHeight="1">
      <c r="A783" s="10"/>
      <c r="B783" s="10"/>
      <c r="C783" s="10"/>
      <c r="D783" s="10"/>
      <c r="E783" s="10"/>
    </row>
    <row r="784" spans="1:5" ht="21.75" customHeight="1">
      <c r="A784" s="10"/>
      <c r="B784" s="10"/>
      <c r="C784" s="10"/>
      <c r="D784" s="10"/>
      <c r="E784" s="10"/>
    </row>
    <row r="785" spans="1:5" ht="21.75" customHeight="1">
      <c r="A785" s="10"/>
      <c r="B785" s="10"/>
      <c r="C785" s="10"/>
      <c r="D785" s="10"/>
      <c r="E785" s="10"/>
    </row>
    <row r="786" spans="1:5" ht="21.75" customHeight="1">
      <c r="A786" s="10"/>
      <c r="B786" s="10"/>
      <c r="C786" s="10"/>
      <c r="D786" s="10"/>
      <c r="E786" s="10"/>
    </row>
    <row r="787" spans="1:5" ht="21.75" customHeight="1">
      <c r="A787" s="10"/>
      <c r="B787" s="10"/>
      <c r="C787" s="10"/>
      <c r="D787" s="10"/>
      <c r="E787" s="10"/>
    </row>
    <row r="788" spans="1:5" ht="21.75" customHeight="1">
      <c r="A788" s="10"/>
      <c r="B788" s="10"/>
      <c r="C788" s="10"/>
      <c r="D788" s="10"/>
      <c r="E788" s="10"/>
    </row>
    <row r="789" spans="1:5" ht="21.75" customHeight="1">
      <c r="A789" s="10"/>
      <c r="B789" s="10"/>
      <c r="C789" s="10"/>
      <c r="D789" s="10"/>
      <c r="E789" s="10"/>
    </row>
    <row r="790" spans="1:5" ht="21.75" customHeight="1">
      <c r="A790" s="10"/>
      <c r="B790" s="10"/>
      <c r="C790" s="10"/>
      <c r="D790" s="10"/>
      <c r="E790" s="10"/>
    </row>
    <row r="791" spans="1:5" ht="21.75" customHeight="1">
      <c r="A791" s="10"/>
      <c r="B791" s="10"/>
      <c r="C791" s="10"/>
      <c r="D791" s="10"/>
      <c r="E791" s="10"/>
    </row>
    <row r="792" spans="1:5" ht="21.75" customHeight="1">
      <c r="A792" s="10"/>
      <c r="B792" s="10"/>
      <c r="C792" s="10"/>
      <c r="D792" s="10"/>
      <c r="E792" s="10"/>
    </row>
    <row r="793" spans="1:5" ht="21.75" customHeight="1">
      <c r="A793" s="10"/>
      <c r="B793" s="10"/>
      <c r="C793" s="10"/>
      <c r="D793" s="10"/>
      <c r="E793" s="10"/>
    </row>
    <row r="794" spans="1:5" ht="21.75" customHeight="1">
      <c r="A794" s="10"/>
      <c r="B794" s="10"/>
      <c r="C794" s="10"/>
      <c r="D794" s="10"/>
      <c r="E794" s="10"/>
    </row>
    <row r="795" spans="1:5" ht="21.75" customHeight="1">
      <c r="A795" s="10"/>
      <c r="B795" s="10"/>
      <c r="C795" s="10"/>
      <c r="D795" s="10"/>
      <c r="E795" s="10"/>
    </row>
    <row r="796" spans="1:5" ht="21.75" customHeight="1">
      <c r="A796" s="10"/>
      <c r="B796" s="10"/>
      <c r="C796" s="10"/>
      <c r="D796" s="10"/>
      <c r="E796" s="10"/>
    </row>
    <row r="797" spans="1:5" ht="21.75" customHeight="1">
      <c r="A797" s="10"/>
      <c r="B797" s="10"/>
      <c r="C797" s="10"/>
      <c r="D797" s="10"/>
      <c r="E797" s="10"/>
    </row>
    <row r="798" spans="1:5" ht="21.75" customHeight="1">
      <c r="A798" s="10"/>
      <c r="B798" s="10"/>
      <c r="C798" s="10"/>
      <c r="D798" s="10"/>
      <c r="E798" s="10"/>
    </row>
    <row r="799" spans="1:5" ht="21.75" customHeight="1">
      <c r="A799" s="10"/>
      <c r="B799" s="10"/>
      <c r="C799" s="10"/>
      <c r="D799" s="10"/>
      <c r="E799" s="10"/>
    </row>
    <row r="800" spans="1:5" ht="21.75" customHeight="1">
      <c r="A800" s="10"/>
      <c r="B800" s="10"/>
      <c r="C800" s="10"/>
      <c r="D800" s="10"/>
      <c r="E800" s="10"/>
    </row>
    <row r="801" spans="1:5" ht="21.75" customHeight="1">
      <c r="A801" s="10"/>
      <c r="B801" s="10"/>
      <c r="C801" s="10"/>
      <c r="D801" s="10"/>
      <c r="E801" s="10"/>
    </row>
    <row r="802" spans="1:5" ht="21.75" customHeight="1">
      <c r="A802" s="10"/>
      <c r="B802" s="10"/>
      <c r="C802" s="10"/>
      <c r="D802" s="10"/>
      <c r="E802" s="10"/>
    </row>
    <row r="803" spans="1:5" ht="21.75" customHeight="1">
      <c r="A803" s="10"/>
      <c r="B803" s="10"/>
      <c r="C803" s="10"/>
      <c r="D803" s="10"/>
      <c r="E803" s="10"/>
    </row>
    <row r="804" spans="1:5" ht="21.75" customHeight="1">
      <c r="A804" s="10"/>
      <c r="B804" s="10"/>
      <c r="C804" s="10"/>
      <c r="D804" s="10"/>
      <c r="E804" s="10"/>
    </row>
    <row r="805" spans="1:5" ht="21.75" customHeight="1">
      <c r="A805" s="10"/>
      <c r="B805" s="10"/>
      <c r="C805" s="10"/>
      <c r="D805" s="10"/>
      <c r="E805" s="10"/>
    </row>
    <row r="806" spans="1:5" ht="21.75" customHeight="1">
      <c r="A806" s="10"/>
      <c r="B806" s="10"/>
      <c r="C806" s="10"/>
      <c r="D806" s="10"/>
      <c r="E806" s="10"/>
    </row>
    <row r="807" spans="1:5" ht="21.75" customHeight="1">
      <c r="A807" s="10"/>
      <c r="B807" s="10"/>
      <c r="C807" s="10"/>
      <c r="D807" s="10"/>
      <c r="E807" s="10"/>
    </row>
    <row r="808" spans="1:5" ht="21.75" customHeight="1">
      <c r="A808" s="10"/>
      <c r="B808" s="10"/>
      <c r="C808" s="10"/>
      <c r="D808" s="10"/>
      <c r="E808" s="10"/>
    </row>
    <row r="809" spans="1:5" ht="21.75" customHeight="1">
      <c r="A809" s="10"/>
      <c r="B809" s="10"/>
      <c r="C809" s="10"/>
      <c r="D809" s="10"/>
      <c r="E809" s="10"/>
    </row>
    <row r="810" spans="1:5" ht="21.75" customHeight="1">
      <c r="A810" s="10"/>
      <c r="B810" s="10"/>
      <c r="C810" s="10"/>
      <c r="D810" s="10"/>
      <c r="E810" s="10"/>
    </row>
    <row r="811" spans="1:5" ht="21.75" customHeight="1">
      <c r="A811" s="10"/>
      <c r="B811" s="10"/>
      <c r="C811" s="10"/>
      <c r="D811" s="10"/>
      <c r="E811" s="10"/>
    </row>
    <row r="812" spans="1:5" ht="21.75" customHeight="1">
      <c r="A812" s="10"/>
      <c r="B812" s="10"/>
      <c r="C812" s="10"/>
      <c r="D812" s="10"/>
      <c r="E812" s="10"/>
    </row>
    <row r="813" spans="1:5" ht="21.75" customHeight="1">
      <c r="A813" s="10"/>
      <c r="B813" s="10"/>
      <c r="C813" s="10"/>
      <c r="D813" s="10"/>
      <c r="E813" s="10"/>
    </row>
    <row r="814" spans="1:5" ht="21.75" customHeight="1">
      <c r="A814" s="10"/>
      <c r="B814" s="10"/>
      <c r="C814" s="10"/>
      <c r="D814" s="10"/>
      <c r="E814" s="10"/>
    </row>
    <row r="815" spans="1:5" ht="21.75" customHeight="1">
      <c r="A815" s="10"/>
      <c r="B815" s="10"/>
      <c r="C815" s="10"/>
      <c r="D815" s="10"/>
      <c r="E815" s="10"/>
    </row>
    <row r="816" spans="1:5" ht="21.75" customHeight="1">
      <c r="A816" s="10"/>
      <c r="B816" s="10"/>
      <c r="C816" s="10"/>
      <c r="D816" s="10"/>
      <c r="E816" s="10"/>
    </row>
    <row r="817" spans="1:5" ht="21.75" customHeight="1">
      <c r="A817" s="10"/>
      <c r="B817" s="10"/>
      <c r="C817" s="10"/>
      <c r="D817" s="10"/>
      <c r="E817" s="10"/>
    </row>
    <row r="818" spans="1:5" ht="21.75" customHeight="1">
      <c r="A818" s="10"/>
      <c r="B818" s="10"/>
      <c r="C818" s="10"/>
      <c r="D818" s="10"/>
      <c r="E818" s="10"/>
    </row>
    <row r="819" spans="1:5" ht="21.75" customHeight="1">
      <c r="A819" s="10"/>
      <c r="B819" s="10"/>
      <c r="C819" s="10"/>
      <c r="D819" s="10"/>
      <c r="E819" s="10"/>
    </row>
    <row r="820" spans="1:5" ht="21.75" customHeight="1">
      <c r="A820" s="10"/>
      <c r="B820" s="10"/>
      <c r="C820" s="10"/>
      <c r="D820" s="10"/>
      <c r="E820" s="10"/>
    </row>
    <row r="821" spans="1:5" ht="21.75" customHeight="1">
      <c r="A821" s="10"/>
      <c r="B821" s="10"/>
      <c r="C821" s="10"/>
      <c r="D821" s="10"/>
      <c r="E821" s="10"/>
    </row>
    <row r="822" spans="1:5" ht="21.75" customHeight="1">
      <c r="A822" s="10"/>
      <c r="B822" s="10"/>
      <c r="C822" s="10"/>
      <c r="D822" s="10"/>
      <c r="E822" s="10"/>
    </row>
    <row r="823" spans="1:5" ht="21.75" customHeight="1">
      <c r="A823" s="10"/>
      <c r="B823" s="10"/>
      <c r="C823" s="10"/>
      <c r="D823" s="10"/>
      <c r="E823" s="10"/>
    </row>
    <row r="824" spans="1:5" ht="21.75" customHeight="1">
      <c r="A824" s="10"/>
      <c r="B824" s="10"/>
      <c r="C824" s="10"/>
      <c r="D824" s="10"/>
      <c r="E824" s="10"/>
    </row>
    <row r="825" spans="1:5" ht="21.75" customHeight="1">
      <c r="A825" s="10"/>
      <c r="B825" s="10"/>
      <c r="C825" s="10"/>
      <c r="D825" s="10"/>
      <c r="E825" s="10"/>
    </row>
    <row r="826" spans="1:5" ht="21.75" customHeight="1">
      <c r="A826" s="10"/>
      <c r="B826" s="10"/>
      <c r="C826" s="10"/>
      <c r="D826" s="10"/>
      <c r="E826" s="10"/>
    </row>
    <row r="827" spans="1:5" ht="21.75" customHeight="1">
      <c r="A827" s="10"/>
      <c r="B827" s="10"/>
      <c r="C827" s="10"/>
      <c r="D827" s="10"/>
      <c r="E827" s="10"/>
    </row>
    <row r="828" spans="1:5" ht="21.75" customHeight="1">
      <c r="A828" s="10"/>
      <c r="B828" s="10"/>
      <c r="C828" s="10"/>
      <c r="D828" s="10"/>
      <c r="E828" s="10"/>
    </row>
    <row r="829" spans="1:5" ht="21.75" customHeight="1">
      <c r="A829" s="10"/>
      <c r="B829" s="10"/>
      <c r="C829" s="10"/>
      <c r="D829" s="10"/>
      <c r="E829" s="10"/>
    </row>
    <row r="830" spans="1:5" ht="21.75" customHeight="1">
      <c r="A830" s="10"/>
      <c r="B830" s="10"/>
      <c r="C830" s="10"/>
      <c r="D830" s="10"/>
      <c r="E830" s="10"/>
    </row>
    <row r="831" spans="1:5" ht="21.75" customHeight="1">
      <c r="A831" s="10"/>
      <c r="B831" s="10"/>
      <c r="C831" s="10"/>
      <c r="D831" s="10"/>
      <c r="E831" s="10"/>
    </row>
    <row r="832" spans="1:5" ht="21.75" customHeight="1">
      <c r="A832" s="10"/>
      <c r="B832" s="10"/>
      <c r="C832" s="10"/>
      <c r="D832" s="10"/>
      <c r="E832" s="10"/>
    </row>
    <row r="833" spans="1:5" ht="21.75" customHeight="1">
      <c r="A833" s="10"/>
      <c r="B833" s="10"/>
      <c r="C833" s="10"/>
      <c r="D833" s="10"/>
      <c r="E833" s="10"/>
    </row>
    <row r="834" spans="1:5" ht="21.75" customHeight="1">
      <c r="A834" s="10"/>
      <c r="B834" s="10"/>
      <c r="C834" s="10"/>
      <c r="D834" s="10"/>
      <c r="E834" s="10"/>
    </row>
    <row r="835" spans="1:5" ht="21.75" customHeight="1">
      <c r="A835" s="10"/>
      <c r="B835" s="10"/>
      <c r="C835" s="10"/>
      <c r="D835" s="10"/>
      <c r="E835" s="10"/>
    </row>
    <row r="836" spans="1:5" ht="21.75" customHeight="1">
      <c r="A836" s="10"/>
      <c r="B836" s="10"/>
      <c r="C836" s="10"/>
      <c r="D836" s="10"/>
      <c r="E836" s="10"/>
    </row>
    <row r="837" spans="1:5" ht="21.75" customHeight="1">
      <c r="A837" s="10"/>
      <c r="B837" s="10"/>
      <c r="C837" s="10"/>
      <c r="D837" s="10"/>
      <c r="E837" s="10"/>
    </row>
    <row r="838" spans="1:5" ht="21.75" customHeight="1">
      <c r="A838" s="10"/>
      <c r="B838" s="10"/>
      <c r="C838" s="10"/>
      <c r="D838" s="10"/>
      <c r="E838" s="10"/>
    </row>
    <row r="839" spans="1:5" ht="21.75" customHeight="1">
      <c r="A839" s="10"/>
      <c r="B839" s="10"/>
      <c r="C839" s="10"/>
      <c r="D839" s="10"/>
      <c r="E839" s="10"/>
    </row>
    <row r="840" spans="1:5" ht="21.75" customHeight="1">
      <c r="A840" s="10"/>
      <c r="B840" s="10"/>
      <c r="C840" s="10"/>
      <c r="D840" s="10"/>
      <c r="E840" s="10"/>
    </row>
    <row r="841" spans="1:5" ht="21.75" customHeight="1">
      <c r="A841" s="10"/>
      <c r="B841" s="10"/>
      <c r="C841" s="10"/>
      <c r="D841" s="10"/>
      <c r="E841" s="10"/>
    </row>
    <row r="842" spans="1:5" ht="21.75" customHeight="1">
      <c r="A842" s="10"/>
      <c r="B842" s="10"/>
      <c r="C842" s="10"/>
      <c r="D842" s="10"/>
      <c r="E842" s="10"/>
    </row>
    <row r="843" spans="1:5" ht="21.75" customHeight="1">
      <c r="A843" s="10"/>
      <c r="B843" s="10"/>
      <c r="C843" s="10"/>
      <c r="D843" s="10"/>
      <c r="E843" s="10"/>
    </row>
    <row r="844" spans="1:5" ht="21.75" customHeight="1">
      <c r="A844" s="10"/>
      <c r="B844" s="10"/>
      <c r="C844" s="10"/>
      <c r="D844" s="10"/>
      <c r="E844" s="10"/>
    </row>
    <row r="845" spans="1:5" ht="21.75" customHeight="1">
      <c r="A845" s="10"/>
      <c r="B845" s="10"/>
      <c r="C845" s="10"/>
      <c r="D845" s="10"/>
      <c r="E845" s="10"/>
    </row>
    <row r="846" spans="1:5" ht="21.75" customHeight="1">
      <c r="A846" s="10"/>
      <c r="B846" s="10"/>
      <c r="C846" s="10"/>
      <c r="D846" s="10"/>
      <c r="E846" s="10"/>
    </row>
    <row r="847" spans="1:5" ht="21.75" customHeight="1">
      <c r="A847" s="10"/>
      <c r="B847" s="10"/>
      <c r="C847" s="10"/>
      <c r="D847" s="10"/>
      <c r="E847" s="10"/>
    </row>
    <row r="848" spans="1:5" ht="21.75" customHeight="1">
      <c r="A848" s="10"/>
      <c r="B848" s="10"/>
      <c r="C848" s="10"/>
      <c r="D848" s="10"/>
      <c r="E848" s="10"/>
    </row>
    <row r="849" spans="1:5" ht="21.75" customHeight="1">
      <c r="A849" s="10"/>
      <c r="B849" s="10"/>
      <c r="C849" s="10"/>
      <c r="D849" s="10"/>
      <c r="E849" s="10"/>
    </row>
    <row r="850" spans="1:5" ht="21.75" customHeight="1">
      <c r="A850" s="10"/>
      <c r="B850" s="10"/>
      <c r="C850" s="10"/>
      <c r="D850" s="10"/>
      <c r="E850" s="10"/>
    </row>
    <row r="851" spans="1:5" ht="21.75" customHeight="1">
      <c r="A851" s="10"/>
      <c r="B851" s="10"/>
      <c r="C851" s="10"/>
      <c r="D851" s="10"/>
      <c r="E851" s="10"/>
    </row>
    <row r="852" spans="1:5" ht="21.75" customHeight="1">
      <c r="A852" s="10"/>
      <c r="B852" s="10"/>
      <c r="C852" s="10"/>
      <c r="D852" s="10"/>
      <c r="E852" s="10"/>
    </row>
    <row r="853" spans="1:5" ht="21.75" customHeight="1">
      <c r="A853" s="10"/>
      <c r="B853" s="10"/>
      <c r="C853" s="10"/>
      <c r="D853" s="10"/>
      <c r="E853" s="10"/>
    </row>
    <row r="854" spans="1:5" ht="21.75" customHeight="1">
      <c r="A854" s="10"/>
      <c r="B854" s="10"/>
      <c r="C854" s="10"/>
      <c r="D854" s="10"/>
      <c r="E854" s="10"/>
    </row>
    <row r="855" spans="1:5" ht="21.75" customHeight="1">
      <c r="A855" s="10"/>
      <c r="B855" s="10"/>
      <c r="C855" s="10"/>
      <c r="D855" s="10"/>
      <c r="E855" s="10"/>
    </row>
    <row r="856" spans="1:5" ht="21.75" customHeight="1">
      <c r="A856" s="10"/>
      <c r="B856" s="10"/>
      <c r="C856" s="10"/>
      <c r="D856" s="10"/>
      <c r="E856" s="10"/>
    </row>
    <row r="857" spans="1:5" ht="21.75" customHeight="1">
      <c r="A857" s="10"/>
      <c r="B857" s="10"/>
      <c r="C857" s="10"/>
      <c r="D857" s="10"/>
      <c r="E857" s="10"/>
    </row>
    <row r="858" spans="1:5" ht="21.75" customHeight="1">
      <c r="A858" s="10"/>
      <c r="B858" s="10"/>
      <c r="C858" s="10"/>
      <c r="D858" s="10"/>
      <c r="E858" s="10"/>
    </row>
    <row r="859" spans="1:5" ht="21.75" customHeight="1">
      <c r="A859" s="10"/>
      <c r="B859" s="10"/>
      <c r="C859" s="10"/>
      <c r="D859" s="10"/>
      <c r="E859" s="10"/>
    </row>
    <row r="860" spans="1:5" ht="21.75" customHeight="1">
      <c r="A860" s="10"/>
      <c r="B860" s="10"/>
      <c r="C860" s="10"/>
      <c r="D860" s="10"/>
      <c r="E860" s="10"/>
    </row>
    <row r="861" spans="1:5" ht="21.75" customHeight="1">
      <c r="A861" s="10"/>
      <c r="B861" s="10"/>
      <c r="C861" s="10"/>
      <c r="D861" s="10"/>
      <c r="E861" s="10"/>
    </row>
    <row r="862" spans="1:5" ht="21.75" customHeight="1">
      <c r="A862" s="10"/>
      <c r="B862" s="10"/>
      <c r="C862" s="10"/>
      <c r="D862" s="10"/>
      <c r="E862" s="10"/>
    </row>
    <row r="863" spans="1:5" ht="21.75" customHeight="1">
      <c r="A863" s="10"/>
      <c r="B863" s="10"/>
      <c r="C863" s="10"/>
      <c r="D863" s="10"/>
      <c r="E863" s="10"/>
    </row>
    <row r="864" spans="1:5" ht="21.75" customHeight="1">
      <c r="A864" s="10"/>
      <c r="B864" s="10"/>
      <c r="C864" s="10"/>
      <c r="D864" s="10"/>
      <c r="E864" s="10"/>
    </row>
    <row r="865" spans="1:5" ht="21.75" customHeight="1">
      <c r="A865" s="10"/>
      <c r="B865" s="10"/>
      <c r="C865" s="10"/>
      <c r="D865" s="10"/>
      <c r="E865" s="10"/>
    </row>
    <row r="866" spans="1:5" ht="21.75" customHeight="1">
      <c r="A866" s="10"/>
      <c r="B866" s="10"/>
      <c r="C866" s="10"/>
      <c r="D866" s="10"/>
      <c r="E866" s="10"/>
    </row>
    <row r="867" spans="1:5" ht="21.75" customHeight="1">
      <c r="A867" s="10"/>
      <c r="B867" s="10"/>
      <c r="C867" s="10"/>
      <c r="D867" s="10"/>
      <c r="E867" s="10"/>
    </row>
    <row r="868" spans="1:5" ht="21.75" customHeight="1">
      <c r="A868" s="10"/>
      <c r="B868" s="10"/>
      <c r="C868" s="10"/>
      <c r="D868" s="10"/>
      <c r="E868" s="10"/>
    </row>
    <row r="869" spans="1:5" ht="21.75" customHeight="1">
      <c r="A869" s="10"/>
      <c r="B869" s="10"/>
      <c r="C869" s="10"/>
      <c r="D869" s="10"/>
      <c r="E869" s="10"/>
    </row>
    <row r="870" spans="1:5" ht="21.75" customHeight="1">
      <c r="A870" s="10"/>
      <c r="B870" s="10"/>
      <c r="C870" s="10"/>
      <c r="D870" s="10"/>
      <c r="E870" s="10"/>
    </row>
    <row r="871" spans="1:5" ht="21.75" customHeight="1">
      <c r="A871" s="10"/>
      <c r="B871" s="10"/>
      <c r="C871" s="10"/>
      <c r="D871" s="10"/>
      <c r="E871" s="10"/>
    </row>
    <row r="872" spans="1:5" ht="21.75" customHeight="1">
      <c r="A872" s="10"/>
      <c r="B872" s="10"/>
      <c r="C872" s="10"/>
      <c r="D872" s="10"/>
      <c r="E872" s="10"/>
    </row>
    <row r="873" spans="1:5" ht="21.75" customHeight="1">
      <c r="A873" s="10"/>
      <c r="B873" s="10"/>
      <c r="C873" s="10"/>
      <c r="D873" s="10"/>
      <c r="E873" s="10"/>
    </row>
    <row r="874" spans="1:5" ht="21.75" customHeight="1">
      <c r="A874" s="10"/>
      <c r="B874" s="10"/>
      <c r="C874" s="10"/>
      <c r="D874" s="10"/>
      <c r="E874" s="10"/>
    </row>
    <row r="875" spans="1:5" ht="21.75" customHeight="1">
      <c r="A875" s="10"/>
      <c r="B875" s="10"/>
      <c r="C875" s="10"/>
      <c r="D875" s="10"/>
      <c r="E875" s="10"/>
    </row>
    <row r="876" spans="1:5" ht="21.75" customHeight="1">
      <c r="A876" s="10"/>
      <c r="B876" s="10"/>
      <c r="C876" s="10"/>
      <c r="D876" s="10"/>
      <c r="E876" s="10"/>
    </row>
    <row r="877" spans="1:5" ht="21.75" customHeight="1">
      <c r="A877" s="10"/>
      <c r="B877" s="10"/>
      <c r="C877" s="10"/>
      <c r="D877" s="10"/>
      <c r="E877" s="10"/>
    </row>
    <row r="878" spans="1:5" ht="21.75" customHeight="1">
      <c r="A878" s="10"/>
      <c r="B878" s="10"/>
      <c r="C878" s="10"/>
      <c r="D878" s="10"/>
      <c r="E878" s="10"/>
    </row>
    <row r="879" spans="1:5" ht="21.75" customHeight="1">
      <c r="A879" s="10"/>
      <c r="B879" s="10"/>
      <c r="C879" s="10"/>
      <c r="D879" s="10"/>
      <c r="E879" s="10"/>
    </row>
    <row r="880" spans="1:5" ht="21.75" customHeight="1">
      <c r="A880" s="10"/>
      <c r="B880" s="10"/>
      <c r="C880" s="10"/>
      <c r="D880" s="10"/>
      <c r="E880" s="10"/>
    </row>
    <row r="881" spans="1:5" ht="21.75" customHeight="1">
      <c r="A881" s="10"/>
      <c r="B881" s="10"/>
      <c r="C881" s="10"/>
      <c r="D881" s="10"/>
      <c r="E881" s="10"/>
    </row>
    <row r="882" spans="1:5" ht="21.75" customHeight="1">
      <c r="A882" s="10"/>
      <c r="B882" s="10"/>
      <c r="C882" s="10"/>
      <c r="D882" s="10"/>
      <c r="E882" s="10"/>
    </row>
    <row r="883" spans="1:5" ht="21.75" customHeight="1">
      <c r="A883" s="10"/>
      <c r="B883" s="10"/>
      <c r="C883" s="10"/>
      <c r="D883" s="10"/>
      <c r="E883" s="10"/>
    </row>
    <row r="884" spans="1:5" ht="21.75" customHeight="1">
      <c r="A884" s="10"/>
      <c r="B884" s="10"/>
      <c r="C884" s="10"/>
      <c r="D884" s="10"/>
      <c r="E884" s="10"/>
    </row>
    <row r="885" spans="1:5" ht="21.75" customHeight="1">
      <c r="A885" s="10"/>
      <c r="B885" s="10"/>
      <c r="C885" s="10"/>
      <c r="D885" s="10"/>
      <c r="E885" s="10"/>
    </row>
    <row r="886" spans="1:5" ht="21.75" customHeight="1">
      <c r="A886" s="10"/>
      <c r="B886" s="10"/>
      <c r="C886" s="10"/>
      <c r="D886" s="10"/>
      <c r="E886" s="10"/>
    </row>
    <row r="887" spans="1:5" ht="21.75" customHeight="1">
      <c r="A887" s="10"/>
      <c r="B887" s="10"/>
      <c r="C887" s="10"/>
      <c r="D887" s="10"/>
      <c r="E887" s="10"/>
    </row>
    <row r="888" spans="1:5" ht="21.75" customHeight="1">
      <c r="A888" s="10"/>
      <c r="B888" s="10"/>
      <c r="C888" s="10"/>
      <c r="D888" s="10"/>
      <c r="E888" s="10"/>
    </row>
    <row r="889" spans="1:5" ht="21.75" customHeight="1">
      <c r="A889" s="10"/>
      <c r="B889" s="10"/>
      <c r="C889" s="10"/>
      <c r="D889" s="10"/>
      <c r="E889" s="10"/>
    </row>
    <row r="890" spans="1:5" ht="21.75" customHeight="1">
      <c r="A890" s="10"/>
      <c r="B890" s="10"/>
      <c r="C890" s="10"/>
      <c r="D890" s="10"/>
      <c r="E890" s="10"/>
    </row>
    <row r="891" spans="1:5" ht="21.75" customHeight="1">
      <c r="A891" s="10"/>
      <c r="B891" s="10"/>
      <c r="C891" s="10"/>
      <c r="D891" s="10"/>
      <c r="E891" s="10"/>
    </row>
    <row r="892" spans="1:5" ht="21.75" customHeight="1">
      <c r="A892" s="10"/>
      <c r="B892" s="10"/>
      <c r="C892" s="10"/>
      <c r="D892" s="10"/>
      <c r="E892" s="10"/>
    </row>
    <row r="893" spans="1:5" ht="21.75" customHeight="1">
      <c r="A893" s="10"/>
      <c r="B893" s="10"/>
      <c r="C893" s="10"/>
      <c r="D893" s="10"/>
      <c r="E893" s="10"/>
    </row>
    <row r="894" spans="1:5" ht="21.75" customHeight="1">
      <c r="A894" s="10"/>
      <c r="B894" s="10"/>
      <c r="C894" s="10"/>
      <c r="D894" s="10"/>
      <c r="E894" s="10"/>
    </row>
    <row r="895" spans="1:5" ht="21.75" customHeight="1">
      <c r="A895" s="10"/>
      <c r="B895" s="10"/>
      <c r="C895" s="10"/>
      <c r="D895" s="10"/>
      <c r="E895" s="10"/>
    </row>
    <row r="896" spans="1:5" ht="21.75" customHeight="1">
      <c r="A896" s="10"/>
      <c r="B896" s="10"/>
      <c r="C896" s="10"/>
      <c r="D896" s="10"/>
      <c r="E896" s="10"/>
    </row>
    <row r="897" spans="1:5" ht="21.75" customHeight="1">
      <c r="A897" s="10"/>
      <c r="B897" s="10"/>
      <c r="C897" s="10"/>
      <c r="D897" s="10"/>
      <c r="E897" s="10"/>
    </row>
    <row r="898" spans="1:5" ht="21.75" customHeight="1">
      <c r="A898" s="10"/>
      <c r="B898" s="10"/>
      <c r="C898" s="10"/>
      <c r="D898" s="10"/>
      <c r="E898" s="10"/>
    </row>
    <row r="899" spans="1:5" ht="21.75" customHeight="1">
      <c r="A899" s="10"/>
      <c r="B899" s="10"/>
      <c r="C899" s="10"/>
      <c r="D899" s="10"/>
      <c r="E899" s="10"/>
    </row>
    <row r="900" spans="1:5" ht="21.75" customHeight="1">
      <c r="A900" s="10"/>
      <c r="B900" s="10"/>
      <c r="C900" s="10"/>
      <c r="D900" s="10"/>
      <c r="E900" s="10"/>
    </row>
    <row r="901" spans="1:5" ht="21.75" customHeight="1">
      <c r="A901" s="10"/>
      <c r="B901" s="10"/>
      <c r="C901" s="10"/>
      <c r="D901" s="10"/>
      <c r="E901" s="10"/>
    </row>
    <row r="902" spans="1:5" ht="21.75" customHeight="1">
      <c r="A902" s="10"/>
      <c r="B902" s="10"/>
      <c r="C902" s="10"/>
      <c r="D902" s="10"/>
      <c r="E902" s="10"/>
    </row>
    <row r="903" spans="1:5" ht="21.75" customHeight="1">
      <c r="A903" s="10"/>
      <c r="B903" s="10"/>
      <c r="C903" s="10"/>
      <c r="D903" s="10"/>
      <c r="E903" s="10"/>
    </row>
    <row r="904" spans="1:5" ht="21.75" customHeight="1">
      <c r="A904" s="10"/>
      <c r="B904" s="10"/>
      <c r="C904" s="10"/>
      <c r="D904" s="10"/>
      <c r="E904" s="10"/>
    </row>
    <row r="905" spans="1:5" ht="21.75" customHeight="1">
      <c r="A905" s="10"/>
      <c r="B905" s="10"/>
      <c r="C905" s="10"/>
      <c r="D905" s="10"/>
      <c r="E905" s="10"/>
    </row>
    <row r="906" spans="1:5" ht="21.75" customHeight="1">
      <c r="A906" s="10"/>
      <c r="B906" s="10"/>
      <c r="C906" s="10"/>
      <c r="D906" s="10"/>
      <c r="E906" s="10"/>
    </row>
    <row r="907" spans="1:5" ht="21.75" customHeight="1">
      <c r="A907" s="10"/>
      <c r="B907" s="10"/>
      <c r="C907" s="10"/>
      <c r="D907" s="10"/>
      <c r="E907" s="10"/>
    </row>
    <row r="908" spans="1:5" ht="21.75" customHeight="1">
      <c r="A908" s="10"/>
      <c r="B908" s="10"/>
      <c r="C908" s="10"/>
      <c r="D908" s="10"/>
      <c r="E908" s="10"/>
    </row>
    <row r="909" spans="1:5" ht="21.75" customHeight="1">
      <c r="A909" s="10"/>
      <c r="B909" s="10"/>
      <c r="C909" s="10"/>
      <c r="D909" s="10"/>
      <c r="E909" s="10"/>
    </row>
    <row r="910" spans="1:5" ht="21.75" customHeight="1">
      <c r="A910" s="10"/>
      <c r="B910" s="10"/>
      <c r="C910" s="10"/>
      <c r="D910" s="10"/>
      <c r="E910" s="10"/>
    </row>
    <row r="911" spans="1:5" ht="21.75" customHeight="1">
      <c r="A911" s="10"/>
      <c r="B911" s="10"/>
      <c r="C911" s="10"/>
      <c r="D911" s="10"/>
      <c r="E911" s="10"/>
    </row>
    <row r="912" spans="1:5" ht="21.75" customHeight="1">
      <c r="A912" s="10"/>
      <c r="B912" s="10"/>
      <c r="C912" s="10"/>
      <c r="D912" s="10"/>
      <c r="E912" s="10"/>
    </row>
    <row r="913" spans="1:5" ht="21.75" customHeight="1">
      <c r="A913" s="10"/>
      <c r="B913" s="10"/>
      <c r="C913" s="10"/>
      <c r="D913" s="10"/>
      <c r="E913" s="10"/>
    </row>
    <row r="914" spans="1:5" ht="21.75" customHeight="1">
      <c r="A914" s="10"/>
      <c r="B914" s="10"/>
      <c r="C914" s="10"/>
      <c r="D914" s="10"/>
      <c r="E914" s="10"/>
    </row>
    <row r="915" spans="1:5" ht="21.75" customHeight="1">
      <c r="A915" s="10"/>
      <c r="B915" s="10"/>
      <c r="C915" s="10"/>
      <c r="D915" s="10"/>
      <c r="E915" s="10"/>
    </row>
    <row r="916" spans="1:5" ht="21.75" customHeight="1">
      <c r="A916" s="10"/>
      <c r="B916" s="10"/>
      <c r="C916" s="10"/>
      <c r="D916" s="10"/>
      <c r="E916" s="10"/>
    </row>
    <row r="917" spans="1:5" ht="21.75" customHeight="1">
      <c r="A917" s="10"/>
      <c r="B917" s="10"/>
      <c r="C917" s="10"/>
      <c r="D917" s="10"/>
      <c r="E917" s="10"/>
    </row>
    <row r="918" spans="1:5" ht="21.75" customHeight="1">
      <c r="A918" s="10"/>
      <c r="B918" s="10"/>
      <c r="C918" s="10"/>
      <c r="D918" s="10"/>
      <c r="E918" s="10"/>
    </row>
    <row r="919" spans="1:5" ht="21.75" customHeight="1">
      <c r="A919" s="10"/>
      <c r="B919" s="10"/>
      <c r="C919" s="10"/>
      <c r="D919" s="10"/>
      <c r="E919" s="10"/>
    </row>
    <row r="920" spans="1:5" ht="21.75" customHeight="1">
      <c r="A920" s="10"/>
      <c r="B920" s="10"/>
      <c r="C920" s="10"/>
      <c r="D920" s="10"/>
      <c r="E920" s="10"/>
    </row>
    <row r="921" spans="1:5" ht="21.75" customHeight="1">
      <c r="A921" s="10"/>
      <c r="B921" s="10"/>
      <c r="C921" s="10"/>
      <c r="D921" s="10"/>
      <c r="E921" s="10"/>
    </row>
    <row r="922" spans="1:5" ht="21.75" customHeight="1">
      <c r="A922" s="10"/>
      <c r="B922" s="10"/>
      <c r="C922" s="10"/>
      <c r="D922" s="10"/>
      <c r="E922" s="10"/>
    </row>
    <row r="923" spans="1:5" ht="21.75" customHeight="1">
      <c r="A923" s="10"/>
      <c r="B923" s="10"/>
      <c r="C923" s="10"/>
      <c r="D923" s="10"/>
      <c r="E923" s="10"/>
    </row>
    <row r="924" spans="1:5" ht="21.75" customHeight="1">
      <c r="A924" s="10"/>
      <c r="B924" s="10"/>
      <c r="C924" s="10"/>
      <c r="D924" s="10"/>
      <c r="E924" s="10"/>
    </row>
    <row r="925" spans="1:5" ht="21.75" customHeight="1">
      <c r="A925" s="10"/>
      <c r="B925" s="10"/>
      <c r="C925" s="10"/>
      <c r="D925" s="10"/>
      <c r="E925" s="10"/>
    </row>
    <row r="926" spans="1:5" ht="21.75" customHeight="1">
      <c r="A926" s="10"/>
      <c r="B926" s="10"/>
      <c r="C926" s="10"/>
      <c r="D926" s="10"/>
      <c r="E926" s="10"/>
    </row>
    <row r="927" spans="1:5" ht="21.75" customHeight="1">
      <c r="A927" s="10"/>
      <c r="B927" s="10"/>
      <c r="C927" s="10"/>
      <c r="D927" s="10"/>
      <c r="E927" s="10"/>
    </row>
    <row r="928" spans="1:5" ht="21.75" customHeight="1">
      <c r="A928" s="10"/>
      <c r="B928" s="10"/>
      <c r="C928" s="10"/>
      <c r="D928" s="10"/>
      <c r="E928" s="10"/>
    </row>
    <row r="929" spans="1:5" ht="21.75" customHeight="1">
      <c r="A929" s="10"/>
      <c r="B929" s="10"/>
      <c r="C929" s="10"/>
      <c r="D929" s="10"/>
      <c r="E929" s="10"/>
    </row>
    <row r="930" spans="1:5" ht="21.75" customHeight="1">
      <c r="A930" s="10"/>
      <c r="B930" s="10"/>
      <c r="C930" s="10"/>
      <c r="D930" s="10"/>
      <c r="E930" s="10"/>
    </row>
    <row r="931" spans="1:5" ht="21.75" customHeight="1">
      <c r="A931" s="10"/>
      <c r="B931" s="10"/>
      <c r="C931" s="10"/>
      <c r="D931" s="10"/>
      <c r="E931" s="10"/>
    </row>
    <row r="932" spans="1:5" ht="21.75" customHeight="1">
      <c r="A932" s="10"/>
      <c r="B932" s="10"/>
      <c r="C932" s="10"/>
      <c r="D932" s="10"/>
      <c r="E932" s="10"/>
    </row>
    <row r="933" spans="1:5" ht="21.75" customHeight="1">
      <c r="A933" s="10"/>
      <c r="B933" s="10"/>
      <c r="C933" s="10"/>
      <c r="D933" s="10"/>
      <c r="E933" s="10"/>
    </row>
    <row r="934" spans="1:5" ht="21.75" customHeight="1">
      <c r="A934" s="10"/>
      <c r="B934" s="10"/>
      <c r="C934" s="10"/>
      <c r="D934" s="10"/>
      <c r="E934" s="10"/>
    </row>
    <row r="935" spans="1:5" ht="21.75" customHeight="1">
      <c r="A935" s="10"/>
      <c r="B935" s="10"/>
      <c r="C935" s="10"/>
      <c r="D935" s="10"/>
      <c r="E935" s="10"/>
    </row>
    <row r="936" spans="1:5" ht="21.75" customHeight="1">
      <c r="A936" s="10"/>
      <c r="B936" s="10"/>
      <c r="C936" s="10"/>
      <c r="D936" s="10"/>
      <c r="E936" s="10"/>
    </row>
    <row r="937" spans="1:5" ht="21.75" customHeight="1">
      <c r="A937" s="10"/>
      <c r="B937" s="10"/>
      <c r="C937" s="10"/>
      <c r="D937" s="10"/>
      <c r="E937" s="10"/>
    </row>
    <row r="938" spans="1:5" ht="21.75" customHeight="1">
      <c r="A938" s="10"/>
      <c r="B938" s="10"/>
      <c r="C938" s="10"/>
      <c r="D938" s="10"/>
      <c r="E938" s="10"/>
    </row>
    <row r="939" spans="1:5" ht="21.75" customHeight="1">
      <c r="A939" s="10"/>
      <c r="B939" s="10"/>
      <c r="C939" s="10"/>
      <c r="D939" s="10"/>
      <c r="E939" s="10"/>
    </row>
    <row r="940" spans="1:5" ht="21.75" customHeight="1">
      <c r="A940" s="10"/>
      <c r="B940" s="10"/>
      <c r="C940" s="10"/>
      <c r="D940" s="10"/>
      <c r="E940" s="10"/>
    </row>
    <row r="941" spans="1:5" ht="21.75" customHeight="1">
      <c r="A941" s="10"/>
      <c r="B941" s="10"/>
      <c r="C941" s="10"/>
      <c r="D941" s="10"/>
      <c r="E941" s="10"/>
    </row>
    <row r="942" spans="1:5" ht="21.75" customHeight="1">
      <c r="A942" s="10"/>
      <c r="B942" s="10"/>
      <c r="C942" s="10"/>
      <c r="D942" s="10"/>
      <c r="E942" s="10"/>
    </row>
    <row r="943" spans="1:5" ht="21.75" customHeight="1">
      <c r="A943" s="10"/>
      <c r="B943" s="10"/>
      <c r="C943" s="10"/>
      <c r="D943" s="10"/>
      <c r="E943" s="10"/>
    </row>
    <row r="944" spans="1:5" ht="21.75" customHeight="1">
      <c r="A944" s="10"/>
      <c r="B944" s="10"/>
      <c r="C944" s="10"/>
      <c r="D944" s="10"/>
      <c r="E944" s="10"/>
    </row>
    <row r="945" spans="1:5" ht="21.75" customHeight="1">
      <c r="A945" s="10"/>
      <c r="B945" s="10"/>
      <c r="C945" s="10"/>
      <c r="D945" s="10"/>
      <c r="E945" s="10"/>
    </row>
    <row r="946" spans="1:5" ht="21.75" customHeight="1">
      <c r="A946" s="10"/>
      <c r="B946" s="10"/>
      <c r="C946" s="10"/>
      <c r="D946" s="10"/>
      <c r="E946" s="10"/>
    </row>
    <row r="947" spans="1:5" ht="21.75" customHeight="1">
      <c r="A947" s="10"/>
      <c r="B947" s="10"/>
      <c r="C947" s="10"/>
      <c r="D947" s="10"/>
      <c r="E947" s="10"/>
    </row>
    <row r="948" spans="1:5" ht="21.75" customHeight="1">
      <c r="A948" s="10"/>
      <c r="B948" s="10"/>
      <c r="C948" s="10"/>
      <c r="D948" s="10"/>
      <c r="E948" s="10"/>
    </row>
    <row r="949" spans="1:5" ht="21.75" customHeight="1">
      <c r="A949" s="10"/>
      <c r="B949" s="10"/>
      <c r="C949" s="10"/>
      <c r="D949" s="10"/>
      <c r="E949" s="10"/>
    </row>
    <row r="950" spans="1:5" ht="21.75" customHeight="1">
      <c r="A950" s="10"/>
      <c r="B950" s="10"/>
      <c r="C950" s="10"/>
      <c r="D950" s="10"/>
      <c r="E950" s="10"/>
    </row>
    <row r="951" spans="1:5" ht="21.75" customHeight="1">
      <c r="A951" s="10"/>
      <c r="B951" s="10"/>
      <c r="C951" s="10"/>
      <c r="D951" s="10"/>
      <c r="E951" s="10"/>
    </row>
    <row r="952" spans="1:5" ht="21.75" customHeight="1">
      <c r="A952" s="10"/>
      <c r="B952" s="10"/>
      <c r="C952" s="10"/>
      <c r="D952" s="10"/>
      <c r="E952" s="10"/>
    </row>
    <row r="953" spans="1:5" ht="21.75" customHeight="1">
      <c r="A953" s="10"/>
      <c r="B953" s="10"/>
      <c r="C953" s="10"/>
      <c r="D953" s="10"/>
      <c r="E953" s="10"/>
    </row>
    <row r="954" spans="1:5" ht="21.75" customHeight="1">
      <c r="A954" s="10"/>
      <c r="B954" s="10"/>
      <c r="C954" s="10"/>
      <c r="D954" s="10"/>
      <c r="E954" s="10"/>
    </row>
    <row r="955" spans="1:5" ht="21.75" customHeight="1">
      <c r="A955" s="10"/>
      <c r="B955" s="10"/>
      <c r="C955" s="10"/>
      <c r="D955" s="10"/>
      <c r="E955" s="10"/>
    </row>
    <row r="956" spans="1:5" ht="21.75" customHeight="1">
      <c r="A956" s="10"/>
      <c r="B956" s="10"/>
      <c r="C956" s="10"/>
      <c r="D956" s="10"/>
      <c r="E956" s="10"/>
    </row>
    <row r="957" spans="1:5" ht="21.75" customHeight="1">
      <c r="A957" s="10"/>
      <c r="B957" s="10"/>
      <c r="C957" s="10"/>
      <c r="D957" s="10"/>
      <c r="E957" s="10"/>
    </row>
    <row r="958" spans="1:5" ht="21.75" customHeight="1">
      <c r="A958" s="10"/>
      <c r="B958" s="10"/>
      <c r="C958" s="10"/>
      <c r="D958" s="10"/>
      <c r="E958" s="10"/>
    </row>
    <row r="959" spans="1:5" ht="21.75" customHeight="1">
      <c r="A959" s="10"/>
      <c r="B959" s="10"/>
      <c r="C959" s="10"/>
      <c r="D959" s="10"/>
      <c r="E959" s="10"/>
    </row>
    <row r="960" spans="1:5" ht="21.75" customHeight="1">
      <c r="A960" s="10"/>
      <c r="B960" s="10"/>
      <c r="C960" s="10"/>
      <c r="D960" s="10"/>
      <c r="E960" s="10"/>
    </row>
    <row r="961" spans="1:5" ht="21.75" customHeight="1">
      <c r="A961" s="10"/>
      <c r="B961" s="10"/>
      <c r="C961" s="10"/>
      <c r="D961" s="10"/>
      <c r="E961" s="10"/>
    </row>
    <row r="962" spans="1:5" ht="21.75" customHeight="1">
      <c r="A962" s="10"/>
      <c r="B962" s="10"/>
      <c r="C962" s="10"/>
      <c r="D962" s="10"/>
      <c r="E962" s="10"/>
    </row>
    <row r="963" spans="1:5" ht="21.75" customHeight="1">
      <c r="A963" s="10"/>
      <c r="B963" s="10"/>
      <c r="C963" s="10"/>
      <c r="D963" s="10"/>
      <c r="E963" s="10"/>
    </row>
    <row r="964" spans="1:5" ht="21.75" customHeight="1">
      <c r="A964" s="10"/>
      <c r="B964" s="10"/>
      <c r="C964" s="10"/>
      <c r="D964" s="10"/>
      <c r="E964" s="10"/>
    </row>
    <row r="965" spans="1:5" ht="21.75" customHeight="1">
      <c r="A965" s="10"/>
      <c r="B965" s="10"/>
      <c r="C965" s="10"/>
      <c r="D965" s="10"/>
      <c r="E965" s="10"/>
    </row>
    <row r="966" spans="1:5" ht="21.75" customHeight="1">
      <c r="A966" s="10"/>
      <c r="B966" s="10"/>
      <c r="C966" s="10"/>
      <c r="D966" s="10"/>
      <c r="E966" s="10"/>
    </row>
    <row r="967" spans="1:5" ht="21.75" customHeight="1">
      <c r="A967" s="10"/>
      <c r="B967" s="10"/>
      <c r="C967" s="10"/>
      <c r="D967" s="10"/>
      <c r="E967" s="10"/>
    </row>
    <row r="968" spans="1:5" ht="21.75" customHeight="1">
      <c r="A968" s="10"/>
      <c r="B968" s="10"/>
      <c r="C968" s="10"/>
      <c r="D968" s="10"/>
      <c r="E968" s="10"/>
    </row>
    <row r="969" spans="1:5" ht="21.75" customHeight="1">
      <c r="A969" s="10"/>
      <c r="B969" s="10"/>
      <c r="C969" s="10"/>
      <c r="D969" s="10"/>
      <c r="E969" s="10"/>
    </row>
    <row r="970" spans="1:5" ht="21.75" customHeight="1">
      <c r="A970" s="10"/>
      <c r="B970" s="10"/>
      <c r="C970" s="10"/>
      <c r="D970" s="10"/>
      <c r="E970" s="10"/>
    </row>
    <row r="971" spans="1:5" ht="21.75" customHeight="1">
      <c r="A971" s="10"/>
      <c r="B971" s="10"/>
      <c r="C971" s="10"/>
      <c r="D971" s="10"/>
      <c r="E971" s="10"/>
    </row>
    <row r="972" spans="1:5" ht="21.75" customHeight="1">
      <c r="A972" s="10"/>
      <c r="B972" s="10"/>
      <c r="C972" s="10"/>
      <c r="D972" s="10"/>
      <c r="E972" s="10"/>
    </row>
    <row r="973" spans="1:5" ht="21.75" customHeight="1">
      <c r="A973" s="10"/>
      <c r="B973" s="10"/>
      <c r="C973" s="10"/>
      <c r="D973" s="10"/>
      <c r="E973" s="10"/>
    </row>
    <row r="974" spans="1:5" ht="21.75" customHeight="1">
      <c r="A974" s="10"/>
      <c r="B974" s="10"/>
      <c r="C974" s="10"/>
      <c r="D974" s="10"/>
      <c r="E974" s="10"/>
    </row>
    <row r="975" spans="1:5" ht="21.75" customHeight="1">
      <c r="A975" s="10"/>
      <c r="B975" s="10"/>
      <c r="C975" s="10"/>
      <c r="D975" s="10"/>
      <c r="E975" s="10"/>
    </row>
    <row r="976" spans="1:5" ht="21.75" customHeight="1">
      <c r="A976" s="10"/>
      <c r="B976" s="10"/>
      <c r="C976" s="10"/>
      <c r="D976" s="10"/>
      <c r="E976" s="10"/>
    </row>
    <row r="977" spans="1:5" ht="21.75" customHeight="1">
      <c r="A977" s="10"/>
      <c r="B977" s="10"/>
      <c r="C977" s="10"/>
      <c r="D977" s="10"/>
      <c r="E977" s="10"/>
    </row>
    <row r="978" spans="1:5" ht="21.75" customHeight="1">
      <c r="A978" s="10"/>
      <c r="B978" s="10"/>
      <c r="C978" s="10"/>
      <c r="D978" s="10"/>
      <c r="E978" s="10"/>
    </row>
    <row r="979" spans="1:5" ht="21.75" customHeight="1">
      <c r="A979" s="10"/>
      <c r="B979" s="10"/>
      <c r="C979" s="10"/>
      <c r="D979" s="10"/>
      <c r="E979" s="10"/>
    </row>
    <row r="980" spans="1:5" ht="21.75" customHeight="1">
      <c r="A980" s="10"/>
      <c r="B980" s="10"/>
      <c r="C980" s="10"/>
      <c r="D980" s="10"/>
      <c r="E980" s="10"/>
    </row>
    <row r="981" spans="1:5" ht="21.75" customHeight="1">
      <c r="A981" s="10"/>
      <c r="B981" s="10"/>
      <c r="C981" s="10"/>
      <c r="D981" s="10"/>
      <c r="E981" s="10"/>
    </row>
    <row r="982" spans="1:5" ht="21.75" customHeight="1">
      <c r="A982" s="10"/>
      <c r="B982" s="10"/>
      <c r="C982" s="10"/>
      <c r="D982" s="10"/>
      <c r="E982" s="10"/>
    </row>
    <row r="983" spans="1:5" ht="21.75" customHeight="1">
      <c r="A983" s="10"/>
      <c r="B983" s="10"/>
      <c r="C983" s="10"/>
      <c r="D983" s="10"/>
      <c r="E983" s="10"/>
    </row>
    <row r="984" spans="1:5" ht="21.75" customHeight="1">
      <c r="A984" s="10"/>
      <c r="B984" s="10"/>
      <c r="C984" s="10"/>
      <c r="D984" s="10"/>
      <c r="E984" s="10"/>
    </row>
    <row r="985" spans="1:5" ht="21.75" customHeight="1">
      <c r="A985" s="10"/>
      <c r="B985" s="10"/>
      <c r="C985" s="10"/>
      <c r="D985" s="10"/>
      <c r="E985" s="10"/>
    </row>
    <row r="986" spans="1:5" ht="21.75" customHeight="1">
      <c r="A986" s="10"/>
      <c r="B986" s="10"/>
      <c r="C986" s="10"/>
      <c r="D986" s="10"/>
      <c r="E986" s="10"/>
    </row>
    <row r="987" spans="1:5" ht="21.75" customHeight="1">
      <c r="A987" s="10"/>
      <c r="B987" s="10"/>
      <c r="C987" s="10"/>
      <c r="D987" s="10"/>
      <c r="E987" s="10"/>
    </row>
    <row r="988" spans="1:5" ht="21.75" customHeight="1">
      <c r="A988" s="10"/>
      <c r="B988" s="10"/>
      <c r="C988" s="10"/>
      <c r="D988" s="10"/>
      <c r="E988" s="10"/>
    </row>
    <row r="989" spans="1:5" ht="21.75" customHeight="1">
      <c r="A989" s="10"/>
      <c r="B989" s="10"/>
      <c r="C989" s="10"/>
      <c r="D989" s="10"/>
      <c r="E989" s="10"/>
    </row>
    <row r="990" spans="1:5" ht="21.75" customHeight="1">
      <c r="A990" s="10"/>
      <c r="B990" s="10"/>
      <c r="C990" s="10"/>
      <c r="D990" s="10"/>
      <c r="E990" s="10"/>
    </row>
    <row r="991" spans="1:5" ht="21.75" customHeight="1">
      <c r="A991" s="10"/>
      <c r="B991" s="10"/>
      <c r="C991" s="10"/>
      <c r="D991" s="10"/>
      <c r="E991" s="10"/>
    </row>
    <row r="992" spans="1:5" ht="21.75" customHeight="1">
      <c r="A992" s="10"/>
      <c r="B992" s="10"/>
      <c r="C992" s="10"/>
      <c r="D992" s="10"/>
      <c r="E992" s="10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23F620-BEC6-49FD-B712-EAABEE870F89}">
          <x14:formula1>
            <xm:f>Configurações!$C$1:$C$6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"/>
  <sheetViews>
    <sheetView workbookViewId="0">
      <pane ySplit="1" topLeftCell="A2" activePane="bottomLeft" state="frozen"/>
      <selection pane="bottomLeft" activeCell="B22" sqref="B22"/>
    </sheetView>
  </sheetViews>
  <sheetFormatPr defaultColWidth="12.5703125" defaultRowHeight="15.75" customHeight="1"/>
  <cols>
    <col min="1" max="1" width="35.42578125" customWidth="1"/>
    <col min="2" max="2" width="12.85546875" customWidth="1"/>
    <col min="3" max="3" width="13.42578125" customWidth="1"/>
    <col min="4" max="4" width="69.85546875" customWidth="1"/>
  </cols>
  <sheetData>
    <row r="1" spans="1:4">
      <c r="A1" s="8" t="s">
        <v>41</v>
      </c>
      <c r="B1" s="11" t="s">
        <v>70</v>
      </c>
      <c r="C1" s="11" t="s">
        <v>71</v>
      </c>
      <c r="D1" s="11" t="s">
        <v>72</v>
      </c>
    </row>
    <row r="2" spans="1:4">
      <c r="A2" s="1"/>
      <c r="B2" s="12"/>
      <c r="C2" s="13"/>
      <c r="D2" s="14"/>
    </row>
  </sheetData>
  <dataValidations count="1">
    <dataValidation type="custom" allowBlank="1" showDropDown="1" sqref="C2" xr:uid="{00000000-0002-0000-0200-000000000000}">
      <formula1>OR(NOT(ISERROR(DATEVALUE(C2))), AND(ISNUMBER(C2), LEFT(CELL("format", C2))="D"))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8"/>
  <sheetViews>
    <sheetView workbookViewId="0">
      <pane ySplit="1" topLeftCell="A2" activePane="bottomLeft" state="frozen"/>
      <selection pane="bottomLeft" activeCell="D20" sqref="D20"/>
    </sheetView>
  </sheetViews>
  <sheetFormatPr defaultColWidth="12.5703125" defaultRowHeight="15.75" customHeight="1"/>
  <cols>
    <col min="1" max="1" width="40" bestFit="1" customWidth="1"/>
    <col min="2" max="2" width="20.42578125" bestFit="1" customWidth="1"/>
    <col min="3" max="3" width="25.140625" bestFit="1" customWidth="1"/>
    <col min="4" max="4" width="22.140625" bestFit="1" customWidth="1"/>
    <col min="5" max="5" width="37.7109375" bestFit="1" customWidth="1"/>
    <col min="6" max="6" width="43.85546875" bestFit="1" customWidth="1"/>
    <col min="7" max="7" width="41.5703125" bestFit="1" customWidth="1"/>
  </cols>
  <sheetData>
    <row r="1" spans="1:7">
      <c r="A1" s="15" t="s">
        <v>73</v>
      </c>
      <c r="B1" s="15" t="s">
        <v>74</v>
      </c>
      <c r="C1" s="15" t="s">
        <v>1</v>
      </c>
      <c r="D1" s="15" t="s">
        <v>75</v>
      </c>
      <c r="E1" s="15" t="s">
        <v>76</v>
      </c>
      <c r="F1" s="15" t="s">
        <v>77</v>
      </c>
      <c r="G1" s="15" t="s">
        <v>78</v>
      </c>
    </row>
    <row r="2" spans="1:7">
      <c r="A2" s="16" t="s">
        <v>79</v>
      </c>
      <c r="B2" s="17">
        <v>45947.5</v>
      </c>
      <c r="C2" s="16" t="s">
        <v>80</v>
      </c>
      <c r="D2" s="16" t="s">
        <v>81</v>
      </c>
      <c r="E2" s="16" t="s">
        <v>82</v>
      </c>
      <c r="F2" s="16" t="s">
        <v>83</v>
      </c>
      <c r="G2" s="16" t="s">
        <v>84</v>
      </c>
    </row>
    <row r="3" spans="1:7">
      <c r="A3" s="16" t="s">
        <v>79</v>
      </c>
      <c r="B3" s="17">
        <v>45947.5</v>
      </c>
      <c r="C3" s="16" t="s">
        <v>80</v>
      </c>
      <c r="D3" s="16" t="s">
        <v>81</v>
      </c>
      <c r="E3" s="16" t="s">
        <v>85</v>
      </c>
      <c r="F3" s="16" t="s">
        <v>86</v>
      </c>
      <c r="G3" s="16" t="s">
        <v>87</v>
      </c>
    </row>
    <row r="4" spans="1:7">
      <c r="A4" s="16" t="s">
        <v>79</v>
      </c>
      <c r="B4" s="17">
        <v>45954.395833333328</v>
      </c>
      <c r="C4" s="16" t="s">
        <v>88</v>
      </c>
      <c r="D4" s="16" t="s">
        <v>89</v>
      </c>
      <c r="E4" s="16" t="s">
        <v>90</v>
      </c>
      <c r="F4" s="16" t="s">
        <v>91</v>
      </c>
      <c r="G4" s="16" t="s">
        <v>84</v>
      </c>
    </row>
    <row r="5" spans="1:7">
      <c r="A5" s="16" t="s">
        <v>79</v>
      </c>
      <c r="B5" s="17">
        <v>45954.395833333328</v>
      </c>
      <c r="C5" s="16" t="s">
        <v>88</v>
      </c>
      <c r="D5" s="16" t="s">
        <v>89</v>
      </c>
      <c r="E5" s="16" t="s">
        <v>82</v>
      </c>
      <c r="F5" s="16" t="s">
        <v>92</v>
      </c>
      <c r="G5" s="16" t="s">
        <v>84</v>
      </c>
    </row>
    <row r="6" spans="1:7">
      <c r="A6" s="16" t="s">
        <v>79</v>
      </c>
      <c r="B6" s="17">
        <v>45961.375</v>
      </c>
      <c r="C6" s="16" t="s">
        <v>93</v>
      </c>
      <c r="D6" s="16" t="s">
        <v>89</v>
      </c>
      <c r="E6" s="16" t="s">
        <v>94</v>
      </c>
      <c r="F6" s="16" t="s">
        <v>95</v>
      </c>
      <c r="G6" s="16" t="s">
        <v>84</v>
      </c>
    </row>
    <row r="7" spans="1:7">
      <c r="A7" s="16" t="s">
        <v>79</v>
      </c>
      <c r="B7" s="17">
        <v>45961.375</v>
      </c>
      <c r="C7" s="16" t="s">
        <v>93</v>
      </c>
      <c r="D7" s="16" t="s">
        <v>89</v>
      </c>
      <c r="E7" s="16" t="s">
        <v>90</v>
      </c>
      <c r="F7" s="16" t="s">
        <v>91</v>
      </c>
      <c r="G7" s="16" t="s">
        <v>84</v>
      </c>
    </row>
    <row r="8" spans="1:7">
      <c r="A8" s="16" t="s">
        <v>79</v>
      </c>
      <c r="B8" s="17">
        <v>45961.375</v>
      </c>
      <c r="C8" s="16" t="s">
        <v>93</v>
      </c>
      <c r="D8" s="16" t="s">
        <v>89</v>
      </c>
      <c r="E8" s="16" t="s">
        <v>82</v>
      </c>
      <c r="F8" s="16" t="s">
        <v>92</v>
      </c>
      <c r="G8" s="16" t="s">
        <v>84</v>
      </c>
    </row>
  </sheetData>
  <dataValidations count="1">
    <dataValidation type="custom" allowBlank="1" showDropDown="1" sqref="B2:B8" xr:uid="{00000000-0002-0000-0300-000000000000}">
      <formula1>OR(NOT(ISERROR(DATEVALUE(B2))), AND(ISNUMBER(B2), LEFT(CELL("format", B2))="D"))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55"/>
  <sheetViews>
    <sheetView workbookViewId="0">
      <selection sqref="A1:XFD1048576"/>
    </sheetView>
  </sheetViews>
  <sheetFormatPr defaultColWidth="12.5703125" defaultRowHeight="15.75" customHeight="1"/>
  <cols>
    <col min="1" max="1" width="23" customWidth="1"/>
    <col min="2" max="2" width="14.140625" customWidth="1"/>
    <col min="3" max="3" width="16.140625" customWidth="1"/>
    <col min="4" max="4" width="30" customWidth="1"/>
    <col min="5" max="5" width="11.42578125" customWidth="1"/>
    <col min="6" max="6" width="14.42578125" customWidth="1"/>
    <col min="7" max="7" width="19.28515625" customWidth="1"/>
    <col min="8" max="8" width="31.140625" customWidth="1"/>
    <col min="9" max="9" width="12.140625" customWidth="1"/>
    <col min="10" max="10" width="22.5703125" customWidth="1"/>
    <col min="11" max="11" width="9.7109375" bestFit="1" customWidth="1"/>
    <col min="12" max="12" width="24.140625" bestFit="1" customWidth="1"/>
    <col min="13" max="13" width="102.42578125" bestFit="1" customWidth="1"/>
    <col min="14" max="14" width="32" customWidth="1"/>
  </cols>
  <sheetData>
    <row r="1" spans="1:14" ht="16.5">
      <c r="A1" s="18" t="s">
        <v>96</v>
      </c>
      <c r="B1" s="19" t="s">
        <v>4</v>
      </c>
      <c r="C1" s="20" t="s">
        <v>97</v>
      </c>
      <c r="D1" s="19" t="s">
        <v>98</v>
      </c>
      <c r="E1" s="19" t="s">
        <v>99</v>
      </c>
      <c r="F1" s="21" t="s">
        <v>100</v>
      </c>
      <c r="G1" s="19" t="s">
        <v>101</v>
      </c>
      <c r="H1" s="19" t="s">
        <v>102</v>
      </c>
      <c r="I1" s="19" t="s">
        <v>103</v>
      </c>
      <c r="J1" s="19" t="s">
        <v>104</v>
      </c>
      <c r="K1" s="19" t="s">
        <v>105</v>
      </c>
      <c r="L1" s="19" t="s">
        <v>106</v>
      </c>
      <c r="M1" s="19" t="s">
        <v>107</v>
      </c>
      <c r="N1" s="22" t="s">
        <v>108</v>
      </c>
    </row>
    <row r="2" spans="1:14" ht="37.5" customHeight="1">
      <c r="A2" s="18">
        <v>16</v>
      </c>
      <c r="B2" s="23">
        <v>45918</v>
      </c>
      <c r="C2" s="24" t="s">
        <v>88</v>
      </c>
      <c r="D2" s="19" t="s">
        <v>109</v>
      </c>
      <c r="E2" s="19" t="s">
        <v>110</v>
      </c>
      <c r="F2" s="19" t="s">
        <v>111</v>
      </c>
      <c r="G2" s="19">
        <v>6</v>
      </c>
      <c r="H2" s="19" t="s">
        <v>112</v>
      </c>
      <c r="I2" s="19">
        <v>8</v>
      </c>
      <c r="J2" s="19" t="s">
        <v>113</v>
      </c>
      <c r="K2" s="19"/>
      <c r="L2" s="19"/>
      <c r="M2" s="25" t="s">
        <v>114</v>
      </c>
      <c r="N2" s="22">
        <f ca="1">IFERROR(__xludf.DUMMYFUNCTION("IF(OR(F2="""",G2="""",H2="""",I2=""""),"""", (VALUE(INDEX(SPLIT(REGEXREPLACE(F2,""[^\d]+"",""x""),""x""),1))/1000) * (VALUE(INDEX(SPLIT(REGEXREPLACE(F2,""[^\d]+"",""x""),""x""),2))/1000) * G2 * IF(REGEXMATCH(UPPER(H2),""AÇO|ACO""), 7.86, IF(REGEXMATCH(UPP"&amp;"ER(H2),""ALUM""), 2.7, IF(REGEXMATCH(UPPER(H2),""LAT""), 8.73, IF(REGEXMATCH(UPPER(H2),""COBRE""), 8.96, 0) ) ) ) * I2 )"),1697.76)</f>
        <v>1697.76</v>
      </c>
    </row>
    <row r="3" spans="1:14" ht="37.5" customHeight="1">
      <c r="A3" s="18">
        <v>17</v>
      </c>
      <c r="B3" s="23">
        <v>45918</v>
      </c>
      <c r="C3" s="24" t="s">
        <v>88</v>
      </c>
      <c r="D3" s="19" t="s">
        <v>109</v>
      </c>
      <c r="E3" s="19" t="s">
        <v>115</v>
      </c>
      <c r="F3" s="19" t="s">
        <v>116</v>
      </c>
      <c r="G3" s="19">
        <v>6.3</v>
      </c>
      <c r="H3" s="19" t="s">
        <v>112</v>
      </c>
      <c r="I3" s="19">
        <v>1</v>
      </c>
      <c r="J3" s="19" t="s">
        <v>109</v>
      </c>
      <c r="K3" s="19">
        <v>14991</v>
      </c>
      <c r="L3" s="19"/>
      <c r="M3" s="25" t="s">
        <v>117</v>
      </c>
      <c r="N3" s="22">
        <f ca="1">IFERROR(__xludf.DUMMYFUNCTION("IF(OR(F3="""",G3="""",H3="""",I3=""""),"""", (VALUE(INDEX(SPLIT(REGEXREPLACE(F3,""[^\d]+"",""x""),""x""),1))/1000) * (VALUE(INDEX(SPLIT(REGEXREPLACE(F3,""[^\d]+"",""x""),""x""),2))/1000) * G3 * IF(REGEXMATCH(UPPER(H3),""AÇO|ACO""), 7.86, IF(REGEXMATCH(UPP"&amp;"ER(H3),""ALUM""), 2.7, IF(REGEXMATCH(UPPER(H3),""LAT""), 8.73, IF(REGEXMATCH(UPPER(H3),""COBRE""), 8.96, 0) ) ) ) * I3 )"),106.95888)</f>
        <v>106.95887999999999</v>
      </c>
    </row>
    <row r="4" spans="1:14" ht="37.5" customHeight="1">
      <c r="A4" s="18">
        <v>18</v>
      </c>
      <c r="B4" s="23">
        <v>45918</v>
      </c>
      <c r="C4" s="24" t="s">
        <v>88</v>
      </c>
      <c r="D4" s="19" t="s">
        <v>109</v>
      </c>
      <c r="E4" s="19" t="s">
        <v>110</v>
      </c>
      <c r="F4" s="19" t="s">
        <v>118</v>
      </c>
      <c r="G4" s="19">
        <v>1</v>
      </c>
      <c r="H4" s="19" t="s">
        <v>112</v>
      </c>
      <c r="I4" s="19">
        <v>1</v>
      </c>
      <c r="J4" s="19" t="s">
        <v>109</v>
      </c>
      <c r="K4" s="19">
        <v>14527</v>
      </c>
      <c r="L4" s="19" t="s">
        <v>119</v>
      </c>
      <c r="M4" s="25" t="s">
        <v>120</v>
      </c>
      <c r="N4" s="22">
        <f ca="1">IFERROR(__xludf.DUMMYFUNCTION("IF(OR(F4="""",G4="""",H4="""",I4=""""),"""", (VALUE(INDEX(SPLIT(REGEXREPLACE(F4,""[^\d]+"",""x""),""x""),1))/1000) * (VALUE(INDEX(SPLIT(REGEXREPLACE(F4,""[^\d]+"",""x""),""x""),2))/1000) * G4 * IF(REGEXMATCH(UPPER(H4),""AÇO|ACO""), 7.86, IF(REGEXMATCH(UPP"&amp;"ER(H4),""ALUM""), 2.7, IF(REGEXMATCH(UPPER(H4),""LAT""), 8.73, IF(REGEXMATCH(UPPER(H4),""COBRE""), 8.96, 0) ) ) ) * I4 )"),28.296)</f>
        <v>28.295999999999999</v>
      </c>
    </row>
    <row r="5" spans="1:14" ht="37.5" customHeight="1">
      <c r="A5" s="18">
        <v>19</v>
      </c>
      <c r="B5" s="23">
        <v>45918</v>
      </c>
      <c r="C5" s="24" t="s">
        <v>88</v>
      </c>
      <c r="D5" s="19" t="s">
        <v>109</v>
      </c>
      <c r="E5" s="19" t="s">
        <v>121</v>
      </c>
      <c r="F5" s="19" t="s">
        <v>122</v>
      </c>
      <c r="G5" s="19">
        <v>3</v>
      </c>
      <c r="H5" s="19" t="s">
        <v>112</v>
      </c>
      <c r="I5" s="19">
        <v>1</v>
      </c>
      <c r="J5" s="19" t="s">
        <v>109</v>
      </c>
      <c r="K5" s="19">
        <v>14527</v>
      </c>
      <c r="L5" s="19"/>
      <c r="M5" s="25" t="s">
        <v>123</v>
      </c>
      <c r="N5" s="22">
        <f ca="1">IFERROR(__xludf.DUMMYFUNCTION("IF(OR(F5="""",G5="""",H5="""",I5=""""),"""", (VALUE(INDEX(SPLIT(REGEXREPLACE(F5,""[^\d]+"",""x""),""x""),1))/1000) * (VALUE(INDEX(SPLIT(REGEXREPLACE(F5,""[^\d]+"",""x""),""x""),2))/1000) * G5 * IF(REGEXMATCH(UPPER(H5),""AÇO|ACO""), 7.86, IF(REGEXMATCH(UPP"&amp;"ER(H5),""ALUM""), 2.7, IF(REGEXMATCH(UPPER(H5),""LAT""), 8.73, IF(REGEXMATCH(UPPER(H5),""COBRE""), 8.96, 0) ) ) ) * I5 )"),27.16416)</f>
        <v>27.164159999999999</v>
      </c>
    </row>
    <row r="6" spans="1:14" ht="37.5" customHeight="1">
      <c r="A6" s="18">
        <v>20</v>
      </c>
      <c r="B6" s="23">
        <v>45918</v>
      </c>
      <c r="C6" s="24" t="s">
        <v>88</v>
      </c>
      <c r="D6" s="19" t="s">
        <v>109</v>
      </c>
      <c r="E6" s="19" t="s">
        <v>115</v>
      </c>
      <c r="F6" s="19" t="s">
        <v>124</v>
      </c>
      <c r="G6" s="19">
        <v>2</v>
      </c>
      <c r="H6" s="19" t="s">
        <v>112</v>
      </c>
      <c r="I6" s="19">
        <v>1</v>
      </c>
      <c r="J6" s="19" t="s">
        <v>109</v>
      </c>
      <c r="K6" s="19">
        <v>15567</v>
      </c>
      <c r="L6" s="19"/>
      <c r="M6" s="25" t="s">
        <v>125</v>
      </c>
      <c r="N6" s="22">
        <f ca="1">IFERROR(__xludf.DUMMYFUNCTION("IF(OR(F6="""",G6="""",H6="""",I6=""""),"""", (VALUE(INDEX(SPLIT(REGEXREPLACE(F6,""[^\d]+"",""x""),""x""),1))/1000) * (VALUE(INDEX(SPLIT(REGEXREPLACE(F6,""[^\d]+"",""x""),""x""),2))/1000) * G6 * IF(REGEXMATCH(UPPER(H6),""AÇO|ACO""), 7.86, IF(REGEXMATCH(UPP"&amp;"ER(H6),""ALUM""), 2.7, IF(REGEXMATCH(UPPER(H6),""LAT""), 8.73, IF(REGEXMATCH(UPPER(H6),""COBRE""), 8.96, 0) ) ) ) * I6 )"),7.48272)</f>
        <v>7.4827199999999996</v>
      </c>
    </row>
    <row r="7" spans="1:14" ht="37.5" customHeight="1">
      <c r="A7" s="18">
        <v>21</v>
      </c>
      <c r="B7" s="23">
        <v>45918</v>
      </c>
      <c r="C7" s="24" t="s">
        <v>88</v>
      </c>
      <c r="D7" s="19" t="s">
        <v>109</v>
      </c>
      <c r="E7" s="19" t="s">
        <v>110</v>
      </c>
      <c r="F7" s="19" t="s">
        <v>126</v>
      </c>
      <c r="G7" s="19">
        <v>1.5</v>
      </c>
      <c r="H7" s="19" t="s">
        <v>112</v>
      </c>
      <c r="I7" s="19">
        <v>1</v>
      </c>
      <c r="J7" s="19" t="s">
        <v>109</v>
      </c>
      <c r="K7" s="19">
        <v>15623</v>
      </c>
      <c r="L7" s="19" t="s">
        <v>127</v>
      </c>
      <c r="M7" s="25" t="s">
        <v>128</v>
      </c>
      <c r="N7" s="22">
        <f ca="1">IFERROR(__xludf.DUMMYFUNCTION("IF(OR(F7="""",G7="""",H7="""",I7=""""),"""", (VALUE(INDEX(SPLIT(REGEXREPLACE(F7,""[^\d]+"",""x""),""x""),1))/1000) * (VALUE(INDEX(SPLIT(REGEXREPLACE(F7,""[^\d]+"",""x""),""x""),2))/1000) * G7 * IF(REGEXMATCH(UPPER(H7),""AÇO|ACO""), 7.86, IF(REGEXMATCH(UPP"&amp;"ER(H7),""ALUM""), 2.7, IF(REGEXMATCH(UPPER(H7),""LAT""), 8.73, IF(REGEXMATCH(UPPER(H7),""COBRE""), 8.96, 0) ) ) ) * I7 )"),41.0292)</f>
        <v>41.029200000000003</v>
      </c>
    </row>
    <row r="8" spans="1:14" ht="37.5" customHeight="1">
      <c r="A8" s="18">
        <v>27</v>
      </c>
      <c r="B8" s="23">
        <v>45918</v>
      </c>
      <c r="C8" s="24" t="s">
        <v>88</v>
      </c>
      <c r="D8" s="19" t="s">
        <v>129</v>
      </c>
      <c r="E8" s="19" t="s">
        <v>110</v>
      </c>
      <c r="F8" s="19" t="s">
        <v>130</v>
      </c>
      <c r="G8" s="19">
        <v>4</v>
      </c>
      <c r="H8" s="19" t="s">
        <v>112</v>
      </c>
      <c r="I8" s="19">
        <v>2</v>
      </c>
      <c r="J8" s="19" t="s">
        <v>129</v>
      </c>
      <c r="K8" s="19"/>
      <c r="L8" s="19" t="s">
        <v>131</v>
      </c>
      <c r="M8" s="25" t="s">
        <v>132</v>
      </c>
      <c r="N8" s="22">
        <f ca="1">IFERROR(__xludf.DUMMYFUNCTION("IF(OR(F8="""",G8="""",H8="""",I8=""""),"""", (VALUE(INDEX(SPLIT(REGEXREPLACE(F8,""[^\d]+"",""x""),""x""),1))/1000) * (VALUE(INDEX(SPLIT(REGEXREPLACE(F8,""[^\d]+"",""x""),""x""),2))/1000) * G8 * IF(REGEXMATCH(UPPER(H8),""AÇO|ACO""), 7.86, IF(REGEXMATCH(UPP"&amp;"ER(H8),""ALUM""), 2.7, IF(REGEXMATCH(UPPER(H8),""LAT""), 8.73, IF(REGEXMATCH(UPPER(H8),""COBRE""), 8.96, 0) ) ) ) * I8 )"),46.267104)</f>
        <v>46.267104000000003</v>
      </c>
    </row>
    <row r="9" spans="1:14" ht="37.5" customHeight="1">
      <c r="A9" s="18">
        <v>28</v>
      </c>
      <c r="B9" s="23">
        <v>45918</v>
      </c>
      <c r="C9" s="24" t="s">
        <v>88</v>
      </c>
      <c r="D9" s="19" t="s">
        <v>133</v>
      </c>
      <c r="E9" s="19" t="s">
        <v>110</v>
      </c>
      <c r="F9" s="19" t="s">
        <v>118</v>
      </c>
      <c r="G9" s="19">
        <v>2</v>
      </c>
      <c r="H9" s="19" t="s">
        <v>134</v>
      </c>
      <c r="I9" s="19">
        <v>1</v>
      </c>
      <c r="J9" s="19" t="s">
        <v>133</v>
      </c>
      <c r="K9" s="19"/>
      <c r="L9" s="19"/>
      <c r="M9" s="25" t="s">
        <v>135</v>
      </c>
      <c r="N9" s="22">
        <f ca="1">IFERROR(__xludf.DUMMYFUNCTION("IF(OR(F9="""",G9="""",H9="""",I9=""""),"""", (VALUE(INDEX(SPLIT(REGEXREPLACE(F9,""[^\d]+"",""x""),""x""),1))/1000) * (VALUE(INDEX(SPLIT(REGEXREPLACE(F9,""[^\d]+"",""x""),""x""),2))/1000) * G9 * IF(REGEXMATCH(UPPER(H9),""AÇO|ACO""), 7.86, IF(REGEXMATCH(UPP"&amp;"ER(H9),""ALUM""), 2.7, IF(REGEXMATCH(UPPER(H9),""LAT""), 8.73, IF(REGEXMATCH(UPPER(H9),""COBRE""), 8.96, 0) ) ) ) * I9 )"),56.592)</f>
        <v>56.591999999999999</v>
      </c>
    </row>
    <row r="10" spans="1:14" ht="37.5" customHeight="1">
      <c r="A10" s="18">
        <v>34</v>
      </c>
      <c r="B10" s="23">
        <v>45924</v>
      </c>
      <c r="C10" s="24" t="s">
        <v>80</v>
      </c>
      <c r="D10" s="19" t="s">
        <v>136</v>
      </c>
      <c r="E10" s="19" t="s">
        <v>110</v>
      </c>
      <c r="F10" s="19" t="s">
        <v>137</v>
      </c>
      <c r="G10" s="19">
        <v>3</v>
      </c>
      <c r="H10" s="19" t="s">
        <v>112</v>
      </c>
      <c r="I10" s="19">
        <v>1</v>
      </c>
      <c r="J10" s="19" t="s">
        <v>138</v>
      </c>
      <c r="K10" s="26">
        <v>342459</v>
      </c>
      <c r="L10" s="19"/>
      <c r="M10" s="25" t="s">
        <v>139</v>
      </c>
      <c r="N10" s="22">
        <f ca="1">IFERROR(__xludf.DUMMYFUNCTION("IF(OR(F10="""",G10="""",H10="""",I10=""""),"""", (VALUE(INDEX(SPLIT(REGEXREPLACE(F10,""[^\d]+"",""x""),""x""),1))/1000) * (VALUE(INDEX(SPLIT(REGEXREPLACE(F10,""[^\d]+"",""x""),""x""),2))/1000) * G10 * IF(REGEXMATCH(UPPER(H10),""AÇO|ACO""), 7.86, IF(REGEXM"&amp;"ATCH(UPPER(H10),""ALUM""), 2.7, IF(REGEXMATCH(UPPER(H10),""LAT""), 8.73, IF(REGEXMATCH(UPPER(H10),""COBRE""), 8.96, 0) ) ) ) * I10 )"),84.8879999999999)</f>
        <v>84.887999999999906</v>
      </c>
    </row>
    <row r="11" spans="1:14" ht="37.5" customHeight="1">
      <c r="A11" s="18">
        <v>41</v>
      </c>
      <c r="B11" s="23">
        <v>45931</v>
      </c>
      <c r="C11" s="24" t="s">
        <v>80</v>
      </c>
      <c r="D11" s="19" t="s">
        <v>140</v>
      </c>
      <c r="E11" s="19" t="s">
        <v>110</v>
      </c>
      <c r="F11" s="19" t="s">
        <v>137</v>
      </c>
      <c r="G11" s="19">
        <v>1.2</v>
      </c>
      <c r="H11" s="19" t="s">
        <v>141</v>
      </c>
      <c r="I11" s="19">
        <v>3</v>
      </c>
      <c r="J11" s="19" t="s">
        <v>140</v>
      </c>
      <c r="K11" s="19"/>
      <c r="L11" s="19"/>
      <c r="M11" s="25" t="s">
        <v>142</v>
      </c>
      <c r="N11" s="22">
        <f ca="1">IFERROR(__xludf.DUMMYFUNCTION("IF(OR(F11="""",G11="""",H11="""",I11=""""),"""",(VALUE(INDEX(SPLIT(REGEXREPLACE(F11,""[^\d]+"",""x""),""x""),1))/1000)*(VALUE(INDEX(SPLIT(REGEXREPLACE(F11,""[^\d]+"",""x""),""x""),2))/1000)*G11*IF(REGEXMATCH(UPPER(H11),""AÇO|ACO""),7.86,IF(REGEXMATCH(UPPE"&amp;"R(H11),""ALUM""),2.7,IF(REGEXMATCH(UPPER(H11),""LAT""),8.73,IF(REGEXMATCH(UPPER(H11),""COBRE""),8.96,0))))*I11)"),101.8656)</f>
        <v>101.8656</v>
      </c>
    </row>
    <row r="12" spans="1:14" ht="37.5" customHeight="1">
      <c r="A12" s="18">
        <v>42</v>
      </c>
      <c r="B12" s="23">
        <v>45931</v>
      </c>
      <c r="C12" s="24" t="s">
        <v>88</v>
      </c>
      <c r="D12" s="19" t="s">
        <v>143</v>
      </c>
      <c r="E12" s="19" t="s">
        <v>115</v>
      </c>
      <c r="F12" s="19" t="s">
        <v>144</v>
      </c>
      <c r="G12" s="19">
        <v>1.7</v>
      </c>
      <c r="H12" s="19" t="s">
        <v>145</v>
      </c>
      <c r="I12" s="19">
        <v>1</v>
      </c>
      <c r="J12" s="19" t="s">
        <v>146</v>
      </c>
      <c r="K12" s="19"/>
      <c r="L12" s="19"/>
      <c r="M12" s="25" t="s">
        <v>147</v>
      </c>
      <c r="N12" s="22">
        <f ca="1">IFERROR(__xludf.DUMMYFUNCTION("IF(OR(F12="""",G12="""",H12="""",I12=""""),"""",(VALUE(INDEX(SPLIT(REGEXREPLACE(F12,""[^\d]+"",""x""),""x""),1))/1000)*(VALUE(INDEX(SPLIT(REGEXREPLACE(F12,""[^\d]+"",""x""),""x""),2))/1000)*G12*IF(REGEXMATCH(UPPER(H12),""AÇO|ACO""),7.86,IF(REGEXMATCH(UPPE"&amp;"R(H12),""ALUM""),2.7,IF(REGEXMATCH(UPPER(H12),""LAT""),8.73,IF(REGEXMATCH(UPPER(H12),""COBRE""),8.96,0))))*I12)"),14.197125)</f>
        <v>14.197125</v>
      </c>
    </row>
    <row r="13" spans="1:14" ht="37.5" customHeight="1">
      <c r="A13" s="18">
        <v>43</v>
      </c>
      <c r="B13" s="23">
        <v>45931</v>
      </c>
      <c r="C13" s="24" t="s">
        <v>88</v>
      </c>
      <c r="D13" s="19" t="s">
        <v>143</v>
      </c>
      <c r="E13" s="19" t="s">
        <v>115</v>
      </c>
      <c r="F13" s="19" t="s">
        <v>148</v>
      </c>
      <c r="G13" s="19">
        <v>1.7</v>
      </c>
      <c r="H13" s="19" t="s">
        <v>145</v>
      </c>
      <c r="I13" s="19">
        <v>1</v>
      </c>
      <c r="J13" s="19" t="s">
        <v>146</v>
      </c>
      <c r="K13" s="19"/>
      <c r="L13" s="19"/>
      <c r="M13" s="25" t="s">
        <v>149</v>
      </c>
      <c r="N13" s="22">
        <f ca="1">IFERROR(__xludf.DUMMYFUNCTION("IF(OR(F13="""",G13="""",H13="""",I13=""""),"""",(VALUE(INDEX(SPLIT(REGEXREPLACE(F13,""[^\d]+"",""x""),""x""),1))/1000)*(VALUE(INDEX(SPLIT(REGEXREPLACE(F13,""[^\d]+"",""x""),""x""),2))/1000)*G13*IF(REGEXMATCH(UPPER(H13),""AÇO|ACO""),7.86,IF(REGEXMATCH(UPPE"&amp;"R(H13),""ALUM""),2.7,IF(REGEXMATCH(UPPER(H13),""LAT""),8.73,IF(REGEXMATCH(UPPER(H13),""COBRE""),8.96,0))))*I13)"),14.0795393999999)</f>
        <v>14.0795393999999</v>
      </c>
    </row>
    <row r="14" spans="1:14" ht="37.5" customHeight="1">
      <c r="A14" s="18">
        <v>44</v>
      </c>
      <c r="B14" s="23">
        <v>45931</v>
      </c>
      <c r="C14" s="24" t="s">
        <v>88</v>
      </c>
      <c r="D14" s="19" t="s">
        <v>143</v>
      </c>
      <c r="E14" s="19" t="s">
        <v>115</v>
      </c>
      <c r="F14" s="19" t="s">
        <v>150</v>
      </c>
      <c r="G14" s="19">
        <v>1.7</v>
      </c>
      <c r="H14" s="19" t="s">
        <v>145</v>
      </c>
      <c r="I14" s="19">
        <v>1</v>
      </c>
      <c r="J14" s="19" t="s">
        <v>146</v>
      </c>
      <c r="K14" s="19"/>
      <c r="L14" s="19"/>
      <c r="M14" s="25" t="s">
        <v>151</v>
      </c>
      <c r="N14" s="22">
        <f ca="1">IFERROR(__xludf.DUMMYFUNCTION("IF(OR(F14="""",G14="""",H14="""",I14=""""),"""",(VALUE(INDEX(SPLIT(REGEXREPLACE(F14,""[^\d]+"",""x""),""x""),1))/1000)*(VALUE(INDEX(SPLIT(REGEXREPLACE(F14,""[^\d]+"",""x""),""x""),2))/1000)*G14*IF(REGEXMATCH(UPPER(H14),""AÇO|ACO""),7.86,IF(REGEXMATCH(UPPE"&amp;"R(H14),""ALUM""),2.7,IF(REGEXMATCH(UPPER(H14),""LAT""),8.73,IF(REGEXMATCH(UPPER(H14),""COBRE""),8.96,0))))*I14)"),15.3302226)</f>
        <v>15.330222600000001</v>
      </c>
    </row>
    <row r="15" spans="1:14" ht="37.5" customHeight="1">
      <c r="A15" s="18">
        <v>45</v>
      </c>
      <c r="B15" s="23">
        <v>45931</v>
      </c>
      <c r="C15" s="24" t="s">
        <v>88</v>
      </c>
      <c r="D15" s="19" t="s">
        <v>136</v>
      </c>
      <c r="E15" s="19" t="s">
        <v>115</v>
      </c>
      <c r="F15" s="19" t="s">
        <v>152</v>
      </c>
      <c r="G15" s="19">
        <v>12.5</v>
      </c>
      <c r="H15" s="19" t="s">
        <v>153</v>
      </c>
      <c r="I15" s="19">
        <v>1</v>
      </c>
      <c r="J15" s="19" t="s">
        <v>154</v>
      </c>
      <c r="K15" s="19">
        <v>279012</v>
      </c>
      <c r="L15" s="19"/>
      <c r="M15" s="25" t="s">
        <v>155</v>
      </c>
      <c r="N15" s="22">
        <f ca="1">IFERROR(__xludf.DUMMYFUNCTION("IF(OR(F15="""",G15="""",H15="""",I15=""""),"""",(VALUE(INDEX(SPLIT(REGEXREPLACE(F15,""[^\d]+"",""x""),""x""),1))/1000)*(VALUE(INDEX(SPLIT(REGEXREPLACE(F15,""[^\d]+"",""x""),""x""),2))/1000)*G15*IF(REGEXMATCH(UPPER(H15),""AÇO|ACO""),7.86,IF(REGEXMATCH(UPPE"&amp;"R(H15),""ALUM""),2.7,IF(REGEXMATCH(UPPER(H15),""LAT""),8.73,IF(REGEXMATCH(UPPER(H15),""COBRE""),8.96,0))))*I15)"),73.41485625)</f>
        <v>73.41485625</v>
      </c>
    </row>
    <row r="16" spans="1:14" ht="37.5" customHeight="1">
      <c r="A16" s="18">
        <v>46</v>
      </c>
      <c r="B16" s="23">
        <v>45931</v>
      </c>
      <c r="C16" s="24" t="s">
        <v>88</v>
      </c>
      <c r="D16" s="19" t="s">
        <v>109</v>
      </c>
      <c r="E16" s="19" t="s">
        <v>115</v>
      </c>
      <c r="F16" s="19" t="s">
        <v>156</v>
      </c>
      <c r="G16" s="19">
        <v>6.35</v>
      </c>
      <c r="H16" s="19" t="s">
        <v>157</v>
      </c>
      <c r="I16" s="19">
        <v>1</v>
      </c>
      <c r="J16" s="19" t="s">
        <v>109</v>
      </c>
      <c r="K16" s="19">
        <v>14991</v>
      </c>
      <c r="L16" s="19"/>
      <c r="M16" s="25" t="s">
        <v>158</v>
      </c>
      <c r="N16" s="22">
        <f ca="1">IFERROR(__xludf.DUMMYFUNCTION("IF(OR(F16="""",G16="""",H16="""",I16=""""),"""",(VALUE(INDEX(SPLIT(REGEXREPLACE(F16,""[^\d]+"",""x""),""x""),1))/1000)*(VALUE(INDEX(SPLIT(REGEXREPLACE(F16,""[^\d]+"",""x""),""x""),2))/1000)*G16*IF(REGEXMATCH(UPPER(H16),""AÇO|ACO""),7.86,IF(REGEXMATCH(UPPE"&amp;"R(H16),""ALUM""),2.7,IF(REGEXMATCH(UPPER(H16),""LAT""),8.73,IF(REGEXMATCH(UPPER(H16),""COBRE""),8.96,0))))*I16)"),58.5805407)</f>
        <v>58.5805407</v>
      </c>
    </row>
    <row r="17" spans="1:14" ht="37.5" customHeight="1">
      <c r="A17" s="18">
        <v>47</v>
      </c>
      <c r="B17" s="23">
        <v>45931</v>
      </c>
      <c r="C17" s="24" t="s">
        <v>88</v>
      </c>
      <c r="D17" s="19" t="s">
        <v>109</v>
      </c>
      <c r="E17" s="19" t="s">
        <v>115</v>
      </c>
      <c r="F17" s="19" t="s">
        <v>159</v>
      </c>
      <c r="G17" s="19">
        <v>12.7</v>
      </c>
      <c r="H17" s="19" t="s">
        <v>112</v>
      </c>
      <c r="I17" s="19">
        <v>1</v>
      </c>
      <c r="J17" s="19" t="s">
        <v>109</v>
      </c>
      <c r="K17" s="19">
        <v>15567</v>
      </c>
      <c r="L17" s="19"/>
      <c r="M17" s="25" t="s">
        <v>160</v>
      </c>
      <c r="N17" s="22">
        <f ca="1">IFERROR(__xludf.DUMMYFUNCTION("IF(OR(F17="""",G17="""",H17="""",I17=""""),"""",(VALUE(INDEX(SPLIT(REGEXREPLACE(F17,""[^\d]+"",""x""),""x""),1))/1000)*(VALUE(INDEX(SPLIT(REGEXREPLACE(F17,""[^\d]+"",""x""),""x""),2))/1000)*G17*IF(REGEXMATCH(UPPER(H17),""AÇO|ACO""),7.86,IF(REGEXMATCH(UPPE"&amp;"R(H17),""ALUM""),2.7,IF(REGEXMATCH(UPPER(H17),""LAT""),8.73,IF(REGEXMATCH(UPPER(H17),""COBRE""),8.96,0))))*I17)"),211.373084999999)</f>
        <v>211.37308499999901</v>
      </c>
    </row>
    <row r="18" spans="1:14" ht="37.5" customHeight="1">
      <c r="A18" s="18">
        <v>48</v>
      </c>
      <c r="B18" s="23">
        <v>45931</v>
      </c>
      <c r="C18" s="24" t="s">
        <v>88</v>
      </c>
      <c r="D18" s="19" t="s">
        <v>109</v>
      </c>
      <c r="E18" s="19" t="s">
        <v>115</v>
      </c>
      <c r="F18" s="19" t="s">
        <v>161</v>
      </c>
      <c r="G18" s="19">
        <v>1.5</v>
      </c>
      <c r="H18" s="19" t="s">
        <v>112</v>
      </c>
      <c r="I18" s="19">
        <v>1</v>
      </c>
      <c r="J18" s="19" t="s">
        <v>109</v>
      </c>
      <c r="K18" s="19"/>
      <c r="L18" s="19"/>
      <c r="M18" s="25" t="s">
        <v>162</v>
      </c>
      <c r="N18" s="22">
        <f ca="1">IFERROR(__xludf.DUMMYFUNCTION("IF(OR(F18="""",G18="""",H18="""",I18=""""),"""",(VALUE(INDEX(SPLIT(REGEXREPLACE(F18,""[^\d]+"",""x""),""x""),1))/1000)*(VALUE(INDEX(SPLIT(REGEXREPLACE(F18,""[^\d]+"",""x""),""x""),2))/1000)*G18*IF(REGEXMATCH(UPPER(H18),""AÇO|ACO""),7.86,IF(REGEXMATCH(UPPE"&amp;"R(H18),""ALUM""),2.7,IF(REGEXMATCH(UPPER(H18),""LAT""),8.73,IF(REGEXMATCH(UPPER(H18),""COBRE""),8.96,0))))*I18)"),13.4406)</f>
        <v>13.4406</v>
      </c>
    </row>
    <row r="19" spans="1:14" ht="37.5" customHeight="1">
      <c r="A19" s="18">
        <v>50</v>
      </c>
      <c r="B19" s="23">
        <v>45931</v>
      </c>
      <c r="C19" s="24" t="s">
        <v>88</v>
      </c>
      <c r="D19" s="19" t="s">
        <v>136</v>
      </c>
      <c r="E19" s="19" t="s">
        <v>115</v>
      </c>
      <c r="F19" s="19" t="s">
        <v>163</v>
      </c>
      <c r="G19" s="19">
        <v>9.5</v>
      </c>
      <c r="H19" s="19" t="s">
        <v>153</v>
      </c>
      <c r="I19" s="19">
        <v>1</v>
      </c>
      <c r="J19" s="19" t="s">
        <v>138</v>
      </c>
      <c r="K19" s="19">
        <v>358716</v>
      </c>
      <c r="L19" s="19" t="s">
        <v>164</v>
      </c>
      <c r="M19" s="25" t="s">
        <v>165</v>
      </c>
      <c r="N19" s="22">
        <f ca="1">IFERROR(__xludf.DUMMYFUNCTION("IF(OR(F19="""",G19="""",H19="""",I19=""""),"""",(VALUE(INDEX(SPLIT(REGEXREPLACE(F19,""[^\d]+"",""x""),""x""),1))/1000)*(VALUE(INDEX(SPLIT(REGEXREPLACE(F19,""[^\d]+"",""x""),""x""),2))/1000)*G19*IF(REGEXMATCH(UPPER(H19),""AÇO|ACO""),7.86,IF(REGEXMATCH(UPPE"&amp;"R(H19),""ALUM""),2.7,IF(REGEXMATCH(UPPER(H19),""LAT""),8.73,IF(REGEXMATCH(UPPER(H19),""COBRE""),8.96,0))))*I19)"),63.24549)</f>
        <v>63.245489999999997</v>
      </c>
    </row>
    <row r="20" spans="1:14" ht="37.5" customHeight="1">
      <c r="A20" s="18">
        <v>52</v>
      </c>
      <c r="B20" s="23">
        <v>45931</v>
      </c>
      <c r="C20" s="24" t="s">
        <v>88</v>
      </c>
      <c r="D20" s="19" t="s">
        <v>136</v>
      </c>
      <c r="E20" s="19" t="s">
        <v>115</v>
      </c>
      <c r="F20" s="19" t="s">
        <v>166</v>
      </c>
      <c r="G20" s="19">
        <v>0.8</v>
      </c>
      <c r="H20" s="19" t="s">
        <v>167</v>
      </c>
      <c r="I20" s="19">
        <v>1</v>
      </c>
      <c r="J20" s="19"/>
      <c r="K20" s="19"/>
      <c r="L20" s="19"/>
      <c r="M20" s="25" t="s">
        <v>168</v>
      </c>
      <c r="N20" s="22">
        <f ca="1">IFERROR(__xludf.DUMMYFUNCTION("IF(OR(F20="""",G20="""",H20="""",I20=""""),"""",(VALUE(INDEX(SPLIT(REGEXREPLACE(F20,""[^\d]+"",""x""),""x""),1))/1000)*(VALUE(INDEX(SPLIT(REGEXREPLACE(F20,""[^\d]+"",""x""),""x""),2))/1000)*G20*IF(REGEXMATCH(UPPER(H20),""AÇO|ACO""),7.86,IF(REGEXMATCH(UPPE"&amp;"R(H20),""ALUM""),2.7,IF(REGEXMATCH(UPPER(H20),""LAT""),8.73,IF(REGEXMATCH(UPPER(H20),""COBRE""),8.96,0))))*I20)"),3.3054444)</f>
        <v>3.3054443999999998</v>
      </c>
    </row>
    <row r="21" spans="1:14" ht="37.5" customHeight="1">
      <c r="A21" s="18">
        <v>53</v>
      </c>
      <c r="B21" s="23">
        <v>45931</v>
      </c>
      <c r="C21" s="24" t="s">
        <v>88</v>
      </c>
      <c r="D21" s="19" t="s">
        <v>136</v>
      </c>
      <c r="E21" s="19" t="s">
        <v>115</v>
      </c>
      <c r="F21" s="19" t="s">
        <v>169</v>
      </c>
      <c r="G21" s="19">
        <v>0.8</v>
      </c>
      <c r="H21" s="19" t="s">
        <v>167</v>
      </c>
      <c r="I21" s="19">
        <v>1</v>
      </c>
      <c r="J21" s="19"/>
      <c r="K21" s="19"/>
      <c r="L21" s="19"/>
      <c r="M21" s="25" t="s">
        <v>170</v>
      </c>
      <c r="N21" s="22">
        <f ca="1">IFERROR(__xludf.DUMMYFUNCTION("IF(OR(F21="""",G21="""",H21="""",I21=""""),"""",(VALUE(INDEX(SPLIT(REGEXREPLACE(F21,""[^\d]+"",""x""),""x""),1))/1000)*(VALUE(INDEX(SPLIT(REGEXREPLACE(F21,""[^\d]+"",""x""),""x""),2))/1000)*G21*IF(REGEXMATCH(UPPER(H21),""AÇO|ACO""),7.86,IF(REGEXMATCH(UPPE"&amp;"R(H21),""ALUM""),2.7,IF(REGEXMATCH(UPPER(H21),""LAT""),8.73,IF(REGEXMATCH(UPPER(H21),""COBRE""),8.96,0))))*I21)"),4.2810276)</f>
        <v>4.2810275999999998</v>
      </c>
    </row>
    <row r="22" spans="1:14" ht="37.5" customHeight="1">
      <c r="A22" s="18">
        <v>54</v>
      </c>
      <c r="B22" s="23">
        <v>45931</v>
      </c>
      <c r="C22" s="24" t="s">
        <v>88</v>
      </c>
      <c r="D22" s="19" t="s">
        <v>136</v>
      </c>
      <c r="E22" s="19" t="s">
        <v>115</v>
      </c>
      <c r="F22" s="19" t="s">
        <v>171</v>
      </c>
      <c r="G22" s="19">
        <v>0.8</v>
      </c>
      <c r="H22" s="19" t="s">
        <v>167</v>
      </c>
      <c r="I22" s="19">
        <v>3</v>
      </c>
      <c r="J22" s="19"/>
      <c r="K22" s="19"/>
      <c r="L22" s="19"/>
      <c r="M22" s="25" t="s">
        <v>172</v>
      </c>
      <c r="N22" s="22">
        <f ca="1">IFERROR(__xludf.DUMMYFUNCTION("IF(OR(F22="""",G22="""",H22="""",I22=""""),"""",(VALUE(INDEX(SPLIT(REGEXREPLACE(F22,""[^\d]+"",""x""),""x""),1))/1000)*(VALUE(INDEX(SPLIT(REGEXREPLACE(F22,""[^\d]+"",""x""),""x""),2))/1000)*G22*IF(REGEXMATCH(UPPER(H22),""AÇO|ACO""),7.86,IF(REGEXMATCH(UPPE"&amp;"R(H22),""ALUM""),2.7,IF(REGEXMATCH(UPPER(H22),""LAT""),8.73,IF(REGEXMATCH(UPPER(H22),""COBRE""),8.96,0))))*I22)"),13.0105007999999)</f>
        <v>13.0105007999999</v>
      </c>
    </row>
    <row r="23" spans="1:14" ht="37.5" customHeight="1">
      <c r="A23" s="18">
        <v>55</v>
      </c>
      <c r="B23" s="23">
        <v>45931</v>
      </c>
      <c r="C23" s="24" t="s">
        <v>88</v>
      </c>
      <c r="D23" s="19" t="s">
        <v>136</v>
      </c>
      <c r="E23" s="19" t="s">
        <v>115</v>
      </c>
      <c r="F23" s="19" t="s">
        <v>173</v>
      </c>
      <c r="G23" s="19">
        <v>0.8</v>
      </c>
      <c r="H23" s="19" t="s">
        <v>167</v>
      </c>
      <c r="I23" s="19">
        <v>1</v>
      </c>
      <c r="J23" s="19"/>
      <c r="K23" s="19"/>
      <c r="L23" s="19"/>
      <c r="M23" s="25" t="s">
        <v>174</v>
      </c>
      <c r="N23" s="22">
        <f ca="1">IFERROR(__xludf.DUMMYFUNCTION("IF(OR(F23="""",G23="""",H23="""",I23=""""),"""",(VALUE(INDEX(SPLIT(REGEXREPLACE(F23,""[^\d]+"",""x""),""x""),1))/1000)*(VALUE(INDEX(SPLIT(REGEXREPLACE(F23,""[^\d]+"",""x""),""x""),2))/1000)*G23*IF(REGEXMATCH(UPPER(H23),""AÇO|ACO""),7.86,IF(REGEXMATCH(UPPE"&amp;"R(H23),""ALUM""),2.7,IF(REGEXMATCH(UPPER(H23),""LAT""),8.73,IF(REGEXMATCH(UPPER(H23),""COBRE""),8.96,0))))*I23)"),2.76734879999999)</f>
        <v>2.76734879999999</v>
      </c>
    </row>
    <row r="24" spans="1:14" ht="37.5" customHeight="1">
      <c r="A24" s="18">
        <v>56</v>
      </c>
      <c r="B24" s="23">
        <v>45932</v>
      </c>
      <c r="C24" s="24" t="s">
        <v>88</v>
      </c>
      <c r="D24" s="19" t="s">
        <v>175</v>
      </c>
      <c r="E24" s="19" t="s">
        <v>110</v>
      </c>
      <c r="F24" s="19" t="s">
        <v>137</v>
      </c>
      <c r="G24" s="19">
        <v>0.8</v>
      </c>
      <c r="H24" s="19" t="s">
        <v>141</v>
      </c>
      <c r="I24" s="19">
        <v>180</v>
      </c>
      <c r="J24" s="19" t="s">
        <v>176</v>
      </c>
      <c r="K24" s="19"/>
      <c r="L24" s="19"/>
      <c r="M24" s="25" t="s">
        <v>177</v>
      </c>
      <c r="N24" s="22">
        <f ca="1">IFERROR(__xludf.DUMMYFUNCTION("IF(OR(F24="""",G24="""",H24="""",I24=""""),"""",(VALUE(INDEX(SPLIT(REGEXREPLACE(F24,""[^\d]+"",""x""),""x""),1))/1000)*(VALUE(INDEX(SPLIT(REGEXREPLACE(F24,""[^\d]+"",""x""),""x""),2))/1000)*G24*IF(REGEXMATCH(UPPER(H24),""AÇO|ACO""),7.86,IF(REGEXMATCH(UPPE"&amp;"R(H24),""ALUM""),2.7,IF(REGEXMATCH(UPPER(H24),""LAT""),8.73,IF(REGEXMATCH(UPPER(H24),""COBRE""),8.96,0))))*I24)"),4074.624)</f>
        <v>4074.6239999999998</v>
      </c>
    </row>
    <row r="25" spans="1:14" ht="37.5" customHeight="1">
      <c r="A25" s="18">
        <v>57</v>
      </c>
      <c r="B25" s="23">
        <v>45932</v>
      </c>
      <c r="C25" s="24" t="s">
        <v>88</v>
      </c>
      <c r="D25" s="19" t="s">
        <v>136</v>
      </c>
      <c r="E25" s="19" t="s">
        <v>115</v>
      </c>
      <c r="F25" s="19" t="s">
        <v>178</v>
      </c>
      <c r="G25" s="19">
        <v>5</v>
      </c>
      <c r="H25" s="19" t="s">
        <v>112</v>
      </c>
      <c r="I25" s="19">
        <v>1</v>
      </c>
      <c r="J25" s="19"/>
      <c r="K25" s="19"/>
      <c r="L25" s="19"/>
      <c r="M25" s="25" t="s">
        <v>179</v>
      </c>
      <c r="N25" s="22">
        <f ca="1">IFERROR(__xludf.DUMMYFUNCTION("IF(OR(F25="""",G25="""",H25="""",I25=""""),"""",(VALUE(INDEX(SPLIT(REGEXREPLACE(F25,""[^\d]+"",""x""),""x""),1))/1000)*(VALUE(INDEX(SPLIT(REGEXREPLACE(F25,""[^\d]+"",""x""),""x""),2))/1000)*G25*IF(REGEXMATCH(UPPER(H25),""AÇO|ACO""),7.86,IF(REGEXMATCH(UPPE"&amp;"R(H25),""ALUM""),2.7,IF(REGEXMATCH(UPPER(H25),""LAT""),8.73,IF(REGEXMATCH(UPPER(H25),""COBRE""),8.96,0))))*I25)"),4.29156)</f>
        <v>4.2915599999999996</v>
      </c>
    </row>
    <row r="26" spans="1:14" ht="37.5" customHeight="1">
      <c r="A26" s="18">
        <v>58</v>
      </c>
      <c r="B26" s="23">
        <v>45932</v>
      </c>
      <c r="C26" s="24" t="s">
        <v>88</v>
      </c>
      <c r="D26" s="19" t="s">
        <v>136</v>
      </c>
      <c r="E26" s="19" t="s">
        <v>115</v>
      </c>
      <c r="F26" s="19" t="s">
        <v>180</v>
      </c>
      <c r="G26" s="19">
        <v>5</v>
      </c>
      <c r="H26" s="19" t="s">
        <v>112</v>
      </c>
      <c r="I26" s="19">
        <v>1</v>
      </c>
      <c r="J26" s="19"/>
      <c r="K26" s="19"/>
      <c r="L26" s="19"/>
      <c r="M26" s="25" t="s">
        <v>181</v>
      </c>
      <c r="N26" s="22">
        <f ca="1">IFERROR(__xludf.DUMMYFUNCTION("IF(OR(F26="""",G26="""",H26="""",I26=""""),"""",(VALUE(INDEX(SPLIT(REGEXREPLACE(F26,""[^\d]+"",""x""),""x""),1))/1000)*(VALUE(INDEX(SPLIT(REGEXREPLACE(F26,""[^\d]+"",""x""),""x""),2))/1000)*G26*IF(REGEXMATCH(UPPER(H26),""AÇO|ACO""),7.86,IF(REGEXMATCH(UPPE"&amp;"R(H26),""ALUM""),2.7,IF(REGEXMATCH(UPPER(H26),""LAT""),8.73,IF(REGEXMATCH(UPPER(H26),""COBRE""),8.96,0))))*I26)"),24.759)</f>
        <v>24.759</v>
      </c>
    </row>
    <row r="27" spans="1:14" ht="37.5" customHeight="1">
      <c r="A27" s="18">
        <v>59</v>
      </c>
      <c r="B27" s="23">
        <v>45932</v>
      </c>
      <c r="C27" s="24" t="s">
        <v>88</v>
      </c>
      <c r="D27" s="19" t="s">
        <v>136</v>
      </c>
      <c r="E27" s="19" t="s">
        <v>115</v>
      </c>
      <c r="F27" s="19" t="s">
        <v>182</v>
      </c>
      <c r="G27" s="19">
        <v>5</v>
      </c>
      <c r="H27" s="19" t="s">
        <v>112</v>
      </c>
      <c r="I27" s="19">
        <v>1</v>
      </c>
      <c r="J27" s="19"/>
      <c r="K27" s="19"/>
      <c r="L27" s="19"/>
      <c r="M27" s="25" t="s">
        <v>183</v>
      </c>
      <c r="N27" s="22">
        <f ca="1">IFERROR(__xludf.DUMMYFUNCTION("IF(OR(F27="""",G27="""",H27="""",I27=""""),"""",(VALUE(INDEX(SPLIT(REGEXREPLACE(F27,""[^\d]+"",""x""),""x""),1))/1000)*(VALUE(INDEX(SPLIT(REGEXREPLACE(F27,""[^\d]+"",""x""),""x""),2))/1000)*G27*IF(REGEXMATCH(UPPER(H27),""AÇO|ACO""),7.86,IF(REGEXMATCH(UPPE"&amp;"R(H27),""ALUM""),2.7,IF(REGEXMATCH(UPPER(H27),""LAT""),8.73,IF(REGEXMATCH(UPPER(H27),""COBRE""),8.96,0))))*I27)"),14.148)</f>
        <v>14.148</v>
      </c>
    </row>
    <row r="28" spans="1:14" ht="37.5" customHeight="1">
      <c r="A28" s="18">
        <v>60</v>
      </c>
      <c r="B28" s="23">
        <v>45932</v>
      </c>
      <c r="C28" s="24" t="s">
        <v>88</v>
      </c>
      <c r="D28" s="19" t="s">
        <v>136</v>
      </c>
      <c r="E28" s="19" t="s">
        <v>115</v>
      </c>
      <c r="F28" s="19" t="s">
        <v>184</v>
      </c>
      <c r="G28" s="19">
        <v>5</v>
      </c>
      <c r="H28" s="19" t="s">
        <v>112</v>
      </c>
      <c r="I28" s="19">
        <v>1</v>
      </c>
      <c r="J28" s="19"/>
      <c r="K28" s="19"/>
      <c r="L28" s="19"/>
      <c r="M28" s="25" t="s">
        <v>185</v>
      </c>
      <c r="N28" s="22">
        <f ca="1">IFERROR(__xludf.DUMMYFUNCTION("IF(OR(F28="""",G28="""",H28="""",I28=""""),"""",(VALUE(INDEX(SPLIT(REGEXREPLACE(F28,""[^\d]+"",""x""),""x""),1))/1000)*(VALUE(INDEX(SPLIT(REGEXREPLACE(F28,""[^\d]+"",""x""),""x""),2))/1000)*G28*IF(REGEXMATCH(UPPER(H28),""AÇO|ACO""),7.86,IF(REGEXMATCH(UPPE"&amp;"R(H28),""ALUM""),2.7,IF(REGEXMATCH(UPPER(H28),""LAT""),8.73,IF(REGEXMATCH(UPPER(H28),""COBRE""),8.96,0))))*I28)"),15.327)</f>
        <v>15.327</v>
      </c>
    </row>
    <row r="29" spans="1:14" ht="37.5" customHeight="1">
      <c r="A29" s="18">
        <v>61</v>
      </c>
      <c r="B29" s="23">
        <v>45932</v>
      </c>
      <c r="C29" s="24" t="s">
        <v>88</v>
      </c>
      <c r="D29" s="19" t="s">
        <v>136</v>
      </c>
      <c r="E29" s="19" t="s">
        <v>115</v>
      </c>
      <c r="F29" s="19" t="s">
        <v>186</v>
      </c>
      <c r="G29" s="19">
        <v>5</v>
      </c>
      <c r="H29" s="19" t="s">
        <v>112</v>
      </c>
      <c r="I29" s="19">
        <v>1</v>
      </c>
      <c r="J29" s="19"/>
      <c r="K29" s="19"/>
      <c r="L29" s="19"/>
      <c r="M29" s="25" t="s">
        <v>187</v>
      </c>
      <c r="N29" s="22">
        <f ca="1">IFERROR(__xludf.DUMMYFUNCTION("IF(OR(F29="""",G29="""",H29="""",I29=""""),"""",(VALUE(INDEX(SPLIT(REGEXREPLACE(F29,""[^\d]+"",""x""),""x""),1))/1000)*(VALUE(INDEX(SPLIT(REGEXREPLACE(F29,""[^\d]+"",""x""),""x""),2))/1000)*G29*IF(REGEXMATCH(UPPER(H29),""AÇO|ACO""),7.86,IF(REGEXMATCH(UPPE"&amp;"R(H29),""ALUM""),2.7,IF(REGEXMATCH(UPPER(H29),""LAT""),8.73,IF(REGEXMATCH(UPPER(H29),""COBRE""),8.96,0))))*I29)"),10.611)</f>
        <v>10.611000000000001</v>
      </c>
    </row>
    <row r="30" spans="1:14" ht="37.5" customHeight="1">
      <c r="A30" s="18">
        <v>64</v>
      </c>
      <c r="B30" s="23">
        <v>45932</v>
      </c>
      <c r="C30" s="24" t="s">
        <v>88</v>
      </c>
      <c r="D30" s="19" t="s">
        <v>109</v>
      </c>
      <c r="E30" s="19" t="s">
        <v>115</v>
      </c>
      <c r="F30" s="19" t="s">
        <v>188</v>
      </c>
      <c r="G30" s="19">
        <v>2.65</v>
      </c>
      <c r="H30" s="19" t="s">
        <v>189</v>
      </c>
      <c r="I30" s="19">
        <v>1</v>
      </c>
      <c r="J30" s="19" t="s">
        <v>109</v>
      </c>
      <c r="K30" s="26">
        <v>14584</v>
      </c>
      <c r="L30" s="19"/>
      <c r="M30" s="25" t="s">
        <v>190</v>
      </c>
      <c r="N30" s="22">
        <f ca="1">IFERROR(__xludf.DUMMYFUNCTION("IF(OR(F30="""",G30="""",H30="""",I30=""""),"""",(VALUE(INDEX(SPLIT(REGEXREPLACE(F30,""[^\d]+"",""x""),""x""),1))/1000)*(VALUE(INDEX(SPLIT(REGEXREPLACE(F30,""[^\d]+"",""x""),""x""),2))/1000)*G30*IF(REGEXMATCH(UPPER(H30),""AÇO|ACO""),7.86,IF(REGEXMATCH(UPPE"&amp;"R(H30),""ALUM""),2.7,IF(REGEXMATCH(UPPER(H30),""LAT""),8.73,IF(REGEXMATCH(UPPER(H30),""COBRE""),8.96,0))))*I30)"),10.5852978)</f>
        <v>10.585297799999999</v>
      </c>
    </row>
    <row r="31" spans="1:14" ht="37.5" customHeight="1">
      <c r="A31" s="18">
        <v>65</v>
      </c>
      <c r="B31" s="23">
        <v>45932</v>
      </c>
      <c r="C31" s="24" t="s">
        <v>88</v>
      </c>
      <c r="D31" s="19" t="s">
        <v>140</v>
      </c>
      <c r="E31" s="19" t="s">
        <v>115</v>
      </c>
      <c r="F31" s="19" t="s">
        <v>191</v>
      </c>
      <c r="G31" s="19">
        <v>2.6</v>
      </c>
      <c r="H31" s="19" t="s">
        <v>112</v>
      </c>
      <c r="I31" s="19">
        <v>1</v>
      </c>
      <c r="J31" s="19" t="s">
        <v>109</v>
      </c>
      <c r="K31" s="19">
        <v>8150</v>
      </c>
      <c r="L31" s="19"/>
      <c r="M31" s="25" t="s">
        <v>192</v>
      </c>
      <c r="N31" s="22">
        <f ca="1">IFERROR(__xludf.DUMMYFUNCTION("IF(OR(F31="""",G31="""",H31="""",I31=""""),"""",(VALUE(INDEX(SPLIT(REGEXREPLACE(F31,""[^\d]+"",""x""),""x""),1))/1000)*(VALUE(INDEX(SPLIT(REGEXREPLACE(F31,""[^\d]+"",""x""),""x""),2))/1000)*G31*IF(REGEXMATCH(UPPER(H31),""AÇO|ACO""),7.86,IF(REGEXMATCH(UPPE"&amp;"R(H31),""ALUM""),2.7,IF(REGEXMATCH(UPPER(H31),""LAT""),8.73,IF(REGEXMATCH(UPPER(H31),""COBRE""),8.96,0))))*I31)"),17.16624)</f>
        <v>17.166239999999998</v>
      </c>
    </row>
    <row r="32" spans="1:14" ht="37.5" customHeight="1">
      <c r="A32" s="18">
        <v>69</v>
      </c>
      <c r="B32" s="23">
        <v>45933</v>
      </c>
      <c r="C32" s="24" t="s">
        <v>88</v>
      </c>
      <c r="D32" s="19" t="s">
        <v>136</v>
      </c>
      <c r="E32" s="19" t="s">
        <v>115</v>
      </c>
      <c r="F32" s="19" t="s">
        <v>193</v>
      </c>
      <c r="G32" s="19">
        <v>1.5</v>
      </c>
      <c r="H32" s="19" t="s">
        <v>112</v>
      </c>
      <c r="I32" s="19">
        <v>1</v>
      </c>
      <c r="J32" s="19"/>
      <c r="K32" s="26"/>
      <c r="L32" s="19"/>
      <c r="M32" s="25" t="s">
        <v>194</v>
      </c>
      <c r="N32" s="22">
        <f ca="1">IFERROR(__xludf.DUMMYFUNCTION("IF(OR(F32="""",G32="""",H32="""",I32=""""),"""",(VALUE(INDEX(SPLIT(REGEXREPLACE(F32,""[^\d]+"",""x""),""x""),1))/1000)*(VALUE(INDEX(SPLIT(REGEXREPLACE(F32,""[^\d]+"",""x""),""x""),2))/1000)*G32*IF(REGEXMATCH(UPPER(H32),""AÇO|ACO""),7.86,IF(REGEXMATCH(UPPE"&amp;"R(H32),""ALUM""),2.7,IF(REGEXMATCH(UPPER(H32),""LAT""),8.73,IF(REGEXMATCH(UPPER(H32),""COBRE""),8.96,0))))*I32)"),13.789584)</f>
        <v>13.789584</v>
      </c>
    </row>
    <row r="33" spans="1:14" ht="37.5" customHeight="1">
      <c r="A33" s="18">
        <v>74</v>
      </c>
      <c r="B33" s="23">
        <v>45933</v>
      </c>
      <c r="C33" s="24" t="s">
        <v>88</v>
      </c>
      <c r="D33" s="19" t="s">
        <v>136</v>
      </c>
      <c r="E33" s="19" t="s">
        <v>115</v>
      </c>
      <c r="F33" s="19" t="s">
        <v>195</v>
      </c>
      <c r="G33" s="19">
        <v>3</v>
      </c>
      <c r="H33" s="19" t="s">
        <v>112</v>
      </c>
      <c r="I33" s="19">
        <v>1</v>
      </c>
      <c r="J33" s="19" t="s">
        <v>113</v>
      </c>
      <c r="K33" s="19"/>
      <c r="L33" s="19"/>
      <c r="M33" s="25" t="s">
        <v>196</v>
      </c>
      <c r="N33" s="22">
        <f ca="1">IFERROR(__xludf.DUMMYFUNCTION("IF(OR(F33="""",G33="""",H33="""",I33=""""),"""",(VALUE(INDEX(SPLIT(REGEXREPLACE(F33,""[^\d]+"",""x""),""x""),1))/1000)*(VALUE(INDEX(SPLIT(REGEXREPLACE(F33,""[^\d]+"",""x""),""x""),2))/1000)*G33*IF(REGEXMATCH(UPPER(H33),""AÇO|ACO""),7.86,IF(REGEXMATCH(UPPE"&amp;"R(H33),""ALUM""),2.7,IF(REGEXMATCH(UPPER(H33),""LAT""),8.73,IF(REGEXMATCH(UPPER(H33),""COBRE""),8.96,0))))*I33)"),34.5211199999999)</f>
        <v>34.521119999999897</v>
      </c>
    </row>
    <row r="34" spans="1:14" ht="37.5" customHeight="1">
      <c r="A34" s="18">
        <v>95</v>
      </c>
      <c r="B34" s="23">
        <v>45940</v>
      </c>
      <c r="C34" s="24" t="s">
        <v>80</v>
      </c>
      <c r="D34" s="19" t="s">
        <v>136</v>
      </c>
      <c r="E34" s="19" t="s">
        <v>110</v>
      </c>
      <c r="F34" s="19" t="s">
        <v>137</v>
      </c>
      <c r="G34" s="19">
        <v>4</v>
      </c>
      <c r="H34" s="19" t="s">
        <v>145</v>
      </c>
      <c r="I34" s="19">
        <v>1</v>
      </c>
      <c r="J34" s="19" t="s">
        <v>197</v>
      </c>
      <c r="K34" s="26">
        <v>178179</v>
      </c>
      <c r="L34" s="19">
        <v>2188</v>
      </c>
      <c r="M34" s="25" t="s">
        <v>198</v>
      </c>
      <c r="N34" s="22">
        <f ca="1">IFERROR(__xludf.DUMMYFUNCTION("IF(OR(F34="""",G34="""",H34="""",I34=""""),"""",(VALUE(INDEX(SPLIT(REGEXREPLACE(F34,""[^\d]+"",""x""),""x""),1))/1000)*(VALUE(INDEX(SPLIT(REGEXREPLACE(F34,""[^\d]+"",""x""),""x""),2))/1000)*G34*IF(REGEXMATCH(UPPER(H34),""AÇO|ACO""),7.86,IF(REGEXMATCH(UPPE"&amp;"R(H34),""ALUM""),2.7,IF(REGEXMATCH(UPPER(H34),""LAT""),8.73,IF(REGEXMATCH(UPPER(H34),""COBRE""),8.96,0))))*I34)"),113.184)</f>
        <v>113.184</v>
      </c>
    </row>
    <row r="35" spans="1:14" ht="37.5" customHeight="1">
      <c r="A35" s="18">
        <v>96</v>
      </c>
      <c r="B35" s="23">
        <v>45944</v>
      </c>
      <c r="C35" s="24" t="s">
        <v>88</v>
      </c>
      <c r="D35" s="19" t="s">
        <v>136</v>
      </c>
      <c r="E35" s="19" t="s">
        <v>110</v>
      </c>
      <c r="F35" s="19" t="s">
        <v>137</v>
      </c>
      <c r="G35" s="19">
        <v>3.75</v>
      </c>
      <c r="H35" s="19" t="s">
        <v>153</v>
      </c>
      <c r="I35" s="19">
        <v>2</v>
      </c>
      <c r="J35" s="19" t="s">
        <v>154</v>
      </c>
      <c r="K35" s="19">
        <v>286893</v>
      </c>
      <c r="L35" s="19" t="s">
        <v>199</v>
      </c>
      <c r="M35" s="25" t="s">
        <v>200</v>
      </c>
      <c r="N35" s="22">
        <f ca="1">IFERROR(__xludf.DUMMYFUNCTION("IF(OR(F35="""",G35="""",H35="""",I35=""""),"""",(VALUE(INDEX(SPLIT(REGEXREPLACE(F35,""[^\d]+"",""x""),""x""),1))/1000)*(VALUE(INDEX(SPLIT(REGEXREPLACE(F35,""[^\d]+"",""x""),""x""),2))/1000)*G35*IF(REGEXMATCH(UPPER(H35),""AÇO|ACO""),7.86,IF(REGEXMATCH(UPPE"&amp;"R(H35),""ALUM""),2.7,IF(REGEXMATCH(UPPER(H35),""LAT""),8.73,IF(REGEXMATCH(UPPER(H35),""COBRE""),8.96,0))))*I35)"),212.219999999999)</f>
        <v>212.219999999999</v>
      </c>
    </row>
    <row r="36" spans="1:14" ht="37.5" customHeight="1">
      <c r="A36" s="18">
        <v>104</v>
      </c>
      <c r="B36" s="23">
        <v>45947</v>
      </c>
      <c r="C36" s="24" t="s">
        <v>88</v>
      </c>
      <c r="D36" s="19" t="s">
        <v>136</v>
      </c>
      <c r="E36" s="19" t="s">
        <v>110</v>
      </c>
      <c r="F36" s="19" t="s">
        <v>137</v>
      </c>
      <c r="G36" s="19">
        <v>9.5</v>
      </c>
      <c r="H36" s="19" t="s">
        <v>153</v>
      </c>
      <c r="I36" s="19">
        <v>1</v>
      </c>
      <c r="J36" s="19" t="s">
        <v>201</v>
      </c>
      <c r="K36" s="26">
        <v>3042</v>
      </c>
      <c r="L36" s="19"/>
      <c r="M36" s="25" t="s">
        <v>202</v>
      </c>
      <c r="N36" s="22">
        <f ca="1">IFERROR(__xludf.DUMMYFUNCTION("IF(OR(F36="""",G36="""",H36="""",I36=""""),"""",(VALUE(INDEX(SPLIT(REGEXREPLACE(F36,""[^\d]+"",""x""),""x""),1))/1000)*(VALUE(INDEX(SPLIT(REGEXREPLACE(F36,""[^\d]+"",""x""),""x""),2))/1000)*G36*IF(REGEXMATCH(UPPER(H36),""AÇO|ACO""),7.86,IF(REGEXMATCH(UPPE"&amp;"R(H36),""ALUM""),2.7,IF(REGEXMATCH(UPPER(H36),""LAT""),8.73,IF(REGEXMATCH(UPPER(H36),""COBRE""),8.96,0))))*I36)"),268.811999999999)</f>
        <v>268.81199999999899</v>
      </c>
    </row>
    <row r="37" spans="1:14" ht="37.5" customHeight="1">
      <c r="A37" s="18">
        <v>105</v>
      </c>
      <c r="B37" s="23">
        <v>45947</v>
      </c>
      <c r="C37" s="24" t="s">
        <v>88</v>
      </c>
      <c r="D37" s="19" t="s">
        <v>136</v>
      </c>
      <c r="E37" s="19" t="s">
        <v>203</v>
      </c>
      <c r="F37" s="19" t="s">
        <v>137</v>
      </c>
      <c r="G37" s="19">
        <v>12.7</v>
      </c>
      <c r="H37" s="19" t="s">
        <v>153</v>
      </c>
      <c r="I37" s="19">
        <v>2</v>
      </c>
      <c r="J37" s="19" t="s">
        <v>201</v>
      </c>
      <c r="K37" s="26">
        <v>3042</v>
      </c>
      <c r="L37" s="19"/>
      <c r="M37" s="25" t="s">
        <v>204</v>
      </c>
      <c r="N37" s="22">
        <f ca="1">IFERROR(__xludf.DUMMYFUNCTION("IF(OR(F37="""",G37="""",H37="""",I37=""""),"""",(VALUE(INDEX(SPLIT(REGEXREPLACE(F37,""[^\d]+"",""x""),""x""),1))/1000)*(VALUE(INDEX(SPLIT(REGEXREPLACE(F37,""[^\d]+"",""x""),""x""),2))/1000)*G37*IF(REGEXMATCH(UPPER(H37),""AÇO|ACO""),7.86,IF(REGEXMATCH(UPPE"&amp;"R(H37),""ALUM""),2.7,IF(REGEXMATCH(UPPER(H37),""LAT""),8.73,IF(REGEXMATCH(UPPER(H37),""COBRE""),8.96,0))))*I37)"),718.718399999999)</f>
        <v>718.71839999999895</v>
      </c>
    </row>
    <row r="38" spans="1:14" ht="37.5" customHeight="1">
      <c r="A38" s="18">
        <v>107</v>
      </c>
      <c r="B38" s="27">
        <v>45950</v>
      </c>
      <c r="C38" s="24" t="s">
        <v>80</v>
      </c>
      <c r="D38" s="19" t="s">
        <v>136</v>
      </c>
      <c r="E38" s="19" t="s">
        <v>110</v>
      </c>
      <c r="F38" s="19" t="s">
        <v>137</v>
      </c>
      <c r="G38" s="19">
        <v>2</v>
      </c>
      <c r="H38" s="19" t="s">
        <v>153</v>
      </c>
      <c r="I38" s="19">
        <v>5</v>
      </c>
      <c r="J38" s="19" t="s">
        <v>201</v>
      </c>
      <c r="K38" s="19">
        <v>3042</v>
      </c>
      <c r="L38" s="19"/>
      <c r="M38" s="25" t="s">
        <v>205</v>
      </c>
      <c r="N38" s="22">
        <f ca="1">IFERROR(__xludf.DUMMYFUNCTION("IF(OR(F38="""",G38="""",H38="""",I38=""""),"""",(VALUE(INDEX(SPLIT(REGEXREPLACE(F38,""[^\d]+"",""x""),""x""),1))/1000)*(VALUE(INDEX(SPLIT(REGEXREPLACE(F38,""[^\d]+"",""x""),""x""),2))/1000)*G38*IF(REGEXMATCH(UPPER(H38),""AÇO|ACO""),7.86,IF(REGEXMATCH(UPPE"&amp;"R(H38),""ALUM""),2.7,IF(REGEXMATCH(UPPER(H38),""LAT""),8.73,IF(REGEXMATCH(UPPER(H38),""COBRE""),8.96,0))))*I38)"),282.96)</f>
        <v>282.95999999999998</v>
      </c>
    </row>
    <row r="39" spans="1:14" ht="37.5" customHeight="1">
      <c r="A39" s="18">
        <v>112</v>
      </c>
      <c r="B39" s="27">
        <v>45957</v>
      </c>
      <c r="C39" s="24" t="s">
        <v>88</v>
      </c>
      <c r="D39" s="19" t="s">
        <v>136</v>
      </c>
      <c r="E39" s="19" t="s">
        <v>110</v>
      </c>
      <c r="F39" s="19" t="s">
        <v>137</v>
      </c>
      <c r="G39" s="19">
        <v>4.25</v>
      </c>
      <c r="H39" s="19" t="s">
        <v>206</v>
      </c>
      <c r="I39" s="19">
        <v>2</v>
      </c>
      <c r="J39" s="19" t="s">
        <v>201</v>
      </c>
      <c r="K39" s="26">
        <v>3086</v>
      </c>
      <c r="L39" s="19" t="s">
        <v>207</v>
      </c>
      <c r="M39" s="25" t="s">
        <v>208</v>
      </c>
      <c r="N39" s="22">
        <f ca="1">IFERROR(__xludf.DUMMYFUNCTION("IF(OR(F39="""",G39="""",H39="""",I39=""""),"""",(VALUE(INDEX(SPLIT(REGEXREPLACE(F39,""[^\d]+"",""x""),""x""),1))/1000)*(VALUE(INDEX(SPLIT(REGEXREPLACE(F39,""[^\d]+"",""x""),""x""),2))/1000)*G39*IF(REGEXMATCH(UPPER(H39),""AÇO|ACO""),7.86,IF(REGEXMATCH(UPPE"&amp;"R(H39),""ALUM""),2.7,IF(REGEXMATCH(UPPER(H39),""LAT""),8.73,IF(REGEXMATCH(UPPER(H39),""COBRE""),8.96,0))))*I39)"),240.516)</f>
        <v>240.51599999999999</v>
      </c>
    </row>
    <row r="40" spans="1:14" ht="37.5" customHeight="1">
      <c r="A40" s="18">
        <v>114</v>
      </c>
      <c r="B40" s="27">
        <v>45958</v>
      </c>
      <c r="C40" s="24" t="s">
        <v>93</v>
      </c>
      <c r="D40" s="19" t="s">
        <v>209</v>
      </c>
      <c r="E40" s="19" t="s">
        <v>110</v>
      </c>
      <c r="F40" s="19" t="s">
        <v>210</v>
      </c>
      <c r="G40" s="19">
        <v>2</v>
      </c>
      <c r="H40" s="19" t="s">
        <v>211</v>
      </c>
      <c r="I40" s="19">
        <v>46</v>
      </c>
      <c r="J40" s="19" t="s">
        <v>212</v>
      </c>
      <c r="K40" s="19">
        <v>258796</v>
      </c>
      <c r="L40" s="19">
        <v>52249799</v>
      </c>
      <c r="M40" s="25" t="s">
        <v>213</v>
      </c>
      <c r="N40" s="22">
        <f ca="1">IFERROR(__xludf.DUMMYFUNCTION("IF(OR(F40="""",G40="""",H40="""",I40=""""),"""",(VALUE(INDEX(SPLIT(REGEXREPLACE(F40,""[^\d]+"",""x""),""x""),1))/1000)*(VALUE(INDEX(SPLIT(REGEXREPLACE(F40,""[^\d]+"",""x""),""x""),2))/1000)*G40*IF(REGEXMATCH(UPPER(H40),""AÇO|ACO""),7.86,IF(REGEXMATCH(UPPE"&amp;"R(H40),""ALUM""),2.7,IF(REGEXMATCH(UPPER(H40),""LAT""),8.73,IF(REGEXMATCH(UPPER(H40),""COBRE""),8.96,0))))*I40)"),321.06528)</f>
        <v>321.06527999999997</v>
      </c>
    </row>
    <row r="41" spans="1:14" ht="37.5" customHeight="1">
      <c r="A41" s="18">
        <v>116</v>
      </c>
      <c r="B41" s="27">
        <v>45958</v>
      </c>
      <c r="C41" s="24" t="s">
        <v>88</v>
      </c>
      <c r="D41" s="19" t="s">
        <v>136</v>
      </c>
      <c r="E41" s="19" t="s">
        <v>110</v>
      </c>
      <c r="F41" s="19" t="s">
        <v>137</v>
      </c>
      <c r="G41" s="19">
        <v>6.35</v>
      </c>
      <c r="H41" s="19" t="s">
        <v>206</v>
      </c>
      <c r="I41" s="19">
        <v>1</v>
      </c>
      <c r="J41" s="19" t="s">
        <v>201</v>
      </c>
      <c r="K41" s="19">
        <v>3086</v>
      </c>
      <c r="L41" s="19" t="s">
        <v>119</v>
      </c>
      <c r="M41" s="25" t="s">
        <v>214</v>
      </c>
      <c r="N41" s="22">
        <f ca="1">IFERROR(__xludf.DUMMYFUNCTION("IF(OR(F41="""",G41="""",H41="""",I41=""""),"""",(VALUE(INDEX(SPLIT(REGEXREPLACE(F41,""[^\d]+"",""x""),""x""),1))/1000)*(VALUE(INDEX(SPLIT(REGEXREPLACE(F41,""[^\d]+"",""x""),""x""),2))/1000)*G41*IF(REGEXMATCH(UPPER(H41),""AÇO|ACO""),7.86,IF(REGEXMATCH(UPPE"&amp;"R(H41),""ALUM""),2.7,IF(REGEXMATCH(UPPER(H41),""LAT""),8.73,IF(REGEXMATCH(UPPER(H41),""COBRE""),8.96,0))))*I41)"),179.679599999999)</f>
        <v>179.679599999999</v>
      </c>
    </row>
    <row r="42" spans="1:14" ht="37.5" customHeight="1">
      <c r="A42" s="18">
        <v>117</v>
      </c>
      <c r="B42" s="27">
        <v>45958</v>
      </c>
      <c r="C42" s="24" t="s">
        <v>93</v>
      </c>
      <c r="D42" s="19" t="s">
        <v>215</v>
      </c>
      <c r="E42" s="19" t="s">
        <v>110</v>
      </c>
      <c r="F42" s="19" t="s">
        <v>216</v>
      </c>
      <c r="G42" s="19">
        <v>2</v>
      </c>
      <c r="H42" s="19" t="s">
        <v>112</v>
      </c>
      <c r="I42" s="19">
        <v>10</v>
      </c>
      <c r="J42" s="19"/>
      <c r="K42" s="19"/>
      <c r="L42" s="19"/>
      <c r="M42" s="25" t="s">
        <v>217</v>
      </c>
      <c r="N42" s="22">
        <f ca="1">IFERROR(__xludf.DUMMYFUNCTION("IF(OR(F42="""",G42="""",H42="""",I42=""""),"""",(VALUE(INDEX(SPLIT(REGEXREPLACE(F42,""[^\d]+"",""x""),""x""),1))/1000)*(VALUE(INDEX(SPLIT(REGEXREPLACE(F42,""[^\d]+"",""x""),""x""),2))/1000)*G42*IF(REGEXMATCH(UPPER(H42),""AÇO|ACO""),7.86,IF(REGEXMATCH(UPPE"&amp;"R(H42),""ALUM""),2.7,IF(REGEXMATCH(UPPER(H42),""LAT""),8.73,IF(REGEXMATCH(UPPER(H42),""COBRE""),8.96,0))))*I42)"),49.29792)</f>
        <v>49.297919999999998</v>
      </c>
    </row>
    <row r="43" spans="1:14" ht="37.5" customHeight="1">
      <c r="A43" s="18">
        <v>118</v>
      </c>
      <c r="B43" s="27">
        <v>45958</v>
      </c>
      <c r="C43" s="24" t="s">
        <v>93</v>
      </c>
      <c r="D43" s="19" t="s">
        <v>215</v>
      </c>
      <c r="E43" s="19" t="s">
        <v>110</v>
      </c>
      <c r="F43" s="19" t="s">
        <v>218</v>
      </c>
      <c r="G43" s="19">
        <v>2.2999999999999998</v>
      </c>
      <c r="H43" s="19" t="s">
        <v>112</v>
      </c>
      <c r="I43" s="19">
        <v>24</v>
      </c>
      <c r="J43" s="19" t="s">
        <v>215</v>
      </c>
      <c r="K43" s="19">
        <v>259142</v>
      </c>
      <c r="L43" s="19" t="s">
        <v>219</v>
      </c>
      <c r="M43" s="25" t="s">
        <v>220</v>
      </c>
      <c r="N43" s="22">
        <f ca="1">IFERROR(__xludf.DUMMYFUNCTION("IF(OR(F43="""",G43="""",H43="""",I43=""""),"""",(VALUE(INDEX(SPLIT(REGEXREPLACE(F43,""[^\d]+"",""x""),""x""),1))/1000)*(VALUE(INDEX(SPLIT(REGEXREPLACE(F43,""[^\d]+"",""x""),""x""),2))/1000)*G43*IF(REGEXMATCH(UPPER(H43),""AÇO|ACO""),7.86,IF(REGEXMATCH(UPPE"&amp;"R(H43),""ALUM""),2.7,IF(REGEXMATCH(UPPER(H43),""LAT""),8.73,IF(REGEXMATCH(UPPER(H43),""COBRE""),8.96,0))))*I43)"),520.6464)</f>
        <v>520.64639999999997</v>
      </c>
    </row>
    <row r="44" spans="1:14" ht="37.5" customHeight="1">
      <c r="A44" s="18">
        <v>119</v>
      </c>
      <c r="B44" s="27">
        <v>45959</v>
      </c>
      <c r="C44" s="24" t="s">
        <v>80</v>
      </c>
      <c r="D44" s="19" t="s">
        <v>136</v>
      </c>
      <c r="E44" s="19" t="s">
        <v>115</v>
      </c>
      <c r="F44" s="19" t="s">
        <v>221</v>
      </c>
      <c r="G44" s="19">
        <v>1.2</v>
      </c>
      <c r="H44" s="19" t="s">
        <v>222</v>
      </c>
      <c r="I44" s="19">
        <v>1</v>
      </c>
      <c r="J44" s="19" t="s">
        <v>201</v>
      </c>
      <c r="K44" s="19">
        <v>3086</v>
      </c>
      <c r="L44" s="19">
        <v>0</v>
      </c>
      <c r="M44" s="25" t="s">
        <v>223</v>
      </c>
      <c r="N44" s="22">
        <f ca="1">IFERROR(__xludf.DUMMYFUNCTION("IF(OR(F44="""",G44="""",H44="""",I44=""""),"""",(VALUE(INDEX(SPLIT(REGEXREPLACE(F44,""[^\d]+"",""x""),""x""),1))/1000)*(VALUE(INDEX(SPLIT(REGEXREPLACE(F44,""[^\d]+"",""x""),""x""),2))/1000)*G44*IF(REGEXMATCH(UPPER(H44),""AÇO|ACO""),7.86,IF(REGEXMATCH(UPPE"&amp;"R(H44),""ALUM""),2.7,IF(REGEXMATCH(UPPER(H44),""LAT""),8.73,IF(REGEXMATCH(UPPER(H44),""COBRE""),8.96,0))))*I44)"),23.2027199999999)</f>
        <v>23.2027199999999</v>
      </c>
    </row>
    <row r="45" spans="1:14" ht="37.5" customHeight="1">
      <c r="A45" s="18">
        <v>120</v>
      </c>
      <c r="B45" s="27">
        <v>45959</v>
      </c>
      <c r="C45" s="24" t="s">
        <v>80</v>
      </c>
      <c r="D45" s="19" t="s">
        <v>136</v>
      </c>
      <c r="E45" s="19" t="s">
        <v>110</v>
      </c>
      <c r="F45" s="19" t="s">
        <v>137</v>
      </c>
      <c r="G45" s="19">
        <v>1.2</v>
      </c>
      <c r="H45" s="19" t="s">
        <v>222</v>
      </c>
      <c r="I45" s="19">
        <v>1</v>
      </c>
      <c r="J45" s="19" t="s">
        <v>201</v>
      </c>
      <c r="K45" s="19">
        <v>3086</v>
      </c>
      <c r="L45" s="19">
        <v>0</v>
      </c>
      <c r="M45" s="25" t="s">
        <v>224</v>
      </c>
      <c r="N45" s="22">
        <f ca="1">IFERROR(__xludf.DUMMYFUNCTION("IF(OR(F45="""",G45="""",H45="""",I45=""""),"""",(VALUE(INDEX(SPLIT(REGEXREPLACE(F45,""[^\d]+"",""x""),""x""),1))/1000)*(VALUE(INDEX(SPLIT(REGEXREPLACE(F45,""[^\d]+"",""x""),""x""),2))/1000)*G45*IF(REGEXMATCH(UPPER(H45),""AÇO|ACO""),7.86,IF(REGEXMATCH(UPPE"&amp;"R(H45),""ALUM""),2.7,IF(REGEXMATCH(UPPER(H45),""LAT""),8.73,IF(REGEXMATCH(UPPER(H45),""COBRE""),8.96,0))))*I45)"),33.9552)</f>
        <v>33.955199999999998</v>
      </c>
    </row>
    <row r="46" spans="1:14" ht="37.5" customHeight="1">
      <c r="A46" s="18">
        <v>121</v>
      </c>
      <c r="B46" s="27">
        <v>45959</v>
      </c>
      <c r="C46" s="24" t="s">
        <v>80</v>
      </c>
      <c r="D46" s="19" t="s">
        <v>136</v>
      </c>
      <c r="E46" s="19" t="s">
        <v>110</v>
      </c>
      <c r="F46" s="19" t="s">
        <v>137</v>
      </c>
      <c r="G46" s="19">
        <v>1.5</v>
      </c>
      <c r="H46" s="19" t="s">
        <v>222</v>
      </c>
      <c r="I46" s="19">
        <v>6</v>
      </c>
      <c r="J46" s="19" t="s">
        <v>201</v>
      </c>
      <c r="K46" s="19">
        <v>3086</v>
      </c>
      <c r="L46" s="19">
        <v>0</v>
      </c>
      <c r="M46" s="25" t="s">
        <v>225</v>
      </c>
      <c r="N46" s="22">
        <f ca="1">IFERROR(__xludf.DUMMYFUNCTION("IF(OR(F46="""",G46="""",H46="""",I46=""""),"""",(VALUE(INDEX(SPLIT(REGEXREPLACE(F46,""[^\d]+"",""x""),""x""),1))/1000)*(VALUE(INDEX(SPLIT(REGEXREPLACE(F46,""[^\d]+"",""x""),""x""),2))/1000)*G46*IF(REGEXMATCH(UPPER(H46),""AÇO|ACO""),7.86,IF(REGEXMATCH(UPPE"&amp;"R(H46),""ALUM""),2.7,IF(REGEXMATCH(UPPER(H46),""LAT""),8.73,IF(REGEXMATCH(UPPER(H46),""COBRE""),8.96,0))))*I46)"),254.664)</f>
        <v>254.66399999999999</v>
      </c>
    </row>
    <row r="47" spans="1:14" ht="37.5" customHeight="1">
      <c r="A47" s="18">
        <v>123</v>
      </c>
      <c r="B47" s="28">
        <v>45931</v>
      </c>
      <c r="C47" s="24" t="s">
        <v>93</v>
      </c>
      <c r="D47" s="19" t="s">
        <v>136</v>
      </c>
      <c r="E47" s="19" t="s">
        <v>115</v>
      </c>
      <c r="F47" s="19" t="s">
        <v>226</v>
      </c>
      <c r="G47" s="19">
        <v>8</v>
      </c>
      <c r="H47" s="19" t="s">
        <v>153</v>
      </c>
      <c r="I47" s="19">
        <v>2</v>
      </c>
      <c r="J47" s="19" t="s">
        <v>138</v>
      </c>
      <c r="K47" s="19">
        <v>342455</v>
      </c>
      <c r="L47" s="19">
        <v>0</v>
      </c>
      <c r="M47" s="25" t="s">
        <v>227</v>
      </c>
      <c r="N47" s="22">
        <f ca="1">IFERROR(__xludf.DUMMYFUNCTION("IF(OR(F47="""",G47="""",H47="""",I47=""""),"""",(VALUE(INDEX(SPLIT(REGEXREPLACE(F47,""[^\d]+"",""x""),""x""),1))/1000)*(VALUE(INDEX(SPLIT(REGEXREPLACE(F47,""[^\d]+"",""x""),""x""),2))/1000)*G47*IF(REGEXMATCH(UPPER(H47),""AÇO|ACO""),7.86,IF(REGEXMATCH(UPPE"&amp;"R(H47),""ALUM""),2.7,IF(REGEXMATCH(UPPER(H47),""LAT""),8.73,IF(REGEXMATCH(UPPER(H47),""COBRE""),8.96,0))))*I47)"),303.83616)</f>
        <v>303.83616000000001</v>
      </c>
    </row>
    <row r="48" spans="1:14" ht="37.5" customHeight="1">
      <c r="A48" s="18">
        <v>124</v>
      </c>
      <c r="B48" s="27">
        <v>45960</v>
      </c>
      <c r="C48" s="24" t="s">
        <v>93</v>
      </c>
      <c r="D48" s="19" t="s">
        <v>136</v>
      </c>
      <c r="E48" s="19" t="s">
        <v>115</v>
      </c>
      <c r="F48" s="19" t="s">
        <v>228</v>
      </c>
      <c r="G48" s="19">
        <v>3</v>
      </c>
      <c r="H48" s="19" t="s">
        <v>206</v>
      </c>
      <c r="I48" s="19">
        <v>1</v>
      </c>
      <c r="J48" s="19" t="s">
        <v>201</v>
      </c>
      <c r="K48" s="19">
        <v>3086</v>
      </c>
      <c r="L48" s="19" t="s">
        <v>207</v>
      </c>
      <c r="M48" s="25" t="s">
        <v>229</v>
      </c>
      <c r="N48" s="22">
        <f ca="1">IFERROR(__xludf.DUMMYFUNCTION("IF(OR(F48="""",G48="""",H48="""",I48=""""),"""",(VALUE(INDEX(SPLIT(REGEXREPLACE(F48,""[^\d]+"",""x""),""x""),1))/1000)*(VALUE(INDEX(SPLIT(REGEXREPLACE(F48,""[^\d]+"",""x""),""x""),2))/1000)*G48*IF(REGEXMATCH(UPPER(H48),""AÇO|ACO""),7.86,IF(REGEXMATCH(UPPE"&amp;"R(H48),""ALUM""),2.7,IF(REGEXMATCH(UPPER(H48),""LAT""),8.73,IF(REGEXMATCH(UPPER(H48),""COBRE""),8.96,0))))*I48)"),64.7271)</f>
        <v>64.727099999999993</v>
      </c>
    </row>
    <row r="49" spans="1:14" ht="37.5" customHeight="1">
      <c r="A49" s="18">
        <v>125</v>
      </c>
      <c r="B49" s="28">
        <v>45877</v>
      </c>
      <c r="C49" s="24" t="s">
        <v>93</v>
      </c>
      <c r="D49" s="19" t="s">
        <v>136</v>
      </c>
      <c r="E49" s="19" t="s">
        <v>110</v>
      </c>
      <c r="F49" s="19" t="s">
        <v>230</v>
      </c>
      <c r="G49" s="19">
        <v>8</v>
      </c>
      <c r="H49" s="19" t="s">
        <v>153</v>
      </c>
      <c r="I49" s="19">
        <v>1</v>
      </c>
      <c r="J49" s="19" t="s">
        <v>138</v>
      </c>
      <c r="K49" s="19">
        <v>342459</v>
      </c>
      <c r="L49" s="19">
        <v>0</v>
      </c>
      <c r="M49" s="25" t="s">
        <v>231</v>
      </c>
      <c r="N49" s="22">
        <f ca="1">IFERROR(__xludf.DUMMYFUNCTION("IF(OR(F49="""",G49="""",H49="""",I49=""""),"""",(VALUE(INDEX(SPLIT(REGEXREPLACE(F49,""[^\d]+"",""x""),""x""),1))/1000)*(VALUE(INDEX(SPLIT(REGEXREPLACE(F49,""[^\d]+"",""x""),""x""),2))/1000)*G49*IF(REGEXMATCH(UPPER(H49),""AÇO|ACO""),7.86,IF(REGEXMATCH(UPPE"&amp;"R(H49),""ALUM""),2.7,IF(REGEXMATCH(UPPER(H49),""LAT""),8.73,IF(REGEXMATCH(UPPER(H49),""COBRE""),8.96,0))))*I49)"),282.96)</f>
        <v>282.95999999999998</v>
      </c>
    </row>
    <row r="50" spans="1:14" ht="37.5" customHeight="1">
      <c r="A50" s="18">
        <v>126</v>
      </c>
      <c r="B50" s="28">
        <v>45877</v>
      </c>
      <c r="C50" s="24" t="s">
        <v>93</v>
      </c>
      <c r="D50" s="19" t="s">
        <v>136</v>
      </c>
      <c r="E50" s="19" t="s">
        <v>110</v>
      </c>
      <c r="F50" s="19" t="s">
        <v>232</v>
      </c>
      <c r="G50" s="19">
        <v>8</v>
      </c>
      <c r="H50" s="19" t="s">
        <v>153</v>
      </c>
      <c r="I50" s="19">
        <v>1</v>
      </c>
      <c r="J50" s="19" t="s">
        <v>138</v>
      </c>
      <c r="K50" s="19">
        <v>342459</v>
      </c>
      <c r="L50" s="19">
        <v>0</v>
      </c>
      <c r="M50" s="25" t="s">
        <v>233</v>
      </c>
      <c r="N50" s="22">
        <f ca="1">IFERROR(__xludf.DUMMYFUNCTION("IF(OR(F50="""",G50="""",H50="""",I50=""""),"""",(VALUE(INDEX(SPLIT(REGEXREPLACE(F50,""[^\d]+"",""x""),""x""),1))/1000)*(VALUE(INDEX(SPLIT(REGEXREPLACE(F50,""[^\d]+"",""x""),""x""),2))/1000)*G50*IF(REGEXMATCH(UPPER(H50),""AÇO|ACO""),7.86,IF(REGEXMATCH(UPPE"&amp;"R(H50),""ALUM""),2.7,IF(REGEXMATCH(UPPER(H50),""LAT""),8.73,IF(REGEXMATCH(UPPER(H50),""COBRE""),8.96,0))))*I50)"),188.64)</f>
        <v>188.64</v>
      </c>
    </row>
    <row r="51" spans="1:14" ht="37.5" customHeight="1">
      <c r="A51" s="18">
        <v>128</v>
      </c>
      <c r="B51" s="28">
        <v>45964</v>
      </c>
      <c r="C51" s="24" t="s">
        <v>93</v>
      </c>
      <c r="D51" s="19" t="s">
        <v>234</v>
      </c>
      <c r="E51" s="19" t="s">
        <v>110</v>
      </c>
      <c r="F51" s="19" t="s">
        <v>137</v>
      </c>
      <c r="G51" s="19">
        <v>0.5</v>
      </c>
      <c r="H51" s="19" t="s">
        <v>141</v>
      </c>
      <c r="I51" s="19">
        <v>1</v>
      </c>
      <c r="J51" s="19"/>
      <c r="K51" s="19">
        <v>0</v>
      </c>
      <c r="L51" s="19">
        <v>0</v>
      </c>
      <c r="M51" s="25" t="s">
        <v>235</v>
      </c>
      <c r="N51" s="22">
        <f ca="1">IFERROR(__xludf.DUMMYFUNCTION("IF(OR(F51="""",G51="""",H51="""",I51=""""),"""",(VALUE(INDEX(SPLIT(REGEXREPLACE(F51,""[^\d]+"",""x""),""x""),1))/1000)*(VALUE(INDEX(SPLIT(REGEXREPLACE(F51,""[^\d]+"",""x""),""x""),2))/1000)*G51*IF(REGEXMATCH(UPPER(H51),""AÇO|ACO""),7.86,IF(REGEXMATCH(UPPE"&amp;"R(H51),""ALUM""),2.7,IF(REGEXMATCH(UPPER(H51),""LAT""),8.73,IF(REGEXMATCH(UPPER(H51),""COBRE""),8.96,0))))*I51)"),14.148)</f>
        <v>14.148</v>
      </c>
    </row>
    <row r="52" spans="1:14" ht="37.5" customHeight="1">
      <c r="A52" s="18">
        <v>130</v>
      </c>
      <c r="B52" s="28">
        <v>45926</v>
      </c>
      <c r="C52" s="24" t="s">
        <v>93</v>
      </c>
      <c r="D52" s="19" t="s">
        <v>136</v>
      </c>
      <c r="E52" s="19" t="s">
        <v>236</v>
      </c>
      <c r="F52" s="19" t="s">
        <v>237</v>
      </c>
      <c r="G52" s="19">
        <v>4.75</v>
      </c>
      <c r="H52" s="19" t="s">
        <v>112</v>
      </c>
      <c r="I52" s="19">
        <v>1</v>
      </c>
      <c r="J52" s="19" t="s">
        <v>154</v>
      </c>
      <c r="K52" s="19">
        <v>285189</v>
      </c>
      <c r="L52" s="19">
        <v>1038173</v>
      </c>
      <c r="M52" s="29" t="s">
        <v>238</v>
      </c>
      <c r="N52" s="22">
        <f ca="1">IFERROR(__xludf.DUMMYFUNCTION("IF(OR(F52="""",G52="""",H52="""",I52=""""),"""",(VALUE(INDEX(SPLIT(REGEXREPLACE(F52,""[^\d]+"",""x""),""x""),1))/1000)*(VALUE(INDEX(SPLIT(REGEXREPLACE(F52,""[^\d]+"",""x""),""x""),2))/1000)*G52*IF(REGEXMATCH(UPPER(H52),""AÇO|ACO""),7.86,IF(REGEXMATCH(UPPE"&amp;"R(H52),""ALUM""),2.7,IF(REGEXMATCH(UPPER(H52),""LAT""),8.73,IF(REGEXMATCH(UPPER(H52),""COBRE""),8.96,0))))*I52)"),156.807)</f>
        <v>156.80699999999999</v>
      </c>
    </row>
    <row r="53" spans="1:14" ht="37.5" customHeight="1">
      <c r="A53" s="18">
        <v>131</v>
      </c>
      <c r="B53" s="28">
        <v>45926</v>
      </c>
      <c r="C53" s="24" t="s">
        <v>93</v>
      </c>
      <c r="D53" s="19" t="s">
        <v>136</v>
      </c>
      <c r="E53" s="19" t="s">
        <v>110</v>
      </c>
      <c r="F53" s="19" t="s">
        <v>239</v>
      </c>
      <c r="G53" s="19">
        <v>4.75</v>
      </c>
      <c r="H53" s="19" t="s">
        <v>112</v>
      </c>
      <c r="I53" s="19">
        <v>1</v>
      </c>
      <c r="J53" s="19" t="s">
        <v>154</v>
      </c>
      <c r="K53" s="19">
        <v>285189</v>
      </c>
      <c r="L53" s="19">
        <v>1038173</v>
      </c>
      <c r="M53" s="25" t="s">
        <v>240</v>
      </c>
      <c r="N53" s="22">
        <f ca="1">IFERROR(__xludf.DUMMYFUNCTION("IF(OR(F53="""",G53="""",H53="""",I53=""""),"""",(VALUE(INDEX(SPLIT(REGEXREPLACE(F53,""[^\d]+"",""x""),""x""),1))/1000)*(VALUE(INDEX(SPLIT(REGEXREPLACE(F53,""[^\d]+"",""x""),""x""),2))/1000)*G53*IF(REGEXMATCH(UPPER(H53),""AÇO|ACO""),7.86,IF(REGEXMATCH(UPPE"&amp;"R(H53),""ALUM""),2.7,IF(REGEXMATCH(UPPER(H53),""LAT""),8.73,IF(REGEXMATCH(UPPER(H53),""COBRE""),8.96,0))))*I53)"),58.0185899999999)</f>
        <v>58.018589999999897</v>
      </c>
    </row>
    <row r="54" spans="1:14" ht="37.5" customHeight="1">
      <c r="A54" s="30">
        <v>133</v>
      </c>
      <c r="B54" s="31">
        <v>45926</v>
      </c>
      <c r="C54" s="32" t="s">
        <v>93</v>
      </c>
      <c r="D54" s="33" t="s">
        <v>136</v>
      </c>
      <c r="E54" s="33" t="s">
        <v>110</v>
      </c>
      <c r="F54" s="33" t="s">
        <v>241</v>
      </c>
      <c r="G54" s="33">
        <v>3</v>
      </c>
      <c r="H54" s="33" t="s">
        <v>112</v>
      </c>
      <c r="I54" s="33">
        <v>1</v>
      </c>
      <c r="J54" s="33" t="s">
        <v>154</v>
      </c>
      <c r="K54" s="33">
        <v>285189</v>
      </c>
      <c r="L54" s="33">
        <v>1038173</v>
      </c>
      <c r="M54" s="34" t="s">
        <v>242</v>
      </c>
      <c r="N54" s="35">
        <f ca="1">IFERROR(__xludf.DUMMYFUNCTION("IF(OR(F54="""",G54="""",H54="""",I54=""""),"""",(VALUE(INDEX(SPLIT(REGEXREPLACE(F54,""[^\d]+"",""x""),""x""),1))/1000)*(VALUE(INDEX(SPLIT(REGEXREPLACE(F54,""[^\d]+"",""x""),""x""),2))/1000)*G54*IF(REGEXMATCH(UPPER(H54),""AÇO|ACO""),7.86,IF(REGEXMATCH(UPPE"&amp;"R(H54),""ALUM""),2.7,IF(REGEXMATCH(UPPER(H54),""LAT""),8.73,IF(REGEXMATCH(UPPER(H54),""COBRE""),8.96,0))))*I54)"),76.3992)</f>
        <v>76.399199999999993</v>
      </c>
    </row>
    <row r="55" spans="1:14" ht="37.5" customHeight="1">
      <c r="A55" s="30">
        <v>134</v>
      </c>
      <c r="B55" s="31">
        <v>45938</v>
      </c>
      <c r="C55" s="32" t="s">
        <v>93</v>
      </c>
      <c r="D55" s="33" t="s">
        <v>136</v>
      </c>
      <c r="E55" s="33" t="s">
        <v>115</v>
      </c>
      <c r="F55" s="33" t="s">
        <v>243</v>
      </c>
      <c r="G55" s="33">
        <v>3.75</v>
      </c>
      <c r="H55" s="33" t="s">
        <v>153</v>
      </c>
      <c r="I55" s="33">
        <v>1</v>
      </c>
      <c r="J55" s="33" t="s">
        <v>154</v>
      </c>
      <c r="K55" s="33">
        <v>286893</v>
      </c>
      <c r="L55" s="33">
        <v>0</v>
      </c>
      <c r="M55" s="34" t="s">
        <v>244</v>
      </c>
      <c r="N55" s="35">
        <f ca="1">IFERROR(__xludf.DUMMYFUNCTION("IF(OR(F55="""",G55="""",H55="""",I55=""""),"""",(VALUE(INDEX(SPLIT(REGEXREPLACE(F55,""[^\d]+"",""x""),""x""),1))/1000)*(VALUE(INDEX(SPLIT(REGEXREPLACE(F55,""[^\d]+"",""x""),""x""),2))/1000)*G55*IF(REGEXMATCH(UPPER(H55),""AÇO|ACO""),7.86,IF(REGEXMATCH(UPPE"&amp;"R(H55),""ALUM""),2.7,IF(REGEXMATCH(UPPER(H55),""LAT""),8.73,IF(REGEXMATCH(UPPER(H55),""COBRE""),8.96,0))))*I55)"),65.0808)</f>
        <v>65.080799999999996</v>
      </c>
    </row>
  </sheetData>
  <dataValidations count="1">
    <dataValidation type="custom" allowBlank="1" showDropDown="1" sqref="A2:A55 N2:N55" xr:uid="{00000000-0002-0000-0400-000000000000}">
      <formula1>AND(ISNUMBER(A2),(NOT(OR(NOT(ISERROR(DATEVALUE(A2))), AND(ISNUMBER(A2), LEFT(CELL("format", A2))="D")))))</formula1>
    </dataValidation>
  </dataValidations>
  <hyperlinks>
    <hyperlink ref="M2" r:id="rId1" xr:uid="{00000000-0004-0000-0400-000000000000}"/>
    <hyperlink ref="M3" r:id="rId2" xr:uid="{00000000-0004-0000-0400-000001000000}"/>
    <hyperlink ref="M4" r:id="rId3" xr:uid="{00000000-0004-0000-0400-000002000000}"/>
    <hyperlink ref="M5" r:id="rId4" xr:uid="{00000000-0004-0000-0400-000003000000}"/>
    <hyperlink ref="M6" r:id="rId5" xr:uid="{00000000-0004-0000-0400-000004000000}"/>
    <hyperlink ref="M7" r:id="rId6" xr:uid="{00000000-0004-0000-0400-000005000000}"/>
    <hyperlink ref="M8" r:id="rId7" xr:uid="{00000000-0004-0000-0400-000006000000}"/>
    <hyperlink ref="M9" r:id="rId8" xr:uid="{00000000-0004-0000-0400-000007000000}"/>
    <hyperlink ref="M10" r:id="rId9" xr:uid="{00000000-0004-0000-0400-000008000000}"/>
    <hyperlink ref="M11" r:id="rId10" xr:uid="{00000000-0004-0000-0400-000009000000}"/>
    <hyperlink ref="M12" r:id="rId11" xr:uid="{00000000-0004-0000-0400-00000A000000}"/>
    <hyperlink ref="M13" r:id="rId12" xr:uid="{00000000-0004-0000-0400-00000B000000}"/>
    <hyperlink ref="M14" r:id="rId13" xr:uid="{00000000-0004-0000-0400-00000C000000}"/>
    <hyperlink ref="M15" r:id="rId14" xr:uid="{00000000-0004-0000-0400-00000D000000}"/>
    <hyperlink ref="M16" r:id="rId15" xr:uid="{00000000-0004-0000-0400-00000E000000}"/>
    <hyperlink ref="M17" r:id="rId16" xr:uid="{00000000-0004-0000-0400-00000F000000}"/>
    <hyperlink ref="M18" r:id="rId17" xr:uid="{00000000-0004-0000-0400-000010000000}"/>
    <hyperlink ref="M19" r:id="rId18" xr:uid="{00000000-0004-0000-0400-000011000000}"/>
    <hyperlink ref="M20" r:id="rId19" xr:uid="{00000000-0004-0000-0400-000012000000}"/>
    <hyperlink ref="M21" r:id="rId20" xr:uid="{00000000-0004-0000-0400-000013000000}"/>
    <hyperlink ref="M22" r:id="rId21" xr:uid="{00000000-0004-0000-0400-000014000000}"/>
    <hyperlink ref="M23" r:id="rId22" xr:uid="{00000000-0004-0000-0400-000015000000}"/>
    <hyperlink ref="M24" r:id="rId23" xr:uid="{00000000-0004-0000-0400-000016000000}"/>
    <hyperlink ref="M25" r:id="rId24" xr:uid="{00000000-0004-0000-0400-000017000000}"/>
    <hyperlink ref="M26" r:id="rId25" xr:uid="{00000000-0004-0000-0400-000018000000}"/>
    <hyperlink ref="M27" r:id="rId26" xr:uid="{00000000-0004-0000-0400-000019000000}"/>
    <hyperlink ref="M28" r:id="rId27" xr:uid="{00000000-0004-0000-0400-00001A000000}"/>
    <hyperlink ref="M29" r:id="rId28" xr:uid="{00000000-0004-0000-0400-00001B000000}"/>
    <hyperlink ref="M30" r:id="rId29" xr:uid="{00000000-0004-0000-0400-00001C000000}"/>
    <hyperlink ref="M31" r:id="rId30" xr:uid="{00000000-0004-0000-0400-00001D000000}"/>
    <hyperlink ref="M32" r:id="rId31" xr:uid="{00000000-0004-0000-0400-00001E000000}"/>
    <hyperlink ref="M33" r:id="rId32" xr:uid="{00000000-0004-0000-0400-00001F000000}"/>
    <hyperlink ref="M34" r:id="rId33" xr:uid="{00000000-0004-0000-0400-000020000000}"/>
    <hyperlink ref="M35" r:id="rId34" xr:uid="{00000000-0004-0000-0400-000021000000}"/>
    <hyperlink ref="M36" r:id="rId35" xr:uid="{00000000-0004-0000-0400-000022000000}"/>
    <hyperlink ref="M37" r:id="rId36" xr:uid="{00000000-0004-0000-0400-000023000000}"/>
    <hyperlink ref="M38" r:id="rId37" xr:uid="{00000000-0004-0000-0400-000024000000}"/>
    <hyperlink ref="M39" r:id="rId38" xr:uid="{00000000-0004-0000-0400-000025000000}"/>
    <hyperlink ref="M40" r:id="rId39" xr:uid="{00000000-0004-0000-0400-000026000000}"/>
    <hyperlink ref="M41" r:id="rId40" xr:uid="{00000000-0004-0000-0400-000027000000}"/>
    <hyperlink ref="M42" r:id="rId41" xr:uid="{00000000-0004-0000-0400-000028000000}"/>
    <hyperlink ref="M43" r:id="rId42" xr:uid="{00000000-0004-0000-0400-000029000000}"/>
    <hyperlink ref="M44" r:id="rId43" xr:uid="{00000000-0004-0000-0400-00002A000000}"/>
    <hyperlink ref="M45" r:id="rId44" xr:uid="{00000000-0004-0000-0400-00002B000000}"/>
    <hyperlink ref="M46" r:id="rId45" xr:uid="{00000000-0004-0000-0400-00002C000000}"/>
    <hyperlink ref="M47" r:id="rId46" xr:uid="{00000000-0004-0000-0400-00002D000000}"/>
    <hyperlink ref="M48" r:id="rId47" xr:uid="{00000000-0004-0000-0400-00002E000000}"/>
    <hyperlink ref="M49" r:id="rId48" xr:uid="{00000000-0004-0000-0400-00002F000000}"/>
    <hyperlink ref="M50" r:id="rId49" xr:uid="{00000000-0004-0000-0400-000030000000}"/>
    <hyperlink ref="M51" r:id="rId50" xr:uid="{00000000-0004-0000-0400-000031000000}"/>
    <hyperlink ref="M52" r:id="rId51" xr:uid="{00000000-0004-0000-0400-000032000000}"/>
    <hyperlink ref="M53" r:id="rId52" xr:uid="{00000000-0004-0000-0400-000033000000}"/>
    <hyperlink ref="M54" r:id="rId53" xr:uid="{00000000-0004-0000-0400-000034000000}"/>
    <hyperlink ref="M55" r:id="rId54" xr:uid="{00000000-0004-0000-0400-000035000000}"/>
  </hyperlinks>
  <pageMargins left="0.511811024" right="0.511811024" top="0.78740157499999996" bottom="0.78740157499999996" header="0.31496062000000002" footer="0.31496062000000002"/>
  <tableParts count="1">
    <tablePart r:id="rId5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0.42578125" bestFit="1" customWidth="1"/>
    <col min="2" max="2" width="22" bestFit="1" customWidth="1"/>
    <col min="3" max="3" width="115.42578125" bestFit="1" customWidth="1"/>
    <col min="4" max="4" width="18.42578125" bestFit="1" customWidth="1"/>
    <col min="5" max="5" width="39.7109375" bestFit="1" customWidth="1"/>
  </cols>
  <sheetData>
    <row r="1" spans="1:5">
      <c r="A1" s="36" t="s">
        <v>0</v>
      </c>
      <c r="B1" s="36" t="s">
        <v>245</v>
      </c>
      <c r="C1" s="37" t="s">
        <v>246</v>
      </c>
      <c r="D1" s="36" t="s">
        <v>247</v>
      </c>
      <c r="E1" s="36" t="s">
        <v>248</v>
      </c>
    </row>
    <row r="2" spans="1:5">
      <c r="A2" s="36" t="s">
        <v>249</v>
      </c>
      <c r="B2" s="36" t="s">
        <v>250</v>
      </c>
      <c r="C2" s="36" t="s">
        <v>251</v>
      </c>
      <c r="D2" s="36" t="s">
        <v>252</v>
      </c>
      <c r="E2" s="36" t="s">
        <v>253</v>
      </c>
    </row>
    <row r="3" spans="1:5">
      <c r="A3" s="37" t="s">
        <v>254</v>
      </c>
      <c r="B3" s="36" t="s">
        <v>255</v>
      </c>
      <c r="C3" s="36" t="s">
        <v>256</v>
      </c>
      <c r="D3" s="36" t="s">
        <v>257</v>
      </c>
      <c r="E3" s="36" t="s">
        <v>258</v>
      </c>
    </row>
    <row r="4" spans="1:5">
      <c r="A4" s="37" t="s">
        <v>259</v>
      </c>
      <c r="B4" s="36" t="s">
        <v>260</v>
      </c>
      <c r="C4" s="37" t="s">
        <v>261</v>
      </c>
      <c r="D4" s="36" t="s">
        <v>262</v>
      </c>
      <c r="E4" s="37" t="s">
        <v>263</v>
      </c>
    </row>
    <row r="5" spans="1:5">
      <c r="A5" s="36" t="s">
        <v>264</v>
      </c>
      <c r="B5" s="36" t="s">
        <v>265</v>
      </c>
      <c r="C5" s="36" t="s">
        <v>266</v>
      </c>
      <c r="D5" s="36" t="s">
        <v>267</v>
      </c>
      <c r="E5" s="36" t="s">
        <v>268</v>
      </c>
    </row>
    <row r="6" spans="1:5">
      <c r="A6" s="36" t="s">
        <v>16</v>
      </c>
      <c r="B6" s="36" t="s">
        <v>269</v>
      </c>
      <c r="C6" s="36" t="s">
        <v>270</v>
      </c>
      <c r="D6" s="36" t="s">
        <v>271</v>
      </c>
      <c r="E6" s="36" t="s">
        <v>272</v>
      </c>
    </row>
    <row r="7" spans="1:5">
      <c r="A7" s="36" t="s">
        <v>273</v>
      </c>
      <c r="B7" s="36"/>
      <c r="C7" s="37"/>
      <c r="D7" s="36"/>
      <c r="E7" s="37"/>
    </row>
    <row r="8" spans="1:5">
      <c r="A8" s="37" t="s">
        <v>274</v>
      </c>
      <c r="B8" s="36" t="s">
        <v>275</v>
      </c>
      <c r="C8" s="37" t="s">
        <v>276</v>
      </c>
      <c r="D8" s="36" t="s">
        <v>277</v>
      </c>
      <c r="E8" s="37" t="s">
        <v>278</v>
      </c>
    </row>
    <row r="9" spans="1:5">
      <c r="A9" s="36" t="s">
        <v>9</v>
      </c>
      <c r="B9" s="36" t="s">
        <v>279</v>
      </c>
      <c r="C9" s="36" t="s">
        <v>280</v>
      </c>
      <c r="D9" s="36" t="s">
        <v>281</v>
      </c>
      <c r="E9" s="36" t="s">
        <v>282</v>
      </c>
    </row>
    <row r="10" spans="1:5">
      <c r="A10" s="36" t="s">
        <v>22</v>
      </c>
      <c r="B10" s="36"/>
      <c r="C10" s="37"/>
      <c r="D10" s="36"/>
      <c r="E10" s="37"/>
    </row>
    <row r="11" spans="1:5">
      <c r="A11" s="36" t="s">
        <v>28</v>
      </c>
      <c r="B11" s="36" t="s">
        <v>283</v>
      </c>
      <c r="C11" s="36" t="s">
        <v>284</v>
      </c>
      <c r="D11" s="36" t="s">
        <v>285</v>
      </c>
      <c r="E11" s="36" t="s">
        <v>286</v>
      </c>
    </row>
    <row r="12" spans="1:5">
      <c r="A12" s="37" t="s">
        <v>68</v>
      </c>
      <c r="B12" s="36" t="s">
        <v>287</v>
      </c>
      <c r="C12" s="37" t="s">
        <v>288</v>
      </c>
      <c r="D12" s="36" t="s">
        <v>289</v>
      </c>
      <c r="E12" s="37" t="s">
        <v>290</v>
      </c>
    </row>
    <row r="13" spans="1:5">
      <c r="A13" s="36" t="s">
        <v>33</v>
      </c>
      <c r="B13" s="36"/>
      <c r="C13" s="37"/>
      <c r="D13" s="36"/>
      <c r="E13" s="37"/>
    </row>
    <row r="14" spans="1:5">
      <c r="A14" s="36" t="s">
        <v>35</v>
      </c>
      <c r="B14" s="36"/>
      <c r="C14" s="37"/>
      <c r="D14" s="36"/>
      <c r="E14" s="37"/>
    </row>
    <row r="15" spans="1:5">
      <c r="A15" s="36" t="s">
        <v>39</v>
      </c>
      <c r="B15" s="36"/>
      <c r="C15" s="37"/>
      <c r="D15" s="36"/>
      <c r="E15" s="37"/>
    </row>
    <row r="16" spans="1:5">
      <c r="A16" s="37"/>
      <c r="B16" s="36"/>
      <c r="C16" s="37"/>
      <c r="D16" s="36"/>
      <c r="E16" s="37"/>
    </row>
    <row r="17" spans="1:5">
      <c r="A17" s="37"/>
      <c r="B17" s="36"/>
      <c r="C17" s="37"/>
      <c r="D17" s="36"/>
      <c r="E17" s="37"/>
    </row>
    <row r="18" spans="1:5">
      <c r="A18" s="37"/>
      <c r="B18" s="36"/>
      <c r="C18" s="37"/>
      <c r="D18" s="36"/>
      <c r="E18" s="37"/>
    </row>
    <row r="19" spans="1:5">
      <c r="A19" s="37"/>
      <c r="B19" s="36"/>
      <c r="C19" s="37"/>
      <c r="D19" s="36"/>
      <c r="E19" s="37"/>
    </row>
    <row r="20" spans="1:5">
      <c r="A20" s="37"/>
      <c r="B20" s="36"/>
      <c r="C20" s="37"/>
      <c r="D20" s="36"/>
      <c r="E20" s="37"/>
    </row>
    <row r="21" spans="1:5">
      <c r="A21" s="37"/>
      <c r="B21" s="36"/>
      <c r="C21" s="37"/>
      <c r="D21" s="36"/>
      <c r="E21" s="37"/>
    </row>
    <row r="22" spans="1:5">
      <c r="A22" s="37"/>
      <c r="B22" s="36"/>
      <c r="C22" s="37"/>
      <c r="D22" s="36"/>
      <c r="E22" s="37"/>
    </row>
    <row r="23" spans="1:5">
      <c r="A23" s="37"/>
      <c r="B23" s="36"/>
      <c r="C23" s="37"/>
      <c r="D23" s="36"/>
      <c r="E23" s="37"/>
    </row>
    <row r="24" spans="1:5">
      <c r="A24" s="37"/>
      <c r="B24" s="36"/>
      <c r="C24" s="37"/>
      <c r="D24" s="36"/>
      <c r="E24" s="37"/>
    </row>
    <row r="25" spans="1:5">
      <c r="A25" s="37"/>
      <c r="B25" s="36"/>
      <c r="C25" s="37"/>
      <c r="D25" s="36"/>
      <c r="E25" s="37"/>
    </row>
    <row r="26" spans="1:5">
      <c r="A26" s="37"/>
      <c r="B26" s="36"/>
      <c r="C26" s="37"/>
      <c r="D26" s="36"/>
      <c r="E26" s="37"/>
    </row>
    <row r="27" spans="1:5">
      <c r="A27" s="37"/>
      <c r="B27" s="36"/>
      <c r="C27" s="37"/>
      <c r="D27" s="36"/>
      <c r="E27" s="37"/>
    </row>
    <row r="28" spans="1:5">
      <c r="A28" s="37"/>
      <c r="B28" s="36"/>
      <c r="C28" s="37"/>
      <c r="D28" s="36"/>
      <c r="E28" s="37"/>
    </row>
    <row r="29" spans="1:5">
      <c r="A29" s="37"/>
      <c r="B29" s="36"/>
      <c r="C29" s="37"/>
      <c r="D29" s="36"/>
      <c r="E29" s="37"/>
    </row>
    <row r="30" spans="1:5">
      <c r="A30" s="37"/>
      <c r="B30" s="36"/>
      <c r="C30" s="37"/>
      <c r="D30" s="36"/>
      <c r="E30" s="37"/>
    </row>
    <row r="31" spans="1:5">
      <c r="A31" s="37"/>
      <c r="B31" s="36"/>
      <c r="C31" s="37"/>
      <c r="D31" s="36"/>
      <c r="E31" s="37"/>
    </row>
    <row r="32" spans="1:5">
      <c r="A32" s="37"/>
      <c r="B32" s="36"/>
      <c r="C32" s="37"/>
      <c r="D32" s="36"/>
      <c r="E32" s="37"/>
    </row>
    <row r="33" spans="1:5">
      <c r="A33" s="37"/>
      <c r="B33" s="36"/>
      <c r="C33" s="37"/>
      <c r="D33" s="36"/>
      <c r="E33" s="37"/>
    </row>
    <row r="34" spans="1:5">
      <c r="A34" s="37"/>
      <c r="B34" s="36"/>
      <c r="C34" s="37"/>
      <c r="D34" s="36"/>
      <c r="E34" s="37"/>
    </row>
    <row r="35" spans="1:5">
      <c r="A35" s="37"/>
      <c r="B35" s="36"/>
      <c r="C35" s="37"/>
      <c r="D35" s="36"/>
      <c r="E35" s="37"/>
    </row>
    <row r="36" spans="1:5">
      <c r="A36" s="37"/>
      <c r="B36" s="36"/>
      <c r="C36" s="37"/>
      <c r="D36" s="36"/>
      <c r="E36" s="37"/>
    </row>
    <row r="37" spans="1:5">
      <c r="A37" s="37"/>
      <c r="B37" s="36"/>
      <c r="C37" s="37"/>
      <c r="D37" s="36"/>
      <c r="E37" s="37"/>
    </row>
    <row r="38" spans="1:5">
      <c r="A38" s="37"/>
      <c r="B38" s="36"/>
      <c r="C38" s="37"/>
      <c r="D38" s="36"/>
      <c r="E38" s="37"/>
    </row>
    <row r="39" spans="1:5">
      <c r="A39" s="37"/>
      <c r="B39" s="36"/>
      <c r="C39" s="37"/>
      <c r="D39" s="36"/>
      <c r="E39" s="37"/>
    </row>
    <row r="40" spans="1:5">
      <c r="A40" s="37"/>
      <c r="B40" s="36"/>
      <c r="C40" s="37"/>
      <c r="D40" s="36"/>
      <c r="E40" s="37"/>
    </row>
    <row r="41" spans="1:5">
      <c r="A41" s="37"/>
      <c r="B41" s="36"/>
      <c r="C41" s="37"/>
      <c r="D41" s="36"/>
      <c r="E41" s="37"/>
    </row>
    <row r="42" spans="1:5">
      <c r="A42" s="37"/>
      <c r="B42" s="36"/>
      <c r="C42" s="37"/>
      <c r="D42" s="36"/>
      <c r="E42" s="37"/>
    </row>
    <row r="43" spans="1:5">
      <c r="A43" s="37"/>
      <c r="B43" s="36"/>
      <c r="C43" s="37"/>
      <c r="D43" s="36"/>
      <c r="E43" s="37"/>
    </row>
    <row r="44" spans="1:5">
      <c r="A44" s="37"/>
      <c r="B44" s="36"/>
      <c r="C44" s="37"/>
      <c r="D44" s="36"/>
      <c r="E44" s="37"/>
    </row>
    <row r="45" spans="1:5">
      <c r="A45" s="37"/>
      <c r="B45" s="36"/>
      <c r="C45" s="37"/>
      <c r="D45" s="36"/>
      <c r="E45" s="37"/>
    </row>
    <row r="46" spans="1:5">
      <c r="A46" s="37"/>
      <c r="B46" s="36"/>
      <c r="C46" s="37"/>
      <c r="D46" s="36"/>
      <c r="E46" s="37"/>
    </row>
    <row r="47" spans="1:5">
      <c r="A47" s="37"/>
      <c r="B47" s="36"/>
      <c r="C47" s="37"/>
      <c r="D47" s="36"/>
      <c r="E47" s="37"/>
    </row>
    <row r="48" spans="1:5">
      <c r="A48" s="37"/>
      <c r="B48" s="36"/>
      <c r="C48" s="37"/>
      <c r="D48" s="36"/>
      <c r="E48" s="37"/>
    </row>
    <row r="49" spans="1:5">
      <c r="A49" s="37"/>
      <c r="B49" s="36"/>
      <c r="C49" s="37"/>
      <c r="D49" s="36"/>
      <c r="E49" s="37"/>
    </row>
    <row r="50" spans="1:5">
      <c r="A50" s="37"/>
      <c r="B50" s="36"/>
      <c r="C50" s="37"/>
      <c r="D50" s="36"/>
      <c r="E50" s="37"/>
    </row>
    <row r="51" spans="1:5">
      <c r="A51" s="37"/>
      <c r="B51" s="36"/>
      <c r="C51" s="37"/>
      <c r="D51" s="36"/>
      <c r="E51" s="37"/>
    </row>
    <row r="52" spans="1:5">
      <c r="A52" s="37"/>
      <c r="B52" s="36"/>
      <c r="C52" s="37"/>
      <c r="D52" s="36"/>
      <c r="E52" s="37"/>
    </row>
    <row r="53" spans="1:5">
      <c r="A53" s="37"/>
      <c r="B53" s="36"/>
      <c r="C53" s="37"/>
      <c r="D53" s="36"/>
      <c r="E53" s="37"/>
    </row>
    <row r="54" spans="1:5">
      <c r="A54" s="37"/>
      <c r="B54" s="36"/>
      <c r="C54" s="37"/>
      <c r="D54" s="36"/>
      <c r="E54" s="37"/>
    </row>
    <row r="55" spans="1:5">
      <c r="A55" s="37"/>
      <c r="B55" s="36"/>
      <c r="C55" s="37"/>
      <c r="D55" s="36"/>
      <c r="E55" s="37"/>
    </row>
    <row r="56" spans="1:5">
      <c r="A56" s="37"/>
      <c r="B56" s="36"/>
      <c r="C56" s="37"/>
      <c r="D56" s="36"/>
      <c r="E56" s="37"/>
    </row>
    <row r="57" spans="1:5">
      <c r="A57" s="37"/>
      <c r="B57" s="36"/>
      <c r="C57" s="37"/>
      <c r="D57" s="36"/>
      <c r="E57" s="37"/>
    </row>
    <row r="58" spans="1:5">
      <c r="A58" s="37"/>
      <c r="B58" s="36"/>
      <c r="C58" s="37"/>
      <c r="D58" s="36"/>
      <c r="E58" s="37"/>
    </row>
    <row r="59" spans="1:5">
      <c r="A59" s="37"/>
      <c r="B59" s="36"/>
      <c r="C59" s="37"/>
      <c r="D59" s="36"/>
      <c r="E59" s="37"/>
    </row>
    <row r="60" spans="1:5">
      <c r="A60" s="37"/>
      <c r="B60" s="36"/>
      <c r="C60" s="37"/>
      <c r="D60" s="36"/>
      <c r="E60" s="37"/>
    </row>
    <row r="61" spans="1:5">
      <c r="A61" s="37"/>
      <c r="B61" s="36"/>
      <c r="C61" s="37"/>
      <c r="D61" s="36"/>
      <c r="E61" s="37"/>
    </row>
    <row r="62" spans="1:5">
      <c r="A62" s="37"/>
      <c r="B62" s="36"/>
      <c r="C62" s="37"/>
      <c r="D62" s="36"/>
      <c r="E62" s="37"/>
    </row>
    <row r="63" spans="1:5">
      <c r="A63" s="37"/>
      <c r="B63" s="36"/>
      <c r="C63" s="37"/>
      <c r="D63" s="36"/>
      <c r="E63" s="37"/>
    </row>
    <row r="64" spans="1:5">
      <c r="A64" s="37"/>
      <c r="B64" s="36"/>
      <c r="C64" s="37"/>
      <c r="D64" s="36"/>
      <c r="E64" s="37"/>
    </row>
    <row r="65" spans="1:5">
      <c r="A65" s="37"/>
      <c r="B65" s="36"/>
      <c r="C65" s="37"/>
      <c r="D65" s="36"/>
      <c r="E65" s="37"/>
    </row>
    <row r="66" spans="1:5">
      <c r="A66" s="37"/>
      <c r="B66" s="36"/>
      <c r="C66" s="37"/>
      <c r="D66" s="36"/>
      <c r="E66" s="37"/>
    </row>
    <row r="67" spans="1:5">
      <c r="A67" s="37"/>
      <c r="B67" s="36"/>
      <c r="C67" s="37"/>
      <c r="D67" s="36"/>
      <c r="E67" s="37"/>
    </row>
    <row r="68" spans="1:5">
      <c r="A68" s="37"/>
      <c r="B68" s="36"/>
      <c r="C68" s="37"/>
      <c r="D68" s="36"/>
      <c r="E68" s="37"/>
    </row>
    <row r="69" spans="1:5">
      <c r="A69" s="37"/>
      <c r="B69" s="36"/>
      <c r="C69" s="37"/>
      <c r="D69" s="36"/>
      <c r="E69" s="37"/>
    </row>
    <row r="70" spans="1:5">
      <c r="A70" s="37"/>
      <c r="B70" s="36"/>
      <c r="C70" s="37"/>
      <c r="D70" s="36"/>
      <c r="E70" s="37"/>
    </row>
    <row r="71" spans="1:5">
      <c r="A71" s="37"/>
      <c r="B71" s="36"/>
      <c r="C71" s="37"/>
      <c r="D71" s="36"/>
      <c r="E71" s="37"/>
    </row>
    <row r="72" spans="1:5">
      <c r="A72" s="37"/>
      <c r="B72" s="36"/>
      <c r="C72" s="37"/>
      <c r="D72" s="36"/>
      <c r="E72" s="37"/>
    </row>
    <row r="73" spans="1:5">
      <c r="A73" s="37"/>
      <c r="B73" s="36"/>
      <c r="C73" s="37"/>
      <c r="D73" s="36"/>
      <c r="E73" s="37"/>
    </row>
    <row r="74" spans="1:5">
      <c r="A74" s="37"/>
      <c r="B74" s="36"/>
      <c r="C74" s="37"/>
      <c r="D74" s="36"/>
      <c r="E74" s="37"/>
    </row>
    <row r="75" spans="1:5">
      <c r="A75" s="37"/>
      <c r="B75" s="36"/>
      <c r="C75" s="37"/>
      <c r="D75" s="36"/>
      <c r="E75" s="37"/>
    </row>
    <row r="76" spans="1:5">
      <c r="A76" s="37"/>
      <c r="B76" s="36"/>
      <c r="C76" s="37"/>
      <c r="D76" s="36"/>
      <c r="E76" s="37"/>
    </row>
    <row r="77" spans="1:5">
      <c r="A77" s="37"/>
      <c r="B77" s="36"/>
      <c r="C77" s="37"/>
      <c r="D77" s="36"/>
      <c r="E77" s="37"/>
    </row>
    <row r="78" spans="1:5">
      <c r="A78" s="37"/>
      <c r="B78" s="36"/>
      <c r="C78" s="37"/>
      <c r="D78" s="36"/>
      <c r="E78" s="37"/>
    </row>
    <row r="79" spans="1:5">
      <c r="A79" s="37"/>
      <c r="B79" s="36"/>
      <c r="C79" s="37"/>
      <c r="D79" s="36"/>
      <c r="E79" s="37"/>
    </row>
    <row r="80" spans="1:5">
      <c r="A80" s="37"/>
      <c r="B80" s="36"/>
      <c r="C80" s="37"/>
      <c r="D80" s="36"/>
      <c r="E80" s="37"/>
    </row>
    <row r="81" spans="1:5">
      <c r="A81" s="37"/>
      <c r="B81" s="36"/>
      <c r="C81" s="37"/>
      <c r="D81" s="36"/>
      <c r="E81" s="37"/>
    </row>
    <row r="82" spans="1:5">
      <c r="A82" s="37"/>
      <c r="B82" s="36"/>
      <c r="C82" s="37"/>
      <c r="D82" s="36"/>
      <c r="E82" s="37"/>
    </row>
    <row r="83" spans="1:5">
      <c r="A83" s="37"/>
      <c r="B83" s="36"/>
      <c r="C83" s="37"/>
      <c r="D83" s="36"/>
      <c r="E83" s="37"/>
    </row>
    <row r="84" spans="1:5">
      <c r="A84" s="37"/>
      <c r="B84" s="36"/>
      <c r="C84" s="37"/>
      <c r="D84" s="36"/>
      <c r="E84" s="37"/>
    </row>
    <row r="85" spans="1:5">
      <c r="A85" s="37"/>
      <c r="B85" s="36"/>
      <c r="C85" s="37"/>
      <c r="D85" s="36"/>
      <c r="E85" s="37"/>
    </row>
    <row r="86" spans="1:5">
      <c r="A86" s="37"/>
      <c r="B86" s="36"/>
      <c r="C86" s="37"/>
      <c r="D86" s="36"/>
      <c r="E86" s="37"/>
    </row>
    <row r="87" spans="1:5">
      <c r="A87" s="37"/>
      <c r="B87" s="36"/>
      <c r="C87" s="37"/>
      <c r="D87" s="36"/>
      <c r="E87" s="37"/>
    </row>
    <row r="88" spans="1:5">
      <c r="A88" s="37"/>
      <c r="B88" s="36"/>
      <c r="C88" s="37"/>
      <c r="D88" s="36"/>
      <c r="E88" s="37"/>
    </row>
    <row r="89" spans="1:5">
      <c r="A89" s="37"/>
      <c r="B89" s="36"/>
      <c r="C89" s="37"/>
      <c r="D89" s="36"/>
      <c r="E89" s="37"/>
    </row>
    <row r="90" spans="1:5">
      <c r="A90" s="37"/>
      <c r="B90" s="36"/>
      <c r="C90" s="37"/>
      <c r="D90" s="36"/>
      <c r="E90" s="37"/>
    </row>
    <row r="91" spans="1:5">
      <c r="A91" s="37"/>
      <c r="B91" s="36"/>
      <c r="C91" s="37"/>
      <c r="D91" s="36"/>
      <c r="E91" s="37"/>
    </row>
    <row r="92" spans="1:5">
      <c r="A92" s="37"/>
      <c r="B92" s="36"/>
      <c r="C92" s="37"/>
      <c r="D92" s="36"/>
      <c r="E92" s="37"/>
    </row>
    <row r="93" spans="1:5">
      <c r="A93" s="37"/>
      <c r="B93" s="36"/>
      <c r="C93" s="37"/>
      <c r="D93" s="36"/>
      <c r="E93" s="37"/>
    </row>
    <row r="94" spans="1:5">
      <c r="A94" s="37"/>
      <c r="B94" s="36"/>
      <c r="C94" s="37"/>
      <c r="D94" s="36"/>
      <c r="E94" s="37"/>
    </row>
    <row r="95" spans="1:5">
      <c r="A95" s="37"/>
      <c r="B95" s="36"/>
      <c r="C95" s="37"/>
      <c r="D95" s="36"/>
      <c r="E95" s="37"/>
    </row>
    <row r="96" spans="1:5">
      <c r="A96" s="37"/>
      <c r="B96" s="36"/>
      <c r="C96" s="37"/>
      <c r="D96" s="36"/>
      <c r="E96" s="37"/>
    </row>
    <row r="97" spans="1:5">
      <c r="A97" s="37"/>
      <c r="B97" s="36"/>
      <c r="C97" s="37"/>
      <c r="D97" s="36"/>
      <c r="E97" s="37"/>
    </row>
    <row r="98" spans="1:5">
      <c r="A98" s="37"/>
      <c r="B98" s="36"/>
      <c r="C98" s="37"/>
      <c r="D98" s="36"/>
      <c r="E98" s="37"/>
    </row>
    <row r="99" spans="1:5">
      <c r="A99" s="37"/>
      <c r="B99" s="36"/>
      <c r="C99" s="37"/>
      <c r="D99" s="36"/>
      <c r="E99" s="37"/>
    </row>
    <row r="100" spans="1:5">
      <c r="A100" s="37"/>
      <c r="B100" s="36"/>
      <c r="C100" s="37"/>
      <c r="D100" s="36"/>
      <c r="E100" s="37"/>
    </row>
    <row r="101" spans="1:5">
      <c r="A101" s="37"/>
      <c r="B101" s="36"/>
      <c r="C101" s="37"/>
      <c r="D101" s="36"/>
      <c r="E101" s="37"/>
    </row>
    <row r="102" spans="1:5">
      <c r="A102" s="37"/>
      <c r="B102" s="36"/>
      <c r="C102" s="37"/>
      <c r="D102" s="36"/>
      <c r="E102" s="37"/>
    </row>
    <row r="103" spans="1:5">
      <c r="A103" s="37"/>
      <c r="B103" s="36"/>
      <c r="C103" s="37"/>
      <c r="D103" s="36"/>
      <c r="E103" s="37"/>
    </row>
    <row r="104" spans="1:5">
      <c r="A104" s="37"/>
      <c r="B104" s="36"/>
      <c r="C104" s="37"/>
      <c r="D104" s="36"/>
      <c r="E104" s="37"/>
    </row>
    <row r="105" spans="1:5">
      <c r="A105" s="37"/>
      <c r="B105" s="36"/>
      <c r="C105" s="37"/>
      <c r="D105" s="36"/>
      <c r="E105" s="37"/>
    </row>
    <row r="106" spans="1:5">
      <c r="A106" s="37"/>
      <c r="B106" s="36"/>
      <c r="C106" s="37"/>
      <c r="D106" s="36"/>
      <c r="E106" s="37"/>
    </row>
    <row r="107" spans="1:5">
      <c r="A107" s="37"/>
      <c r="B107" s="36"/>
      <c r="C107" s="37"/>
      <c r="D107" s="36"/>
      <c r="E107" s="37"/>
    </row>
    <row r="108" spans="1:5">
      <c r="A108" s="37"/>
      <c r="B108" s="36"/>
      <c r="C108" s="37"/>
      <c r="D108" s="36"/>
      <c r="E108" s="37"/>
    </row>
    <row r="109" spans="1:5">
      <c r="A109" s="37"/>
      <c r="B109" s="36"/>
      <c r="C109" s="37"/>
      <c r="D109" s="36"/>
      <c r="E109" s="37"/>
    </row>
    <row r="110" spans="1:5">
      <c r="A110" s="37"/>
      <c r="B110" s="36"/>
      <c r="C110" s="37"/>
      <c r="D110" s="36"/>
      <c r="E110" s="37"/>
    </row>
    <row r="111" spans="1:5">
      <c r="A111" s="37"/>
      <c r="B111" s="36"/>
      <c r="C111" s="37"/>
      <c r="D111" s="36"/>
      <c r="E111" s="37"/>
    </row>
    <row r="112" spans="1:5">
      <c r="A112" s="37"/>
      <c r="B112" s="36"/>
      <c r="C112" s="37"/>
      <c r="D112" s="36"/>
      <c r="E112" s="37"/>
    </row>
    <row r="113" spans="1:5">
      <c r="A113" s="37"/>
      <c r="B113" s="36"/>
      <c r="C113" s="37"/>
      <c r="D113" s="36"/>
      <c r="E113" s="37"/>
    </row>
    <row r="114" spans="1:5">
      <c r="A114" s="37"/>
      <c r="B114" s="36"/>
      <c r="C114" s="37"/>
      <c r="D114" s="36"/>
      <c r="E114" s="37"/>
    </row>
    <row r="115" spans="1:5">
      <c r="A115" s="37"/>
      <c r="B115" s="36"/>
      <c r="C115" s="37"/>
      <c r="D115" s="36"/>
      <c r="E115" s="37"/>
    </row>
    <row r="116" spans="1:5">
      <c r="A116" s="37"/>
      <c r="B116" s="36"/>
      <c r="C116" s="37"/>
      <c r="D116" s="36"/>
      <c r="E116" s="37"/>
    </row>
    <row r="117" spans="1:5">
      <c r="A117" s="37"/>
      <c r="B117" s="36"/>
      <c r="C117" s="37"/>
      <c r="D117" s="36"/>
      <c r="E117" s="37"/>
    </row>
    <row r="118" spans="1:5">
      <c r="A118" s="37"/>
      <c r="B118" s="36"/>
      <c r="C118" s="37"/>
      <c r="D118" s="36"/>
      <c r="E118" s="37"/>
    </row>
    <row r="119" spans="1:5">
      <c r="A119" s="37"/>
      <c r="B119" s="36"/>
      <c r="C119" s="37"/>
      <c r="D119" s="36"/>
      <c r="E119" s="37"/>
    </row>
    <row r="120" spans="1:5">
      <c r="A120" s="37"/>
      <c r="B120" s="36"/>
      <c r="C120" s="37"/>
      <c r="D120" s="36"/>
      <c r="E120" s="37"/>
    </row>
    <row r="121" spans="1:5">
      <c r="A121" s="37"/>
      <c r="B121" s="36"/>
      <c r="C121" s="37"/>
      <c r="D121" s="36"/>
      <c r="E121" s="37"/>
    </row>
    <row r="122" spans="1:5">
      <c r="A122" s="37"/>
      <c r="B122" s="36"/>
      <c r="C122" s="37"/>
      <c r="D122" s="36"/>
      <c r="E122" s="37"/>
    </row>
    <row r="123" spans="1:5">
      <c r="A123" s="37"/>
      <c r="B123" s="36"/>
      <c r="C123" s="37"/>
      <c r="D123" s="36"/>
      <c r="E123" s="37"/>
    </row>
    <row r="124" spans="1:5">
      <c r="A124" s="37"/>
      <c r="B124" s="36"/>
      <c r="C124" s="37"/>
      <c r="D124" s="36"/>
      <c r="E124" s="37"/>
    </row>
    <row r="125" spans="1:5">
      <c r="A125" s="37"/>
      <c r="B125" s="36"/>
      <c r="C125" s="37"/>
      <c r="D125" s="36"/>
      <c r="E125" s="37"/>
    </row>
    <row r="126" spans="1:5">
      <c r="A126" s="37"/>
      <c r="B126" s="36"/>
      <c r="C126" s="37"/>
      <c r="D126" s="36"/>
      <c r="E126" s="37"/>
    </row>
    <row r="127" spans="1:5">
      <c r="A127" s="37"/>
      <c r="B127" s="36"/>
      <c r="C127" s="37"/>
      <c r="D127" s="36"/>
      <c r="E127" s="37"/>
    </row>
    <row r="128" spans="1:5">
      <c r="A128" s="37"/>
      <c r="B128" s="36"/>
      <c r="C128" s="37"/>
      <c r="D128" s="36"/>
      <c r="E128" s="37"/>
    </row>
    <row r="129" spans="1:5">
      <c r="A129" s="37"/>
      <c r="B129" s="36"/>
      <c r="C129" s="37"/>
      <c r="D129" s="36"/>
      <c r="E129" s="37"/>
    </row>
    <row r="130" spans="1:5">
      <c r="A130" s="37"/>
      <c r="B130" s="36"/>
      <c r="C130" s="37"/>
      <c r="D130" s="36"/>
      <c r="E130" s="37"/>
    </row>
    <row r="131" spans="1:5">
      <c r="A131" s="37"/>
      <c r="B131" s="36"/>
      <c r="C131" s="37"/>
      <c r="D131" s="36"/>
      <c r="E131" s="37"/>
    </row>
    <row r="132" spans="1:5">
      <c r="A132" s="37"/>
      <c r="B132" s="36"/>
      <c r="C132" s="37"/>
      <c r="D132" s="36"/>
      <c r="E132" s="37"/>
    </row>
    <row r="133" spans="1:5">
      <c r="A133" s="37"/>
      <c r="B133" s="36"/>
      <c r="C133" s="37"/>
      <c r="D133" s="36"/>
      <c r="E133" s="37"/>
    </row>
    <row r="134" spans="1:5">
      <c r="A134" s="37"/>
      <c r="B134" s="36"/>
      <c r="C134" s="37"/>
      <c r="D134" s="36"/>
      <c r="E134" s="37"/>
    </row>
    <row r="135" spans="1:5">
      <c r="A135" s="37"/>
      <c r="B135" s="36"/>
      <c r="C135" s="37"/>
      <c r="D135" s="36"/>
      <c r="E135" s="37"/>
    </row>
    <row r="136" spans="1:5">
      <c r="A136" s="37"/>
      <c r="B136" s="36"/>
      <c r="C136" s="37"/>
      <c r="D136" s="36"/>
      <c r="E136" s="37"/>
    </row>
    <row r="137" spans="1:5">
      <c r="A137" s="37"/>
      <c r="B137" s="36"/>
      <c r="C137" s="37"/>
      <c r="D137" s="36"/>
      <c r="E137" s="37"/>
    </row>
    <row r="138" spans="1:5">
      <c r="A138" s="37"/>
      <c r="B138" s="36"/>
      <c r="C138" s="37"/>
      <c r="D138" s="36"/>
      <c r="E138" s="37"/>
    </row>
    <row r="139" spans="1:5">
      <c r="A139" s="37"/>
      <c r="B139" s="36"/>
      <c r="C139" s="37"/>
      <c r="D139" s="36"/>
      <c r="E139" s="37"/>
    </row>
    <row r="140" spans="1:5">
      <c r="A140" s="37"/>
      <c r="B140" s="36"/>
      <c r="C140" s="37"/>
      <c r="D140" s="36"/>
      <c r="E140" s="37"/>
    </row>
    <row r="141" spans="1:5">
      <c r="A141" s="37"/>
      <c r="B141" s="36"/>
      <c r="C141" s="37"/>
      <c r="D141" s="36"/>
      <c r="E141" s="37"/>
    </row>
    <row r="142" spans="1:5">
      <c r="A142" s="37"/>
      <c r="B142" s="36"/>
      <c r="C142" s="37"/>
      <c r="D142" s="36"/>
      <c r="E142" s="37"/>
    </row>
    <row r="143" spans="1:5">
      <c r="A143" s="37"/>
      <c r="B143" s="36"/>
      <c r="C143" s="37"/>
      <c r="D143" s="36"/>
      <c r="E143" s="37"/>
    </row>
    <row r="144" spans="1:5">
      <c r="A144" s="37"/>
      <c r="B144" s="36"/>
      <c r="C144" s="37"/>
      <c r="D144" s="36"/>
      <c r="E144" s="37"/>
    </row>
    <row r="145" spans="1:5">
      <c r="A145" s="37"/>
      <c r="B145" s="36"/>
      <c r="C145" s="37"/>
      <c r="D145" s="36"/>
      <c r="E145" s="37"/>
    </row>
    <row r="146" spans="1:5">
      <c r="A146" s="37"/>
      <c r="B146" s="36"/>
      <c r="C146" s="37"/>
      <c r="D146" s="36"/>
      <c r="E146" s="37"/>
    </row>
    <row r="147" spans="1:5">
      <c r="A147" s="37"/>
      <c r="B147" s="36"/>
      <c r="C147" s="37"/>
      <c r="D147" s="36"/>
      <c r="E147" s="37"/>
    </row>
    <row r="148" spans="1:5">
      <c r="A148" s="37"/>
      <c r="B148" s="36"/>
      <c r="C148" s="37"/>
      <c r="D148" s="36"/>
      <c r="E148" s="37"/>
    </row>
    <row r="149" spans="1:5">
      <c r="A149" s="37"/>
      <c r="B149" s="36"/>
      <c r="C149" s="37"/>
      <c r="D149" s="36"/>
      <c r="E149" s="37"/>
    </row>
    <row r="150" spans="1:5">
      <c r="A150" s="37"/>
      <c r="B150" s="36"/>
      <c r="C150" s="37"/>
      <c r="D150" s="36"/>
      <c r="E150" s="37"/>
    </row>
    <row r="151" spans="1:5">
      <c r="A151" s="37"/>
      <c r="B151" s="36"/>
      <c r="C151" s="37"/>
      <c r="D151" s="36"/>
      <c r="E151" s="37"/>
    </row>
    <row r="152" spans="1:5">
      <c r="A152" s="37"/>
      <c r="B152" s="36"/>
      <c r="C152" s="37"/>
      <c r="D152" s="36"/>
      <c r="E152" s="37"/>
    </row>
    <row r="153" spans="1:5">
      <c r="A153" s="37"/>
      <c r="B153" s="36"/>
      <c r="C153" s="37"/>
      <c r="D153" s="36"/>
      <c r="E153" s="37"/>
    </row>
    <row r="154" spans="1:5">
      <c r="A154" s="37"/>
      <c r="B154" s="36"/>
      <c r="C154" s="37"/>
      <c r="D154" s="36"/>
      <c r="E154" s="37"/>
    </row>
    <row r="155" spans="1:5">
      <c r="A155" s="37"/>
      <c r="B155" s="36"/>
      <c r="C155" s="37"/>
      <c r="D155" s="36"/>
      <c r="E155" s="37"/>
    </row>
    <row r="156" spans="1:5">
      <c r="A156" s="37"/>
      <c r="B156" s="36"/>
      <c r="C156" s="37"/>
      <c r="D156" s="36"/>
      <c r="E156" s="37"/>
    </row>
    <row r="157" spans="1:5">
      <c r="A157" s="37"/>
      <c r="B157" s="36"/>
      <c r="C157" s="37"/>
      <c r="D157" s="36"/>
      <c r="E157" s="37"/>
    </row>
    <row r="158" spans="1:5">
      <c r="A158" s="37"/>
      <c r="B158" s="36"/>
      <c r="C158" s="37"/>
      <c r="D158" s="36"/>
      <c r="E158" s="37"/>
    </row>
    <row r="159" spans="1:5">
      <c r="A159" s="37"/>
      <c r="B159" s="36"/>
      <c r="C159" s="37"/>
      <c r="D159" s="36"/>
      <c r="E159" s="37"/>
    </row>
    <row r="160" spans="1:5">
      <c r="A160" s="37"/>
      <c r="B160" s="36"/>
      <c r="C160" s="37"/>
      <c r="D160" s="36"/>
      <c r="E160" s="37"/>
    </row>
    <row r="161" spans="1:5">
      <c r="A161" s="37"/>
      <c r="B161" s="36"/>
      <c r="C161" s="37"/>
      <c r="D161" s="36"/>
      <c r="E161" s="37"/>
    </row>
    <row r="162" spans="1:5">
      <c r="A162" s="37"/>
      <c r="B162" s="36"/>
      <c r="C162" s="37"/>
      <c r="D162" s="36"/>
      <c r="E162" s="37"/>
    </row>
    <row r="163" spans="1:5">
      <c r="A163" s="37"/>
      <c r="B163" s="36"/>
      <c r="C163" s="37"/>
      <c r="D163" s="36"/>
      <c r="E163" s="37"/>
    </row>
    <row r="164" spans="1:5">
      <c r="A164" s="37"/>
      <c r="B164" s="36"/>
      <c r="C164" s="37"/>
      <c r="D164" s="36"/>
      <c r="E164" s="37"/>
    </row>
    <row r="165" spans="1:5">
      <c r="A165" s="37"/>
      <c r="B165" s="36"/>
      <c r="C165" s="37"/>
      <c r="D165" s="36"/>
      <c r="E165" s="37"/>
    </row>
    <row r="166" spans="1:5">
      <c r="A166" s="37"/>
      <c r="B166" s="36"/>
      <c r="C166" s="37"/>
      <c r="D166" s="36"/>
      <c r="E166" s="37"/>
    </row>
    <row r="167" spans="1:5">
      <c r="A167" s="37"/>
      <c r="B167" s="36"/>
      <c r="C167" s="37"/>
      <c r="D167" s="36"/>
      <c r="E167" s="37"/>
    </row>
    <row r="168" spans="1:5">
      <c r="A168" s="37"/>
      <c r="B168" s="36"/>
      <c r="C168" s="37"/>
      <c r="D168" s="36"/>
      <c r="E168" s="37"/>
    </row>
    <row r="169" spans="1:5">
      <c r="A169" s="37"/>
      <c r="B169" s="36"/>
      <c r="C169" s="37"/>
      <c r="D169" s="36"/>
      <c r="E169" s="37"/>
    </row>
    <row r="170" spans="1:5">
      <c r="A170" s="37"/>
      <c r="B170" s="36"/>
      <c r="C170" s="37"/>
      <c r="D170" s="36"/>
      <c r="E170" s="37"/>
    </row>
    <row r="171" spans="1:5">
      <c r="A171" s="37"/>
      <c r="B171" s="36"/>
      <c r="C171" s="37"/>
      <c r="D171" s="36"/>
      <c r="E171" s="37"/>
    </row>
    <row r="172" spans="1:5">
      <c r="A172" s="37"/>
      <c r="B172" s="36"/>
      <c r="C172" s="37"/>
      <c r="D172" s="36"/>
      <c r="E172" s="37"/>
    </row>
    <row r="173" spans="1:5">
      <c r="A173" s="37"/>
      <c r="B173" s="36"/>
      <c r="C173" s="37"/>
      <c r="D173" s="36"/>
      <c r="E173" s="37"/>
    </row>
    <row r="174" spans="1:5">
      <c r="A174" s="37"/>
      <c r="B174" s="36"/>
      <c r="C174" s="37"/>
      <c r="D174" s="36"/>
      <c r="E174" s="37"/>
    </row>
    <row r="175" spans="1:5">
      <c r="A175" s="37"/>
      <c r="B175" s="36"/>
      <c r="C175" s="37"/>
      <c r="D175" s="36"/>
      <c r="E175" s="37"/>
    </row>
    <row r="176" spans="1:5">
      <c r="A176" s="37"/>
      <c r="B176" s="36"/>
      <c r="C176" s="37"/>
      <c r="D176" s="36"/>
      <c r="E176" s="37"/>
    </row>
    <row r="177" spans="1:5">
      <c r="A177" s="37"/>
      <c r="B177" s="36"/>
      <c r="C177" s="37"/>
      <c r="D177" s="36"/>
      <c r="E177" s="37"/>
    </row>
    <row r="178" spans="1:5">
      <c r="A178" s="37"/>
      <c r="B178" s="36"/>
      <c r="C178" s="37"/>
      <c r="D178" s="36"/>
      <c r="E178" s="37"/>
    </row>
    <row r="179" spans="1:5">
      <c r="A179" s="37"/>
      <c r="B179" s="36"/>
      <c r="C179" s="37"/>
      <c r="D179" s="36"/>
      <c r="E179" s="37"/>
    </row>
    <row r="180" spans="1:5">
      <c r="A180" s="37"/>
      <c r="B180" s="36"/>
      <c r="C180" s="37"/>
      <c r="D180" s="36"/>
      <c r="E180" s="37"/>
    </row>
    <row r="181" spans="1:5">
      <c r="A181" s="37"/>
      <c r="B181" s="36"/>
      <c r="C181" s="37"/>
      <c r="D181" s="36"/>
      <c r="E181" s="37"/>
    </row>
    <row r="182" spans="1:5">
      <c r="A182" s="37"/>
      <c r="B182" s="36"/>
      <c r="C182" s="37"/>
      <c r="D182" s="36"/>
      <c r="E182" s="37"/>
    </row>
    <row r="183" spans="1:5">
      <c r="A183" s="37"/>
      <c r="B183" s="36"/>
      <c r="C183" s="37"/>
      <c r="D183" s="36"/>
      <c r="E183" s="37"/>
    </row>
    <row r="184" spans="1:5">
      <c r="A184" s="37"/>
      <c r="B184" s="36"/>
      <c r="C184" s="37"/>
      <c r="D184" s="36"/>
      <c r="E184" s="37"/>
    </row>
    <row r="185" spans="1:5">
      <c r="A185" s="37"/>
      <c r="B185" s="36"/>
      <c r="C185" s="37"/>
      <c r="D185" s="36"/>
      <c r="E185" s="37"/>
    </row>
    <row r="186" spans="1:5">
      <c r="A186" s="37"/>
      <c r="B186" s="36"/>
      <c r="C186" s="37"/>
      <c r="D186" s="36"/>
      <c r="E186" s="37"/>
    </row>
    <row r="187" spans="1:5">
      <c r="A187" s="37"/>
      <c r="B187" s="36"/>
      <c r="C187" s="37"/>
      <c r="D187" s="36"/>
      <c r="E187" s="37"/>
    </row>
    <row r="188" spans="1:5">
      <c r="A188" s="37"/>
      <c r="B188" s="36"/>
      <c r="C188" s="37"/>
      <c r="D188" s="36"/>
      <c r="E188" s="37"/>
    </row>
    <row r="189" spans="1:5">
      <c r="A189" s="37"/>
      <c r="B189" s="36"/>
      <c r="C189" s="37"/>
      <c r="D189" s="36"/>
      <c r="E189" s="37"/>
    </row>
    <row r="190" spans="1:5">
      <c r="A190" s="37"/>
      <c r="B190" s="36"/>
      <c r="C190" s="37"/>
      <c r="D190" s="36"/>
      <c r="E190" s="37"/>
    </row>
    <row r="191" spans="1:5">
      <c r="A191" s="37"/>
      <c r="B191" s="36"/>
      <c r="C191" s="37"/>
      <c r="D191" s="36"/>
      <c r="E191" s="37"/>
    </row>
    <row r="192" spans="1:5">
      <c r="A192" s="37"/>
      <c r="B192" s="36"/>
      <c r="C192" s="37"/>
      <c r="D192" s="36"/>
      <c r="E192" s="37"/>
    </row>
    <row r="193" spans="1:5">
      <c r="A193" s="37"/>
      <c r="B193" s="36"/>
      <c r="C193" s="37"/>
      <c r="D193" s="36"/>
      <c r="E193" s="37"/>
    </row>
    <row r="194" spans="1:5">
      <c r="A194" s="37"/>
      <c r="B194" s="36"/>
      <c r="C194" s="37"/>
      <c r="D194" s="36"/>
      <c r="E194" s="37"/>
    </row>
    <row r="195" spans="1:5">
      <c r="A195" s="37"/>
      <c r="B195" s="36"/>
      <c r="C195" s="37"/>
      <c r="D195" s="36"/>
      <c r="E195" s="37"/>
    </row>
    <row r="196" spans="1:5">
      <c r="A196" s="37"/>
      <c r="B196" s="36"/>
      <c r="C196" s="37"/>
      <c r="D196" s="36"/>
      <c r="E196" s="37"/>
    </row>
    <row r="197" spans="1:5">
      <c r="A197" s="37"/>
      <c r="B197" s="36"/>
      <c r="C197" s="37"/>
      <c r="D197" s="36"/>
      <c r="E197" s="37"/>
    </row>
    <row r="198" spans="1:5">
      <c r="A198" s="37"/>
      <c r="B198" s="36"/>
      <c r="C198" s="37"/>
      <c r="D198" s="36"/>
      <c r="E198" s="37"/>
    </row>
    <row r="199" spans="1:5">
      <c r="A199" s="37"/>
      <c r="B199" s="36"/>
      <c r="C199" s="37"/>
      <c r="D199" s="36"/>
      <c r="E199" s="37"/>
    </row>
    <row r="200" spans="1:5">
      <c r="A200" s="37"/>
      <c r="B200" s="36"/>
      <c r="C200" s="37"/>
      <c r="D200" s="36"/>
      <c r="E200" s="37"/>
    </row>
    <row r="201" spans="1:5">
      <c r="A201" s="37"/>
      <c r="B201" s="36"/>
      <c r="C201" s="37"/>
      <c r="D201" s="36"/>
      <c r="E201" s="37"/>
    </row>
    <row r="202" spans="1:5">
      <c r="A202" s="37"/>
      <c r="B202" s="36"/>
      <c r="C202" s="37"/>
      <c r="D202" s="36"/>
      <c r="E202" s="37"/>
    </row>
    <row r="203" spans="1:5">
      <c r="A203" s="37"/>
      <c r="B203" s="36"/>
      <c r="C203" s="37"/>
      <c r="D203" s="36"/>
      <c r="E203" s="37"/>
    </row>
    <row r="204" spans="1:5">
      <c r="A204" s="37"/>
      <c r="B204" s="36"/>
      <c r="C204" s="37"/>
      <c r="D204" s="36"/>
      <c r="E204" s="37"/>
    </row>
    <row r="205" spans="1:5">
      <c r="A205" s="37"/>
      <c r="B205" s="36"/>
      <c r="C205" s="37"/>
      <c r="D205" s="36"/>
      <c r="E205" s="37"/>
    </row>
    <row r="206" spans="1:5">
      <c r="A206" s="37"/>
      <c r="B206" s="36"/>
      <c r="C206" s="37"/>
      <c r="D206" s="36"/>
      <c r="E206" s="37"/>
    </row>
    <row r="207" spans="1:5">
      <c r="A207" s="37"/>
      <c r="B207" s="36"/>
      <c r="C207" s="37"/>
      <c r="D207" s="36"/>
      <c r="E207" s="37"/>
    </row>
    <row r="208" spans="1:5">
      <c r="A208" s="37"/>
      <c r="B208" s="36"/>
      <c r="C208" s="37"/>
      <c r="D208" s="36"/>
      <c r="E208" s="37"/>
    </row>
    <row r="209" spans="1:5">
      <c r="A209" s="37"/>
      <c r="B209" s="36"/>
      <c r="C209" s="37"/>
      <c r="D209" s="36"/>
      <c r="E209" s="37"/>
    </row>
    <row r="210" spans="1:5">
      <c r="A210" s="37"/>
      <c r="B210" s="36"/>
      <c r="C210" s="37"/>
      <c r="D210" s="36"/>
      <c r="E210" s="37"/>
    </row>
    <row r="211" spans="1:5">
      <c r="A211" s="37"/>
      <c r="B211" s="36"/>
      <c r="C211" s="37"/>
      <c r="D211" s="36"/>
      <c r="E211" s="37"/>
    </row>
    <row r="212" spans="1:5">
      <c r="A212" s="37"/>
      <c r="B212" s="36"/>
      <c r="C212" s="37"/>
      <c r="D212" s="36"/>
      <c r="E212" s="37"/>
    </row>
    <row r="213" spans="1:5">
      <c r="A213" s="37"/>
      <c r="B213" s="36"/>
      <c r="C213" s="37"/>
      <c r="D213" s="36"/>
      <c r="E213" s="37"/>
    </row>
    <row r="214" spans="1:5">
      <c r="A214" s="37"/>
      <c r="B214" s="36"/>
      <c r="C214" s="37"/>
      <c r="D214" s="36"/>
      <c r="E214" s="37"/>
    </row>
    <row r="215" spans="1:5">
      <c r="A215" s="37"/>
      <c r="B215" s="36"/>
      <c r="C215" s="37"/>
      <c r="D215" s="36"/>
      <c r="E215" s="37"/>
    </row>
    <row r="216" spans="1:5">
      <c r="A216" s="37"/>
      <c r="B216" s="36"/>
      <c r="C216" s="37"/>
      <c r="D216" s="36"/>
      <c r="E216" s="37"/>
    </row>
    <row r="217" spans="1:5">
      <c r="A217" s="37"/>
      <c r="B217" s="36"/>
      <c r="C217" s="37"/>
      <c r="D217" s="36"/>
      <c r="E217" s="37"/>
    </row>
    <row r="218" spans="1:5">
      <c r="A218" s="37"/>
      <c r="B218" s="36"/>
      <c r="C218" s="37"/>
      <c r="D218" s="36"/>
      <c r="E218" s="37"/>
    </row>
    <row r="219" spans="1:5">
      <c r="A219" s="37"/>
      <c r="B219" s="36"/>
      <c r="C219" s="37"/>
      <c r="D219" s="36"/>
      <c r="E219" s="37"/>
    </row>
    <row r="220" spans="1:5">
      <c r="A220" s="37"/>
      <c r="B220" s="36"/>
      <c r="C220" s="37"/>
      <c r="D220" s="36"/>
      <c r="E220" s="37"/>
    </row>
    <row r="221" spans="1:5">
      <c r="A221" s="37"/>
      <c r="B221" s="36"/>
      <c r="C221" s="37"/>
      <c r="D221" s="36"/>
      <c r="E221" s="37"/>
    </row>
    <row r="222" spans="1:5">
      <c r="A222" s="37"/>
      <c r="B222" s="36"/>
      <c r="C222" s="37"/>
      <c r="D222" s="36"/>
      <c r="E222" s="37"/>
    </row>
    <row r="223" spans="1:5">
      <c r="A223" s="37"/>
      <c r="B223" s="36"/>
      <c r="C223" s="37"/>
      <c r="D223" s="36"/>
      <c r="E223" s="37"/>
    </row>
    <row r="224" spans="1:5">
      <c r="A224" s="37"/>
      <c r="B224" s="36"/>
      <c r="C224" s="37"/>
      <c r="D224" s="36"/>
      <c r="E224" s="37"/>
    </row>
    <row r="225" spans="1:5">
      <c r="A225" s="37"/>
      <c r="B225" s="36"/>
      <c r="C225" s="37"/>
      <c r="D225" s="36"/>
      <c r="E225" s="37"/>
    </row>
    <row r="226" spans="1:5">
      <c r="A226" s="37"/>
      <c r="B226" s="36"/>
      <c r="C226" s="37"/>
      <c r="D226" s="36"/>
      <c r="E226" s="37"/>
    </row>
    <row r="227" spans="1:5">
      <c r="A227" s="37"/>
      <c r="B227" s="36"/>
      <c r="C227" s="37"/>
      <c r="D227" s="36"/>
      <c r="E227" s="37"/>
    </row>
    <row r="228" spans="1:5">
      <c r="A228" s="37"/>
      <c r="B228" s="36"/>
      <c r="C228" s="37"/>
      <c r="D228" s="36"/>
      <c r="E228" s="37"/>
    </row>
    <row r="229" spans="1:5">
      <c r="A229" s="37"/>
      <c r="B229" s="36"/>
      <c r="C229" s="37"/>
      <c r="D229" s="36"/>
      <c r="E229" s="37"/>
    </row>
    <row r="230" spans="1:5">
      <c r="A230" s="37"/>
      <c r="B230" s="36"/>
      <c r="C230" s="37"/>
      <c r="D230" s="36"/>
      <c r="E230" s="37"/>
    </row>
    <row r="231" spans="1:5">
      <c r="A231" s="37"/>
      <c r="B231" s="36"/>
      <c r="C231" s="37"/>
      <c r="D231" s="36"/>
      <c r="E231" s="37"/>
    </row>
    <row r="232" spans="1:5">
      <c r="A232" s="37"/>
      <c r="B232" s="36"/>
      <c r="C232" s="37"/>
      <c r="D232" s="36"/>
      <c r="E232" s="37"/>
    </row>
    <row r="233" spans="1:5">
      <c r="A233" s="37"/>
      <c r="B233" s="36"/>
      <c r="C233" s="37"/>
      <c r="D233" s="36"/>
      <c r="E233" s="37"/>
    </row>
    <row r="234" spans="1:5">
      <c r="A234" s="37"/>
      <c r="B234" s="36"/>
      <c r="C234" s="37"/>
      <c r="D234" s="36"/>
      <c r="E234" s="37"/>
    </row>
    <row r="235" spans="1:5">
      <c r="A235" s="37"/>
      <c r="B235" s="36"/>
      <c r="C235" s="37"/>
      <c r="D235" s="36"/>
      <c r="E235" s="37"/>
    </row>
    <row r="236" spans="1:5">
      <c r="A236" s="37"/>
      <c r="B236" s="36"/>
      <c r="C236" s="37"/>
      <c r="D236" s="36"/>
      <c r="E236" s="37"/>
    </row>
    <row r="237" spans="1:5">
      <c r="A237" s="37"/>
      <c r="B237" s="36"/>
      <c r="C237" s="37"/>
      <c r="D237" s="36"/>
      <c r="E237" s="37"/>
    </row>
    <row r="238" spans="1:5">
      <c r="A238" s="37"/>
      <c r="B238" s="36"/>
      <c r="C238" s="37"/>
      <c r="D238" s="36"/>
      <c r="E238" s="37"/>
    </row>
    <row r="239" spans="1:5">
      <c r="A239" s="37"/>
      <c r="B239" s="36"/>
      <c r="C239" s="37"/>
      <c r="D239" s="36"/>
      <c r="E239" s="37"/>
    </row>
    <row r="240" spans="1:5">
      <c r="A240" s="37"/>
      <c r="B240" s="36"/>
      <c r="C240" s="37"/>
      <c r="D240" s="36"/>
      <c r="E240" s="37"/>
    </row>
    <row r="241" spans="1:5">
      <c r="A241" s="37"/>
      <c r="B241" s="36"/>
      <c r="C241" s="37"/>
      <c r="D241" s="36"/>
      <c r="E241" s="37"/>
    </row>
    <row r="242" spans="1:5">
      <c r="A242" s="37"/>
      <c r="B242" s="36"/>
      <c r="C242" s="37"/>
      <c r="D242" s="36"/>
      <c r="E242" s="37"/>
    </row>
    <row r="243" spans="1:5">
      <c r="A243" s="37"/>
      <c r="B243" s="36"/>
      <c r="C243" s="37"/>
      <c r="D243" s="36"/>
      <c r="E243" s="37"/>
    </row>
    <row r="244" spans="1:5">
      <c r="A244" s="37"/>
      <c r="B244" s="36"/>
      <c r="C244" s="37"/>
      <c r="D244" s="36"/>
      <c r="E244" s="37"/>
    </row>
    <row r="245" spans="1:5">
      <c r="A245" s="37"/>
      <c r="B245" s="36"/>
      <c r="C245" s="37"/>
      <c r="D245" s="36"/>
      <c r="E245" s="37"/>
    </row>
    <row r="246" spans="1:5">
      <c r="A246" s="37"/>
      <c r="B246" s="36"/>
      <c r="C246" s="37"/>
      <c r="D246" s="36"/>
      <c r="E246" s="37"/>
    </row>
    <row r="247" spans="1:5">
      <c r="A247" s="37"/>
      <c r="B247" s="36"/>
      <c r="C247" s="37"/>
      <c r="D247" s="36"/>
      <c r="E247" s="37"/>
    </row>
    <row r="248" spans="1:5">
      <c r="A248" s="37"/>
      <c r="B248" s="36"/>
      <c r="C248" s="37"/>
      <c r="D248" s="36"/>
      <c r="E248" s="37"/>
    </row>
    <row r="249" spans="1:5">
      <c r="A249" s="37"/>
      <c r="B249" s="36"/>
      <c r="C249" s="37"/>
      <c r="D249" s="36"/>
      <c r="E249" s="37"/>
    </row>
    <row r="250" spans="1:5">
      <c r="A250" s="37"/>
      <c r="B250" s="36"/>
      <c r="C250" s="37"/>
      <c r="D250" s="36"/>
      <c r="E250" s="37"/>
    </row>
    <row r="251" spans="1:5">
      <c r="A251" s="37"/>
      <c r="B251" s="36"/>
      <c r="C251" s="37"/>
      <c r="D251" s="36"/>
      <c r="E251" s="37"/>
    </row>
    <row r="252" spans="1:5">
      <c r="A252" s="37"/>
      <c r="B252" s="36"/>
      <c r="C252" s="37"/>
      <c r="D252" s="36"/>
      <c r="E252" s="37"/>
    </row>
    <row r="253" spans="1:5">
      <c r="A253" s="37"/>
      <c r="B253" s="36"/>
      <c r="C253" s="37"/>
      <c r="D253" s="36"/>
      <c r="E253" s="37"/>
    </row>
    <row r="254" spans="1:5">
      <c r="A254" s="37"/>
      <c r="B254" s="36"/>
      <c r="C254" s="37"/>
      <c r="D254" s="36"/>
      <c r="E254" s="37"/>
    </row>
    <row r="255" spans="1:5">
      <c r="A255" s="37"/>
      <c r="B255" s="36"/>
      <c r="C255" s="37"/>
      <c r="D255" s="36"/>
      <c r="E255" s="37"/>
    </row>
    <row r="256" spans="1:5">
      <c r="A256" s="37"/>
      <c r="B256" s="36"/>
      <c r="C256" s="37"/>
      <c r="D256" s="36"/>
      <c r="E256" s="37"/>
    </row>
    <row r="257" spans="1:5">
      <c r="A257" s="37"/>
      <c r="B257" s="36"/>
      <c r="C257" s="37"/>
      <c r="D257" s="36"/>
      <c r="E257" s="37"/>
    </row>
    <row r="258" spans="1:5">
      <c r="A258" s="37"/>
      <c r="B258" s="36"/>
      <c r="C258" s="37"/>
      <c r="D258" s="36"/>
      <c r="E258" s="37"/>
    </row>
    <row r="259" spans="1:5">
      <c r="A259" s="37"/>
      <c r="B259" s="36"/>
      <c r="C259" s="37"/>
      <c r="D259" s="36"/>
      <c r="E259" s="37"/>
    </row>
    <row r="260" spans="1:5">
      <c r="A260" s="37"/>
      <c r="B260" s="36"/>
      <c r="C260" s="37"/>
      <c r="D260" s="36"/>
      <c r="E260" s="37"/>
    </row>
    <row r="261" spans="1:5">
      <c r="A261" s="37"/>
      <c r="B261" s="36"/>
      <c r="C261" s="37"/>
      <c r="D261" s="36"/>
      <c r="E261" s="37"/>
    </row>
    <row r="262" spans="1:5">
      <c r="A262" s="37"/>
      <c r="B262" s="36"/>
      <c r="C262" s="37"/>
      <c r="D262" s="36"/>
      <c r="E262" s="37"/>
    </row>
    <row r="263" spans="1:5">
      <c r="A263" s="37"/>
      <c r="B263" s="36"/>
      <c r="C263" s="37"/>
      <c r="D263" s="36"/>
      <c r="E263" s="37"/>
    </row>
    <row r="264" spans="1:5">
      <c r="A264" s="37"/>
      <c r="B264" s="36"/>
      <c r="C264" s="37"/>
      <c r="D264" s="36"/>
      <c r="E264" s="37"/>
    </row>
    <row r="265" spans="1:5">
      <c r="A265" s="37"/>
      <c r="B265" s="36"/>
      <c r="C265" s="37"/>
      <c r="D265" s="36"/>
      <c r="E265" s="37"/>
    </row>
    <row r="266" spans="1:5">
      <c r="A266" s="37"/>
      <c r="B266" s="36"/>
      <c r="C266" s="37"/>
      <c r="D266" s="36"/>
      <c r="E266" s="37"/>
    </row>
    <row r="267" spans="1:5">
      <c r="A267" s="37"/>
      <c r="B267" s="36"/>
      <c r="C267" s="37"/>
      <c r="D267" s="36"/>
      <c r="E267" s="37"/>
    </row>
    <row r="268" spans="1:5">
      <c r="A268" s="37"/>
      <c r="B268" s="36"/>
      <c r="C268" s="37"/>
      <c r="D268" s="36"/>
      <c r="E268" s="37"/>
    </row>
    <row r="269" spans="1:5">
      <c r="A269" s="37"/>
      <c r="B269" s="36"/>
      <c r="C269" s="37"/>
      <c r="D269" s="36"/>
      <c r="E269" s="37"/>
    </row>
    <row r="270" spans="1:5">
      <c r="A270" s="37"/>
      <c r="B270" s="36"/>
      <c r="C270" s="37"/>
      <c r="D270" s="36"/>
      <c r="E270" s="37"/>
    </row>
    <row r="271" spans="1:5">
      <c r="A271" s="37"/>
      <c r="B271" s="36"/>
      <c r="C271" s="37"/>
      <c r="D271" s="36"/>
      <c r="E271" s="37"/>
    </row>
    <row r="272" spans="1:5">
      <c r="A272" s="37"/>
      <c r="B272" s="36"/>
      <c r="C272" s="37"/>
      <c r="D272" s="36"/>
      <c r="E272" s="37"/>
    </row>
    <row r="273" spans="1:5">
      <c r="A273" s="37"/>
      <c r="B273" s="36"/>
      <c r="C273" s="37"/>
      <c r="D273" s="36"/>
      <c r="E273" s="37"/>
    </row>
    <row r="274" spans="1:5">
      <c r="A274" s="37"/>
      <c r="B274" s="36"/>
      <c r="C274" s="37"/>
      <c r="D274" s="36"/>
      <c r="E274" s="37"/>
    </row>
    <row r="275" spans="1:5">
      <c r="A275" s="37"/>
      <c r="B275" s="36"/>
      <c r="C275" s="37"/>
      <c r="D275" s="36"/>
      <c r="E275" s="37"/>
    </row>
    <row r="276" spans="1:5">
      <c r="A276" s="37"/>
      <c r="B276" s="36"/>
      <c r="C276" s="37"/>
      <c r="D276" s="36"/>
      <c r="E276" s="37"/>
    </row>
    <row r="277" spans="1:5">
      <c r="A277" s="37"/>
      <c r="B277" s="36"/>
      <c r="C277" s="37"/>
      <c r="D277" s="36"/>
      <c r="E277" s="37"/>
    </row>
    <row r="278" spans="1:5">
      <c r="A278" s="37"/>
      <c r="B278" s="36"/>
      <c r="C278" s="37"/>
      <c r="D278" s="36"/>
      <c r="E278" s="37"/>
    </row>
    <row r="279" spans="1:5">
      <c r="A279" s="37"/>
      <c r="B279" s="36"/>
      <c r="C279" s="37"/>
      <c r="D279" s="36"/>
      <c r="E279" s="37"/>
    </row>
    <row r="280" spans="1:5">
      <c r="A280" s="37"/>
      <c r="B280" s="36"/>
      <c r="C280" s="37"/>
      <c r="D280" s="36"/>
      <c r="E280" s="37"/>
    </row>
    <row r="281" spans="1:5">
      <c r="A281" s="37"/>
      <c r="B281" s="36"/>
      <c r="C281" s="37"/>
      <c r="D281" s="36"/>
      <c r="E281" s="37"/>
    </row>
    <row r="282" spans="1:5">
      <c r="A282" s="37"/>
      <c r="B282" s="36"/>
      <c r="C282" s="37"/>
      <c r="D282" s="36"/>
      <c r="E282" s="37"/>
    </row>
    <row r="283" spans="1:5">
      <c r="A283" s="37"/>
      <c r="B283" s="36"/>
      <c r="C283" s="37"/>
      <c r="D283" s="36"/>
      <c r="E283" s="37"/>
    </row>
    <row r="284" spans="1:5">
      <c r="A284" s="37"/>
      <c r="B284" s="36"/>
      <c r="C284" s="37"/>
      <c r="D284" s="36"/>
      <c r="E284" s="37"/>
    </row>
    <row r="285" spans="1:5">
      <c r="A285" s="37"/>
      <c r="B285" s="36"/>
      <c r="C285" s="37"/>
      <c r="D285" s="36"/>
      <c r="E285" s="37"/>
    </row>
    <row r="286" spans="1:5">
      <c r="A286" s="37"/>
      <c r="B286" s="36"/>
      <c r="C286" s="37"/>
      <c r="D286" s="36"/>
      <c r="E286" s="37"/>
    </row>
    <row r="287" spans="1:5">
      <c r="A287" s="37"/>
      <c r="B287" s="36"/>
      <c r="C287" s="37"/>
      <c r="D287" s="36"/>
      <c r="E287" s="37"/>
    </row>
    <row r="288" spans="1:5">
      <c r="A288" s="37"/>
      <c r="B288" s="36"/>
      <c r="C288" s="37"/>
      <c r="D288" s="36"/>
      <c r="E288" s="37"/>
    </row>
    <row r="289" spans="1:5">
      <c r="A289" s="37"/>
      <c r="B289" s="36"/>
      <c r="C289" s="37"/>
      <c r="D289" s="36"/>
      <c r="E289" s="37"/>
    </row>
    <row r="290" spans="1:5">
      <c r="A290" s="37"/>
      <c r="B290" s="36"/>
      <c r="C290" s="37"/>
      <c r="D290" s="36"/>
      <c r="E290" s="37"/>
    </row>
    <row r="291" spans="1:5">
      <c r="A291" s="37"/>
      <c r="B291" s="36"/>
      <c r="C291" s="37"/>
      <c r="D291" s="36"/>
      <c r="E291" s="37"/>
    </row>
    <row r="292" spans="1:5">
      <c r="A292" s="37"/>
      <c r="B292" s="36"/>
      <c r="C292" s="37"/>
      <c r="D292" s="36"/>
      <c r="E292" s="37"/>
    </row>
    <row r="293" spans="1:5">
      <c r="A293" s="37"/>
      <c r="B293" s="36"/>
      <c r="C293" s="37"/>
      <c r="D293" s="36"/>
      <c r="E293" s="37"/>
    </row>
    <row r="294" spans="1:5">
      <c r="A294" s="37"/>
      <c r="B294" s="36"/>
      <c r="C294" s="37"/>
      <c r="D294" s="36"/>
      <c r="E294" s="37"/>
    </row>
    <row r="295" spans="1:5">
      <c r="A295" s="37"/>
      <c r="B295" s="36"/>
      <c r="C295" s="37"/>
      <c r="D295" s="36"/>
      <c r="E295" s="37"/>
    </row>
    <row r="296" spans="1:5">
      <c r="A296" s="37"/>
      <c r="B296" s="36"/>
      <c r="C296" s="37"/>
      <c r="D296" s="36"/>
      <c r="E296" s="37"/>
    </row>
    <row r="297" spans="1:5">
      <c r="A297" s="37"/>
      <c r="B297" s="36"/>
      <c r="C297" s="37"/>
      <c r="D297" s="36"/>
      <c r="E297" s="37"/>
    </row>
    <row r="298" spans="1:5">
      <c r="A298" s="37"/>
      <c r="B298" s="36"/>
      <c r="C298" s="37"/>
      <c r="D298" s="36"/>
      <c r="E298" s="37"/>
    </row>
    <row r="299" spans="1:5">
      <c r="A299" s="37"/>
      <c r="B299" s="36"/>
      <c r="C299" s="37"/>
      <c r="D299" s="36"/>
      <c r="E299" s="37"/>
    </row>
    <row r="300" spans="1:5">
      <c r="A300" s="37"/>
      <c r="B300" s="36"/>
      <c r="C300" s="37"/>
      <c r="D300" s="36"/>
      <c r="E300" s="37"/>
    </row>
    <row r="301" spans="1:5">
      <c r="A301" s="37"/>
      <c r="B301" s="36"/>
      <c r="C301" s="37"/>
      <c r="D301" s="36"/>
      <c r="E301" s="37"/>
    </row>
    <row r="302" spans="1:5">
      <c r="A302" s="37"/>
      <c r="B302" s="36"/>
      <c r="C302" s="37"/>
      <c r="D302" s="36"/>
      <c r="E302" s="37"/>
    </row>
    <row r="303" spans="1:5">
      <c r="A303" s="37"/>
      <c r="B303" s="36"/>
      <c r="C303" s="37"/>
      <c r="D303" s="36"/>
      <c r="E303" s="37"/>
    </row>
    <row r="304" spans="1:5">
      <c r="A304" s="37"/>
      <c r="B304" s="36"/>
      <c r="C304" s="37"/>
      <c r="D304" s="36"/>
      <c r="E304" s="37"/>
    </row>
    <row r="305" spans="1:5">
      <c r="A305" s="37"/>
      <c r="B305" s="36"/>
      <c r="C305" s="37"/>
      <c r="D305" s="36"/>
      <c r="E305" s="37"/>
    </row>
    <row r="306" spans="1:5">
      <c r="A306" s="37"/>
      <c r="B306" s="36"/>
      <c r="C306" s="37"/>
      <c r="D306" s="36"/>
      <c r="E306" s="37"/>
    </row>
    <row r="307" spans="1:5">
      <c r="A307" s="37"/>
      <c r="B307" s="36"/>
      <c r="C307" s="37"/>
      <c r="D307" s="36"/>
      <c r="E307" s="37"/>
    </row>
    <row r="308" spans="1:5">
      <c r="A308" s="37"/>
      <c r="B308" s="36"/>
      <c r="C308" s="37"/>
      <c r="D308" s="36"/>
      <c r="E308" s="37"/>
    </row>
    <row r="309" spans="1:5">
      <c r="A309" s="37"/>
      <c r="B309" s="36"/>
      <c r="C309" s="37"/>
      <c r="D309" s="36"/>
      <c r="E309" s="37"/>
    </row>
    <row r="310" spans="1:5">
      <c r="A310" s="37"/>
      <c r="B310" s="36"/>
      <c r="C310" s="37"/>
      <c r="D310" s="36"/>
      <c r="E310" s="37"/>
    </row>
    <row r="311" spans="1:5">
      <c r="A311" s="37"/>
      <c r="B311" s="36"/>
      <c r="C311" s="37"/>
      <c r="D311" s="36"/>
      <c r="E311" s="37"/>
    </row>
    <row r="312" spans="1:5">
      <c r="A312" s="37"/>
      <c r="B312" s="36"/>
      <c r="C312" s="37"/>
      <c r="D312" s="36"/>
      <c r="E312" s="37"/>
    </row>
    <row r="313" spans="1:5">
      <c r="A313" s="37"/>
      <c r="B313" s="36"/>
      <c r="C313" s="37"/>
      <c r="D313" s="36"/>
      <c r="E313" s="37"/>
    </row>
    <row r="314" spans="1:5">
      <c r="A314" s="37"/>
      <c r="B314" s="36"/>
      <c r="C314" s="37"/>
      <c r="D314" s="36"/>
      <c r="E314" s="37"/>
    </row>
    <row r="315" spans="1:5">
      <c r="A315" s="37"/>
      <c r="B315" s="36"/>
      <c r="C315" s="37"/>
      <c r="D315" s="36"/>
      <c r="E315" s="37"/>
    </row>
    <row r="316" spans="1:5">
      <c r="A316" s="37"/>
      <c r="B316" s="36"/>
      <c r="C316" s="37"/>
      <c r="D316" s="36"/>
      <c r="E316" s="37"/>
    </row>
    <row r="317" spans="1:5">
      <c r="A317" s="37"/>
      <c r="B317" s="36"/>
      <c r="C317" s="37"/>
      <c r="D317" s="36"/>
      <c r="E317" s="37"/>
    </row>
    <row r="318" spans="1:5">
      <c r="A318" s="37"/>
      <c r="B318" s="36"/>
      <c r="C318" s="37"/>
      <c r="D318" s="36"/>
      <c r="E318" s="37"/>
    </row>
    <row r="319" spans="1:5">
      <c r="A319" s="37"/>
      <c r="B319" s="36"/>
      <c r="C319" s="37"/>
      <c r="D319" s="36"/>
      <c r="E319" s="37"/>
    </row>
    <row r="320" spans="1:5">
      <c r="A320" s="37"/>
      <c r="B320" s="36"/>
      <c r="C320" s="37"/>
      <c r="D320" s="36"/>
      <c r="E320" s="37"/>
    </row>
    <row r="321" spans="1:5">
      <c r="A321" s="37"/>
      <c r="B321" s="36"/>
      <c r="C321" s="37"/>
      <c r="D321" s="36"/>
      <c r="E321" s="37"/>
    </row>
    <row r="322" spans="1:5">
      <c r="A322" s="37"/>
      <c r="B322" s="36"/>
      <c r="C322" s="37"/>
      <c r="D322" s="36"/>
      <c r="E322" s="37"/>
    </row>
    <row r="323" spans="1:5">
      <c r="A323" s="37"/>
      <c r="B323" s="36"/>
      <c r="C323" s="37"/>
      <c r="D323" s="36"/>
      <c r="E323" s="37"/>
    </row>
    <row r="324" spans="1:5">
      <c r="A324" s="37"/>
      <c r="B324" s="36"/>
      <c r="C324" s="37"/>
      <c r="D324" s="36"/>
      <c r="E324" s="37"/>
    </row>
    <row r="325" spans="1:5">
      <c r="A325" s="37"/>
      <c r="B325" s="36"/>
      <c r="C325" s="37"/>
      <c r="D325" s="36"/>
      <c r="E325" s="37"/>
    </row>
    <row r="326" spans="1:5">
      <c r="A326" s="37"/>
      <c r="B326" s="36"/>
      <c r="C326" s="37"/>
      <c r="D326" s="36"/>
      <c r="E326" s="37"/>
    </row>
    <row r="327" spans="1:5">
      <c r="A327" s="37"/>
      <c r="B327" s="36"/>
      <c r="C327" s="37"/>
      <c r="D327" s="36"/>
      <c r="E327" s="37"/>
    </row>
    <row r="328" spans="1:5">
      <c r="A328" s="37"/>
      <c r="B328" s="36"/>
      <c r="C328" s="37"/>
      <c r="D328" s="36"/>
      <c r="E328" s="37"/>
    </row>
    <row r="329" spans="1:5">
      <c r="A329" s="37"/>
      <c r="B329" s="36"/>
      <c r="C329" s="37"/>
      <c r="D329" s="36"/>
      <c r="E329" s="37"/>
    </row>
    <row r="330" spans="1:5">
      <c r="A330" s="37"/>
      <c r="B330" s="36"/>
      <c r="C330" s="37"/>
      <c r="D330" s="36"/>
      <c r="E330" s="37"/>
    </row>
    <row r="331" spans="1:5">
      <c r="A331" s="37"/>
      <c r="B331" s="36"/>
      <c r="C331" s="37"/>
      <c r="D331" s="36"/>
      <c r="E331" s="37"/>
    </row>
    <row r="332" spans="1:5">
      <c r="A332" s="37"/>
      <c r="B332" s="36"/>
      <c r="C332" s="37"/>
      <c r="D332" s="36"/>
      <c r="E332" s="37"/>
    </row>
    <row r="333" spans="1:5">
      <c r="A333" s="37"/>
      <c r="B333" s="36"/>
      <c r="C333" s="37"/>
      <c r="D333" s="36"/>
      <c r="E333" s="37"/>
    </row>
    <row r="334" spans="1:5">
      <c r="A334" s="37"/>
      <c r="B334" s="36"/>
      <c r="C334" s="37"/>
      <c r="D334" s="36"/>
      <c r="E334" s="37"/>
    </row>
    <row r="335" spans="1:5">
      <c r="A335" s="37"/>
      <c r="B335" s="36"/>
      <c r="C335" s="37"/>
      <c r="D335" s="36"/>
      <c r="E335" s="37"/>
    </row>
    <row r="336" spans="1:5">
      <c r="A336" s="37"/>
      <c r="B336" s="36"/>
      <c r="C336" s="37"/>
      <c r="D336" s="36"/>
      <c r="E336" s="37"/>
    </row>
    <row r="337" spans="1:5">
      <c r="A337" s="37"/>
      <c r="B337" s="36"/>
      <c r="C337" s="37"/>
      <c r="D337" s="36"/>
      <c r="E337" s="37"/>
    </row>
    <row r="338" spans="1:5">
      <c r="A338" s="37"/>
      <c r="B338" s="36"/>
      <c r="C338" s="37"/>
      <c r="D338" s="36"/>
      <c r="E338" s="37"/>
    </row>
    <row r="339" spans="1:5">
      <c r="A339" s="37"/>
      <c r="B339" s="36"/>
      <c r="C339" s="37"/>
      <c r="D339" s="36"/>
      <c r="E339" s="37"/>
    </row>
    <row r="340" spans="1:5">
      <c r="A340" s="37"/>
      <c r="B340" s="36"/>
      <c r="C340" s="37"/>
      <c r="D340" s="36"/>
      <c r="E340" s="37"/>
    </row>
    <row r="341" spans="1:5">
      <c r="A341" s="37"/>
      <c r="B341" s="36"/>
      <c r="C341" s="37"/>
      <c r="D341" s="36"/>
      <c r="E341" s="37"/>
    </row>
    <row r="342" spans="1:5">
      <c r="A342" s="37"/>
      <c r="B342" s="36"/>
      <c r="C342" s="37"/>
      <c r="D342" s="36"/>
      <c r="E342" s="37"/>
    </row>
    <row r="343" spans="1:5">
      <c r="A343" s="37"/>
      <c r="B343" s="36"/>
      <c r="C343" s="37"/>
      <c r="D343" s="36"/>
      <c r="E343" s="37"/>
    </row>
    <row r="344" spans="1:5">
      <c r="A344" s="37"/>
      <c r="B344" s="36"/>
      <c r="C344" s="37"/>
      <c r="D344" s="36"/>
      <c r="E344" s="37"/>
    </row>
    <row r="345" spans="1:5">
      <c r="A345" s="37"/>
      <c r="B345" s="36"/>
      <c r="C345" s="37"/>
      <c r="D345" s="36"/>
      <c r="E345" s="37"/>
    </row>
    <row r="346" spans="1:5">
      <c r="A346" s="37"/>
      <c r="B346" s="36"/>
      <c r="C346" s="37"/>
      <c r="D346" s="36"/>
      <c r="E346" s="37"/>
    </row>
    <row r="347" spans="1:5">
      <c r="A347" s="37"/>
      <c r="B347" s="36"/>
      <c r="C347" s="37"/>
      <c r="D347" s="36"/>
      <c r="E347" s="37"/>
    </row>
    <row r="348" spans="1:5">
      <c r="A348" s="37"/>
      <c r="B348" s="36"/>
      <c r="C348" s="37"/>
      <c r="D348" s="36"/>
      <c r="E348" s="37"/>
    </row>
    <row r="349" spans="1:5">
      <c r="A349" s="37"/>
      <c r="B349" s="36"/>
      <c r="C349" s="37"/>
      <c r="D349" s="36"/>
      <c r="E349" s="37"/>
    </row>
    <row r="350" spans="1:5">
      <c r="A350" s="37"/>
      <c r="B350" s="36"/>
      <c r="C350" s="37"/>
      <c r="D350" s="36"/>
      <c r="E350" s="37"/>
    </row>
    <row r="351" spans="1:5">
      <c r="A351" s="37"/>
      <c r="B351" s="36"/>
      <c r="C351" s="37"/>
      <c r="D351" s="36"/>
      <c r="E351" s="37"/>
    </row>
    <row r="352" spans="1:5">
      <c r="A352" s="37"/>
      <c r="B352" s="36"/>
      <c r="C352" s="37"/>
      <c r="D352" s="36"/>
      <c r="E352" s="37"/>
    </row>
    <row r="353" spans="1:5">
      <c r="A353" s="37"/>
      <c r="B353" s="36"/>
      <c r="C353" s="37"/>
      <c r="D353" s="36"/>
      <c r="E353" s="37"/>
    </row>
    <row r="354" spans="1:5">
      <c r="A354" s="37"/>
      <c r="B354" s="36"/>
      <c r="C354" s="37"/>
      <c r="D354" s="36"/>
      <c r="E354" s="37"/>
    </row>
    <row r="355" spans="1:5">
      <c r="A355" s="37"/>
      <c r="B355" s="36"/>
      <c r="C355" s="37"/>
      <c r="D355" s="36"/>
      <c r="E355" s="37"/>
    </row>
    <row r="356" spans="1:5">
      <c r="A356" s="37"/>
      <c r="B356" s="36"/>
      <c r="C356" s="37"/>
      <c r="D356" s="36"/>
      <c r="E356" s="37"/>
    </row>
    <row r="357" spans="1:5">
      <c r="A357" s="37"/>
      <c r="B357" s="36"/>
      <c r="C357" s="37"/>
      <c r="D357" s="36"/>
      <c r="E357" s="37"/>
    </row>
    <row r="358" spans="1:5">
      <c r="A358" s="37"/>
      <c r="B358" s="36"/>
      <c r="C358" s="37"/>
      <c r="D358" s="36"/>
      <c r="E358" s="37"/>
    </row>
    <row r="359" spans="1:5">
      <c r="A359" s="37"/>
      <c r="B359" s="36"/>
      <c r="C359" s="37"/>
      <c r="D359" s="36"/>
      <c r="E359" s="37"/>
    </row>
    <row r="360" spans="1:5">
      <c r="A360" s="37"/>
      <c r="B360" s="36"/>
      <c r="C360" s="37"/>
      <c r="D360" s="36"/>
      <c r="E360" s="37"/>
    </row>
    <row r="361" spans="1:5">
      <c r="A361" s="37"/>
      <c r="B361" s="36"/>
      <c r="C361" s="37"/>
      <c r="D361" s="36"/>
      <c r="E361" s="37"/>
    </row>
    <row r="362" spans="1:5">
      <c r="A362" s="37"/>
      <c r="B362" s="36"/>
      <c r="C362" s="37"/>
      <c r="D362" s="36"/>
      <c r="E362" s="37"/>
    </row>
    <row r="363" spans="1:5">
      <c r="A363" s="37"/>
      <c r="B363" s="36"/>
      <c r="C363" s="37"/>
      <c r="D363" s="36"/>
      <c r="E363" s="37"/>
    </row>
    <row r="364" spans="1:5">
      <c r="A364" s="37"/>
      <c r="B364" s="36"/>
      <c r="C364" s="37"/>
      <c r="D364" s="36"/>
      <c r="E364" s="37"/>
    </row>
    <row r="365" spans="1:5">
      <c r="A365" s="37"/>
      <c r="B365" s="36"/>
      <c r="C365" s="37"/>
      <c r="D365" s="36"/>
      <c r="E365" s="37"/>
    </row>
    <row r="366" spans="1:5">
      <c r="A366" s="37"/>
      <c r="B366" s="36"/>
      <c r="C366" s="37"/>
      <c r="D366" s="36"/>
      <c r="E366" s="37"/>
    </row>
    <row r="367" spans="1:5">
      <c r="A367" s="37"/>
      <c r="B367" s="36"/>
      <c r="C367" s="37"/>
      <c r="D367" s="36"/>
      <c r="E367" s="37"/>
    </row>
    <row r="368" spans="1:5">
      <c r="A368" s="37"/>
      <c r="B368" s="36"/>
      <c r="C368" s="37"/>
      <c r="D368" s="36"/>
      <c r="E368" s="37"/>
    </row>
    <row r="369" spans="1:5">
      <c r="A369" s="37"/>
      <c r="B369" s="36"/>
      <c r="C369" s="37"/>
      <c r="D369" s="36"/>
      <c r="E369" s="37"/>
    </row>
    <row r="370" spans="1:5">
      <c r="A370" s="37"/>
      <c r="B370" s="36"/>
      <c r="C370" s="37"/>
      <c r="D370" s="36"/>
      <c r="E370" s="37"/>
    </row>
    <row r="371" spans="1:5">
      <c r="A371" s="37"/>
      <c r="B371" s="36"/>
      <c r="C371" s="37"/>
      <c r="D371" s="36"/>
      <c r="E371" s="37"/>
    </row>
    <row r="372" spans="1:5">
      <c r="A372" s="37"/>
      <c r="B372" s="36"/>
      <c r="C372" s="37"/>
      <c r="D372" s="36"/>
      <c r="E372" s="37"/>
    </row>
    <row r="373" spans="1:5">
      <c r="A373" s="37"/>
      <c r="B373" s="36"/>
      <c r="C373" s="37"/>
      <c r="D373" s="36"/>
      <c r="E373" s="37"/>
    </row>
    <row r="374" spans="1:5">
      <c r="A374" s="37"/>
      <c r="B374" s="36"/>
      <c r="C374" s="37"/>
      <c r="D374" s="36"/>
      <c r="E374" s="37"/>
    </row>
    <row r="375" spans="1:5">
      <c r="A375" s="37"/>
      <c r="B375" s="36"/>
      <c r="C375" s="37"/>
      <c r="D375" s="36"/>
      <c r="E375" s="37"/>
    </row>
    <row r="376" spans="1:5">
      <c r="A376" s="37"/>
      <c r="B376" s="36"/>
      <c r="C376" s="37"/>
      <c r="D376" s="36"/>
      <c r="E376" s="37"/>
    </row>
    <row r="377" spans="1:5">
      <c r="A377" s="37"/>
      <c r="B377" s="36"/>
      <c r="C377" s="37"/>
      <c r="D377" s="36"/>
      <c r="E377" s="37"/>
    </row>
    <row r="378" spans="1:5">
      <c r="A378" s="37"/>
      <c r="B378" s="36"/>
      <c r="C378" s="37"/>
      <c r="D378" s="36"/>
      <c r="E378" s="37"/>
    </row>
    <row r="379" spans="1:5">
      <c r="A379" s="37"/>
      <c r="B379" s="36"/>
      <c r="C379" s="37"/>
      <c r="D379" s="36"/>
      <c r="E379" s="37"/>
    </row>
    <row r="380" spans="1:5">
      <c r="A380" s="37"/>
      <c r="B380" s="36"/>
      <c r="C380" s="37"/>
      <c r="D380" s="36"/>
      <c r="E380" s="37"/>
    </row>
    <row r="381" spans="1:5">
      <c r="A381" s="37"/>
      <c r="B381" s="36"/>
      <c r="C381" s="37"/>
      <c r="D381" s="36"/>
      <c r="E381" s="37"/>
    </row>
    <row r="382" spans="1:5">
      <c r="A382" s="37"/>
      <c r="B382" s="36"/>
      <c r="C382" s="37"/>
      <c r="D382" s="36"/>
      <c r="E382" s="37"/>
    </row>
    <row r="383" spans="1:5">
      <c r="A383" s="37"/>
      <c r="B383" s="36"/>
      <c r="C383" s="37"/>
      <c r="D383" s="36"/>
      <c r="E383" s="37"/>
    </row>
    <row r="384" spans="1:5">
      <c r="A384" s="37"/>
      <c r="B384" s="36"/>
      <c r="C384" s="37"/>
      <c r="D384" s="36"/>
      <c r="E384" s="37"/>
    </row>
    <row r="385" spans="1:5">
      <c r="A385" s="37"/>
      <c r="B385" s="36"/>
      <c r="C385" s="37"/>
      <c r="D385" s="36"/>
      <c r="E385" s="37"/>
    </row>
    <row r="386" spans="1:5">
      <c r="A386" s="37"/>
      <c r="B386" s="36"/>
      <c r="C386" s="37"/>
      <c r="D386" s="36"/>
      <c r="E386" s="37"/>
    </row>
    <row r="387" spans="1:5">
      <c r="A387" s="37"/>
      <c r="B387" s="36"/>
      <c r="C387" s="37"/>
      <c r="D387" s="36"/>
      <c r="E387" s="37"/>
    </row>
    <row r="388" spans="1:5">
      <c r="A388" s="37"/>
      <c r="B388" s="36"/>
      <c r="C388" s="37"/>
      <c r="D388" s="36"/>
      <c r="E388" s="37"/>
    </row>
    <row r="389" spans="1:5">
      <c r="A389" s="37"/>
      <c r="B389" s="36"/>
      <c r="C389" s="37"/>
      <c r="D389" s="36"/>
      <c r="E389" s="37"/>
    </row>
    <row r="390" spans="1:5">
      <c r="A390" s="37"/>
      <c r="B390" s="36"/>
      <c r="C390" s="37"/>
      <c r="D390" s="36"/>
      <c r="E390" s="37"/>
    </row>
    <row r="391" spans="1:5">
      <c r="A391" s="37"/>
      <c r="B391" s="36"/>
      <c r="C391" s="37"/>
      <c r="D391" s="36"/>
      <c r="E391" s="37"/>
    </row>
    <row r="392" spans="1:5">
      <c r="A392" s="37"/>
      <c r="B392" s="36"/>
      <c r="C392" s="37"/>
      <c r="D392" s="36"/>
      <c r="E392" s="37"/>
    </row>
    <row r="393" spans="1:5">
      <c r="A393" s="37"/>
      <c r="B393" s="36"/>
      <c r="C393" s="37"/>
      <c r="D393" s="36"/>
      <c r="E393" s="37"/>
    </row>
    <row r="394" spans="1:5">
      <c r="A394" s="37"/>
      <c r="B394" s="36"/>
      <c r="C394" s="37"/>
      <c r="D394" s="36"/>
      <c r="E394" s="37"/>
    </row>
    <row r="395" spans="1:5">
      <c r="A395" s="37"/>
      <c r="B395" s="36"/>
      <c r="C395" s="37"/>
      <c r="D395" s="36"/>
      <c r="E395" s="37"/>
    </row>
    <row r="396" spans="1:5">
      <c r="A396" s="37"/>
      <c r="B396" s="36"/>
      <c r="C396" s="37"/>
      <c r="D396" s="36"/>
      <c r="E396" s="37"/>
    </row>
    <row r="397" spans="1:5">
      <c r="A397" s="37"/>
      <c r="B397" s="36"/>
      <c r="C397" s="37"/>
      <c r="D397" s="36"/>
      <c r="E397" s="37"/>
    </row>
    <row r="398" spans="1:5">
      <c r="A398" s="37"/>
      <c r="B398" s="36"/>
      <c r="C398" s="37"/>
      <c r="D398" s="36"/>
      <c r="E398" s="37"/>
    </row>
    <row r="399" spans="1:5">
      <c r="A399" s="37"/>
      <c r="B399" s="36"/>
      <c r="C399" s="37"/>
      <c r="D399" s="36"/>
      <c r="E399" s="37"/>
    </row>
    <row r="400" spans="1:5">
      <c r="A400" s="37"/>
      <c r="B400" s="36"/>
      <c r="C400" s="37"/>
      <c r="D400" s="36"/>
      <c r="E400" s="37"/>
    </row>
    <row r="401" spans="1:5">
      <c r="A401" s="37"/>
      <c r="B401" s="36"/>
      <c r="C401" s="37"/>
      <c r="D401" s="36"/>
      <c r="E401" s="37"/>
    </row>
    <row r="402" spans="1:5">
      <c r="A402" s="37"/>
      <c r="B402" s="36"/>
      <c r="C402" s="37"/>
      <c r="D402" s="36"/>
      <c r="E402" s="37"/>
    </row>
    <row r="403" spans="1:5">
      <c r="A403" s="37"/>
      <c r="B403" s="36"/>
      <c r="C403" s="37"/>
      <c r="D403" s="36"/>
      <c r="E403" s="37"/>
    </row>
    <row r="404" spans="1:5">
      <c r="A404" s="37"/>
      <c r="B404" s="36"/>
      <c r="C404" s="37"/>
      <c r="D404" s="36"/>
      <c r="E404" s="37"/>
    </row>
    <row r="405" spans="1:5">
      <c r="A405" s="37"/>
      <c r="B405" s="36"/>
      <c r="C405" s="37"/>
      <c r="D405" s="36"/>
      <c r="E405" s="37"/>
    </row>
    <row r="406" spans="1:5">
      <c r="A406" s="37"/>
      <c r="B406" s="36"/>
      <c r="C406" s="37"/>
      <c r="D406" s="36"/>
      <c r="E406" s="37"/>
    </row>
    <row r="407" spans="1:5">
      <c r="A407" s="37"/>
      <c r="B407" s="36"/>
      <c r="C407" s="37"/>
      <c r="D407" s="36"/>
      <c r="E407" s="37"/>
    </row>
    <row r="408" spans="1:5">
      <c r="A408" s="37"/>
      <c r="B408" s="36"/>
      <c r="C408" s="37"/>
      <c r="D408" s="36"/>
      <c r="E408" s="37"/>
    </row>
    <row r="409" spans="1:5">
      <c r="A409" s="37"/>
      <c r="B409" s="36"/>
      <c r="C409" s="37"/>
      <c r="D409" s="36"/>
      <c r="E409" s="37"/>
    </row>
    <row r="410" spans="1:5">
      <c r="A410" s="37"/>
      <c r="B410" s="36"/>
      <c r="C410" s="37"/>
      <c r="D410" s="36"/>
      <c r="E410" s="37"/>
    </row>
    <row r="411" spans="1:5">
      <c r="A411" s="37"/>
      <c r="B411" s="36"/>
      <c r="C411" s="37"/>
      <c r="D411" s="36"/>
      <c r="E411" s="37"/>
    </row>
    <row r="412" spans="1:5">
      <c r="A412" s="37"/>
      <c r="B412" s="36"/>
      <c r="C412" s="37"/>
      <c r="D412" s="36"/>
      <c r="E412" s="37"/>
    </row>
    <row r="413" spans="1:5">
      <c r="A413" s="37"/>
      <c r="B413" s="36"/>
      <c r="C413" s="37"/>
      <c r="D413" s="36"/>
      <c r="E413" s="37"/>
    </row>
    <row r="414" spans="1:5">
      <c r="A414" s="37"/>
      <c r="B414" s="36"/>
      <c r="C414" s="37"/>
      <c r="D414" s="36"/>
      <c r="E414" s="37"/>
    </row>
    <row r="415" spans="1:5">
      <c r="A415" s="37"/>
      <c r="B415" s="36"/>
      <c r="C415" s="37"/>
      <c r="D415" s="36"/>
      <c r="E415" s="37"/>
    </row>
    <row r="416" spans="1:5">
      <c r="A416" s="37"/>
      <c r="B416" s="36"/>
      <c r="C416" s="37"/>
      <c r="D416" s="36"/>
      <c r="E416" s="37"/>
    </row>
    <row r="417" spans="1:5">
      <c r="A417" s="37"/>
      <c r="B417" s="36"/>
      <c r="C417" s="37"/>
      <c r="D417" s="36"/>
      <c r="E417" s="37"/>
    </row>
    <row r="418" spans="1:5">
      <c r="A418" s="37"/>
      <c r="B418" s="36"/>
      <c r="C418" s="37"/>
      <c r="D418" s="36"/>
      <c r="E418" s="37"/>
    </row>
    <row r="419" spans="1:5">
      <c r="A419" s="37"/>
      <c r="B419" s="36"/>
      <c r="C419" s="37"/>
      <c r="D419" s="36"/>
      <c r="E419" s="37"/>
    </row>
    <row r="420" spans="1:5">
      <c r="A420" s="37"/>
      <c r="B420" s="36"/>
      <c r="C420" s="37"/>
      <c r="D420" s="36"/>
      <c r="E420" s="37"/>
    </row>
    <row r="421" spans="1:5">
      <c r="A421" s="37"/>
      <c r="B421" s="36"/>
      <c r="C421" s="37"/>
      <c r="D421" s="36"/>
      <c r="E421" s="37"/>
    </row>
    <row r="422" spans="1:5">
      <c r="A422" s="37"/>
      <c r="B422" s="36"/>
      <c r="C422" s="37"/>
      <c r="D422" s="36"/>
      <c r="E422" s="37"/>
    </row>
    <row r="423" spans="1:5">
      <c r="A423" s="37"/>
      <c r="B423" s="36"/>
      <c r="C423" s="37"/>
      <c r="D423" s="36"/>
      <c r="E423" s="37"/>
    </row>
    <row r="424" spans="1:5">
      <c r="A424" s="37"/>
      <c r="B424" s="36"/>
      <c r="C424" s="37"/>
      <c r="D424" s="36"/>
      <c r="E424" s="37"/>
    </row>
    <row r="425" spans="1:5">
      <c r="A425" s="37"/>
      <c r="B425" s="36"/>
      <c r="C425" s="37"/>
      <c r="D425" s="36"/>
      <c r="E425" s="37"/>
    </row>
    <row r="426" spans="1:5">
      <c r="A426" s="37"/>
      <c r="B426" s="36"/>
      <c r="C426" s="37"/>
      <c r="D426" s="36"/>
      <c r="E426" s="37"/>
    </row>
    <row r="427" spans="1:5">
      <c r="A427" s="37"/>
      <c r="B427" s="36"/>
      <c r="C427" s="37"/>
      <c r="D427" s="36"/>
      <c r="E427" s="37"/>
    </row>
    <row r="428" spans="1:5">
      <c r="A428" s="37"/>
      <c r="B428" s="36"/>
      <c r="C428" s="37"/>
      <c r="D428" s="36"/>
      <c r="E428" s="37"/>
    </row>
    <row r="429" spans="1:5">
      <c r="A429" s="37"/>
      <c r="B429" s="36"/>
      <c r="C429" s="37"/>
      <c r="D429" s="36"/>
      <c r="E429" s="37"/>
    </row>
    <row r="430" spans="1:5">
      <c r="A430" s="37"/>
      <c r="B430" s="36"/>
      <c r="C430" s="37"/>
      <c r="D430" s="36"/>
      <c r="E430" s="37"/>
    </row>
    <row r="431" spans="1:5">
      <c r="A431" s="37"/>
      <c r="B431" s="36"/>
      <c r="C431" s="37"/>
      <c r="D431" s="36"/>
      <c r="E431" s="37"/>
    </row>
    <row r="432" spans="1:5">
      <c r="A432" s="37"/>
      <c r="B432" s="36"/>
      <c r="C432" s="37"/>
      <c r="D432" s="36"/>
      <c r="E432" s="37"/>
    </row>
    <row r="433" spans="1:5">
      <c r="A433" s="37"/>
      <c r="B433" s="36"/>
      <c r="C433" s="37"/>
      <c r="D433" s="36"/>
      <c r="E433" s="37"/>
    </row>
    <row r="434" spans="1:5">
      <c r="A434" s="37"/>
      <c r="B434" s="36"/>
      <c r="C434" s="37"/>
      <c r="D434" s="36"/>
      <c r="E434" s="37"/>
    </row>
    <row r="435" spans="1:5">
      <c r="A435" s="37"/>
      <c r="B435" s="36"/>
      <c r="C435" s="37"/>
      <c r="D435" s="36"/>
      <c r="E435" s="37"/>
    </row>
    <row r="436" spans="1:5">
      <c r="A436" s="37"/>
      <c r="B436" s="36"/>
      <c r="C436" s="37"/>
      <c r="D436" s="36"/>
      <c r="E436" s="37"/>
    </row>
    <row r="437" spans="1:5">
      <c r="A437" s="37"/>
      <c r="B437" s="36"/>
      <c r="C437" s="37"/>
      <c r="D437" s="36"/>
      <c r="E437" s="37"/>
    </row>
    <row r="438" spans="1:5">
      <c r="A438" s="37"/>
      <c r="B438" s="36"/>
      <c r="C438" s="37"/>
      <c r="D438" s="36"/>
      <c r="E438" s="37"/>
    </row>
    <row r="439" spans="1:5">
      <c r="A439" s="37"/>
      <c r="B439" s="36"/>
      <c r="C439" s="37"/>
      <c r="D439" s="36"/>
      <c r="E439" s="37"/>
    </row>
    <row r="440" spans="1:5">
      <c r="A440" s="37"/>
      <c r="B440" s="36"/>
      <c r="C440" s="37"/>
      <c r="D440" s="36"/>
      <c r="E440" s="37"/>
    </row>
    <row r="441" spans="1:5">
      <c r="A441" s="37"/>
      <c r="B441" s="36"/>
      <c r="C441" s="37"/>
      <c r="D441" s="36"/>
      <c r="E441" s="37"/>
    </row>
    <row r="442" spans="1:5">
      <c r="A442" s="37"/>
      <c r="B442" s="36"/>
      <c r="C442" s="37"/>
      <c r="D442" s="36"/>
      <c r="E442" s="37"/>
    </row>
    <row r="443" spans="1:5">
      <c r="A443" s="37"/>
      <c r="B443" s="36"/>
      <c r="C443" s="37"/>
      <c r="D443" s="36"/>
      <c r="E443" s="37"/>
    </row>
    <row r="444" spans="1:5">
      <c r="A444" s="37"/>
      <c r="B444" s="36"/>
      <c r="C444" s="37"/>
      <c r="D444" s="36"/>
      <c r="E444" s="37"/>
    </row>
    <row r="445" spans="1:5">
      <c r="A445" s="37"/>
      <c r="B445" s="36"/>
      <c r="C445" s="37"/>
      <c r="D445" s="36"/>
      <c r="E445" s="37"/>
    </row>
    <row r="446" spans="1:5">
      <c r="A446" s="37"/>
      <c r="B446" s="36"/>
      <c r="C446" s="37"/>
      <c r="D446" s="36"/>
      <c r="E446" s="37"/>
    </row>
    <row r="447" spans="1:5">
      <c r="A447" s="37"/>
      <c r="B447" s="36"/>
      <c r="C447" s="37"/>
      <c r="D447" s="36"/>
      <c r="E447" s="37"/>
    </row>
    <row r="448" spans="1:5">
      <c r="A448" s="37"/>
      <c r="B448" s="36"/>
      <c r="C448" s="37"/>
      <c r="D448" s="36"/>
      <c r="E448" s="37"/>
    </row>
    <row r="449" spans="1:5">
      <c r="A449" s="37"/>
      <c r="B449" s="36"/>
      <c r="C449" s="37"/>
      <c r="D449" s="36"/>
      <c r="E449" s="37"/>
    </row>
    <row r="450" spans="1:5">
      <c r="A450" s="37"/>
      <c r="B450" s="36"/>
      <c r="C450" s="37"/>
      <c r="D450" s="36"/>
      <c r="E450" s="37"/>
    </row>
    <row r="451" spans="1:5">
      <c r="A451" s="37"/>
      <c r="B451" s="36"/>
      <c r="C451" s="37"/>
      <c r="D451" s="36"/>
      <c r="E451" s="37"/>
    </row>
    <row r="452" spans="1:5">
      <c r="A452" s="37"/>
      <c r="B452" s="36"/>
      <c r="C452" s="37"/>
      <c r="D452" s="36"/>
      <c r="E452" s="37"/>
    </row>
    <row r="453" spans="1:5">
      <c r="A453" s="37"/>
      <c r="B453" s="36"/>
      <c r="C453" s="37"/>
      <c r="D453" s="36"/>
      <c r="E453" s="37"/>
    </row>
    <row r="454" spans="1:5">
      <c r="A454" s="37"/>
      <c r="B454" s="36"/>
      <c r="C454" s="37"/>
      <c r="D454" s="36"/>
      <c r="E454" s="37"/>
    </row>
    <row r="455" spans="1:5">
      <c r="A455" s="37"/>
      <c r="B455" s="36"/>
      <c r="C455" s="37"/>
      <c r="D455" s="36"/>
      <c r="E455" s="37"/>
    </row>
    <row r="456" spans="1:5">
      <c r="A456" s="37"/>
      <c r="B456" s="36"/>
      <c r="C456" s="37"/>
      <c r="D456" s="36"/>
      <c r="E456" s="37"/>
    </row>
    <row r="457" spans="1:5">
      <c r="A457" s="37"/>
      <c r="B457" s="36"/>
      <c r="C457" s="37"/>
      <c r="D457" s="36"/>
      <c r="E457" s="37"/>
    </row>
    <row r="458" spans="1:5">
      <c r="A458" s="37"/>
      <c r="B458" s="36"/>
      <c r="C458" s="37"/>
      <c r="D458" s="36"/>
      <c r="E458" s="37"/>
    </row>
    <row r="459" spans="1:5">
      <c r="A459" s="37"/>
      <c r="B459" s="36"/>
      <c r="C459" s="37"/>
      <c r="D459" s="36"/>
      <c r="E459" s="37"/>
    </row>
    <row r="460" spans="1:5">
      <c r="A460" s="37"/>
      <c r="B460" s="36"/>
      <c r="C460" s="37"/>
      <c r="D460" s="36"/>
      <c r="E460" s="37"/>
    </row>
    <row r="461" spans="1:5">
      <c r="A461" s="37"/>
      <c r="B461" s="36"/>
      <c r="C461" s="37"/>
      <c r="D461" s="36"/>
      <c r="E461" s="37"/>
    </row>
    <row r="462" spans="1:5">
      <c r="A462" s="37"/>
      <c r="B462" s="36"/>
      <c r="C462" s="37"/>
      <c r="D462" s="36"/>
      <c r="E462" s="37"/>
    </row>
    <row r="463" spans="1:5">
      <c r="A463" s="37"/>
      <c r="B463" s="36"/>
      <c r="C463" s="37"/>
      <c r="D463" s="36"/>
      <c r="E463" s="37"/>
    </row>
    <row r="464" spans="1:5">
      <c r="A464" s="37"/>
      <c r="B464" s="36"/>
      <c r="C464" s="37"/>
      <c r="D464" s="36"/>
      <c r="E464" s="37"/>
    </row>
    <row r="465" spans="1:5">
      <c r="A465" s="37"/>
      <c r="B465" s="36"/>
      <c r="C465" s="37"/>
      <c r="D465" s="36"/>
      <c r="E465" s="37"/>
    </row>
    <row r="466" spans="1:5">
      <c r="A466" s="37"/>
      <c r="B466" s="36"/>
      <c r="C466" s="37"/>
      <c r="D466" s="36"/>
      <c r="E466" s="37"/>
    </row>
    <row r="467" spans="1:5">
      <c r="A467" s="37"/>
      <c r="B467" s="36"/>
      <c r="C467" s="37"/>
      <c r="D467" s="36"/>
      <c r="E467" s="37"/>
    </row>
    <row r="468" spans="1:5">
      <c r="A468" s="37"/>
      <c r="B468" s="36"/>
      <c r="C468" s="37"/>
      <c r="D468" s="36"/>
      <c r="E468" s="37"/>
    </row>
    <row r="469" spans="1:5">
      <c r="A469" s="37"/>
      <c r="B469" s="36"/>
      <c r="C469" s="37"/>
      <c r="D469" s="36"/>
      <c r="E469" s="37"/>
    </row>
    <row r="470" spans="1:5">
      <c r="A470" s="37"/>
      <c r="B470" s="36"/>
      <c r="C470" s="37"/>
      <c r="D470" s="36"/>
      <c r="E470" s="37"/>
    </row>
    <row r="471" spans="1:5">
      <c r="A471" s="37"/>
      <c r="B471" s="36"/>
      <c r="C471" s="37"/>
      <c r="D471" s="36"/>
      <c r="E471" s="37"/>
    </row>
    <row r="472" spans="1:5">
      <c r="A472" s="37"/>
      <c r="B472" s="36"/>
      <c r="C472" s="37"/>
      <c r="D472" s="36"/>
      <c r="E472" s="37"/>
    </row>
    <row r="473" spans="1:5">
      <c r="A473" s="37"/>
      <c r="B473" s="36"/>
      <c r="C473" s="37"/>
      <c r="D473" s="36"/>
      <c r="E473" s="37"/>
    </row>
    <row r="474" spans="1:5">
      <c r="A474" s="37"/>
      <c r="B474" s="36"/>
      <c r="C474" s="37"/>
      <c r="D474" s="36"/>
      <c r="E474" s="37"/>
    </row>
    <row r="475" spans="1:5">
      <c r="A475" s="37"/>
      <c r="B475" s="36"/>
      <c r="C475" s="37"/>
      <c r="D475" s="36"/>
      <c r="E475" s="37"/>
    </row>
    <row r="476" spans="1:5">
      <c r="A476" s="37"/>
      <c r="B476" s="36"/>
      <c r="C476" s="37"/>
      <c r="D476" s="36"/>
      <c r="E476" s="37"/>
    </row>
    <row r="477" spans="1:5">
      <c r="A477" s="37"/>
      <c r="B477" s="36"/>
      <c r="C477" s="37"/>
      <c r="D477" s="36"/>
      <c r="E477" s="37"/>
    </row>
    <row r="478" spans="1:5">
      <c r="A478" s="37"/>
      <c r="B478" s="36"/>
      <c r="C478" s="37"/>
      <c r="D478" s="36"/>
      <c r="E478" s="37"/>
    </row>
    <row r="479" spans="1:5">
      <c r="A479" s="37"/>
      <c r="B479" s="36"/>
      <c r="C479" s="37"/>
      <c r="D479" s="36"/>
      <c r="E479" s="37"/>
    </row>
    <row r="480" spans="1:5">
      <c r="A480" s="37"/>
      <c r="B480" s="36"/>
      <c r="C480" s="37"/>
      <c r="D480" s="36"/>
      <c r="E480" s="37"/>
    </row>
    <row r="481" spans="1:5">
      <c r="A481" s="37"/>
      <c r="B481" s="36"/>
      <c r="C481" s="37"/>
      <c r="D481" s="36"/>
      <c r="E481" s="37"/>
    </row>
    <row r="482" spans="1:5">
      <c r="A482" s="37"/>
      <c r="B482" s="36"/>
      <c r="C482" s="37"/>
      <c r="D482" s="36"/>
      <c r="E482" s="37"/>
    </row>
    <row r="483" spans="1:5">
      <c r="A483" s="37"/>
      <c r="B483" s="36"/>
      <c r="C483" s="37"/>
      <c r="D483" s="36"/>
      <c r="E483" s="37"/>
    </row>
    <row r="484" spans="1:5">
      <c r="A484" s="37"/>
      <c r="B484" s="36"/>
      <c r="C484" s="37"/>
      <c r="D484" s="36"/>
      <c r="E484" s="37"/>
    </row>
    <row r="485" spans="1:5">
      <c r="A485" s="37"/>
      <c r="B485" s="36"/>
      <c r="C485" s="37"/>
      <c r="D485" s="36"/>
      <c r="E485" s="37"/>
    </row>
    <row r="486" spans="1:5">
      <c r="A486" s="37"/>
      <c r="B486" s="36"/>
      <c r="C486" s="37"/>
      <c r="D486" s="36"/>
      <c r="E486" s="37"/>
    </row>
    <row r="487" spans="1:5">
      <c r="A487" s="37"/>
      <c r="B487" s="36"/>
      <c r="C487" s="37"/>
      <c r="D487" s="36"/>
      <c r="E487" s="37"/>
    </row>
    <row r="488" spans="1:5">
      <c r="A488" s="37"/>
      <c r="B488" s="36"/>
      <c r="C488" s="37"/>
      <c r="D488" s="36"/>
      <c r="E488" s="37"/>
    </row>
    <row r="489" spans="1:5">
      <c r="A489" s="37"/>
      <c r="B489" s="36"/>
      <c r="C489" s="37"/>
      <c r="D489" s="36"/>
      <c r="E489" s="37"/>
    </row>
    <row r="490" spans="1:5">
      <c r="A490" s="37"/>
      <c r="B490" s="36"/>
      <c r="C490" s="37"/>
      <c r="D490" s="36"/>
      <c r="E490" s="37"/>
    </row>
    <row r="491" spans="1:5">
      <c r="A491" s="37"/>
      <c r="B491" s="36"/>
      <c r="C491" s="37"/>
      <c r="D491" s="36"/>
      <c r="E491" s="37"/>
    </row>
    <row r="492" spans="1:5">
      <c r="A492" s="37"/>
      <c r="B492" s="36"/>
      <c r="C492" s="37"/>
      <c r="D492" s="36"/>
      <c r="E492" s="37"/>
    </row>
    <row r="493" spans="1:5">
      <c r="A493" s="37"/>
      <c r="B493" s="36"/>
      <c r="C493" s="37"/>
      <c r="D493" s="36"/>
      <c r="E493" s="37"/>
    </row>
    <row r="494" spans="1:5">
      <c r="A494" s="37"/>
      <c r="B494" s="36"/>
      <c r="C494" s="37"/>
      <c r="D494" s="36"/>
      <c r="E494" s="37"/>
    </row>
    <row r="495" spans="1:5">
      <c r="A495" s="37"/>
      <c r="B495" s="36"/>
      <c r="C495" s="37"/>
      <c r="D495" s="36"/>
      <c r="E495" s="37"/>
    </row>
    <row r="496" spans="1:5">
      <c r="A496" s="37"/>
      <c r="B496" s="36"/>
      <c r="C496" s="37"/>
      <c r="D496" s="36"/>
      <c r="E496" s="37"/>
    </row>
    <row r="497" spans="1:5">
      <c r="A497" s="37"/>
      <c r="B497" s="36"/>
      <c r="C497" s="37"/>
      <c r="D497" s="36"/>
      <c r="E497" s="37"/>
    </row>
    <row r="498" spans="1:5">
      <c r="A498" s="37"/>
      <c r="B498" s="36"/>
      <c r="C498" s="37"/>
      <c r="D498" s="36"/>
      <c r="E498" s="37"/>
    </row>
    <row r="499" spans="1:5">
      <c r="A499" s="37"/>
      <c r="B499" s="36"/>
      <c r="C499" s="37"/>
      <c r="D499" s="36"/>
      <c r="E499" s="37"/>
    </row>
    <row r="500" spans="1:5">
      <c r="A500" s="37"/>
      <c r="B500" s="36"/>
      <c r="C500" s="37"/>
      <c r="D500" s="36"/>
      <c r="E500" s="37"/>
    </row>
    <row r="501" spans="1:5">
      <c r="A501" s="37"/>
      <c r="B501" s="36"/>
      <c r="C501" s="37"/>
      <c r="D501" s="36"/>
      <c r="E501" s="37"/>
    </row>
    <row r="502" spans="1:5">
      <c r="A502" s="37"/>
      <c r="B502" s="36"/>
      <c r="C502" s="37"/>
      <c r="D502" s="36"/>
      <c r="E502" s="37"/>
    </row>
    <row r="503" spans="1:5">
      <c r="A503" s="37"/>
      <c r="B503" s="36"/>
      <c r="C503" s="37"/>
      <c r="D503" s="36"/>
      <c r="E503" s="37"/>
    </row>
    <row r="504" spans="1:5">
      <c r="A504" s="37"/>
      <c r="B504" s="36"/>
      <c r="C504" s="37"/>
      <c r="D504" s="36"/>
      <c r="E504" s="37"/>
    </row>
    <row r="505" spans="1:5">
      <c r="A505" s="37"/>
      <c r="B505" s="36"/>
      <c r="C505" s="37"/>
      <c r="D505" s="36"/>
      <c r="E505" s="37"/>
    </row>
    <row r="506" spans="1:5">
      <c r="A506" s="37"/>
      <c r="B506" s="36"/>
      <c r="C506" s="37"/>
      <c r="D506" s="36"/>
      <c r="E506" s="37"/>
    </row>
    <row r="507" spans="1:5">
      <c r="A507" s="37"/>
      <c r="B507" s="36"/>
      <c r="C507" s="37"/>
      <c r="D507" s="36"/>
      <c r="E507" s="37"/>
    </row>
    <row r="508" spans="1:5">
      <c r="A508" s="37"/>
      <c r="B508" s="36"/>
      <c r="C508" s="37"/>
      <c r="D508" s="36"/>
      <c r="E508" s="37"/>
    </row>
    <row r="509" spans="1:5">
      <c r="A509" s="37"/>
      <c r="B509" s="36"/>
      <c r="C509" s="37"/>
      <c r="D509" s="36"/>
      <c r="E509" s="37"/>
    </row>
    <row r="510" spans="1:5">
      <c r="A510" s="37"/>
      <c r="B510" s="36"/>
      <c r="C510" s="37"/>
      <c r="D510" s="36"/>
      <c r="E510" s="37"/>
    </row>
    <row r="511" spans="1:5">
      <c r="A511" s="37"/>
      <c r="B511" s="36"/>
      <c r="C511" s="37"/>
      <c r="D511" s="36"/>
      <c r="E511" s="37"/>
    </row>
    <row r="512" spans="1:5">
      <c r="A512" s="37"/>
      <c r="B512" s="36"/>
      <c r="C512" s="37"/>
      <c r="D512" s="36"/>
      <c r="E512" s="37"/>
    </row>
    <row r="513" spans="1:5">
      <c r="A513" s="37"/>
      <c r="B513" s="36"/>
      <c r="C513" s="37"/>
      <c r="D513" s="36"/>
      <c r="E513" s="37"/>
    </row>
    <row r="514" spans="1:5">
      <c r="A514" s="37"/>
      <c r="B514" s="36"/>
      <c r="C514" s="37"/>
      <c r="D514" s="36"/>
      <c r="E514" s="37"/>
    </row>
    <row r="515" spans="1:5">
      <c r="A515" s="37"/>
      <c r="B515" s="36"/>
      <c r="C515" s="37"/>
      <c r="D515" s="36"/>
      <c r="E515" s="37"/>
    </row>
    <row r="516" spans="1:5">
      <c r="A516" s="37"/>
      <c r="B516" s="36"/>
      <c r="C516" s="37"/>
      <c r="D516" s="36"/>
      <c r="E516" s="37"/>
    </row>
    <row r="517" spans="1:5">
      <c r="A517" s="37"/>
      <c r="B517" s="36"/>
      <c r="C517" s="37"/>
      <c r="D517" s="36"/>
      <c r="E517" s="37"/>
    </row>
    <row r="518" spans="1:5">
      <c r="A518" s="37"/>
      <c r="B518" s="36"/>
      <c r="C518" s="37"/>
      <c r="D518" s="36"/>
      <c r="E518" s="37"/>
    </row>
    <row r="519" spans="1:5">
      <c r="A519" s="37"/>
      <c r="B519" s="36"/>
      <c r="C519" s="37"/>
      <c r="D519" s="36"/>
      <c r="E519" s="37"/>
    </row>
    <row r="520" spans="1:5">
      <c r="A520" s="37"/>
      <c r="B520" s="36"/>
      <c r="C520" s="37"/>
      <c r="D520" s="36"/>
      <c r="E520" s="37"/>
    </row>
    <row r="521" spans="1:5">
      <c r="A521" s="37"/>
      <c r="B521" s="36"/>
      <c r="C521" s="37"/>
      <c r="D521" s="36"/>
      <c r="E521" s="37"/>
    </row>
    <row r="522" spans="1:5">
      <c r="A522" s="37"/>
      <c r="B522" s="36"/>
      <c r="C522" s="37"/>
      <c r="D522" s="36"/>
      <c r="E522" s="37"/>
    </row>
    <row r="523" spans="1:5">
      <c r="A523" s="37"/>
      <c r="B523" s="36"/>
      <c r="C523" s="37"/>
      <c r="D523" s="36"/>
      <c r="E523" s="37"/>
    </row>
    <row r="524" spans="1:5">
      <c r="A524" s="37"/>
      <c r="B524" s="36"/>
      <c r="C524" s="37"/>
      <c r="D524" s="36"/>
      <c r="E524" s="37"/>
    </row>
    <row r="525" spans="1:5">
      <c r="A525" s="37"/>
      <c r="B525" s="36"/>
      <c r="C525" s="37"/>
      <c r="D525" s="36"/>
      <c r="E525" s="37"/>
    </row>
    <row r="526" spans="1:5">
      <c r="A526" s="37"/>
      <c r="B526" s="36"/>
      <c r="C526" s="37"/>
      <c r="D526" s="36"/>
      <c r="E526" s="37"/>
    </row>
    <row r="527" spans="1:5">
      <c r="A527" s="37"/>
      <c r="B527" s="36"/>
      <c r="C527" s="37"/>
      <c r="D527" s="36"/>
      <c r="E527" s="37"/>
    </row>
    <row r="528" spans="1:5">
      <c r="A528" s="37"/>
      <c r="B528" s="36"/>
      <c r="C528" s="37"/>
      <c r="D528" s="36"/>
      <c r="E528" s="37"/>
    </row>
    <row r="529" spans="1:5">
      <c r="A529" s="37"/>
      <c r="B529" s="36"/>
      <c r="C529" s="37"/>
      <c r="D529" s="36"/>
      <c r="E529" s="37"/>
    </row>
    <row r="530" spans="1:5">
      <c r="A530" s="37"/>
      <c r="B530" s="36"/>
      <c r="C530" s="37"/>
      <c r="D530" s="36"/>
      <c r="E530" s="37"/>
    </row>
    <row r="531" spans="1:5">
      <c r="A531" s="37"/>
      <c r="B531" s="36"/>
      <c r="C531" s="37"/>
      <c r="D531" s="36"/>
      <c r="E531" s="37"/>
    </row>
    <row r="532" spans="1:5">
      <c r="A532" s="37"/>
      <c r="B532" s="36"/>
      <c r="C532" s="37"/>
      <c r="D532" s="36"/>
      <c r="E532" s="37"/>
    </row>
    <row r="533" spans="1:5">
      <c r="A533" s="37"/>
      <c r="B533" s="36"/>
      <c r="C533" s="37"/>
      <c r="D533" s="36"/>
      <c r="E533" s="37"/>
    </row>
    <row r="534" spans="1:5">
      <c r="A534" s="37"/>
      <c r="B534" s="36"/>
      <c r="C534" s="37"/>
      <c r="D534" s="36"/>
      <c r="E534" s="37"/>
    </row>
    <row r="535" spans="1:5">
      <c r="A535" s="37"/>
      <c r="B535" s="36"/>
      <c r="C535" s="37"/>
      <c r="D535" s="36"/>
      <c r="E535" s="37"/>
    </row>
    <row r="536" spans="1:5">
      <c r="A536" s="37"/>
      <c r="B536" s="36"/>
      <c r="C536" s="37"/>
      <c r="D536" s="36"/>
      <c r="E536" s="37"/>
    </row>
    <row r="537" spans="1:5">
      <c r="A537" s="37"/>
      <c r="B537" s="36"/>
      <c r="C537" s="37"/>
      <c r="D537" s="36"/>
      <c r="E537" s="37"/>
    </row>
    <row r="538" spans="1:5">
      <c r="A538" s="37"/>
      <c r="B538" s="36"/>
      <c r="C538" s="37"/>
      <c r="D538" s="36"/>
      <c r="E538" s="37"/>
    </row>
    <row r="539" spans="1:5">
      <c r="A539" s="37"/>
      <c r="B539" s="36"/>
      <c r="C539" s="37"/>
      <c r="D539" s="36"/>
      <c r="E539" s="37"/>
    </row>
    <row r="540" spans="1:5">
      <c r="A540" s="37"/>
      <c r="B540" s="36"/>
      <c r="C540" s="37"/>
      <c r="D540" s="36"/>
      <c r="E540" s="37"/>
    </row>
    <row r="541" spans="1:5">
      <c r="A541" s="37"/>
      <c r="B541" s="36"/>
      <c r="C541" s="37"/>
      <c r="D541" s="36"/>
      <c r="E541" s="37"/>
    </row>
    <row r="542" spans="1:5">
      <c r="A542" s="37"/>
      <c r="B542" s="36"/>
      <c r="C542" s="37"/>
      <c r="D542" s="36"/>
      <c r="E542" s="37"/>
    </row>
    <row r="543" spans="1:5">
      <c r="A543" s="37"/>
      <c r="B543" s="36"/>
      <c r="C543" s="37"/>
      <c r="D543" s="36"/>
      <c r="E543" s="37"/>
    </row>
    <row r="544" spans="1:5">
      <c r="A544" s="37"/>
      <c r="B544" s="36"/>
      <c r="C544" s="37"/>
      <c r="D544" s="36"/>
      <c r="E544" s="37"/>
    </row>
    <row r="545" spans="1:5">
      <c r="A545" s="37"/>
      <c r="B545" s="36"/>
      <c r="C545" s="37"/>
      <c r="D545" s="36"/>
      <c r="E545" s="37"/>
    </row>
    <row r="546" spans="1:5">
      <c r="A546" s="37"/>
      <c r="B546" s="36"/>
      <c r="C546" s="37"/>
      <c r="D546" s="36"/>
      <c r="E546" s="37"/>
    </row>
    <row r="547" spans="1:5">
      <c r="A547" s="37"/>
      <c r="B547" s="36"/>
      <c r="C547" s="37"/>
      <c r="D547" s="36"/>
      <c r="E547" s="37"/>
    </row>
    <row r="548" spans="1:5">
      <c r="A548" s="37"/>
      <c r="B548" s="36"/>
      <c r="C548" s="37"/>
      <c r="D548" s="36"/>
      <c r="E548" s="37"/>
    </row>
    <row r="549" spans="1:5">
      <c r="A549" s="37"/>
      <c r="B549" s="36"/>
      <c r="C549" s="37"/>
      <c r="D549" s="36"/>
      <c r="E549" s="37"/>
    </row>
    <row r="550" spans="1:5">
      <c r="A550" s="37"/>
      <c r="B550" s="36"/>
      <c r="C550" s="37"/>
      <c r="D550" s="36"/>
      <c r="E550" s="37"/>
    </row>
    <row r="551" spans="1:5">
      <c r="A551" s="37"/>
      <c r="B551" s="36"/>
      <c r="C551" s="37"/>
      <c r="D551" s="36"/>
      <c r="E551" s="37"/>
    </row>
    <row r="552" spans="1:5">
      <c r="A552" s="37"/>
      <c r="B552" s="36"/>
      <c r="C552" s="37"/>
      <c r="D552" s="36"/>
      <c r="E552" s="37"/>
    </row>
    <row r="553" spans="1:5">
      <c r="A553" s="37"/>
      <c r="B553" s="36"/>
      <c r="C553" s="37"/>
      <c r="D553" s="36"/>
      <c r="E553" s="37"/>
    </row>
    <row r="554" spans="1:5">
      <c r="A554" s="37"/>
      <c r="B554" s="36"/>
      <c r="C554" s="37"/>
      <c r="D554" s="36"/>
      <c r="E554" s="37"/>
    </row>
    <row r="555" spans="1:5">
      <c r="A555" s="37"/>
      <c r="B555" s="36"/>
      <c r="C555" s="37"/>
      <c r="D555" s="36"/>
      <c r="E555" s="37"/>
    </row>
    <row r="556" spans="1:5">
      <c r="A556" s="37"/>
      <c r="B556" s="36"/>
      <c r="C556" s="37"/>
      <c r="D556" s="36"/>
      <c r="E556" s="37"/>
    </row>
    <row r="557" spans="1:5">
      <c r="A557" s="37"/>
      <c r="B557" s="36"/>
      <c r="C557" s="37"/>
      <c r="D557" s="36"/>
      <c r="E557" s="37"/>
    </row>
    <row r="558" spans="1:5">
      <c r="A558" s="37"/>
      <c r="B558" s="36"/>
      <c r="C558" s="37"/>
      <c r="D558" s="36"/>
      <c r="E558" s="37"/>
    </row>
    <row r="559" spans="1:5">
      <c r="A559" s="37"/>
      <c r="B559" s="36"/>
      <c r="C559" s="37"/>
      <c r="D559" s="36"/>
      <c r="E559" s="37"/>
    </row>
    <row r="560" spans="1:5">
      <c r="A560" s="37"/>
      <c r="B560" s="36"/>
      <c r="C560" s="37"/>
      <c r="D560" s="36"/>
      <c r="E560" s="37"/>
    </row>
    <row r="561" spans="1:5">
      <c r="A561" s="37"/>
      <c r="B561" s="36"/>
      <c r="C561" s="37"/>
      <c r="D561" s="36"/>
      <c r="E561" s="37"/>
    </row>
    <row r="562" spans="1:5">
      <c r="A562" s="37"/>
      <c r="B562" s="36"/>
      <c r="C562" s="37"/>
      <c r="D562" s="36"/>
      <c r="E562" s="37"/>
    </row>
    <row r="563" spans="1:5">
      <c r="A563" s="37"/>
      <c r="B563" s="36"/>
      <c r="C563" s="37"/>
      <c r="D563" s="36"/>
      <c r="E563" s="37"/>
    </row>
    <row r="564" spans="1:5">
      <c r="A564" s="37"/>
      <c r="B564" s="36"/>
      <c r="C564" s="37"/>
      <c r="D564" s="36"/>
      <c r="E564" s="37"/>
    </row>
    <row r="565" spans="1:5">
      <c r="A565" s="37"/>
      <c r="B565" s="36"/>
      <c r="C565" s="37"/>
      <c r="D565" s="36"/>
      <c r="E565" s="37"/>
    </row>
    <row r="566" spans="1:5">
      <c r="A566" s="37"/>
      <c r="B566" s="36"/>
      <c r="C566" s="37"/>
      <c r="D566" s="36"/>
      <c r="E566" s="37"/>
    </row>
    <row r="567" spans="1:5">
      <c r="A567" s="37"/>
      <c r="B567" s="36"/>
      <c r="C567" s="37"/>
      <c r="D567" s="36"/>
      <c r="E567" s="37"/>
    </row>
    <row r="568" spans="1:5">
      <c r="A568" s="37"/>
      <c r="B568" s="36"/>
      <c r="C568" s="37"/>
      <c r="D568" s="36"/>
      <c r="E568" s="37"/>
    </row>
    <row r="569" spans="1:5">
      <c r="A569" s="37"/>
      <c r="B569" s="36"/>
      <c r="C569" s="37"/>
      <c r="D569" s="36"/>
      <c r="E569" s="37"/>
    </row>
    <row r="570" spans="1:5">
      <c r="A570" s="37"/>
      <c r="B570" s="36"/>
      <c r="C570" s="37"/>
      <c r="D570" s="36"/>
      <c r="E570" s="37"/>
    </row>
    <row r="571" spans="1:5">
      <c r="A571" s="37"/>
      <c r="B571" s="36"/>
      <c r="C571" s="37"/>
      <c r="D571" s="36"/>
      <c r="E571" s="37"/>
    </row>
    <row r="572" spans="1:5">
      <c r="A572" s="37"/>
      <c r="B572" s="36"/>
      <c r="C572" s="37"/>
      <c r="D572" s="36"/>
      <c r="E572" s="37"/>
    </row>
    <row r="573" spans="1:5">
      <c r="A573" s="37"/>
      <c r="B573" s="36"/>
      <c r="C573" s="37"/>
      <c r="D573" s="36"/>
      <c r="E573" s="37"/>
    </row>
    <row r="574" spans="1:5">
      <c r="A574" s="37"/>
      <c r="B574" s="36"/>
      <c r="C574" s="37"/>
      <c r="D574" s="36"/>
      <c r="E574" s="37"/>
    </row>
    <row r="575" spans="1:5">
      <c r="A575" s="37"/>
      <c r="B575" s="36"/>
      <c r="C575" s="37"/>
      <c r="D575" s="36"/>
      <c r="E575" s="37"/>
    </row>
    <row r="576" spans="1:5">
      <c r="A576" s="37"/>
      <c r="B576" s="36"/>
      <c r="C576" s="37"/>
      <c r="D576" s="36"/>
      <c r="E576" s="37"/>
    </row>
    <row r="577" spans="1:5">
      <c r="A577" s="37"/>
      <c r="B577" s="36"/>
      <c r="C577" s="37"/>
      <c r="D577" s="36"/>
      <c r="E577" s="37"/>
    </row>
    <row r="578" spans="1:5">
      <c r="A578" s="37"/>
      <c r="B578" s="36"/>
      <c r="C578" s="37"/>
      <c r="D578" s="36"/>
      <c r="E578" s="37"/>
    </row>
    <row r="579" spans="1:5">
      <c r="A579" s="37"/>
      <c r="B579" s="36"/>
      <c r="C579" s="37"/>
      <c r="D579" s="36"/>
      <c r="E579" s="37"/>
    </row>
    <row r="580" spans="1:5">
      <c r="A580" s="37"/>
      <c r="B580" s="36"/>
      <c r="C580" s="37"/>
      <c r="D580" s="36"/>
      <c r="E580" s="37"/>
    </row>
    <row r="581" spans="1:5">
      <c r="A581" s="37"/>
      <c r="B581" s="36"/>
      <c r="C581" s="37"/>
      <c r="D581" s="36"/>
      <c r="E581" s="37"/>
    </row>
    <row r="582" spans="1:5">
      <c r="A582" s="37"/>
      <c r="B582" s="36"/>
      <c r="C582" s="37"/>
      <c r="D582" s="36"/>
      <c r="E582" s="37"/>
    </row>
    <row r="583" spans="1:5">
      <c r="A583" s="37"/>
      <c r="B583" s="36"/>
      <c r="C583" s="37"/>
      <c r="D583" s="36"/>
      <c r="E583" s="37"/>
    </row>
    <row r="584" spans="1:5">
      <c r="A584" s="37"/>
      <c r="B584" s="36"/>
      <c r="C584" s="37"/>
      <c r="D584" s="36"/>
      <c r="E584" s="37"/>
    </row>
    <row r="585" spans="1:5">
      <c r="A585" s="37"/>
      <c r="B585" s="36"/>
      <c r="C585" s="37"/>
      <c r="D585" s="36"/>
      <c r="E585" s="37"/>
    </row>
    <row r="586" spans="1:5">
      <c r="A586" s="37"/>
      <c r="B586" s="36"/>
      <c r="C586" s="37"/>
      <c r="D586" s="36"/>
      <c r="E586" s="37"/>
    </row>
    <row r="587" spans="1:5">
      <c r="A587" s="37"/>
      <c r="B587" s="36"/>
      <c r="C587" s="37"/>
      <c r="D587" s="36"/>
      <c r="E587" s="37"/>
    </row>
    <row r="588" spans="1:5">
      <c r="A588" s="37"/>
      <c r="B588" s="36"/>
      <c r="C588" s="37"/>
      <c r="D588" s="36"/>
      <c r="E588" s="37"/>
    </row>
    <row r="589" spans="1:5">
      <c r="A589" s="37"/>
      <c r="B589" s="36"/>
      <c r="C589" s="37"/>
      <c r="D589" s="36"/>
      <c r="E589" s="37"/>
    </row>
    <row r="590" spans="1:5">
      <c r="A590" s="37"/>
      <c r="B590" s="36"/>
      <c r="C590" s="37"/>
      <c r="D590" s="36"/>
      <c r="E590" s="37"/>
    </row>
    <row r="591" spans="1:5">
      <c r="A591" s="37"/>
      <c r="B591" s="36"/>
      <c r="C591" s="37"/>
      <c r="D591" s="36"/>
      <c r="E591" s="37"/>
    </row>
    <row r="592" spans="1:5">
      <c r="A592" s="37"/>
      <c r="B592" s="36"/>
      <c r="C592" s="37"/>
      <c r="D592" s="36"/>
      <c r="E592" s="37"/>
    </row>
    <row r="593" spans="1:5">
      <c r="A593" s="37"/>
      <c r="B593" s="36"/>
      <c r="C593" s="37"/>
      <c r="D593" s="36"/>
      <c r="E593" s="37"/>
    </row>
    <row r="594" spans="1:5">
      <c r="A594" s="37"/>
      <c r="B594" s="36"/>
      <c r="C594" s="37"/>
      <c r="D594" s="36"/>
      <c r="E594" s="37"/>
    </row>
    <row r="595" spans="1:5">
      <c r="A595" s="37"/>
      <c r="B595" s="36"/>
      <c r="C595" s="37"/>
      <c r="D595" s="36"/>
      <c r="E595" s="37"/>
    </row>
    <row r="596" spans="1:5">
      <c r="A596" s="37"/>
      <c r="B596" s="36"/>
      <c r="C596" s="37"/>
      <c r="D596" s="36"/>
      <c r="E596" s="37"/>
    </row>
    <row r="597" spans="1:5">
      <c r="A597" s="37"/>
      <c r="B597" s="36"/>
      <c r="C597" s="37"/>
      <c r="D597" s="36"/>
      <c r="E597" s="37"/>
    </row>
    <row r="598" spans="1:5">
      <c r="A598" s="37"/>
      <c r="B598" s="36"/>
      <c r="C598" s="37"/>
      <c r="D598" s="36"/>
      <c r="E598" s="37"/>
    </row>
    <row r="599" spans="1:5">
      <c r="A599" s="37"/>
      <c r="B599" s="36"/>
      <c r="C599" s="37"/>
      <c r="D599" s="36"/>
      <c r="E599" s="37"/>
    </row>
    <row r="600" spans="1:5">
      <c r="A600" s="37"/>
      <c r="B600" s="36"/>
      <c r="C600" s="37"/>
      <c r="D600" s="36"/>
      <c r="E600" s="37"/>
    </row>
    <row r="601" spans="1:5">
      <c r="A601" s="37"/>
      <c r="B601" s="36"/>
      <c r="C601" s="37"/>
      <c r="D601" s="36"/>
      <c r="E601" s="37"/>
    </row>
    <row r="602" spans="1:5">
      <c r="A602" s="37"/>
      <c r="B602" s="36"/>
      <c r="C602" s="37"/>
      <c r="D602" s="36"/>
      <c r="E602" s="37"/>
    </row>
    <row r="603" spans="1:5">
      <c r="A603" s="37"/>
      <c r="B603" s="36"/>
      <c r="C603" s="37"/>
      <c r="D603" s="36"/>
      <c r="E603" s="37"/>
    </row>
    <row r="604" spans="1:5">
      <c r="A604" s="37"/>
      <c r="B604" s="36"/>
      <c r="C604" s="37"/>
      <c r="D604" s="36"/>
      <c r="E604" s="37"/>
    </row>
    <row r="605" spans="1:5">
      <c r="A605" s="37"/>
      <c r="B605" s="36"/>
      <c r="C605" s="37"/>
      <c r="D605" s="36"/>
      <c r="E605" s="37"/>
    </row>
    <row r="606" spans="1:5">
      <c r="A606" s="37"/>
      <c r="B606" s="36"/>
      <c r="C606" s="37"/>
      <c r="D606" s="36"/>
      <c r="E606" s="37"/>
    </row>
    <row r="607" spans="1:5">
      <c r="A607" s="37"/>
      <c r="B607" s="36"/>
      <c r="C607" s="37"/>
      <c r="D607" s="36"/>
      <c r="E607" s="37"/>
    </row>
    <row r="608" spans="1:5">
      <c r="A608" s="37"/>
      <c r="B608" s="36"/>
      <c r="C608" s="37"/>
      <c r="D608" s="36"/>
      <c r="E608" s="37"/>
    </row>
    <row r="609" spans="1:5">
      <c r="A609" s="37"/>
      <c r="B609" s="36"/>
      <c r="C609" s="37"/>
      <c r="D609" s="36"/>
      <c r="E609" s="37"/>
    </row>
    <row r="610" spans="1:5">
      <c r="A610" s="37"/>
      <c r="B610" s="36"/>
      <c r="C610" s="37"/>
      <c r="D610" s="36"/>
      <c r="E610" s="37"/>
    </row>
    <row r="611" spans="1:5">
      <c r="A611" s="37"/>
      <c r="B611" s="36"/>
      <c r="C611" s="37"/>
      <c r="D611" s="36"/>
      <c r="E611" s="37"/>
    </row>
    <row r="612" spans="1:5">
      <c r="A612" s="37"/>
      <c r="B612" s="36"/>
      <c r="C612" s="37"/>
      <c r="D612" s="36"/>
      <c r="E612" s="37"/>
    </row>
    <row r="613" spans="1:5">
      <c r="A613" s="37"/>
      <c r="B613" s="36"/>
      <c r="C613" s="37"/>
      <c r="D613" s="36"/>
      <c r="E613" s="37"/>
    </row>
    <row r="614" spans="1:5">
      <c r="A614" s="37"/>
      <c r="B614" s="36"/>
      <c r="C614" s="37"/>
      <c r="D614" s="36"/>
      <c r="E614" s="37"/>
    </row>
    <row r="615" spans="1:5">
      <c r="A615" s="37"/>
      <c r="B615" s="36"/>
      <c r="C615" s="37"/>
      <c r="D615" s="36"/>
      <c r="E615" s="37"/>
    </row>
    <row r="616" spans="1:5">
      <c r="A616" s="37"/>
      <c r="B616" s="36"/>
      <c r="C616" s="37"/>
      <c r="D616" s="36"/>
      <c r="E616" s="37"/>
    </row>
    <row r="617" spans="1:5">
      <c r="A617" s="37"/>
      <c r="B617" s="36"/>
      <c r="C617" s="37"/>
      <c r="D617" s="36"/>
      <c r="E617" s="37"/>
    </row>
    <row r="618" spans="1:5">
      <c r="A618" s="37"/>
      <c r="B618" s="36"/>
      <c r="C618" s="37"/>
      <c r="D618" s="36"/>
      <c r="E618" s="37"/>
    </row>
    <row r="619" spans="1:5">
      <c r="A619" s="37"/>
      <c r="B619" s="36"/>
      <c r="C619" s="37"/>
      <c r="D619" s="36"/>
      <c r="E619" s="37"/>
    </row>
    <row r="620" spans="1:5">
      <c r="A620" s="37"/>
      <c r="B620" s="36"/>
      <c r="C620" s="37"/>
      <c r="D620" s="36"/>
      <c r="E620" s="37"/>
    </row>
    <row r="621" spans="1:5">
      <c r="A621" s="37"/>
      <c r="B621" s="36"/>
      <c r="C621" s="37"/>
      <c r="D621" s="36"/>
      <c r="E621" s="37"/>
    </row>
    <row r="622" spans="1:5">
      <c r="A622" s="37"/>
      <c r="B622" s="36"/>
      <c r="C622" s="37"/>
      <c r="D622" s="36"/>
      <c r="E622" s="37"/>
    </row>
    <row r="623" spans="1:5">
      <c r="A623" s="37"/>
      <c r="B623" s="36"/>
      <c r="C623" s="37"/>
      <c r="D623" s="36"/>
      <c r="E623" s="37"/>
    </row>
    <row r="624" spans="1:5">
      <c r="A624" s="37"/>
      <c r="B624" s="36"/>
      <c r="C624" s="37"/>
      <c r="D624" s="36"/>
      <c r="E624" s="37"/>
    </row>
    <row r="625" spans="1:5">
      <c r="A625" s="37"/>
      <c r="B625" s="36"/>
      <c r="C625" s="37"/>
      <c r="D625" s="36"/>
      <c r="E625" s="37"/>
    </row>
    <row r="626" spans="1:5">
      <c r="A626" s="37"/>
      <c r="B626" s="36"/>
      <c r="C626" s="37"/>
      <c r="D626" s="36"/>
      <c r="E626" s="37"/>
    </row>
    <row r="627" spans="1:5">
      <c r="A627" s="37"/>
      <c r="B627" s="36"/>
      <c r="C627" s="37"/>
      <c r="D627" s="36"/>
      <c r="E627" s="37"/>
    </row>
    <row r="628" spans="1:5">
      <c r="A628" s="37"/>
      <c r="B628" s="36"/>
      <c r="C628" s="37"/>
      <c r="D628" s="36"/>
      <c r="E628" s="37"/>
    </row>
    <row r="629" spans="1:5">
      <c r="A629" s="37"/>
      <c r="B629" s="36"/>
      <c r="C629" s="37"/>
      <c r="D629" s="36"/>
      <c r="E629" s="37"/>
    </row>
    <row r="630" spans="1:5">
      <c r="A630" s="37"/>
      <c r="B630" s="36"/>
      <c r="C630" s="37"/>
      <c r="D630" s="36"/>
      <c r="E630" s="37"/>
    </row>
    <row r="631" spans="1:5">
      <c r="A631" s="37"/>
      <c r="B631" s="36"/>
      <c r="C631" s="37"/>
      <c r="D631" s="36"/>
      <c r="E631" s="37"/>
    </row>
    <row r="632" spans="1:5">
      <c r="A632" s="37"/>
      <c r="B632" s="36"/>
      <c r="C632" s="37"/>
      <c r="D632" s="36"/>
      <c r="E632" s="37"/>
    </row>
    <row r="633" spans="1:5">
      <c r="A633" s="37"/>
      <c r="B633" s="36"/>
      <c r="C633" s="37"/>
      <c r="D633" s="36"/>
      <c r="E633" s="37"/>
    </row>
    <row r="634" spans="1:5">
      <c r="A634" s="37"/>
      <c r="B634" s="36"/>
      <c r="C634" s="37"/>
      <c r="D634" s="36"/>
      <c r="E634" s="37"/>
    </row>
    <row r="635" spans="1:5">
      <c r="A635" s="37"/>
      <c r="B635" s="36"/>
      <c r="C635" s="37"/>
      <c r="D635" s="36"/>
      <c r="E635" s="37"/>
    </row>
    <row r="636" spans="1:5">
      <c r="A636" s="37"/>
      <c r="B636" s="36"/>
      <c r="C636" s="37"/>
      <c r="D636" s="36"/>
      <c r="E636" s="37"/>
    </row>
    <row r="637" spans="1:5">
      <c r="A637" s="37"/>
      <c r="B637" s="36"/>
      <c r="C637" s="37"/>
      <c r="D637" s="36"/>
      <c r="E637" s="37"/>
    </row>
    <row r="638" spans="1:5">
      <c r="A638" s="37"/>
      <c r="B638" s="36"/>
      <c r="C638" s="37"/>
      <c r="D638" s="36"/>
      <c r="E638" s="37"/>
    </row>
    <row r="639" spans="1:5">
      <c r="A639" s="37"/>
      <c r="B639" s="36"/>
      <c r="C639" s="37"/>
      <c r="D639" s="36"/>
      <c r="E639" s="37"/>
    </row>
    <row r="640" spans="1:5">
      <c r="A640" s="37"/>
      <c r="B640" s="36"/>
      <c r="C640" s="37"/>
      <c r="D640" s="36"/>
      <c r="E640" s="37"/>
    </row>
    <row r="641" spans="1:5">
      <c r="A641" s="37"/>
      <c r="B641" s="36"/>
      <c r="C641" s="37"/>
      <c r="D641" s="36"/>
      <c r="E641" s="37"/>
    </row>
    <row r="642" spans="1:5">
      <c r="A642" s="37"/>
      <c r="B642" s="36"/>
      <c r="C642" s="37"/>
      <c r="D642" s="36"/>
      <c r="E642" s="37"/>
    </row>
    <row r="643" spans="1:5">
      <c r="A643" s="37"/>
      <c r="B643" s="36"/>
      <c r="C643" s="37"/>
      <c r="D643" s="36"/>
      <c r="E643" s="37"/>
    </row>
    <row r="644" spans="1:5">
      <c r="A644" s="37"/>
      <c r="B644" s="36"/>
      <c r="C644" s="37"/>
      <c r="D644" s="36"/>
      <c r="E644" s="37"/>
    </row>
    <row r="645" spans="1:5">
      <c r="A645" s="37"/>
      <c r="B645" s="36"/>
      <c r="C645" s="37"/>
      <c r="D645" s="36"/>
      <c r="E645" s="37"/>
    </row>
    <row r="646" spans="1:5">
      <c r="A646" s="37"/>
      <c r="B646" s="36"/>
      <c r="C646" s="37"/>
      <c r="D646" s="36"/>
      <c r="E646" s="37"/>
    </row>
    <row r="647" spans="1:5">
      <c r="A647" s="37"/>
      <c r="B647" s="36"/>
      <c r="C647" s="37"/>
      <c r="D647" s="36"/>
      <c r="E647" s="37"/>
    </row>
    <row r="648" spans="1:5">
      <c r="A648" s="37"/>
      <c r="B648" s="36"/>
      <c r="C648" s="37"/>
      <c r="D648" s="36"/>
      <c r="E648" s="37"/>
    </row>
    <row r="649" spans="1:5">
      <c r="A649" s="37"/>
      <c r="B649" s="36"/>
      <c r="C649" s="37"/>
      <c r="D649" s="36"/>
      <c r="E649" s="37"/>
    </row>
    <row r="650" spans="1:5">
      <c r="A650" s="37"/>
      <c r="B650" s="36"/>
      <c r="C650" s="37"/>
      <c r="D650" s="36"/>
      <c r="E650" s="37"/>
    </row>
    <row r="651" spans="1:5">
      <c r="A651" s="37"/>
      <c r="B651" s="36"/>
      <c r="C651" s="37"/>
      <c r="D651" s="36"/>
      <c r="E651" s="37"/>
    </row>
    <row r="652" spans="1:5">
      <c r="A652" s="37"/>
      <c r="B652" s="36"/>
      <c r="C652" s="37"/>
      <c r="D652" s="36"/>
      <c r="E652" s="37"/>
    </row>
    <row r="653" spans="1:5">
      <c r="A653" s="37"/>
      <c r="B653" s="36"/>
      <c r="C653" s="37"/>
      <c r="D653" s="36"/>
      <c r="E653" s="37"/>
    </row>
    <row r="654" spans="1:5">
      <c r="A654" s="37"/>
      <c r="B654" s="36"/>
      <c r="C654" s="37"/>
      <c r="D654" s="36"/>
      <c r="E654" s="37"/>
    </row>
    <row r="655" spans="1:5">
      <c r="A655" s="37"/>
      <c r="B655" s="36"/>
      <c r="C655" s="37"/>
      <c r="D655" s="36"/>
      <c r="E655" s="37"/>
    </row>
    <row r="656" spans="1:5">
      <c r="A656" s="37"/>
      <c r="B656" s="36"/>
      <c r="C656" s="37"/>
      <c r="D656" s="36"/>
      <c r="E656" s="37"/>
    </row>
    <row r="657" spans="1:5">
      <c r="A657" s="37"/>
      <c r="B657" s="36"/>
      <c r="C657" s="37"/>
      <c r="D657" s="36"/>
      <c r="E657" s="37"/>
    </row>
    <row r="658" spans="1:5">
      <c r="A658" s="37"/>
      <c r="B658" s="36"/>
      <c r="C658" s="37"/>
      <c r="D658" s="36"/>
      <c r="E658" s="37"/>
    </row>
    <row r="659" spans="1:5">
      <c r="A659" s="37"/>
      <c r="B659" s="36"/>
      <c r="C659" s="37"/>
      <c r="D659" s="36"/>
      <c r="E659" s="37"/>
    </row>
    <row r="660" spans="1:5">
      <c r="A660" s="37"/>
      <c r="B660" s="36"/>
      <c r="C660" s="37"/>
      <c r="D660" s="36"/>
      <c r="E660" s="37"/>
    </row>
    <row r="661" spans="1:5">
      <c r="A661" s="37"/>
      <c r="B661" s="36"/>
      <c r="C661" s="37"/>
      <c r="D661" s="36"/>
      <c r="E661" s="37"/>
    </row>
    <row r="662" spans="1:5">
      <c r="A662" s="37"/>
      <c r="B662" s="36"/>
      <c r="C662" s="37"/>
      <c r="D662" s="36"/>
      <c r="E662" s="37"/>
    </row>
    <row r="663" spans="1:5">
      <c r="A663" s="37"/>
      <c r="B663" s="36"/>
      <c r="C663" s="37"/>
      <c r="D663" s="36"/>
      <c r="E663" s="37"/>
    </row>
    <row r="664" spans="1:5">
      <c r="A664" s="37"/>
      <c r="B664" s="36"/>
      <c r="C664" s="37"/>
      <c r="D664" s="36"/>
      <c r="E664" s="37"/>
    </row>
    <row r="665" spans="1:5">
      <c r="A665" s="37"/>
      <c r="B665" s="36"/>
      <c r="C665" s="37"/>
      <c r="D665" s="36"/>
      <c r="E665" s="37"/>
    </row>
    <row r="666" spans="1:5">
      <c r="A666" s="37"/>
      <c r="B666" s="36"/>
      <c r="C666" s="37"/>
      <c r="D666" s="36"/>
      <c r="E666" s="37"/>
    </row>
    <row r="667" spans="1:5">
      <c r="A667" s="37"/>
      <c r="B667" s="36"/>
      <c r="C667" s="37"/>
      <c r="D667" s="36"/>
      <c r="E667" s="37"/>
    </row>
    <row r="668" spans="1:5">
      <c r="A668" s="37"/>
      <c r="B668" s="36"/>
      <c r="C668" s="37"/>
      <c r="D668" s="36"/>
      <c r="E668" s="37"/>
    </row>
    <row r="669" spans="1:5">
      <c r="A669" s="37"/>
      <c r="B669" s="36"/>
      <c r="C669" s="37"/>
      <c r="D669" s="36"/>
      <c r="E669" s="37"/>
    </row>
    <row r="670" spans="1:5">
      <c r="A670" s="37"/>
      <c r="B670" s="36"/>
      <c r="C670" s="37"/>
      <c r="D670" s="36"/>
      <c r="E670" s="37"/>
    </row>
    <row r="671" spans="1:5">
      <c r="A671" s="37"/>
      <c r="B671" s="36"/>
      <c r="C671" s="37"/>
      <c r="D671" s="36"/>
      <c r="E671" s="37"/>
    </row>
    <row r="672" spans="1:5">
      <c r="A672" s="37"/>
      <c r="B672" s="36"/>
      <c r="C672" s="37"/>
      <c r="D672" s="36"/>
      <c r="E672" s="37"/>
    </row>
    <row r="673" spans="1:5">
      <c r="A673" s="37"/>
      <c r="B673" s="36"/>
      <c r="C673" s="37"/>
      <c r="D673" s="36"/>
      <c r="E673" s="37"/>
    </row>
    <row r="674" spans="1:5">
      <c r="A674" s="37"/>
      <c r="B674" s="36"/>
      <c r="C674" s="37"/>
      <c r="D674" s="36"/>
      <c r="E674" s="37"/>
    </row>
    <row r="675" spans="1:5">
      <c r="A675" s="37"/>
      <c r="B675" s="36"/>
      <c r="C675" s="37"/>
      <c r="D675" s="36"/>
      <c r="E675" s="37"/>
    </row>
    <row r="676" spans="1:5">
      <c r="A676" s="37"/>
      <c r="B676" s="36"/>
      <c r="C676" s="37"/>
      <c r="D676" s="36"/>
      <c r="E676" s="37"/>
    </row>
    <row r="677" spans="1:5">
      <c r="A677" s="37"/>
      <c r="B677" s="36"/>
      <c r="C677" s="37"/>
      <c r="D677" s="36"/>
      <c r="E677" s="37"/>
    </row>
    <row r="678" spans="1:5">
      <c r="A678" s="37"/>
      <c r="B678" s="36"/>
      <c r="C678" s="37"/>
      <c r="D678" s="36"/>
      <c r="E678" s="37"/>
    </row>
    <row r="679" spans="1:5">
      <c r="A679" s="37"/>
      <c r="B679" s="36"/>
      <c r="C679" s="37"/>
      <c r="D679" s="36"/>
      <c r="E679" s="37"/>
    </row>
    <row r="680" spans="1:5">
      <c r="A680" s="37"/>
      <c r="B680" s="36"/>
      <c r="C680" s="37"/>
      <c r="D680" s="36"/>
      <c r="E680" s="37"/>
    </row>
    <row r="681" spans="1:5">
      <c r="A681" s="37"/>
      <c r="B681" s="36"/>
      <c r="C681" s="37"/>
      <c r="D681" s="36"/>
      <c r="E681" s="37"/>
    </row>
    <row r="682" spans="1:5">
      <c r="A682" s="37"/>
      <c r="B682" s="36"/>
      <c r="C682" s="37"/>
      <c r="D682" s="36"/>
      <c r="E682" s="37"/>
    </row>
    <row r="683" spans="1:5">
      <c r="A683" s="37"/>
      <c r="B683" s="36"/>
      <c r="C683" s="37"/>
      <c r="D683" s="36"/>
      <c r="E683" s="37"/>
    </row>
    <row r="684" spans="1:5">
      <c r="A684" s="37"/>
      <c r="B684" s="36"/>
      <c r="C684" s="37"/>
      <c r="D684" s="36"/>
      <c r="E684" s="37"/>
    </row>
    <row r="685" spans="1:5">
      <c r="A685" s="37"/>
      <c r="B685" s="36"/>
      <c r="C685" s="37"/>
      <c r="D685" s="36"/>
      <c r="E685" s="37"/>
    </row>
    <row r="686" spans="1:5">
      <c r="A686" s="37"/>
      <c r="B686" s="36"/>
      <c r="C686" s="37"/>
      <c r="D686" s="36"/>
      <c r="E686" s="37"/>
    </row>
    <row r="687" spans="1:5">
      <c r="A687" s="37"/>
      <c r="B687" s="36"/>
      <c r="C687" s="37"/>
      <c r="D687" s="36"/>
      <c r="E687" s="37"/>
    </row>
    <row r="688" spans="1:5">
      <c r="A688" s="37"/>
      <c r="B688" s="36"/>
      <c r="C688" s="37"/>
      <c r="D688" s="36"/>
      <c r="E688" s="37"/>
    </row>
    <row r="689" spans="1:5">
      <c r="A689" s="37"/>
      <c r="B689" s="36"/>
      <c r="C689" s="37"/>
      <c r="D689" s="36"/>
      <c r="E689" s="37"/>
    </row>
    <row r="690" spans="1:5">
      <c r="A690" s="37"/>
      <c r="B690" s="36"/>
      <c r="C690" s="37"/>
      <c r="D690" s="36"/>
      <c r="E690" s="37"/>
    </row>
    <row r="691" spans="1:5">
      <c r="A691" s="37"/>
      <c r="B691" s="36"/>
      <c r="C691" s="37"/>
      <c r="D691" s="36"/>
      <c r="E691" s="37"/>
    </row>
    <row r="692" spans="1:5">
      <c r="A692" s="37"/>
      <c r="B692" s="36"/>
      <c r="C692" s="37"/>
      <c r="D692" s="36"/>
      <c r="E692" s="37"/>
    </row>
    <row r="693" spans="1:5">
      <c r="A693" s="37"/>
      <c r="B693" s="36"/>
      <c r="C693" s="37"/>
      <c r="D693" s="36"/>
      <c r="E693" s="37"/>
    </row>
    <row r="694" spans="1:5">
      <c r="A694" s="37"/>
      <c r="B694" s="36"/>
      <c r="C694" s="37"/>
      <c r="D694" s="36"/>
      <c r="E694" s="37"/>
    </row>
    <row r="695" spans="1:5">
      <c r="A695" s="37"/>
      <c r="B695" s="36"/>
      <c r="C695" s="37"/>
      <c r="D695" s="36"/>
      <c r="E695" s="37"/>
    </row>
    <row r="696" spans="1:5">
      <c r="A696" s="37"/>
      <c r="B696" s="36"/>
      <c r="C696" s="37"/>
      <c r="D696" s="36"/>
      <c r="E696" s="37"/>
    </row>
    <row r="697" spans="1:5">
      <c r="A697" s="37"/>
      <c r="B697" s="36"/>
      <c r="C697" s="37"/>
      <c r="D697" s="36"/>
      <c r="E697" s="37"/>
    </row>
    <row r="698" spans="1:5">
      <c r="A698" s="37"/>
      <c r="B698" s="36"/>
      <c r="C698" s="37"/>
      <c r="D698" s="36"/>
      <c r="E698" s="37"/>
    </row>
    <row r="699" spans="1:5">
      <c r="A699" s="37"/>
      <c r="B699" s="36"/>
      <c r="C699" s="37"/>
      <c r="D699" s="36"/>
      <c r="E699" s="37"/>
    </row>
    <row r="700" spans="1:5">
      <c r="A700" s="37"/>
      <c r="B700" s="36"/>
      <c r="C700" s="37"/>
      <c r="D700" s="36"/>
      <c r="E700" s="37"/>
    </row>
    <row r="701" spans="1:5">
      <c r="A701" s="37"/>
      <c r="B701" s="36"/>
      <c r="C701" s="37"/>
      <c r="D701" s="36"/>
      <c r="E701" s="37"/>
    </row>
    <row r="702" spans="1:5">
      <c r="A702" s="37"/>
      <c r="B702" s="36"/>
      <c r="C702" s="37"/>
      <c r="D702" s="36"/>
      <c r="E702" s="37"/>
    </row>
    <row r="703" spans="1:5">
      <c r="A703" s="37"/>
      <c r="B703" s="36"/>
      <c r="C703" s="37"/>
      <c r="D703" s="36"/>
      <c r="E703" s="37"/>
    </row>
    <row r="704" spans="1:5">
      <c r="A704" s="37"/>
      <c r="B704" s="36"/>
      <c r="C704" s="37"/>
      <c r="D704" s="36"/>
      <c r="E704" s="37"/>
    </row>
    <row r="705" spans="1:5">
      <c r="A705" s="37"/>
      <c r="B705" s="36"/>
      <c r="C705" s="37"/>
      <c r="D705" s="36"/>
      <c r="E705" s="37"/>
    </row>
    <row r="706" spans="1:5">
      <c r="A706" s="37"/>
      <c r="B706" s="36"/>
      <c r="C706" s="37"/>
      <c r="D706" s="36"/>
      <c r="E706" s="37"/>
    </row>
    <row r="707" spans="1:5">
      <c r="A707" s="37"/>
      <c r="B707" s="36"/>
      <c r="C707" s="37"/>
      <c r="D707" s="36"/>
      <c r="E707" s="37"/>
    </row>
    <row r="708" spans="1:5">
      <c r="A708" s="37"/>
      <c r="B708" s="36"/>
      <c r="C708" s="37"/>
      <c r="D708" s="36"/>
      <c r="E708" s="37"/>
    </row>
    <row r="709" spans="1:5">
      <c r="A709" s="37"/>
      <c r="B709" s="36"/>
      <c r="C709" s="37"/>
      <c r="D709" s="36"/>
      <c r="E709" s="37"/>
    </row>
    <row r="710" spans="1:5">
      <c r="A710" s="37"/>
      <c r="B710" s="36"/>
      <c r="C710" s="37"/>
      <c r="D710" s="36"/>
      <c r="E710" s="37"/>
    </row>
    <row r="711" spans="1:5">
      <c r="A711" s="37"/>
      <c r="B711" s="36"/>
      <c r="C711" s="37"/>
      <c r="D711" s="36"/>
      <c r="E711" s="37"/>
    </row>
    <row r="712" spans="1:5">
      <c r="A712" s="37"/>
      <c r="B712" s="36"/>
      <c r="C712" s="37"/>
      <c r="D712" s="36"/>
      <c r="E712" s="37"/>
    </row>
    <row r="713" spans="1:5">
      <c r="A713" s="37"/>
      <c r="B713" s="36"/>
      <c r="C713" s="37"/>
      <c r="D713" s="36"/>
      <c r="E713" s="37"/>
    </row>
    <row r="714" spans="1:5">
      <c r="A714" s="37"/>
      <c r="B714" s="36"/>
      <c r="C714" s="37"/>
      <c r="D714" s="36"/>
      <c r="E714" s="37"/>
    </row>
    <row r="715" spans="1:5">
      <c r="A715" s="37"/>
      <c r="B715" s="36"/>
      <c r="C715" s="37"/>
      <c r="D715" s="36"/>
      <c r="E715" s="37"/>
    </row>
    <row r="716" spans="1:5">
      <c r="A716" s="37"/>
      <c r="B716" s="36"/>
      <c r="C716" s="37"/>
      <c r="D716" s="36"/>
      <c r="E716" s="37"/>
    </row>
    <row r="717" spans="1:5">
      <c r="A717" s="37"/>
      <c r="B717" s="36"/>
      <c r="C717" s="37"/>
      <c r="D717" s="36"/>
      <c r="E717" s="37"/>
    </row>
    <row r="718" spans="1:5">
      <c r="A718" s="37"/>
      <c r="B718" s="36"/>
      <c r="C718" s="37"/>
      <c r="D718" s="36"/>
      <c r="E718" s="37"/>
    </row>
    <row r="719" spans="1:5">
      <c r="A719" s="37"/>
      <c r="B719" s="36"/>
      <c r="C719" s="37"/>
      <c r="D719" s="36"/>
      <c r="E719" s="37"/>
    </row>
    <row r="720" spans="1:5">
      <c r="A720" s="37"/>
      <c r="B720" s="36"/>
      <c r="C720" s="37"/>
      <c r="D720" s="36"/>
      <c r="E720" s="37"/>
    </row>
    <row r="721" spans="1:5">
      <c r="A721" s="37"/>
      <c r="B721" s="36"/>
      <c r="C721" s="37"/>
      <c r="D721" s="36"/>
      <c r="E721" s="37"/>
    </row>
    <row r="722" spans="1:5">
      <c r="A722" s="37"/>
      <c r="B722" s="36"/>
      <c r="C722" s="37"/>
      <c r="D722" s="36"/>
      <c r="E722" s="37"/>
    </row>
    <row r="723" spans="1:5">
      <c r="A723" s="37"/>
      <c r="B723" s="36"/>
      <c r="C723" s="37"/>
      <c r="D723" s="36"/>
      <c r="E723" s="37"/>
    </row>
    <row r="724" spans="1:5">
      <c r="A724" s="37"/>
      <c r="B724" s="36"/>
      <c r="C724" s="37"/>
      <c r="D724" s="36"/>
      <c r="E724" s="37"/>
    </row>
    <row r="725" spans="1:5">
      <c r="A725" s="37"/>
      <c r="B725" s="36"/>
      <c r="C725" s="37"/>
      <c r="D725" s="36"/>
      <c r="E725" s="37"/>
    </row>
    <row r="726" spans="1:5">
      <c r="A726" s="37"/>
      <c r="B726" s="36"/>
      <c r="C726" s="37"/>
      <c r="D726" s="36"/>
      <c r="E726" s="37"/>
    </row>
    <row r="727" spans="1:5">
      <c r="A727" s="37"/>
      <c r="B727" s="36"/>
      <c r="C727" s="37"/>
      <c r="D727" s="36"/>
      <c r="E727" s="37"/>
    </row>
    <row r="728" spans="1:5">
      <c r="A728" s="37"/>
      <c r="B728" s="36"/>
      <c r="C728" s="37"/>
      <c r="D728" s="36"/>
      <c r="E728" s="37"/>
    </row>
    <row r="729" spans="1:5">
      <c r="A729" s="37"/>
      <c r="B729" s="36"/>
      <c r="C729" s="37"/>
      <c r="D729" s="36"/>
      <c r="E729" s="37"/>
    </row>
    <row r="730" spans="1:5">
      <c r="A730" s="37"/>
      <c r="B730" s="36"/>
      <c r="C730" s="37"/>
      <c r="D730" s="36"/>
      <c r="E730" s="37"/>
    </row>
    <row r="731" spans="1:5">
      <c r="A731" s="37"/>
      <c r="B731" s="36"/>
      <c r="C731" s="37"/>
      <c r="D731" s="36"/>
      <c r="E731" s="37"/>
    </row>
    <row r="732" spans="1:5">
      <c r="A732" s="37"/>
      <c r="B732" s="36"/>
      <c r="C732" s="37"/>
      <c r="D732" s="36"/>
      <c r="E732" s="37"/>
    </row>
    <row r="733" spans="1:5">
      <c r="A733" s="37"/>
      <c r="B733" s="36"/>
      <c r="C733" s="37"/>
      <c r="D733" s="36"/>
      <c r="E733" s="37"/>
    </row>
    <row r="734" spans="1:5">
      <c r="A734" s="37"/>
      <c r="B734" s="36"/>
      <c r="C734" s="37"/>
      <c r="D734" s="36"/>
      <c r="E734" s="37"/>
    </row>
    <row r="735" spans="1:5">
      <c r="A735" s="37"/>
      <c r="B735" s="36"/>
      <c r="C735" s="37"/>
      <c r="D735" s="36"/>
      <c r="E735" s="37"/>
    </row>
    <row r="736" spans="1:5">
      <c r="A736" s="37"/>
      <c r="B736" s="36"/>
      <c r="C736" s="37"/>
      <c r="D736" s="36"/>
      <c r="E736" s="37"/>
    </row>
    <row r="737" spans="1:5">
      <c r="A737" s="37"/>
      <c r="B737" s="36"/>
      <c r="C737" s="37"/>
      <c r="D737" s="36"/>
      <c r="E737" s="37"/>
    </row>
    <row r="738" spans="1:5">
      <c r="A738" s="37"/>
      <c r="B738" s="36"/>
      <c r="C738" s="37"/>
      <c r="D738" s="36"/>
      <c r="E738" s="37"/>
    </row>
    <row r="739" spans="1:5">
      <c r="A739" s="37"/>
      <c r="B739" s="36"/>
      <c r="C739" s="37"/>
      <c r="D739" s="36"/>
      <c r="E739" s="37"/>
    </row>
    <row r="740" spans="1:5">
      <c r="A740" s="37"/>
      <c r="B740" s="36"/>
      <c r="C740" s="37"/>
      <c r="D740" s="36"/>
      <c r="E740" s="37"/>
    </row>
    <row r="741" spans="1:5">
      <c r="A741" s="37"/>
      <c r="B741" s="36"/>
      <c r="C741" s="37"/>
      <c r="D741" s="36"/>
      <c r="E741" s="37"/>
    </row>
    <row r="742" spans="1:5">
      <c r="A742" s="37"/>
      <c r="B742" s="36"/>
      <c r="C742" s="37"/>
      <c r="D742" s="36"/>
      <c r="E742" s="37"/>
    </row>
    <row r="743" spans="1:5">
      <c r="A743" s="37"/>
      <c r="B743" s="36"/>
      <c r="C743" s="37"/>
      <c r="D743" s="36"/>
      <c r="E743" s="37"/>
    </row>
    <row r="744" spans="1:5">
      <c r="A744" s="37"/>
      <c r="B744" s="36"/>
      <c r="C744" s="37"/>
      <c r="D744" s="36"/>
      <c r="E744" s="37"/>
    </row>
    <row r="745" spans="1:5">
      <c r="A745" s="37"/>
      <c r="B745" s="36"/>
      <c r="C745" s="37"/>
      <c r="D745" s="36"/>
      <c r="E745" s="37"/>
    </row>
    <row r="746" spans="1:5">
      <c r="A746" s="37"/>
      <c r="B746" s="36"/>
      <c r="C746" s="37"/>
      <c r="D746" s="36"/>
      <c r="E746" s="37"/>
    </row>
    <row r="747" spans="1:5">
      <c r="A747" s="37"/>
      <c r="B747" s="36"/>
      <c r="C747" s="37"/>
      <c r="D747" s="36"/>
      <c r="E747" s="37"/>
    </row>
    <row r="748" spans="1:5">
      <c r="A748" s="37"/>
      <c r="B748" s="36"/>
      <c r="C748" s="37"/>
      <c r="D748" s="36"/>
      <c r="E748" s="37"/>
    </row>
    <row r="749" spans="1:5">
      <c r="A749" s="37"/>
      <c r="B749" s="36"/>
      <c r="C749" s="37"/>
      <c r="D749" s="36"/>
      <c r="E749" s="37"/>
    </row>
    <row r="750" spans="1:5">
      <c r="A750" s="37"/>
      <c r="B750" s="36"/>
      <c r="C750" s="37"/>
      <c r="D750" s="36"/>
      <c r="E750" s="37"/>
    </row>
    <row r="751" spans="1:5">
      <c r="A751" s="37"/>
      <c r="B751" s="36"/>
      <c r="C751" s="37"/>
      <c r="D751" s="36"/>
      <c r="E751" s="37"/>
    </row>
    <row r="752" spans="1:5">
      <c r="A752" s="37"/>
      <c r="B752" s="36"/>
      <c r="C752" s="37"/>
      <c r="D752" s="36"/>
      <c r="E752" s="37"/>
    </row>
    <row r="753" spans="1:5">
      <c r="A753" s="37"/>
      <c r="B753" s="36"/>
      <c r="C753" s="37"/>
      <c r="D753" s="36"/>
      <c r="E753" s="37"/>
    </row>
    <row r="754" spans="1:5">
      <c r="A754" s="37"/>
      <c r="B754" s="36"/>
      <c r="C754" s="37"/>
      <c r="D754" s="36"/>
      <c r="E754" s="37"/>
    </row>
    <row r="755" spans="1:5">
      <c r="A755" s="37"/>
      <c r="B755" s="36"/>
      <c r="C755" s="37"/>
      <c r="D755" s="36"/>
      <c r="E755" s="37"/>
    </row>
    <row r="756" spans="1:5">
      <c r="A756" s="37"/>
      <c r="B756" s="36"/>
      <c r="C756" s="37"/>
      <c r="D756" s="36"/>
      <c r="E756" s="37"/>
    </row>
    <row r="757" spans="1:5">
      <c r="A757" s="37"/>
      <c r="B757" s="36"/>
      <c r="C757" s="37"/>
      <c r="D757" s="36"/>
      <c r="E757" s="37"/>
    </row>
    <row r="758" spans="1:5">
      <c r="A758" s="37"/>
      <c r="B758" s="36"/>
      <c r="C758" s="37"/>
      <c r="D758" s="36"/>
      <c r="E758" s="37"/>
    </row>
    <row r="759" spans="1:5">
      <c r="A759" s="37"/>
      <c r="B759" s="36"/>
      <c r="C759" s="37"/>
      <c r="D759" s="36"/>
      <c r="E759" s="37"/>
    </row>
    <row r="760" spans="1:5">
      <c r="A760" s="37"/>
      <c r="B760" s="36"/>
      <c r="C760" s="37"/>
      <c r="D760" s="36"/>
      <c r="E760" s="37"/>
    </row>
    <row r="761" spans="1:5">
      <c r="A761" s="37"/>
      <c r="B761" s="36"/>
      <c r="C761" s="37"/>
      <c r="D761" s="36"/>
      <c r="E761" s="37"/>
    </row>
    <row r="762" spans="1:5">
      <c r="A762" s="37"/>
      <c r="B762" s="36"/>
      <c r="C762" s="37"/>
      <c r="D762" s="36"/>
      <c r="E762" s="37"/>
    </row>
    <row r="763" spans="1:5">
      <c r="A763" s="37"/>
      <c r="B763" s="36"/>
      <c r="C763" s="37"/>
      <c r="D763" s="36"/>
      <c r="E763" s="37"/>
    </row>
    <row r="764" spans="1:5">
      <c r="A764" s="37"/>
      <c r="B764" s="36"/>
      <c r="C764" s="37"/>
      <c r="D764" s="36"/>
      <c r="E764" s="37"/>
    </row>
    <row r="765" spans="1:5">
      <c r="A765" s="37"/>
      <c r="B765" s="36"/>
      <c r="C765" s="37"/>
      <c r="D765" s="36"/>
      <c r="E765" s="37"/>
    </row>
    <row r="766" spans="1:5">
      <c r="A766" s="37"/>
      <c r="B766" s="36"/>
      <c r="C766" s="37"/>
      <c r="D766" s="36"/>
      <c r="E766" s="37"/>
    </row>
    <row r="767" spans="1:5">
      <c r="A767" s="37"/>
      <c r="B767" s="36"/>
      <c r="C767" s="37"/>
      <c r="D767" s="36"/>
      <c r="E767" s="37"/>
    </row>
    <row r="768" spans="1:5">
      <c r="A768" s="37"/>
      <c r="B768" s="36"/>
      <c r="C768" s="37"/>
      <c r="D768" s="36"/>
      <c r="E768" s="37"/>
    </row>
    <row r="769" spans="1:5">
      <c r="A769" s="37"/>
      <c r="B769" s="36"/>
      <c r="C769" s="37"/>
      <c r="D769" s="36"/>
      <c r="E769" s="37"/>
    </row>
    <row r="770" spans="1:5">
      <c r="A770" s="37"/>
      <c r="B770" s="36"/>
      <c r="C770" s="37"/>
      <c r="D770" s="36"/>
      <c r="E770" s="37"/>
    </row>
    <row r="771" spans="1:5">
      <c r="A771" s="37"/>
      <c r="B771" s="36"/>
      <c r="C771" s="37"/>
      <c r="D771" s="36"/>
      <c r="E771" s="37"/>
    </row>
    <row r="772" spans="1:5">
      <c r="A772" s="37"/>
      <c r="B772" s="36"/>
      <c r="C772" s="37"/>
      <c r="D772" s="36"/>
      <c r="E772" s="37"/>
    </row>
    <row r="773" spans="1:5">
      <c r="A773" s="37"/>
      <c r="B773" s="36"/>
      <c r="C773" s="37"/>
      <c r="D773" s="36"/>
      <c r="E773" s="37"/>
    </row>
    <row r="774" spans="1:5">
      <c r="A774" s="37"/>
      <c r="B774" s="36"/>
      <c r="C774" s="37"/>
      <c r="D774" s="36"/>
      <c r="E774" s="37"/>
    </row>
    <row r="775" spans="1:5">
      <c r="A775" s="37"/>
      <c r="B775" s="36"/>
      <c r="C775" s="37"/>
      <c r="D775" s="36"/>
      <c r="E775" s="37"/>
    </row>
    <row r="776" spans="1:5">
      <c r="A776" s="37"/>
      <c r="B776" s="36"/>
      <c r="C776" s="37"/>
      <c r="D776" s="36"/>
      <c r="E776" s="37"/>
    </row>
    <row r="777" spans="1:5">
      <c r="A777" s="37"/>
      <c r="B777" s="36"/>
      <c r="C777" s="37"/>
      <c r="D777" s="36"/>
      <c r="E777" s="37"/>
    </row>
    <row r="778" spans="1:5">
      <c r="A778" s="37"/>
      <c r="B778" s="36"/>
      <c r="C778" s="37"/>
      <c r="D778" s="36"/>
      <c r="E778" s="37"/>
    </row>
    <row r="779" spans="1:5">
      <c r="A779" s="37"/>
      <c r="B779" s="36"/>
      <c r="C779" s="37"/>
      <c r="D779" s="36"/>
      <c r="E779" s="37"/>
    </row>
    <row r="780" spans="1:5">
      <c r="A780" s="37"/>
      <c r="B780" s="36"/>
      <c r="C780" s="37"/>
      <c r="D780" s="36"/>
      <c r="E780" s="37"/>
    </row>
    <row r="781" spans="1:5">
      <c r="A781" s="37"/>
      <c r="B781" s="36"/>
      <c r="C781" s="37"/>
      <c r="D781" s="36"/>
      <c r="E781" s="37"/>
    </row>
    <row r="782" spans="1:5">
      <c r="A782" s="37"/>
      <c r="B782" s="36"/>
      <c r="C782" s="37"/>
      <c r="D782" s="36"/>
      <c r="E782" s="37"/>
    </row>
    <row r="783" spans="1:5">
      <c r="A783" s="37"/>
      <c r="B783" s="36"/>
      <c r="C783" s="37"/>
      <c r="D783" s="36"/>
      <c r="E783" s="37"/>
    </row>
    <row r="784" spans="1:5">
      <c r="A784" s="37"/>
      <c r="B784" s="36"/>
      <c r="C784" s="37"/>
      <c r="D784" s="36"/>
      <c r="E784" s="37"/>
    </row>
    <row r="785" spans="1:5">
      <c r="A785" s="37"/>
      <c r="B785" s="36"/>
      <c r="C785" s="37"/>
      <c r="D785" s="36"/>
      <c r="E785" s="37"/>
    </row>
    <row r="786" spans="1:5">
      <c r="A786" s="37"/>
      <c r="B786" s="36"/>
      <c r="C786" s="37"/>
      <c r="D786" s="36"/>
      <c r="E786" s="37"/>
    </row>
    <row r="787" spans="1:5">
      <c r="A787" s="37"/>
      <c r="B787" s="36"/>
      <c r="C787" s="37"/>
      <c r="D787" s="36"/>
      <c r="E787" s="37"/>
    </row>
    <row r="788" spans="1:5">
      <c r="A788" s="37"/>
      <c r="B788" s="36"/>
      <c r="C788" s="37"/>
      <c r="D788" s="36"/>
      <c r="E788" s="37"/>
    </row>
    <row r="789" spans="1:5">
      <c r="A789" s="37"/>
      <c r="B789" s="36"/>
      <c r="C789" s="37"/>
      <c r="D789" s="36"/>
      <c r="E789" s="37"/>
    </row>
    <row r="790" spans="1:5">
      <c r="A790" s="37"/>
      <c r="B790" s="36"/>
      <c r="C790" s="37"/>
      <c r="D790" s="36"/>
      <c r="E790" s="37"/>
    </row>
    <row r="791" spans="1:5">
      <c r="A791" s="37"/>
      <c r="B791" s="36"/>
      <c r="C791" s="37"/>
      <c r="D791" s="36"/>
      <c r="E791" s="37"/>
    </row>
    <row r="792" spans="1:5">
      <c r="A792" s="37"/>
      <c r="B792" s="36"/>
      <c r="C792" s="37"/>
      <c r="D792" s="36"/>
      <c r="E792" s="37"/>
    </row>
    <row r="793" spans="1:5">
      <c r="A793" s="37"/>
      <c r="B793" s="36"/>
      <c r="C793" s="37"/>
      <c r="D793" s="36"/>
      <c r="E793" s="37"/>
    </row>
    <row r="794" spans="1:5">
      <c r="A794" s="37"/>
      <c r="B794" s="36"/>
      <c r="C794" s="37"/>
      <c r="D794" s="36"/>
      <c r="E794" s="37"/>
    </row>
    <row r="795" spans="1:5">
      <c r="A795" s="37"/>
      <c r="B795" s="36"/>
      <c r="C795" s="37"/>
      <c r="D795" s="36"/>
      <c r="E795" s="37"/>
    </row>
    <row r="796" spans="1:5">
      <c r="A796" s="37"/>
      <c r="B796" s="36"/>
      <c r="C796" s="37"/>
      <c r="D796" s="36"/>
      <c r="E796" s="37"/>
    </row>
    <row r="797" spans="1:5">
      <c r="A797" s="37"/>
      <c r="B797" s="36"/>
      <c r="C797" s="37"/>
      <c r="D797" s="36"/>
      <c r="E797" s="37"/>
    </row>
    <row r="798" spans="1:5">
      <c r="A798" s="37"/>
      <c r="B798" s="36"/>
      <c r="C798" s="37"/>
      <c r="D798" s="36"/>
      <c r="E798" s="37"/>
    </row>
    <row r="799" spans="1:5">
      <c r="A799" s="37"/>
      <c r="B799" s="36"/>
      <c r="C799" s="37"/>
      <c r="D799" s="36"/>
      <c r="E799" s="37"/>
    </row>
    <row r="800" spans="1:5">
      <c r="A800" s="37"/>
      <c r="B800" s="36"/>
      <c r="C800" s="37"/>
      <c r="D800" s="36"/>
      <c r="E800" s="37"/>
    </row>
    <row r="801" spans="1:5">
      <c r="A801" s="37"/>
      <c r="B801" s="36"/>
      <c r="C801" s="37"/>
      <c r="D801" s="36"/>
      <c r="E801" s="37"/>
    </row>
    <row r="802" spans="1:5">
      <c r="A802" s="37"/>
      <c r="B802" s="36"/>
      <c r="C802" s="37"/>
      <c r="D802" s="36"/>
      <c r="E802" s="37"/>
    </row>
    <row r="803" spans="1:5">
      <c r="A803" s="37"/>
      <c r="B803" s="36"/>
      <c r="C803" s="37"/>
      <c r="D803" s="36"/>
      <c r="E803" s="37"/>
    </row>
    <row r="804" spans="1:5">
      <c r="A804" s="37"/>
      <c r="B804" s="36"/>
      <c r="C804" s="37"/>
      <c r="D804" s="36"/>
      <c r="E804" s="37"/>
    </row>
    <row r="805" spans="1:5">
      <c r="A805" s="37"/>
      <c r="B805" s="36"/>
      <c r="C805" s="37"/>
      <c r="D805" s="36"/>
      <c r="E805" s="37"/>
    </row>
    <row r="806" spans="1:5">
      <c r="A806" s="37"/>
      <c r="B806" s="36"/>
      <c r="C806" s="37"/>
      <c r="D806" s="36"/>
      <c r="E806" s="37"/>
    </row>
    <row r="807" spans="1:5">
      <c r="A807" s="37"/>
      <c r="B807" s="36"/>
      <c r="C807" s="37"/>
      <c r="D807" s="36"/>
      <c r="E807" s="37"/>
    </row>
    <row r="808" spans="1:5">
      <c r="A808" s="37"/>
      <c r="B808" s="36"/>
      <c r="C808" s="37"/>
      <c r="D808" s="36"/>
      <c r="E808" s="37"/>
    </row>
    <row r="809" spans="1:5">
      <c r="A809" s="37"/>
      <c r="B809" s="36"/>
      <c r="C809" s="37"/>
      <c r="D809" s="36"/>
      <c r="E809" s="37"/>
    </row>
    <row r="810" spans="1:5">
      <c r="A810" s="37"/>
      <c r="B810" s="36"/>
      <c r="C810" s="37"/>
      <c r="D810" s="36"/>
      <c r="E810" s="37"/>
    </row>
    <row r="811" spans="1:5">
      <c r="A811" s="37"/>
      <c r="B811" s="36"/>
      <c r="C811" s="37"/>
      <c r="D811" s="36"/>
      <c r="E811" s="37"/>
    </row>
    <row r="812" spans="1:5">
      <c r="A812" s="37"/>
      <c r="B812" s="36"/>
      <c r="C812" s="37"/>
      <c r="D812" s="36"/>
      <c r="E812" s="37"/>
    </row>
    <row r="813" spans="1:5">
      <c r="A813" s="37"/>
      <c r="B813" s="36"/>
      <c r="C813" s="37"/>
      <c r="D813" s="36"/>
      <c r="E813" s="37"/>
    </row>
    <row r="814" spans="1:5">
      <c r="A814" s="37"/>
      <c r="B814" s="36"/>
      <c r="C814" s="37"/>
      <c r="D814" s="36"/>
      <c r="E814" s="37"/>
    </row>
    <row r="815" spans="1:5">
      <c r="A815" s="37"/>
      <c r="B815" s="36"/>
      <c r="C815" s="37"/>
      <c r="D815" s="36"/>
      <c r="E815" s="37"/>
    </row>
    <row r="816" spans="1:5">
      <c r="A816" s="37"/>
      <c r="B816" s="36"/>
      <c r="C816" s="37"/>
      <c r="D816" s="36"/>
      <c r="E816" s="37"/>
    </row>
    <row r="817" spans="1:5">
      <c r="A817" s="37"/>
      <c r="B817" s="36"/>
      <c r="C817" s="37"/>
      <c r="D817" s="36"/>
      <c r="E817" s="37"/>
    </row>
    <row r="818" spans="1:5">
      <c r="A818" s="37"/>
      <c r="B818" s="36"/>
      <c r="C818" s="37"/>
      <c r="D818" s="36"/>
      <c r="E818" s="37"/>
    </row>
    <row r="819" spans="1:5">
      <c r="A819" s="37"/>
      <c r="B819" s="36"/>
      <c r="C819" s="37"/>
      <c r="D819" s="36"/>
      <c r="E819" s="37"/>
    </row>
    <row r="820" spans="1:5">
      <c r="A820" s="37"/>
      <c r="B820" s="36"/>
      <c r="C820" s="37"/>
      <c r="D820" s="36"/>
      <c r="E820" s="37"/>
    </row>
    <row r="821" spans="1:5">
      <c r="A821" s="37"/>
      <c r="B821" s="36"/>
      <c r="C821" s="37"/>
      <c r="D821" s="36"/>
      <c r="E821" s="37"/>
    </row>
    <row r="822" spans="1:5">
      <c r="A822" s="37"/>
      <c r="B822" s="36"/>
      <c r="C822" s="37"/>
      <c r="D822" s="36"/>
      <c r="E822" s="37"/>
    </row>
    <row r="823" spans="1:5">
      <c r="A823" s="37"/>
      <c r="B823" s="36"/>
      <c r="C823" s="37"/>
      <c r="D823" s="36"/>
      <c r="E823" s="37"/>
    </row>
    <row r="824" spans="1:5">
      <c r="A824" s="37"/>
      <c r="B824" s="36"/>
      <c r="C824" s="37"/>
      <c r="D824" s="36"/>
      <c r="E824" s="37"/>
    </row>
    <row r="825" spans="1:5">
      <c r="A825" s="37"/>
      <c r="B825" s="36"/>
      <c r="C825" s="37"/>
      <c r="D825" s="36"/>
      <c r="E825" s="37"/>
    </row>
    <row r="826" spans="1:5">
      <c r="A826" s="37"/>
      <c r="B826" s="36"/>
      <c r="C826" s="37"/>
      <c r="D826" s="36"/>
      <c r="E826" s="37"/>
    </row>
    <row r="827" spans="1:5">
      <c r="A827" s="37"/>
      <c r="B827" s="36"/>
      <c r="C827" s="37"/>
      <c r="D827" s="36"/>
      <c r="E827" s="37"/>
    </row>
    <row r="828" spans="1:5">
      <c r="A828" s="37"/>
      <c r="B828" s="36"/>
      <c r="C828" s="37"/>
      <c r="D828" s="36"/>
      <c r="E828" s="37"/>
    </row>
    <row r="829" spans="1:5">
      <c r="A829" s="37"/>
      <c r="B829" s="36"/>
      <c r="C829" s="37"/>
      <c r="D829" s="36"/>
      <c r="E829" s="37"/>
    </row>
    <row r="830" spans="1:5">
      <c r="A830" s="37"/>
      <c r="B830" s="36"/>
      <c r="C830" s="37"/>
      <c r="D830" s="36"/>
      <c r="E830" s="37"/>
    </row>
    <row r="831" spans="1:5">
      <c r="A831" s="37"/>
      <c r="B831" s="36"/>
      <c r="C831" s="37"/>
      <c r="D831" s="36"/>
      <c r="E831" s="37"/>
    </row>
    <row r="832" spans="1:5">
      <c r="A832" s="37"/>
      <c r="B832" s="36"/>
      <c r="C832" s="37"/>
      <c r="D832" s="36"/>
      <c r="E832" s="37"/>
    </row>
    <row r="833" spans="1:5">
      <c r="A833" s="37"/>
      <c r="B833" s="36"/>
      <c r="C833" s="37"/>
      <c r="D833" s="36"/>
      <c r="E833" s="37"/>
    </row>
    <row r="834" spans="1:5">
      <c r="A834" s="37"/>
      <c r="B834" s="36"/>
      <c r="C834" s="37"/>
      <c r="D834" s="36"/>
      <c r="E834" s="37"/>
    </row>
    <row r="835" spans="1:5">
      <c r="A835" s="37"/>
      <c r="B835" s="36"/>
      <c r="C835" s="37"/>
      <c r="D835" s="36"/>
      <c r="E835" s="37"/>
    </row>
    <row r="836" spans="1:5">
      <c r="A836" s="37"/>
      <c r="B836" s="36"/>
      <c r="C836" s="37"/>
      <c r="D836" s="36"/>
      <c r="E836" s="37"/>
    </row>
    <row r="837" spans="1:5">
      <c r="A837" s="37"/>
      <c r="B837" s="36"/>
      <c r="C837" s="37"/>
      <c r="D837" s="36"/>
      <c r="E837" s="37"/>
    </row>
    <row r="838" spans="1:5">
      <c r="A838" s="37"/>
      <c r="B838" s="36"/>
      <c r="C838" s="37"/>
      <c r="D838" s="36"/>
      <c r="E838" s="37"/>
    </row>
    <row r="839" spans="1:5">
      <c r="A839" s="37"/>
      <c r="B839" s="36"/>
      <c r="C839" s="37"/>
      <c r="D839" s="36"/>
      <c r="E839" s="37"/>
    </row>
    <row r="840" spans="1:5">
      <c r="A840" s="37"/>
      <c r="B840" s="36"/>
      <c r="C840" s="37"/>
      <c r="D840" s="36"/>
      <c r="E840" s="37"/>
    </row>
    <row r="841" spans="1:5">
      <c r="A841" s="37"/>
      <c r="B841" s="36"/>
      <c r="C841" s="37"/>
      <c r="D841" s="36"/>
      <c r="E841" s="37"/>
    </row>
    <row r="842" spans="1:5">
      <c r="A842" s="37"/>
      <c r="B842" s="36"/>
      <c r="C842" s="37"/>
      <c r="D842" s="36"/>
      <c r="E842" s="37"/>
    </row>
    <row r="843" spans="1:5">
      <c r="A843" s="37"/>
      <c r="B843" s="36"/>
      <c r="C843" s="37"/>
      <c r="D843" s="36"/>
      <c r="E843" s="37"/>
    </row>
    <row r="844" spans="1:5">
      <c r="A844" s="37"/>
      <c r="B844" s="36"/>
      <c r="C844" s="37"/>
      <c r="D844" s="36"/>
      <c r="E844" s="37"/>
    </row>
    <row r="845" spans="1:5">
      <c r="A845" s="37"/>
      <c r="B845" s="36"/>
      <c r="C845" s="37"/>
      <c r="D845" s="36"/>
      <c r="E845" s="37"/>
    </row>
    <row r="846" spans="1:5">
      <c r="A846" s="37"/>
      <c r="B846" s="36"/>
      <c r="C846" s="37"/>
      <c r="D846" s="36"/>
      <c r="E846" s="37"/>
    </row>
    <row r="847" spans="1:5">
      <c r="A847" s="37"/>
      <c r="B847" s="36"/>
      <c r="C847" s="37"/>
      <c r="D847" s="36"/>
      <c r="E847" s="37"/>
    </row>
    <row r="848" spans="1:5">
      <c r="A848" s="37"/>
      <c r="B848" s="36"/>
      <c r="C848" s="37"/>
      <c r="D848" s="36"/>
      <c r="E848" s="37"/>
    </row>
    <row r="849" spans="1:5">
      <c r="A849" s="37"/>
      <c r="B849" s="36"/>
      <c r="C849" s="37"/>
      <c r="D849" s="36"/>
      <c r="E849" s="37"/>
    </row>
    <row r="850" spans="1:5">
      <c r="A850" s="37"/>
      <c r="B850" s="36"/>
      <c r="C850" s="37"/>
      <c r="D850" s="36"/>
      <c r="E850" s="37"/>
    </row>
    <row r="851" spans="1:5">
      <c r="A851" s="37"/>
      <c r="B851" s="36"/>
      <c r="C851" s="37"/>
      <c r="D851" s="36"/>
      <c r="E851" s="37"/>
    </row>
    <row r="852" spans="1:5">
      <c r="A852" s="37"/>
      <c r="B852" s="36"/>
      <c r="C852" s="37"/>
      <c r="D852" s="36"/>
      <c r="E852" s="37"/>
    </row>
    <row r="853" spans="1:5">
      <c r="A853" s="37"/>
      <c r="B853" s="36"/>
      <c r="C853" s="37"/>
      <c r="D853" s="36"/>
      <c r="E853" s="37"/>
    </row>
    <row r="854" spans="1:5">
      <c r="A854" s="37"/>
      <c r="B854" s="36"/>
      <c r="C854" s="37"/>
      <c r="D854" s="36"/>
      <c r="E854" s="37"/>
    </row>
    <row r="855" spans="1:5">
      <c r="A855" s="37"/>
      <c r="B855" s="36"/>
      <c r="C855" s="37"/>
      <c r="D855" s="36"/>
      <c r="E855" s="37"/>
    </row>
    <row r="856" spans="1:5">
      <c r="A856" s="37"/>
      <c r="B856" s="36"/>
      <c r="C856" s="37"/>
      <c r="D856" s="36"/>
      <c r="E856" s="37"/>
    </row>
    <row r="857" spans="1:5">
      <c r="A857" s="37"/>
      <c r="B857" s="36"/>
      <c r="C857" s="37"/>
      <c r="D857" s="36"/>
      <c r="E857" s="37"/>
    </row>
    <row r="858" spans="1:5">
      <c r="A858" s="37"/>
      <c r="B858" s="36"/>
      <c r="C858" s="37"/>
      <c r="D858" s="36"/>
      <c r="E858" s="37"/>
    </row>
    <row r="859" spans="1:5">
      <c r="A859" s="37"/>
      <c r="B859" s="36"/>
      <c r="C859" s="37"/>
      <c r="D859" s="36"/>
      <c r="E859" s="37"/>
    </row>
    <row r="860" spans="1:5">
      <c r="A860" s="37"/>
      <c r="B860" s="36"/>
      <c r="C860" s="37"/>
      <c r="D860" s="36"/>
      <c r="E860" s="37"/>
    </row>
    <row r="861" spans="1:5">
      <c r="A861" s="37"/>
      <c r="B861" s="36"/>
      <c r="C861" s="37"/>
      <c r="D861" s="36"/>
      <c r="E861" s="37"/>
    </row>
    <row r="862" spans="1:5">
      <c r="A862" s="37"/>
      <c r="B862" s="36"/>
      <c r="C862" s="37"/>
      <c r="D862" s="36"/>
      <c r="E862" s="37"/>
    </row>
    <row r="863" spans="1:5">
      <c r="A863" s="37"/>
      <c r="B863" s="36"/>
      <c r="C863" s="37"/>
      <c r="D863" s="36"/>
      <c r="E863" s="37"/>
    </row>
    <row r="864" spans="1:5">
      <c r="A864" s="37"/>
      <c r="B864" s="36"/>
      <c r="C864" s="37"/>
      <c r="D864" s="36"/>
      <c r="E864" s="37"/>
    </row>
    <row r="865" spans="1:5">
      <c r="A865" s="37"/>
      <c r="B865" s="36"/>
      <c r="C865" s="37"/>
      <c r="D865" s="36"/>
      <c r="E865" s="37"/>
    </row>
    <row r="866" spans="1:5">
      <c r="A866" s="37"/>
      <c r="B866" s="36"/>
      <c r="C866" s="37"/>
      <c r="D866" s="36"/>
      <c r="E866" s="37"/>
    </row>
    <row r="867" spans="1:5">
      <c r="A867" s="37"/>
      <c r="B867" s="36"/>
      <c r="C867" s="37"/>
      <c r="D867" s="36"/>
      <c r="E867" s="37"/>
    </row>
    <row r="868" spans="1:5">
      <c r="A868" s="37"/>
      <c r="B868" s="36"/>
      <c r="C868" s="37"/>
      <c r="D868" s="36"/>
      <c r="E868" s="37"/>
    </row>
    <row r="869" spans="1:5">
      <c r="A869" s="37"/>
      <c r="B869" s="36"/>
      <c r="C869" s="37"/>
      <c r="D869" s="36"/>
      <c r="E869" s="37"/>
    </row>
    <row r="870" spans="1:5">
      <c r="A870" s="37"/>
      <c r="B870" s="36"/>
      <c r="C870" s="37"/>
      <c r="D870" s="36"/>
      <c r="E870" s="37"/>
    </row>
    <row r="871" spans="1:5">
      <c r="A871" s="37"/>
      <c r="B871" s="36"/>
      <c r="C871" s="37"/>
      <c r="D871" s="36"/>
      <c r="E871" s="37"/>
    </row>
    <row r="872" spans="1:5">
      <c r="A872" s="37"/>
      <c r="B872" s="36"/>
      <c r="C872" s="37"/>
      <c r="D872" s="36"/>
      <c r="E872" s="37"/>
    </row>
    <row r="873" spans="1:5">
      <c r="A873" s="37"/>
      <c r="B873" s="36"/>
      <c r="C873" s="37"/>
      <c r="D873" s="36"/>
      <c r="E873" s="37"/>
    </row>
    <row r="874" spans="1:5">
      <c r="A874" s="37"/>
      <c r="B874" s="36"/>
      <c r="C874" s="37"/>
      <c r="D874" s="36"/>
      <c r="E874" s="37"/>
    </row>
    <row r="875" spans="1:5">
      <c r="A875" s="37"/>
      <c r="B875" s="36"/>
      <c r="C875" s="37"/>
      <c r="D875" s="36"/>
      <c r="E875" s="37"/>
    </row>
    <row r="876" spans="1:5">
      <c r="A876" s="37"/>
      <c r="B876" s="36"/>
      <c r="C876" s="37"/>
      <c r="D876" s="36"/>
      <c r="E876" s="37"/>
    </row>
    <row r="877" spans="1:5">
      <c r="A877" s="37"/>
      <c r="B877" s="36"/>
      <c r="C877" s="37"/>
      <c r="D877" s="36"/>
      <c r="E877" s="37"/>
    </row>
    <row r="878" spans="1:5">
      <c r="A878" s="37"/>
      <c r="B878" s="36"/>
      <c r="C878" s="37"/>
      <c r="D878" s="36"/>
      <c r="E878" s="37"/>
    </row>
    <row r="879" spans="1:5">
      <c r="A879" s="37"/>
      <c r="B879" s="36"/>
      <c r="C879" s="37"/>
      <c r="D879" s="36"/>
      <c r="E879" s="37"/>
    </row>
    <row r="880" spans="1:5">
      <c r="A880" s="37"/>
      <c r="B880" s="36"/>
      <c r="C880" s="37"/>
      <c r="D880" s="36"/>
      <c r="E880" s="37"/>
    </row>
    <row r="881" spans="1:5">
      <c r="A881" s="37"/>
      <c r="B881" s="36"/>
      <c r="C881" s="37"/>
      <c r="D881" s="36"/>
      <c r="E881" s="37"/>
    </row>
    <row r="882" spans="1:5">
      <c r="A882" s="37"/>
      <c r="B882" s="36"/>
      <c r="C882" s="37"/>
      <c r="D882" s="36"/>
      <c r="E882" s="37"/>
    </row>
    <row r="883" spans="1:5">
      <c r="A883" s="37"/>
      <c r="B883" s="36"/>
      <c r="C883" s="37"/>
      <c r="D883" s="36"/>
      <c r="E883" s="37"/>
    </row>
    <row r="884" spans="1:5">
      <c r="A884" s="37"/>
      <c r="B884" s="36"/>
      <c r="C884" s="37"/>
      <c r="D884" s="36"/>
      <c r="E884" s="37"/>
    </row>
    <row r="885" spans="1:5">
      <c r="A885" s="37"/>
      <c r="B885" s="36"/>
      <c r="C885" s="37"/>
      <c r="D885" s="36"/>
      <c r="E885" s="37"/>
    </row>
    <row r="886" spans="1:5">
      <c r="A886" s="37"/>
      <c r="B886" s="36"/>
      <c r="C886" s="37"/>
      <c r="D886" s="36"/>
      <c r="E886" s="37"/>
    </row>
    <row r="887" spans="1:5">
      <c r="A887" s="37"/>
      <c r="B887" s="36"/>
      <c r="C887" s="37"/>
      <c r="D887" s="36"/>
      <c r="E887" s="37"/>
    </row>
    <row r="888" spans="1:5">
      <c r="A888" s="37"/>
      <c r="B888" s="36"/>
      <c r="C888" s="37"/>
      <c r="D888" s="36"/>
      <c r="E888" s="37"/>
    </row>
    <row r="889" spans="1:5">
      <c r="A889" s="37"/>
      <c r="B889" s="36"/>
      <c r="C889" s="37"/>
      <c r="D889" s="36"/>
      <c r="E889" s="37"/>
    </row>
    <row r="890" spans="1:5">
      <c r="A890" s="37"/>
      <c r="B890" s="36"/>
      <c r="C890" s="37"/>
      <c r="D890" s="36"/>
      <c r="E890" s="37"/>
    </row>
    <row r="891" spans="1:5">
      <c r="A891" s="37"/>
      <c r="B891" s="36"/>
      <c r="C891" s="37"/>
      <c r="D891" s="36"/>
      <c r="E891" s="37"/>
    </row>
    <row r="892" spans="1:5">
      <c r="A892" s="37"/>
      <c r="B892" s="36"/>
      <c r="C892" s="37"/>
      <c r="D892" s="36"/>
      <c r="E892" s="37"/>
    </row>
    <row r="893" spans="1:5">
      <c r="A893" s="37"/>
      <c r="B893" s="36"/>
      <c r="C893" s="37"/>
      <c r="D893" s="36"/>
      <c r="E893" s="37"/>
    </row>
    <row r="894" spans="1:5">
      <c r="A894" s="37"/>
      <c r="B894" s="36"/>
      <c r="C894" s="37"/>
      <c r="D894" s="36"/>
      <c r="E894" s="37"/>
    </row>
    <row r="895" spans="1:5">
      <c r="A895" s="37"/>
      <c r="B895" s="36"/>
      <c r="C895" s="37"/>
      <c r="D895" s="36"/>
      <c r="E895" s="37"/>
    </row>
    <row r="896" spans="1:5">
      <c r="A896" s="37"/>
      <c r="B896" s="36"/>
      <c r="C896" s="37"/>
      <c r="D896" s="36"/>
      <c r="E896" s="37"/>
    </row>
    <row r="897" spans="1:5">
      <c r="A897" s="37"/>
      <c r="B897" s="36"/>
      <c r="C897" s="37"/>
      <c r="D897" s="36"/>
      <c r="E897" s="37"/>
    </row>
    <row r="898" spans="1:5">
      <c r="A898" s="37"/>
      <c r="B898" s="36"/>
      <c r="C898" s="37"/>
      <c r="D898" s="36"/>
      <c r="E898" s="37"/>
    </row>
    <row r="899" spans="1:5">
      <c r="A899" s="37"/>
      <c r="B899" s="36"/>
      <c r="C899" s="37"/>
      <c r="D899" s="36"/>
      <c r="E899" s="37"/>
    </row>
    <row r="900" spans="1:5">
      <c r="A900" s="37"/>
      <c r="B900" s="36"/>
      <c r="C900" s="37"/>
      <c r="D900" s="36"/>
      <c r="E900" s="37"/>
    </row>
    <row r="901" spans="1:5">
      <c r="A901" s="37"/>
      <c r="B901" s="36"/>
      <c r="C901" s="37"/>
      <c r="D901" s="36"/>
      <c r="E901" s="37"/>
    </row>
    <row r="902" spans="1:5">
      <c r="A902" s="37"/>
      <c r="B902" s="36"/>
      <c r="C902" s="37"/>
      <c r="D902" s="36"/>
      <c r="E902" s="37"/>
    </row>
    <row r="903" spans="1:5">
      <c r="A903" s="37"/>
      <c r="B903" s="36"/>
      <c r="C903" s="37"/>
      <c r="D903" s="36"/>
      <c r="E903" s="37"/>
    </row>
    <row r="904" spans="1:5">
      <c r="A904" s="37"/>
      <c r="B904" s="36"/>
      <c r="C904" s="37"/>
      <c r="D904" s="36"/>
      <c r="E904" s="37"/>
    </row>
    <row r="905" spans="1:5">
      <c r="A905" s="37"/>
      <c r="B905" s="36"/>
      <c r="C905" s="37"/>
      <c r="D905" s="36"/>
      <c r="E905" s="37"/>
    </row>
    <row r="906" spans="1:5">
      <c r="A906" s="37"/>
      <c r="B906" s="36"/>
      <c r="C906" s="37"/>
      <c r="D906" s="36"/>
      <c r="E906" s="37"/>
    </row>
    <row r="907" spans="1:5">
      <c r="A907" s="37"/>
      <c r="B907" s="36"/>
      <c r="C907" s="37"/>
      <c r="D907" s="36"/>
      <c r="E907" s="37"/>
    </row>
    <row r="908" spans="1:5">
      <c r="A908" s="37"/>
      <c r="B908" s="36"/>
      <c r="C908" s="37"/>
      <c r="D908" s="36"/>
      <c r="E908" s="37"/>
    </row>
    <row r="909" spans="1:5">
      <c r="A909" s="37"/>
      <c r="B909" s="36"/>
      <c r="C909" s="37"/>
      <c r="D909" s="36"/>
      <c r="E909" s="37"/>
    </row>
    <row r="910" spans="1:5">
      <c r="A910" s="37"/>
      <c r="B910" s="36"/>
      <c r="C910" s="37"/>
      <c r="D910" s="36"/>
      <c r="E910" s="37"/>
    </row>
    <row r="911" spans="1:5">
      <c r="A911" s="37"/>
      <c r="B911" s="36"/>
      <c r="C911" s="37"/>
      <c r="D911" s="36"/>
      <c r="E911" s="37"/>
    </row>
    <row r="912" spans="1:5">
      <c r="A912" s="37"/>
      <c r="B912" s="36"/>
      <c r="C912" s="37"/>
      <c r="D912" s="36"/>
      <c r="E912" s="37"/>
    </row>
    <row r="913" spans="1:5">
      <c r="A913" s="37"/>
      <c r="B913" s="36"/>
      <c r="C913" s="37"/>
      <c r="D913" s="36"/>
      <c r="E913" s="37"/>
    </row>
    <row r="914" spans="1:5">
      <c r="A914" s="37"/>
      <c r="B914" s="36"/>
      <c r="C914" s="37"/>
      <c r="D914" s="36"/>
      <c r="E914" s="37"/>
    </row>
    <row r="915" spans="1:5">
      <c r="A915" s="37"/>
      <c r="B915" s="36"/>
      <c r="C915" s="37"/>
      <c r="D915" s="36"/>
      <c r="E915" s="37"/>
    </row>
    <row r="916" spans="1:5">
      <c r="A916" s="37"/>
      <c r="B916" s="36"/>
      <c r="C916" s="37"/>
      <c r="D916" s="36"/>
      <c r="E916" s="37"/>
    </row>
    <row r="917" spans="1:5">
      <c r="A917" s="37"/>
      <c r="B917" s="36"/>
      <c r="C917" s="37"/>
      <c r="D917" s="36"/>
      <c r="E917" s="37"/>
    </row>
    <row r="918" spans="1:5">
      <c r="A918" s="37"/>
      <c r="B918" s="36"/>
      <c r="C918" s="37"/>
      <c r="D918" s="36"/>
      <c r="E918" s="37"/>
    </row>
    <row r="919" spans="1:5">
      <c r="A919" s="37"/>
      <c r="B919" s="36"/>
      <c r="C919" s="37"/>
      <c r="D919" s="36"/>
      <c r="E919" s="37"/>
    </row>
    <row r="920" spans="1:5">
      <c r="A920" s="37"/>
      <c r="B920" s="36"/>
      <c r="C920" s="37"/>
      <c r="D920" s="36"/>
      <c r="E920" s="37"/>
    </row>
    <row r="921" spans="1:5">
      <c r="A921" s="37"/>
      <c r="B921" s="36"/>
      <c r="C921" s="37"/>
      <c r="D921" s="36"/>
      <c r="E921" s="37"/>
    </row>
    <row r="922" spans="1:5">
      <c r="A922" s="37"/>
      <c r="B922" s="36"/>
      <c r="C922" s="37"/>
      <c r="D922" s="36"/>
      <c r="E922" s="37"/>
    </row>
    <row r="923" spans="1:5">
      <c r="A923" s="37"/>
      <c r="B923" s="36"/>
      <c r="C923" s="37"/>
      <c r="D923" s="36"/>
      <c r="E923" s="37"/>
    </row>
    <row r="924" spans="1:5">
      <c r="A924" s="37"/>
      <c r="B924" s="36"/>
      <c r="C924" s="37"/>
      <c r="D924" s="36"/>
      <c r="E924" s="37"/>
    </row>
    <row r="925" spans="1:5">
      <c r="A925" s="37"/>
      <c r="B925" s="36"/>
      <c r="C925" s="37"/>
      <c r="D925" s="36"/>
      <c r="E925" s="37"/>
    </row>
    <row r="926" spans="1:5">
      <c r="A926" s="37"/>
      <c r="B926" s="36"/>
      <c r="C926" s="37"/>
      <c r="D926" s="36"/>
      <c r="E926" s="37"/>
    </row>
    <row r="927" spans="1:5">
      <c r="A927" s="37"/>
      <c r="B927" s="36"/>
      <c r="C927" s="37"/>
      <c r="D927" s="36"/>
      <c r="E927" s="37"/>
    </row>
    <row r="928" spans="1:5">
      <c r="A928" s="37"/>
      <c r="B928" s="36"/>
      <c r="C928" s="37"/>
      <c r="D928" s="36"/>
      <c r="E928" s="37"/>
    </row>
    <row r="929" spans="1:5">
      <c r="A929" s="37"/>
      <c r="B929" s="36"/>
      <c r="C929" s="37"/>
      <c r="D929" s="36"/>
      <c r="E929" s="37"/>
    </row>
    <row r="930" spans="1:5">
      <c r="A930" s="37"/>
      <c r="B930" s="36"/>
      <c r="C930" s="37"/>
      <c r="D930" s="36"/>
      <c r="E930" s="37"/>
    </row>
    <row r="931" spans="1:5">
      <c r="A931" s="37"/>
      <c r="B931" s="36"/>
      <c r="C931" s="37"/>
      <c r="D931" s="36"/>
      <c r="E931" s="37"/>
    </row>
    <row r="932" spans="1:5">
      <c r="A932" s="37"/>
      <c r="B932" s="36"/>
      <c r="C932" s="37"/>
      <c r="D932" s="36"/>
      <c r="E932" s="37"/>
    </row>
    <row r="933" spans="1:5">
      <c r="A933" s="37"/>
      <c r="B933" s="36"/>
      <c r="C933" s="37"/>
      <c r="D933" s="36"/>
      <c r="E933" s="37"/>
    </row>
    <row r="934" spans="1:5">
      <c r="A934" s="37"/>
      <c r="B934" s="36"/>
      <c r="C934" s="37"/>
      <c r="D934" s="36"/>
      <c r="E934" s="37"/>
    </row>
    <row r="935" spans="1:5">
      <c r="A935" s="37"/>
      <c r="B935" s="36"/>
      <c r="C935" s="37"/>
      <c r="D935" s="36"/>
      <c r="E935" s="37"/>
    </row>
    <row r="936" spans="1:5">
      <c r="A936" s="37"/>
      <c r="B936" s="36"/>
      <c r="C936" s="37"/>
      <c r="D936" s="36"/>
      <c r="E936" s="37"/>
    </row>
    <row r="937" spans="1:5">
      <c r="A937" s="37"/>
      <c r="B937" s="36"/>
      <c r="C937" s="37"/>
      <c r="D937" s="36"/>
      <c r="E937" s="37"/>
    </row>
    <row r="938" spans="1:5">
      <c r="A938" s="37"/>
      <c r="B938" s="36"/>
      <c r="C938" s="37"/>
      <c r="D938" s="36"/>
      <c r="E938" s="37"/>
    </row>
    <row r="939" spans="1:5">
      <c r="A939" s="37"/>
      <c r="B939" s="36"/>
      <c r="C939" s="37"/>
      <c r="D939" s="36"/>
      <c r="E939" s="37"/>
    </row>
    <row r="940" spans="1:5">
      <c r="A940" s="37"/>
      <c r="B940" s="36"/>
      <c r="C940" s="37"/>
      <c r="D940" s="36"/>
      <c r="E940" s="37"/>
    </row>
    <row r="941" spans="1:5">
      <c r="A941" s="37"/>
      <c r="B941" s="36"/>
      <c r="C941" s="37"/>
      <c r="D941" s="36"/>
      <c r="E941" s="37"/>
    </row>
    <row r="942" spans="1:5">
      <c r="A942" s="37"/>
      <c r="B942" s="36"/>
      <c r="C942" s="37"/>
      <c r="D942" s="36"/>
      <c r="E942" s="37"/>
    </row>
    <row r="943" spans="1:5">
      <c r="A943" s="37"/>
      <c r="B943" s="36"/>
      <c r="C943" s="37"/>
      <c r="D943" s="36"/>
      <c r="E943" s="37"/>
    </row>
    <row r="944" spans="1:5">
      <c r="A944" s="37"/>
      <c r="B944" s="36"/>
      <c r="C944" s="37"/>
      <c r="D944" s="36"/>
      <c r="E944" s="37"/>
    </row>
    <row r="945" spans="1:5">
      <c r="A945" s="37"/>
      <c r="B945" s="36"/>
      <c r="C945" s="37"/>
      <c r="D945" s="36"/>
      <c r="E945" s="37"/>
    </row>
    <row r="946" spans="1:5">
      <c r="A946" s="37"/>
      <c r="B946" s="36"/>
      <c r="C946" s="37"/>
      <c r="D946" s="36"/>
      <c r="E946" s="37"/>
    </row>
    <row r="947" spans="1:5">
      <c r="A947" s="37"/>
      <c r="B947" s="36"/>
      <c r="C947" s="37"/>
      <c r="D947" s="36"/>
      <c r="E947" s="37"/>
    </row>
    <row r="948" spans="1:5">
      <c r="A948" s="37"/>
      <c r="B948" s="36"/>
      <c r="C948" s="37"/>
      <c r="D948" s="36"/>
      <c r="E948" s="37"/>
    </row>
    <row r="949" spans="1:5">
      <c r="A949" s="37"/>
      <c r="B949" s="36"/>
      <c r="C949" s="37"/>
      <c r="D949" s="36"/>
      <c r="E949" s="37"/>
    </row>
    <row r="950" spans="1:5">
      <c r="A950" s="37"/>
      <c r="B950" s="36"/>
      <c r="C950" s="37"/>
      <c r="D950" s="36"/>
      <c r="E950" s="37"/>
    </row>
    <row r="951" spans="1:5">
      <c r="A951" s="37"/>
      <c r="B951" s="36"/>
      <c r="C951" s="37"/>
      <c r="D951" s="36"/>
      <c r="E951" s="37"/>
    </row>
    <row r="952" spans="1:5">
      <c r="A952" s="37"/>
      <c r="B952" s="36"/>
      <c r="C952" s="37"/>
      <c r="D952" s="36"/>
      <c r="E952" s="37"/>
    </row>
    <row r="953" spans="1:5">
      <c r="A953" s="37"/>
      <c r="B953" s="36"/>
      <c r="C953" s="37"/>
      <c r="D953" s="36"/>
      <c r="E953" s="37"/>
    </row>
    <row r="954" spans="1:5">
      <c r="A954" s="37"/>
      <c r="B954" s="36"/>
      <c r="C954" s="37"/>
      <c r="D954" s="36"/>
      <c r="E954" s="37"/>
    </row>
    <row r="955" spans="1:5">
      <c r="A955" s="37"/>
      <c r="B955" s="36"/>
      <c r="C955" s="37"/>
      <c r="D955" s="36"/>
      <c r="E955" s="37"/>
    </row>
    <row r="956" spans="1:5">
      <c r="A956" s="37"/>
      <c r="B956" s="36"/>
      <c r="C956" s="37"/>
      <c r="D956" s="36"/>
      <c r="E956" s="37"/>
    </row>
    <row r="957" spans="1:5">
      <c r="A957" s="37"/>
      <c r="B957" s="36"/>
      <c r="C957" s="37"/>
      <c r="D957" s="36"/>
      <c r="E957" s="37"/>
    </row>
    <row r="958" spans="1:5">
      <c r="A958" s="37"/>
      <c r="B958" s="36"/>
      <c r="C958" s="37"/>
      <c r="D958" s="36"/>
      <c r="E958" s="37"/>
    </row>
    <row r="959" spans="1:5">
      <c r="A959" s="37"/>
      <c r="B959" s="36"/>
      <c r="C959" s="37"/>
      <c r="D959" s="36"/>
      <c r="E959" s="37"/>
    </row>
    <row r="960" spans="1:5">
      <c r="A960" s="37"/>
      <c r="B960" s="36"/>
      <c r="C960" s="37"/>
      <c r="D960" s="36"/>
      <c r="E960" s="37"/>
    </row>
    <row r="961" spans="1:5">
      <c r="A961" s="37"/>
      <c r="B961" s="36"/>
      <c r="C961" s="37"/>
      <c r="D961" s="36"/>
      <c r="E961" s="37"/>
    </row>
    <row r="962" spans="1:5">
      <c r="A962" s="37"/>
      <c r="B962" s="36"/>
      <c r="C962" s="37"/>
      <c r="D962" s="36"/>
      <c r="E962" s="37"/>
    </row>
    <row r="963" spans="1:5">
      <c r="A963" s="37"/>
      <c r="B963" s="36"/>
      <c r="C963" s="37"/>
      <c r="D963" s="36"/>
      <c r="E963" s="37"/>
    </row>
    <row r="964" spans="1:5">
      <c r="A964" s="37"/>
      <c r="B964" s="36"/>
      <c r="C964" s="37"/>
      <c r="D964" s="36"/>
      <c r="E964" s="37"/>
    </row>
    <row r="965" spans="1:5">
      <c r="A965" s="37"/>
      <c r="B965" s="36"/>
      <c r="C965" s="37"/>
      <c r="D965" s="36"/>
      <c r="E965" s="37"/>
    </row>
    <row r="966" spans="1:5">
      <c r="A966" s="37"/>
      <c r="B966" s="36"/>
      <c r="C966" s="37"/>
      <c r="D966" s="36"/>
      <c r="E966" s="37"/>
    </row>
    <row r="967" spans="1:5">
      <c r="A967" s="37"/>
      <c r="B967" s="36"/>
      <c r="C967" s="37"/>
      <c r="D967" s="36"/>
      <c r="E967" s="37"/>
    </row>
    <row r="968" spans="1:5">
      <c r="A968" s="37"/>
      <c r="B968" s="36"/>
      <c r="C968" s="37"/>
      <c r="D968" s="36"/>
      <c r="E968" s="37"/>
    </row>
    <row r="969" spans="1:5">
      <c r="A969" s="37"/>
      <c r="B969" s="36"/>
      <c r="C969" s="37"/>
      <c r="D969" s="36"/>
      <c r="E969" s="37"/>
    </row>
    <row r="970" spans="1:5">
      <c r="A970" s="37"/>
      <c r="B970" s="36"/>
      <c r="C970" s="37"/>
      <c r="D970" s="36"/>
      <c r="E970" s="37"/>
    </row>
    <row r="971" spans="1:5">
      <c r="A971" s="37"/>
      <c r="B971" s="36"/>
      <c r="C971" s="37"/>
      <c r="D971" s="36"/>
      <c r="E971" s="37"/>
    </row>
    <row r="972" spans="1:5">
      <c r="A972" s="37"/>
      <c r="B972" s="36"/>
      <c r="C972" s="37"/>
      <c r="D972" s="36"/>
      <c r="E972" s="37"/>
    </row>
    <row r="973" spans="1:5">
      <c r="A973" s="37"/>
      <c r="B973" s="36"/>
      <c r="C973" s="37"/>
      <c r="D973" s="36"/>
      <c r="E973" s="37"/>
    </row>
    <row r="974" spans="1:5">
      <c r="A974" s="37"/>
      <c r="B974" s="36"/>
      <c r="C974" s="37"/>
      <c r="D974" s="36"/>
      <c r="E974" s="37"/>
    </row>
    <row r="975" spans="1:5">
      <c r="A975" s="37"/>
      <c r="B975" s="36"/>
      <c r="C975" s="37"/>
      <c r="D975" s="36"/>
      <c r="E975" s="37"/>
    </row>
    <row r="976" spans="1:5">
      <c r="A976" s="37"/>
      <c r="B976" s="36"/>
      <c r="C976" s="37"/>
      <c r="D976" s="36"/>
      <c r="E976" s="37"/>
    </row>
    <row r="977" spans="1:5">
      <c r="A977" s="37"/>
      <c r="B977" s="36"/>
      <c r="C977" s="37"/>
      <c r="D977" s="36"/>
      <c r="E977" s="37"/>
    </row>
    <row r="978" spans="1:5">
      <c r="A978" s="37"/>
      <c r="B978" s="36"/>
      <c r="C978" s="37"/>
      <c r="D978" s="36"/>
      <c r="E978" s="37"/>
    </row>
    <row r="979" spans="1:5">
      <c r="A979" s="37"/>
      <c r="B979" s="36"/>
      <c r="C979" s="37"/>
      <c r="D979" s="36"/>
      <c r="E979" s="37"/>
    </row>
    <row r="980" spans="1:5">
      <c r="A980" s="37"/>
      <c r="B980" s="36"/>
      <c r="C980" s="37"/>
      <c r="D980" s="36"/>
      <c r="E980" s="37"/>
    </row>
    <row r="981" spans="1:5">
      <c r="A981" s="37"/>
      <c r="B981" s="36"/>
      <c r="C981" s="37"/>
      <c r="D981" s="36"/>
      <c r="E981" s="37"/>
    </row>
    <row r="982" spans="1:5">
      <c r="A982" s="37"/>
      <c r="B982" s="36"/>
      <c r="C982" s="37"/>
      <c r="D982" s="36"/>
      <c r="E982" s="37"/>
    </row>
    <row r="983" spans="1:5">
      <c r="A983" s="37"/>
      <c r="B983" s="36"/>
      <c r="C983" s="37"/>
      <c r="D983" s="36"/>
      <c r="E983" s="37"/>
    </row>
    <row r="984" spans="1:5">
      <c r="A984" s="37"/>
      <c r="B984" s="36"/>
      <c r="C984" s="37"/>
      <c r="D984" s="36"/>
      <c r="E984" s="37"/>
    </row>
    <row r="985" spans="1:5">
      <c r="A985" s="37"/>
      <c r="B985" s="36"/>
      <c r="C985" s="37"/>
      <c r="D985" s="36"/>
      <c r="E985" s="37"/>
    </row>
    <row r="986" spans="1:5">
      <c r="A986" s="37"/>
      <c r="B986" s="36"/>
      <c r="C986" s="37"/>
      <c r="D986" s="36"/>
      <c r="E986" s="37"/>
    </row>
    <row r="987" spans="1:5">
      <c r="A987" s="37"/>
      <c r="B987" s="36"/>
      <c r="C987" s="37"/>
      <c r="D987" s="36"/>
      <c r="E987" s="37"/>
    </row>
    <row r="988" spans="1:5">
      <c r="A988" s="37"/>
      <c r="B988" s="36"/>
      <c r="C988" s="37"/>
      <c r="D988" s="36"/>
      <c r="E988" s="37"/>
    </row>
    <row r="989" spans="1:5">
      <c r="A989" s="37"/>
      <c r="B989" s="36"/>
      <c r="C989" s="37"/>
      <c r="D989" s="36"/>
      <c r="E989" s="37"/>
    </row>
    <row r="990" spans="1:5">
      <c r="A990" s="37"/>
      <c r="B990" s="36"/>
      <c r="C990" s="37"/>
      <c r="D990" s="36"/>
      <c r="E990" s="37"/>
    </row>
    <row r="991" spans="1:5">
      <c r="A991" s="37"/>
      <c r="B991" s="36"/>
      <c r="C991" s="37"/>
      <c r="D991" s="36"/>
      <c r="E991" s="37"/>
    </row>
    <row r="992" spans="1:5">
      <c r="A992" s="37"/>
      <c r="B992" s="36"/>
      <c r="C992" s="37"/>
      <c r="D992" s="36"/>
      <c r="E992" s="37"/>
    </row>
    <row r="993" spans="1:5">
      <c r="A993" s="37"/>
      <c r="B993" s="36"/>
      <c r="C993" s="37"/>
      <c r="D993" s="36"/>
      <c r="E993" s="37"/>
    </row>
    <row r="994" spans="1:5">
      <c r="A994" s="37"/>
      <c r="B994" s="36"/>
      <c r="C994" s="37"/>
      <c r="D994" s="36"/>
      <c r="E994" s="37"/>
    </row>
    <row r="995" spans="1:5">
      <c r="A995" s="37"/>
      <c r="B995" s="36"/>
      <c r="C995" s="37"/>
      <c r="D995" s="36"/>
      <c r="E995" s="37"/>
    </row>
    <row r="996" spans="1:5">
      <c r="A996" s="37"/>
      <c r="B996" s="36"/>
      <c r="C996" s="37"/>
      <c r="D996" s="36"/>
      <c r="E996" s="37"/>
    </row>
    <row r="997" spans="1:5">
      <c r="A997" s="37"/>
      <c r="B997" s="36"/>
      <c r="C997" s="37"/>
      <c r="D997" s="36"/>
      <c r="E997" s="37"/>
    </row>
    <row r="998" spans="1:5">
      <c r="A998" s="37"/>
      <c r="B998" s="36"/>
      <c r="C998" s="37"/>
      <c r="D998" s="36"/>
      <c r="E998" s="37"/>
    </row>
    <row r="999" spans="1:5">
      <c r="A999" s="37"/>
      <c r="B999" s="36"/>
      <c r="C999" s="37"/>
      <c r="D999" s="36"/>
      <c r="E999" s="37"/>
    </row>
  </sheetData>
  <dataValidations count="1">
    <dataValidation allowBlank="1" showDropDown="1" sqref="A2:A999 C2:C999 E2:E999" xr:uid="{00000000-0002-0000-0500-000000000000}"/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99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9.140625" customWidth="1"/>
    <col min="2" max="2" width="30" customWidth="1"/>
    <col min="3" max="3" width="23" customWidth="1"/>
    <col min="4" max="4" width="29.42578125" customWidth="1"/>
    <col min="5" max="5" width="31.28515625" customWidth="1"/>
    <col min="6" max="6" width="23.28515625" customWidth="1"/>
    <col min="7" max="7" width="26" customWidth="1"/>
    <col min="8" max="8" width="31.140625" customWidth="1"/>
  </cols>
  <sheetData>
    <row r="1" spans="1:8">
      <c r="A1" s="11" t="s">
        <v>4</v>
      </c>
      <c r="B1" s="11" t="s">
        <v>291</v>
      </c>
      <c r="C1" s="11" t="s">
        <v>292</v>
      </c>
      <c r="D1" s="11" t="s">
        <v>293</v>
      </c>
      <c r="E1" s="11" t="s">
        <v>294</v>
      </c>
      <c r="F1" s="11" t="s">
        <v>295</v>
      </c>
      <c r="G1" s="11" t="s">
        <v>8</v>
      </c>
      <c r="H1" s="11" t="s">
        <v>296</v>
      </c>
    </row>
    <row r="2" spans="1:8">
      <c r="A2" s="38"/>
    </row>
    <row r="3" spans="1:8">
      <c r="A3" s="38"/>
    </row>
    <row r="4" spans="1:8">
      <c r="A4" s="38"/>
    </row>
    <row r="5" spans="1:8">
      <c r="A5" s="38"/>
    </row>
    <row r="6" spans="1:8">
      <c r="A6" s="38"/>
    </row>
    <row r="7" spans="1:8">
      <c r="A7" s="38"/>
    </row>
    <row r="8" spans="1:8">
      <c r="A8" s="38"/>
    </row>
    <row r="9" spans="1:8">
      <c r="A9" s="38"/>
    </row>
    <row r="10" spans="1:8">
      <c r="A10" s="38"/>
    </row>
    <row r="11" spans="1:8">
      <c r="A11" s="38"/>
    </row>
    <row r="12" spans="1:8">
      <c r="A12" s="38"/>
    </row>
    <row r="13" spans="1:8">
      <c r="A13" s="38"/>
    </row>
    <row r="14" spans="1:8">
      <c r="A14" s="38"/>
    </row>
    <row r="15" spans="1:8">
      <c r="A15" s="38"/>
    </row>
    <row r="16" spans="1:8">
      <c r="A16" s="38"/>
    </row>
    <row r="17" spans="1:1">
      <c r="A17" s="38"/>
    </row>
    <row r="18" spans="1:1">
      <c r="A18" s="38"/>
    </row>
    <row r="19" spans="1:1">
      <c r="A19" s="38"/>
    </row>
    <row r="20" spans="1:1">
      <c r="A20" s="38"/>
    </row>
    <row r="21" spans="1:1">
      <c r="A21" s="38"/>
    </row>
    <row r="22" spans="1:1">
      <c r="A22" s="38"/>
    </row>
    <row r="23" spans="1:1">
      <c r="A23" s="38"/>
    </row>
    <row r="24" spans="1:1">
      <c r="A24" s="38"/>
    </row>
    <row r="25" spans="1:1">
      <c r="A25" s="38"/>
    </row>
    <row r="26" spans="1:1">
      <c r="A26" s="38"/>
    </row>
    <row r="27" spans="1:1">
      <c r="A27" s="38"/>
    </row>
    <row r="28" spans="1:1">
      <c r="A28" s="38"/>
    </row>
    <row r="29" spans="1:1">
      <c r="A29" s="38"/>
    </row>
    <row r="30" spans="1:1">
      <c r="A30" s="38"/>
    </row>
    <row r="31" spans="1:1">
      <c r="A31" s="38"/>
    </row>
    <row r="32" spans="1:1">
      <c r="A32" s="38"/>
    </row>
    <row r="33" spans="1:1">
      <c r="A33" s="38"/>
    </row>
    <row r="34" spans="1:1">
      <c r="A34" s="38"/>
    </row>
    <row r="35" spans="1:1">
      <c r="A35" s="38"/>
    </row>
    <row r="36" spans="1:1">
      <c r="A36" s="38"/>
    </row>
    <row r="37" spans="1:1">
      <c r="A37" s="38"/>
    </row>
    <row r="38" spans="1:1">
      <c r="A38" s="38"/>
    </row>
    <row r="39" spans="1:1">
      <c r="A39" s="38"/>
    </row>
    <row r="40" spans="1:1">
      <c r="A40" s="38"/>
    </row>
    <row r="41" spans="1:1">
      <c r="A41" s="38"/>
    </row>
    <row r="42" spans="1:1">
      <c r="A42" s="38"/>
    </row>
    <row r="43" spans="1:1">
      <c r="A43" s="38"/>
    </row>
    <row r="44" spans="1:1">
      <c r="A44" s="38"/>
    </row>
    <row r="45" spans="1:1">
      <c r="A45" s="38"/>
    </row>
    <row r="46" spans="1:1">
      <c r="A46" s="38"/>
    </row>
    <row r="47" spans="1:1">
      <c r="A47" s="38"/>
    </row>
    <row r="48" spans="1:1">
      <c r="A48" s="38"/>
    </row>
    <row r="49" spans="1:1">
      <c r="A49" s="38"/>
    </row>
    <row r="50" spans="1:1">
      <c r="A50" s="38"/>
    </row>
    <row r="51" spans="1:1">
      <c r="A51" s="38"/>
    </row>
    <row r="52" spans="1:1">
      <c r="A52" s="38"/>
    </row>
    <row r="53" spans="1:1">
      <c r="A53" s="38"/>
    </row>
    <row r="54" spans="1:1">
      <c r="A54" s="38"/>
    </row>
    <row r="55" spans="1:1">
      <c r="A55" s="38"/>
    </row>
    <row r="56" spans="1:1">
      <c r="A56" s="38"/>
    </row>
    <row r="57" spans="1:1">
      <c r="A57" s="38"/>
    </row>
    <row r="58" spans="1:1">
      <c r="A58" s="38"/>
    </row>
    <row r="59" spans="1:1">
      <c r="A59" s="38"/>
    </row>
    <row r="60" spans="1:1">
      <c r="A60" s="38"/>
    </row>
    <row r="61" spans="1:1">
      <c r="A61" s="38"/>
    </row>
    <row r="62" spans="1:1">
      <c r="A62" s="38"/>
    </row>
    <row r="63" spans="1:1">
      <c r="A63" s="38"/>
    </row>
    <row r="64" spans="1:1">
      <c r="A64" s="38"/>
    </row>
    <row r="65" spans="1:1">
      <c r="A65" s="38"/>
    </row>
    <row r="66" spans="1:1">
      <c r="A66" s="38"/>
    </row>
    <row r="67" spans="1:1">
      <c r="A67" s="38"/>
    </row>
    <row r="68" spans="1:1">
      <c r="A68" s="38"/>
    </row>
    <row r="69" spans="1:1">
      <c r="A69" s="38"/>
    </row>
    <row r="70" spans="1:1">
      <c r="A70" s="38"/>
    </row>
    <row r="71" spans="1:1">
      <c r="A71" s="38"/>
    </row>
    <row r="72" spans="1:1">
      <c r="A72" s="38"/>
    </row>
    <row r="73" spans="1:1">
      <c r="A73" s="38"/>
    </row>
    <row r="74" spans="1:1">
      <c r="A74" s="38"/>
    </row>
    <row r="75" spans="1:1">
      <c r="A75" s="38"/>
    </row>
    <row r="76" spans="1:1">
      <c r="A76" s="38"/>
    </row>
    <row r="77" spans="1:1">
      <c r="A77" s="38"/>
    </row>
    <row r="78" spans="1:1">
      <c r="A78" s="38"/>
    </row>
    <row r="79" spans="1:1">
      <c r="A79" s="38"/>
    </row>
    <row r="80" spans="1:1">
      <c r="A80" s="38"/>
    </row>
    <row r="81" spans="1:1">
      <c r="A81" s="38"/>
    </row>
    <row r="82" spans="1:1">
      <c r="A82" s="38"/>
    </row>
    <row r="83" spans="1:1">
      <c r="A83" s="38"/>
    </row>
    <row r="84" spans="1:1">
      <c r="A84" s="38"/>
    </row>
    <row r="85" spans="1:1">
      <c r="A85" s="38"/>
    </row>
    <row r="86" spans="1:1">
      <c r="A86" s="38"/>
    </row>
    <row r="87" spans="1:1">
      <c r="A87" s="38"/>
    </row>
    <row r="88" spans="1:1">
      <c r="A88" s="38"/>
    </row>
    <row r="89" spans="1:1">
      <c r="A89" s="38"/>
    </row>
    <row r="90" spans="1:1">
      <c r="A90" s="38"/>
    </row>
    <row r="91" spans="1:1">
      <c r="A91" s="38"/>
    </row>
    <row r="92" spans="1:1">
      <c r="A92" s="38"/>
    </row>
    <row r="93" spans="1:1">
      <c r="A93" s="38"/>
    </row>
    <row r="94" spans="1:1">
      <c r="A94" s="38"/>
    </row>
    <row r="95" spans="1:1">
      <c r="A95" s="38"/>
    </row>
    <row r="96" spans="1:1">
      <c r="A96" s="38"/>
    </row>
    <row r="97" spans="1:1">
      <c r="A97" s="38"/>
    </row>
    <row r="98" spans="1:1">
      <c r="A98" s="38"/>
    </row>
    <row r="99" spans="1:1">
      <c r="A99" s="38"/>
    </row>
    <row r="100" spans="1:1">
      <c r="A100" s="38"/>
    </row>
    <row r="101" spans="1:1">
      <c r="A101" s="38"/>
    </row>
    <row r="102" spans="1:1">
      <c r="A102" s="38"/>
    </row>
    <row r="103" spans="1:1">
      <c r="A103" s="38"/>
    </row>
    <row r="104" spans="1:1">
      <c r="A104" s="38"/>
    </row>
    <row r="105" spans="1:1">
      <c r="A105" s="38"/>
    </row>
    <row r="106" spans="1:1">
      <c r="A106" s="38"/>
    </row>
    <row r="107" spans="1:1">
      <c r="A107" s="38"/>
    </row>
    <row r="108" spans="1:1">
      <c r="A108" s="38"/>
    </row>
    <row r="109" spans="1:1">
      <c r="A109" s="38"/>
    </row>
    <row r="110" spans="1:1">
      <c r="A110" s="38"/>
    </row>
    <row r="111" spans="1:1">
      <c r="A111" s="38"/>
    </row>
    <row r="112" spans="1:1">
      <c r="A112" s="38"/>
    </row>
    <row r="113" spans="1:1">
      <c r="A113" s="38"/>
    </row>
    <row r="114" spans="1:1">
      <c r="A114" s="38"/>
    </row>
    <row r="115" spans="1:1">
      <c r="A115" s="38"/>
    </row>
    <row r="116" spans="1:1">
      <c r="A116" s="38"/>
    </row>
    <row r="117" spans="1:1">
      <c r="A117" s="38"/>
    </row>
    <row r="118" spans="1:1">
      <c r="A118" s="38"/>
    </row>
    <row r="119" spans="1:1">
      <c r="A119" s="38"/>
    </row>
    <row r="120" spans="1:1">
      <c r="A120" s="38"/>
    </row>
    <row r="121" spans="1:1">
      <c r="A121" s="38"/>
    </row>
    <row r="122" spans="1:1">
      <c r="A122" s="38"/>
    </row>
    <row r="123" spans="1:1">
      <c r="A123" s="38"/>
    </row>
    <row r="124" spans="1:1">
      <c r="A124" s="38"/>
    </row>
    <row r="125" spans="1:1">
      <c r="A125" s="38"/>
    </row>
    <row r="126" spans="1:1">
      <c r="A126" s="38"/>
    </row>
    <row r="127" spans="1:1">
      <c r="A127" s="38"/>
    </row>
    <row r="128" spans="1:1">
      <c r="A128" s="38"/>
    </row>
    <row r="129" spans="1:1">
      <c r="A129" s="38"/>
    </row>
    <row r="130" spans="1:1">
      <c r="A130" s="38"/>
    </row>
    <row r="131" spans="1:1">
      <c r="A131" s="38"/>
    </row>
    <row r="132" spans="1:1">
      <c r="A132" s="38"/>
    </row>
    <row r="133" spans="1:1">
      <c r="A133" s="38"/>
    </row>
    <row r="134" spans="1:1">
      <c r="A134" s="38"/>
    </row>
    <row r="135" spans="1:1">
      <c r="A135" s="38"/>
    </row>
    <row r="136" spans="1:1">
      <c r="A136" s="38"/>
    </row>
    <row r="137" spans="1:1">
      <c r="A137" s="38"/>
    </row>
    <row r="138" spans="1:1">
      <c r="A138" s="38"/>
    </row>
    <row r="139" spans="1:1">
      <c r="A139" s="38"/>
    </row>
    <row r="140" spans="1:1">
      <c r="A140" s="38"/>
    </row>
    <row r="141" spans="1:1">
      <c r="A141" s="38"/>
    </row>
    <row r="142" spans="1:1">
      <c r="A142" s="38"/>
    </row>
    <row r="143" spans="1:1">
      <c r="A143" s="38"/>
    </row>
    <row r="144" spans="1:1">
      <c r="A144" s="38"/>
    </row>
    <row r="145" spans="1:1">
      <c r="A145" s="38"/>
    </row>
    <row r="146" spans="1:1">
      <c r="A146" s="38"/>
    </row>
    <row r="147" spans="1:1">
      <c r="A147" s="38"/>
    </row>
    <row r="148" spans="1:1">
      <c r="A148" s="38"/>
    </row>
    <row r="149" spans="1:1">
      <c r="A149" s="38"/>
    </row>
    <row r="150" spans="1:1">
      <c r="A150" s="38"/>
    </row>
    <row r="151" spans="1:1">
      <c r="A151" s="38"/>
    </row>
    <row r="152" spans="1:1">
      <c r="A152" s="38"/>
    </row>
    <row r="153" spans="1:1">
      <c r="A153" s="38"/>
    </row>
    <row r="154" spans="1:1">
      <c r="A154" s="38"/>
    </row>
    <row r="155" spans="1:1">
      <c r="A155" s="38"/>
    </row>
    <row r="156" spans="1:1">
      <c r="A156" s="38"/>
    </row>
    <row r="157" spans="1:1">
      <c r="A157" s="38"/>
    </row>
    <row r="158" spans="1:1">
      <c r="A158" s="38"/>
    </row>
    <row r="159" spans="1:1">
      <c r="A159" s="38"/>
    </row>
    <row r="160" spans="1:1">
      <c r="A160" s="38"/>
    </row>
    <row r="161" spans="1:1">
      <c r="A161" s="38"/>
    </row>
    <row r="162" spans="1:1">
      <c r="A162" s="38"/>
    </row>
    <row r="163" spans="1:1">
      <c r="A163" s="38"/>
    </row>
    <row r="164" spans="1:1">
      <c r="A164" s="38"/>
    </row>
    <row r="165" spans="1:1">
      <c r="A165" s="38"/>
    </row>
    <row r="166" spans="1:1">
      <c r="A166" s="38"/>
    </row>
    <row r="167" spans="1:1">
      <c r="A167" s="38"/>
    </row>
    <row r="168" spans="1:1">
      <c r="A168" s="38"/>
    </row>
    <row r="169" spans="1:1">
      <c r="A169" s="38"/>
    </row>
    <row r="170" spans="1:1">
      <c r="A170" s="38"/>
    </row>
    <row r="171" spans="1:1">
      <c r="A171" s="38"/>
    </row>
    <row r="172" spans="1:1">
      <c r="A172" s="38"/>
    </row>
    <row r="173" spans="1:1">
      <c r="A173" s="38"/>
    </row>
    <row r="174" spans="1:1">
      <c r="A174" s="38"/>
    </row>
    <row r="175" spans="1:1">
      <c r="A175" s="38"/>
    </row>
    <row r="176" spans="1:1">
      <c r="A176" s="38"/>
    </row>
    <row r="177" spans="1:1">
      <c r="A177" s="38"/>
    </row>
    <row r="178" spans="1:1">
      <c r="A178" s="38"/>
    </row>
    <row r="179" spans="1:1">
      <c r="A179" s="38"/>
    </row>
    <row r="180" spans="1:1">
      <c r="A180" s="38"/>
    </row>
    <row r="181" spans="1:1">
      <c r="A181" s="38"/>
    </row>
    <row r="182" spans="1:1">
      <c r="A182" s="38"/>
    </row>
    <row r="183" spans="1:1">
      <c r="A183" s="38"/>
    </row>
    <row r="184" spans="1:1">
      <c r="A184" s="38"/>
    </row>
    <row r="185" spans="1:1">
      <c r="A185" s="38"/>
    </row>
    <row r="186" spans="1:1">
      <c r="A186" s="38"/>
    </row>
    <row r="187" spans="1:1">
      <c r="A187" s="38"/>
    </row>
    <row r="188" spans="1:1">
      <c r="A188" s="38"/>
    </row>
    <row r="189" spans="1:1">
      <c r="A189" s="38"/>
    </row>
    <row r="190" spans="1:1">
      <c r="A190" s="38"/>
    </row>
    <row r="191" spans="1:1">
      <c r="A191" s="38"/>
    </row>
    <row r="192" spans="1:1">
      <c r="A192" s="38"/>
    </row>
    <row r="193" spans="1:1">
      <c r="A193" s="38"/>
    </row>
    <row r="194" spans="1:1">
      <c r="A194" s="38"/>
    </row>
    <row r="195" spans="1:1">
      <c r="A195" s="38"/>
    </row>
    <row r="196" spans="1:1">
      <c r="A196" s="38"/>
    </row>
    <row r="197" spans="1:1">
      <c r="A197" s="38"/>
    </row>
    <row r="198" spans="1:1">
      <c r="A198" s="38"/>
    </row>
    <row r="199" spans="1:1">
      <c r="A199" s="38"/>
    </row>
    <row r="200" spans="1:1">
      <c r="A200" s="38"/>
    </row>
    <row r="201" spans="1:1">
      <c r="A201" s="38"/>
    </row>
    <row r="202" spans="1:1">
      <c r="A202" s="38"/>
    </row>
    <row r="203" spans="1:1">
      <c r="A203" s="38"/>
    </row>
    <row r="204" spans="1:1">
      <c r="A204" s="38"/>
    </row>
    <row r="205" spans="1:1">
      <c r="A205" s="38"/>
    </row>
    <row r="206" spans="1:1">
      <c r="A206" s="38"/>
    </row>
    <row r="207" spans="1:1">
      <c r="A207" s="38"/>
    </row>
    <row r="208" spans="1:1">
      <c r="A208" s="38"/>
    </row>
    <row r="209" spans="1:1">
      <c r="A209" s="38"/>
    </row>
    <row r="210" spans="1:1">
      <c r="A210" s="38"/>
    </row>
    <row r="211" spans="1:1">
      <c r="A211" s="38"/>
    </row>
    <row r="212" spans="1:1">
      <c r="A212" s="38"/>
    </row>
    <row r="213" spans="1:1">
      <c r="A213" s="38"/>
    </row>
    <row r="214" spans="1:1">
      <c r="A214" s="38"/>
    </row>
    <row r="215" spans="1:1">
      <c r="A215" s="38"/>
    </row>
    <row r="216" spans="1:1">
      <c r="A216" s="38"/>
    </row>
    <row r="217" spans="1:1">
      <c r="A217" s="38"/>
    </row>
    <row r="218" spans="1:1">
      <c r="A218" s="38"/>
    </row>
    <row r="219" spans="1:1">
      <c r="A219" s="38"/>
    </row>
    <row r="220" spans="1:1">
      <c r="A220" s="38"/>
    </row>
    <row r="221" spans="1:1">
      <c r="A221" s="38"/>
    </row>
    <row r="222" spans="1:1">
      <c r="A222" s="38"/>
    </row>
    <row r="223" spans="1:1">
      <c r="A223" s="38"/>
    </row>
    <row r="224" spans="1:1">
      <c r="A224" s="38"/>
    </row>
    <row r="225" spans="1:1">
      <c r="A225" s="38"/>
    </row>
    <row r="226" spans="1:1">
      <c r="A226" s="38"/>
    </row>
    <row r="227" spans="1:1">
      <c r="A227" s="38"/>
    </row>
    <row r="228" spans="1:1">
      <c r="A228" s="38"/>
    </row>
    <row r="229" spans="1:1">
      <c r="A229" s="38"/>
    </row>
    <row r="230" spans="1:1">
      <c r="A230" s="38"/>
    </row>
    <row r="231" spans="1:1">
      <c r="A231" s="38"/>
    </row>
    <row r="232" spans="1:1">
      <c r="A232" s="38"/>
    </row>
    <row r="233" spans="1:1">
      <c r="A233" s="38"/>
    </row>
    <row r="234" spans="1:1">
      <c r="A234" s="38"/>
    </row>
    <row r="235" spans="1:1">
      <c r="A235" s="38"/>
    </row>
    <row r="236" spans="1:1">
      <c r="A236" s="38"/>
    </row>
    <row r="237" spans="1:1">
      <c r="A237" s="38"/>
    </row>
    <row r="238" spans="1:1">
      <c r="A238" s="38"/>
    </row>
    <row r="239" spans="1:1">
      <c r="A239" s="38"/>
    </row>
    <row r="240" spans="1:1">
      <c r="A240" s="38"/>
    </row>
    <row r="241" spans="1:1">
      <c r="A241" s="38"/>
    </row>
    <row r="242" spans="1:1">
      <c r="A242" s="38"/>
    </row>
    <row r="243" spans="1:1">
      <c r="A243" s="38"/>
    </row>
    <row r="244" spans="1:1">
      <c r="A244" s="38"/>
    </row>
    <row r="245" spans="1:1">
      <c r="A245" s="38"/>
    </row>
    <row r="246" spans="1:1">
      <c r="A246" s="38"/>
    </row>
    <row r="247" spans="1:1">
      <c r="A247" s="38"/>
    </row>
    <row r="248" spans="1:1">
      <c r="A248" s="38"/>
    </row>
    <row r="249" spans="1:1">
      <c r="A249" s="38"/>
    </row>
    <row r="250" spans="1:1">
      <c r="A250" s="38"/>
    </row>
    <row r="251" spans="1:1">
      <c r="A251" s="38"/>
    </row>
    <row r="252" spans="1:1">
      <c r="A252" s="38"/>
    </row>
    <row r="253" spans="1:1">
      <c r="A253" s="38"/>
    </row>
    <row r="254" spans="1:1">
      <c r="A254" s="38"/>
    </row>
    <row r="255" spans="1:1">
      <c r="A255" s="38"/>
    </row>
    <row r="256" spans="1:1">
      <c r="A256" s="38"/>
    </row>
    <row r="257" spans="1:1">
      <c r="A257" s="38"/>
    </row>
    <row r="258" spans="1:1">
      <c r="A258" s="38"/>
    </row>
    <row r="259" spans="1:1">
      <c r="A259" s="38"/>
    </row>
    <row r="260" spans="1:1">
      <c r="A260" s="38"/>
    </row>
    <row r="261" spans="1:1">
      <c r="A261" s="38"/>
    </row>
    <row r="262" spans="1:1">
      <c r="A262" s="38"/>
    </row>
    <row r="263" spans="1:1">
      <c r="A263" s="38"/>
    </row>
    <row r="264" spans="1:1">
      <c r="A264" s="38"/>
    </row>
    <row r="265" spans="1:1">
      <c r="A265" s="38"/>
    </row>
    <row r="266" spans="1:1">
      <c r="A266" s="38"/>
    </row>
    <row r="267" spans="1:1">
      <c r="A267" s="38"/>
    </row>
    <row r="268" spans="1:1">
      <c r="A268" s="38"/>
    </row>
    <row r="269" spans="1:1">
      <c r="A269" s="38"/>
    </row>
    <row r="270" spans="1:1">
      <c r="A270" s="38"/>
    </row>
    <row r="271" spans="1:1">
      <c r="A271" s="38"/>
    </row>
    <row r="272" spans="1:1">
      <c r="A272" s="38"/>
    </row>
    <row r="273" spans="1:1">
      <c r="A273" s="38"/>
    </row>
    <row r="274" spans="1:1">
      <c r="A274" s="38"/>
    </row>
    <row r="275" spans="1:1">
      <c r="A275" s="38"/>
    </row>
    <row r="276" spans="1:1">
      <c r="A276" s="38"/>
    </row>
    <row r="277" spans="1:1">
      <c r="A277" s="38"/>
    </row>
    <row r="278" spans="1:1">
      <c r="A278" s="38"/>
    </row>
    <row r="279" spans="1:1">
      <c r="A279" s="38"/>
    </row>
    <row r="280" spans="1:1">
      <c r="A280" s="38"/>
    </row>
    <row r="281" spans="1:1">
      <c r="A281" s="38"/>
    </row>
    <row r="282" spans="1:1">
      <c r="A282" s="38"/>
    </row>
    <row r="283" spans="1:1">
      <c r="A283" s="38"/>
    </row>
    <row r="284" spans="1:1">
      <c r="A284" s="38"/>
    </row>
    <row r="285" spans="1:1">
      <c r="A285" s="38"/>
    </row>
    <row r="286" spans="1:1">
      <c r="A286" s="38"/>
    </row>
    <row r="287" spans="1:1">
      <c r="A287" s="38"/>
    </row>
    <row r="288" spans="1:1">
      <c r="A288" s="38"/>
    </row>
    <row r="289" spans="1:1">
      <c r="A289" s="38"/>
    </row>
    <row r="290" spans="1:1">
      <c r="A290" s="38"/>
    </row>
    <row r="291" spans="1:1">
      <c r="A291" s="38"/>
    </row>
    <row r="292" spans="1:1">
      <c r="A292" s="38"/>
    </row>
    <row r="293" spans="1:1">
      <c r="A293" s="38"/>
    </row>
    <row r="294" spans="1:1">
      <c r="A294" s="38"/>
    </row>
    <row r="295" spans="1:1">
      <c r="A295" s="38"/>
    </row>
    <row r="296" spans="1:1">
      <c r="A296" s="38"/>
    </row>
    <row r="297" spans="1:1">
      <c r="A297" s="38"/>
    </row>
    <row r="298" spans="1:1">
      <c r="A298" s="38"/>
    </row>
    <row r="299" spans="1:1">
      <c r="A299" s="38"/>
    </row>
    <row r="300" spans="1:1">
      <c r="A300" s="38"/>
    </row>
    <row r="301" spans="1:1">
      <c r="A301" s="38"/>
    </row>
    <row r="302" spans="1:1">
      <c r="A302" s="38"/>
    </row>
    <row r="303" spans="1:1">
      <c r="A303" s="38"/>
    </row>
    <row r="304" spans="1:1">
      <c r="A304" s="38"/>
    </row>
    <row r="305" spans="1:1">
      <c r="A305" s="38"/>
    </row>
    <row r="306" spans="1:1">
      <c r="A306" s="38"/>
    </row>
    <row r="307" spans="1:1">
      <c r="A307" s="38"/>
    </row>
    <row r="308" spans="1:1">
      <c r="A308" s="38"/>
    </row>
    <row r="309" spans="1:1">
      <c r="A309" s="38"/>
    </row>
    <row r="310" spans="1:1">
      <c r="A310" s="38"/>
    </row>
    <row r="311" spans="1:1">
      <c r="A311" s="38"/>
    </row>
    <row r="312" spans="1:1">
      <c r="A312" s="38"/>
    </row>
    <row r="313" spans="1:1">
      <c r="A313" s="38"/>
    </row>
    <row r="314" spans="1:1">
      <c r="A314" s="38"/>
    </row>
    <row r="315" spans="1:1">
      <c r="A315" s="38"/>
    </row>
    <row r="316" spans="1:1">
      <c r="A316" s="38"/>
    </row>
    <row r="317" spans="1:1">
      <c r="A317" s="38"/>
    </row>
    <row r="318" spans="1:1">
      <c r="A318" s="38"/>
    </row>
    <row r="319" spans="1:1">
      <c r="A319" s="38"/>
    </row>
    <row r="320" spans="1:1">
      <c r="A320" s="38"/>
    </row>
    <row r="321" spans="1:1">
      <c r="A321" s="38"/>
    </row>
    <row r="322" spans="1:1">
      <c r="A322" s="38"/>
    </row>
    <row r="323" spans="1:1">
      <c r="A323" s="38"/>
    </row>
    <row r="324" spans="1:1">
      <c r="A324" s="38"/>
    </row>
    <row r="325" spans="1:1">
      <c r="A325" s="38"/>
    </row>
    <row r="326" spans="1:1">
      <c r="A326" s="38"/>
    </row>
    <row r="327" spans="1:1">
      <c r="A327" s="38"/>
    </row>
    <row r="328" spans="1:1">
      <c r="A328" s="38"/>
    </row>
    <row r="329" spans="1:1">
      <c r="A329" s="38"/>
    </row>
    <row r="330" spans="1:1">
      <c r="A330" s="38"/>
    </row>
    <row r="331" spans="1:1">
      <c r="A331" s="38"/>
    </row>
    <row r="332" spans="1:1">
      <c r="A332" s="38"/>
    </row>
    <row r="333" spans="1:1">
      <c r="A333" s="38"/>
    </row>
    <row r="334" spans="1:1">
      <c r="A334" s="38"/>
    </row>
    <row r="335" spans="1:1">
      <c r="A335" s="38"/>
    </row>
    <row r="336" spans="1:1">
      <c r="A336" s="38"/>
    </row>
    <row r="337" spans="1:1">
      <c r="A337" s="38"/>
    </row>
    <row r="338" spans="1:1">
      <c r="A338" s="38"/>
    </row>
    <row r="339" spans="1:1">
      <c r="A339" s="38"/>
    </row>
    <row r="340" spans="1:1">
      <c r="A340" s="38"/>
    </row>
    <row r="341" spans="1:1">
      <c r="A341" s="38"/>
    </row>
    <row r="342" spans="1:1">
      <c r="A342" s="38"/>
    </row>
    <row r="343" spans="1:1">
      <c r="A343" s="38"/>
    </row>
    <row r="344" spans="1:1">
      <c r="A344" s="38"/>
    </row>
    <row r="345" spans="1:1">
      <c r="A345" s="38"/>
    </row>
    <row r="346" spans="1:1">
      <c r="A346" s="38"/>
    </row>
    <row r="347" spans="1:1">
      <c r="A347" s="38"/>
    </row>
    <row r="348" spans="1:1">
      <c r="A348" s="38"/>
    </row>
    <row r="349" spans="1:1">
      <c r="A349" s="38"/>
    </row>
    <row r="350" spans="1:1">
      <c r="A350" s="38"/>
    </row>
    <row r="351" spans="1:1">
      <c r="A351" s="38"/>
    </row>
    <row r="352" spans="1:1">
      <c r="A352" s="38"/>
    </row>
    <row r="353" spans="1:1">
      <c r="A353" s="38"/>
    </row>
    <row r="354" spans="1:1">
      <c r="A354" s="38"/>
    </row>
    <row r="355" spans="1:1">
      <c r="A355" s="38"/>
    </row>
    <row r="356" spans="1:1">
      <c r="A356" s="38"/>
    </row>
    <row r="357" spans="1:1">
      <c r="A357" s="38"/>
    </row>
    <row r="358" spans="1:1">
      <c r="A358" s="38"/>
    </row>
    <row r="359" spans="1:1">
      <c r="A359" s="38"/>
    </row>
    <row r="360" spans="1:1">
      <c r="A360" s="38"/>
    </row>
    <row r="361" spans="1:1">
      <c r="A361" s="38"/>
    </row>
    <row r="362" spans="1:1">
      <c r="A362" s="38"/>
    </row>
    <row r="363" spans="1:1">
      <c r="A363" s="38"/>
    </row>
    <row r="364" spans="1:1">
      <c r="A364" s="38"/>
    </row>
    <row r="365" spans="1:1">
      <c r="A365" s="38"/>
    </row>
    <row r="366" spans="1:1">
      <c r="A366" s="38"/>
    </row>
    <row r="367" spans="1:1">
      <c r="A367" s="38"/>
    </row>
    <row r="368" spans="1:1">
      <c r="A368" s="38"/>
    </row>
    <row r="369" spans="1:1">
      <c r="A369" s="38"/>
    </row>
    <row r="370" spans="1:1">
      <c r="A370" s="38"/>
    </row>
    <row r="371" spans="1:1">
      <c r="A371" s="38"/>
    </row>
    <row r="372" spans="1:1">
      <c r="A372" s="38"/>
    </row>
    <row r="373" spans="1:1">
      <c r="A373" s="38"/>
    </row>
    <row r="374" spans="1:1">
      <c r="A374" s="38"/>
    </row>
    <row r="375" spans="1:1">
      <c r="A375" s="38"/>
    </row>
    <row r="376" spans="1:1">
      <c r="A376" s="38"/>
    </row>
    <row r="377" spans="1:1">
      <c r="A377" s="38"/>
    </row>
    <row r="378" spans="1:1">
      <c r="A378" s="38"/>
    </row>
    <row r="379" spans="1:1">
      <c r="A379" s="38"/>
    </row>
    <row r="380" spans="1:1">
      <c r="A380" s="38"/>
    </row>
    <row r="381" spans="1:1">
      <c r="A381" s="38"/>
    </row>
    <row r="382" spans="1:1">
      <c r="A382" s="38"/>
    </row>
    <row r="383" spans="1:1">
      <c r="A383" s="38"/>
    </row>
    <row r="384" spans="1:1">
      <c r="A384" s="38"/>
    </row>
    <row r="385" spans="1:1">
      <c r="A385" s="38"/>
    </row>
    <row r="386" spans="1:1">
      <c r="A386" s="38"/>
    </row>
    <row r="387" spans="1:1">
      <c r="A387" s="38"/>
    </row>
    <row r="388" spans="1:1">
      <c r="A388" s="38"/>
    </row>
    <row r="389" spans="1:1">
      <c r="A389" s="38"/>
    </row>
    <row r="390" spans="1:1">
      <c r="A390" s="38"/>
    </row>
    <row r="391" spans="1:1">
      <c r="A391" s="38"/>
    </row>
    <row r="392" spans="1:1">
      <c r="A392" s="38"/>
    </row>
    <row r="393" spans="1:1">
      <c r="A393" s="38"/>
    </row>
    <row r="394" spans="1:1">
      <c r="A394" s="38"/>
    </row>
    <row r="395" spans="1:1">
      <c r="A395" s="38"/>
    </row>
    <row r="396" spans="1:1">
      <c r="A396" s="38"/>
    </row>
    <row r="397" spans="1:1">
      <c r="A397" s="38"/>
    </row>
    <row r="398" spans="1:1">
      <c r="A398" s="38"/>
    </row>
    <row r="399" spans="1:1">
      <c r="A399" s="38"/>
    </row>
    <row r="400" spans="1:1">
      <c r="A400" s="38"/>
    </row>
    <row r="401" spans="1:1">
      <c r="A401" s="38"/>
    </row>
    <row r="402" spans="1:1">
      <c r="A402" s="38"/>
    </row>
    <row r="403" spans="1:1">
      <c r="A403" s="38"/>
    </row>
    <row r="404" spans="1:1">
      <c r="A404" s="38"/>
    </row>
    <row r="405" spans="1:1">
      <c r="A405" s="38"/>
    </row>
    <row r="406" spans="1:1">
      <c r="A406" s="38"/>
    </row>
    <row r="407" spans="1:1">
      <c r="A407" s="38"/>
    </row>
    <row r="408" spans="1:1">
      <c r="A408" s="38"/>
    </row>
    <row r="409" spans="1:1">
      <c r="A409" s="38"/>
    </row>
    <row r="410" spans="1:1">
      <c r="A410" s="38"/>
    </row>
    <row r="411" spans="1:1">
      <c r="A411" s="38"/>
    </row>
    <row r="412" spans="1:1">
      <c r="A412" s="38"/>
    </row>
    <row r="413" spans="1:1">
      <c r="A413" s="38"/>
    </row>
    <row r="414" spans="1:1">
      <c r="A414" s="38"/>
    </row>
    <row r="415" spans="1:1">
      <c r="A415" s="38"/>
    </row>
    <row r="416" spans="1:1">
      <c r="A416" s="38"/>
    </row>
    <row r="417" spans="1:1">
      <c r="A417" s="38"/>
    </row>
    <row r="418" spans="1:1">
      <c r="A418" s="38"/>
    </row>
    <row r="419" spans="1:1">
      <c r="A419" s="38"/>
    </row>
    <row r="420" spans="1:1">
      <c r="A420" s="38"/>
    </row>
    <row r="421" spans="1:1">
      <c r="A421" s="38"/>
    </row>
    <row r="422" spans="1:1">
      <c r="A422" s="38"/>
    </row>
    <row r="423" spans="1:1">
      <c r="A423" s="38"/>
    </row>
    <row r="424" spans="1:1">
      <c r="A424" s="38"/>
    </row>
    <row r="425" spans="1:1">
      <c r="A425" s="38"/>
    </row>
    <row r="426" spans="1:1">
      <c r="A426" s="38"/>
    </row>
    <row r="427" spans="1:1">
      <c r="A427" s="38"/>
    </row>
    <row r="428" spans="1:1">
      <c r="A428" s="38"/>
    </row>
    <row r="429" spans="1:1">
      <c r="A429" s="38"/>
    </row>
    <row r="430" spans="1:1">
      <c r="A430" s="38"/>
    </row>
    <row r="431" spans="1:1">
      <c r="A431" s="38"/>
    </row>
    <row r="432" spans="1:1">
      <c r="A432" s="38"/>
    </row>
    <row r="433" spans="1:1">
      <c r="A433" s="38"/>
    </row>
    <row r="434" spans="1:1">
      <c r="A434" s="38"/>
    </row>
    <row r="435" spans="1:1">
      <c r="A435" s="38"/>
    </row>
    <row r="436" spans="1:1">
      <c r="A436" s="38"/>
    </row>
    <row r="437" spans="1:1">
      <c r="A437" s="38"/>
    </row>
    <row r="438" spans="1:1">
      <c r="A438" s="38"/>
    </row>
    <row r="439" spans="1:1">
      <c r="A439" s="38"/>
    </row>
    <row r="440" spans="1:1">
      <c r="A440" s="38"/>
    </row>
    <row r="441" spans="1:1">
      <c r="A441" s="38"/>
    </row>
    <row r="442" spans="1:1">
      <c r="A442" s="38"/>
    </row>
    <row r="443" spans="1:1">
      <c r="A443" s="38"/>
    </row>
    <row r="444" spans="1:1">
      <c r="A444" s="38"/>
    </row>
    <row r="445" spans="1:1">
      <c r="A445" s="38"/>
    </row>
    <row r="446" spans="1:1">
      <c r="A446" s="38"/>
    </row>
    <row r="447" spans="1:1">
      <c r="A447" s="38"/>
    </row>
    <row r="448" spans="1:1">
      <c r="A448" s="38"/>
    </row>
    <row r="449" spans="1:1">
      <c r="A449" s="38"/>
    </row>
    <row r="450" spans="1:1">
      <c r="A450" s="38"/>
    </row>
    <row r="451" spans="1:1">
      <c r="A451" s="38"/>
    </row>
    <row r="452" spans="1:1">
      <c r="A452" s="38"/>
    </row>
    <row r="453" spans="1:1">
      <c r="A453" s="38"/>
    </row>
    <row r="454" spans="1:1">
      <c r="A454" s="38"/>
    </row>
    <row r="455" spans="1:1">
      <c r="A455" s="38"/>
    </row>
    <row r="456" spans="1:1">
      <c r="A456" s="38"/>
    </row>
    <row r="457" spans="1:1">
      <c r="A457" s="38"/>
    </row>
    <row r="458" spans="1:1">
      <c r="A458" s="38"/>
    </row>
    <row r="459" spans="1:1">
      <c r="A459" s="38"/>
    </row>
    <row r="460" spans="1:1">
      <c r="A460" s="38"/>
    </row>
    <row r="461" spans="1:1">
      <c r="A461" s="38"/>
    </row>
    <row r="462" spans="1:1">
      <c r="A462" s="38"/>
    </row>
    <row r="463" spans="1:1">
      <c r="A463" s="38"/>
    </row>
    <row r="464" spans="1:1">
      <c r="A464" s="38"/>
    </row>
    <row r="465" spans="1:1">
      <c r="A465" s="38"/>
    </row>
    <row r="466" spans="1:1">
      <c r="A466" s="38"/>
    </row>
    <row r="467" spans="1:1">
      <c r="A467" s="38"/>
    </row>
    <row r="468" spans="1:1">
      <c r="A468" s="38"/>
    </row>
    <row r="469" spans="1:1">
      <c r="A469" s="38"/>
    </row>
    <row r="470" spans="1:1">
      <c r="A470" s="38"/>
    </row>
    <row r="471" spans="1:1">
      <c r="A471" s="38"/>
    </row>
    <row r="472" spans="1:1">
      <c r="A472" s="38"/>
    </row>
    <row r="473" spans="1:1">
      <c r="A473" s="38"/>
    </row>
    <row r="474" spans="1:1">
      <c r="A474" s="38"/>
    </row>
    <row r="475" spans="1:1">
      <c r="A475" s="38"/>
    </row>
    <row r="476" spans="1:1">
      <c r="A476" s="38"/>
    </row>
    <row r="477" spans="1:1">
      <c r="A477" s="38"/>
    </row>
    <row r="478" spans="1:1">
      <c r="A478" s="38"/>
    </row>
    <row r="479" spans="1:1">
      <c r="A479" s="38"/>
    </row>
    <row r="480" spans="1:1">
      <c r="A480" s="38"/>
    </row>
    <row r="481" spans="1:1">
      <c r="A481" s="38"/>
    </row>
    <row r="482" spans="1:1">
      <c r="A482" s="38"/>
    </row>
    <row r="483" spans="1:1">
      <c r="A483" s="38"/>
    </row>
    <row r="484" spans="1:1">
      <c r="A484" s="38"/>
    </row>
    <row r="485" spans="1:1">
      <c r="A485" s="38"/>
    </row>
    <row r="486" spans="1:1">
      <c r="A486" s="38"/>
    </row>
    <row r="487" spans="1:1">
      <c r="A487" s="38"/>
    </row>
    <row r="488" spans="1:1">
      <c r="A488" s="38"/>
    </row>
    <row r="489" spans="1:1">
      <c r="A489" s="38"/>
    </row>
    <row r="490" spans="1:1">
      <c r="A490" s="38"/>
    </row>
    <row r="491" spans="1:1">
      <c r="A491" s="38"/>
    </row>
    <row r="492" spans="1:1">
      <c r="A492" s="38"/>
    </row>
    <row r="493" spans="1:1">
      <c r="A493" s="38"/>
    </row>
    <row r="494" spans="1:1">
      <c r="A494" s="38"/>
    </row>
    <row r="495" spans="1:1">
      <c r="A495" s="38"/>
    </row>
    <row r="496" spans="1:1">
      <c r="A496" s="38"/>
    </row>
    <row r="497" spans="1:1">
      <c r="A497" s="38"/>
    </row>
    <row r="498" spans="1:1">
      <c r="A498" s="38"/>
    </row>
    <row r="499" spans="1:1">
      <c r="A499" s="38"/>
    </row>
    <row r="500" spans="1:1">
      <c r="A500" s="38"/>
    </row>
    <row r="501" spans="1:1">
      <c r="A501" s="38"/>
    </row>
    <row r="502" spans="1:1">
      <c r="A502" s="38"/>
    </row>
    <row r="503" spans="1:1">
      <c r="A503" s="38"/>
    </row>
    <row r="504" spans="1:1">
      <c r="A504" s="38"/>
    </row>
    <row r="505" spans="1:1">
      <c r="A505" s="38"/>
    </row>
    <row r="506" spans="1:1">
      <c r="A506" s="38"/>
    </row>
    <row r="507" spans="1:1">
      <c r="A507" s="38"/>
    </row>
    <row r="508" spans="1:1">
      <c r="A508" s="38"/>
    </row>
    <row r="509" spans="1:1">
      <c r="A509" s="38"/>
    </row>
    <row r="510" spans="1:1">
      <c r="A510" s="38"/>
    </row>
    <row r="511" spans="1:1">
      <c r="A511" s="38"/>
    </row>
    <row r="512" spans="1:1">
      <c r="A512" s="38"/>
    </row>
    <row r="513" spans="1:1">
      <c r="A513" s="38"/>
    </row>
    <row r="514" spans="1:1">
      <c r="A514" s="38"/>
    </row>
    <row r="515" spans="1:1">
      <c r="A515" s="38"/>
    </row>
    <row r="516" spans="1:1">
      <c r="A516" s="38"/>
    </row>
    <row r="517" spans="1:1">
      <c r="A517" s="38"/>
    </row>
    <row r="518" spans="1:1">
      <c r="A518" s="38"/>
    </row>
    <row r="519" spans="1:1">
      <c r="A519" s="38"/>
    </row>
    <row r="520" spans="1:1">
      <c r="A520" s="38"/>
    </row>
    <row r="521" spans="1:1">
      <c r="A521" s="38"/>
    </row>
    <row r="522" spans="1:1">
      <c r="A522" s="38"/>
    </row>
    <row r="523" spans="1:1">
      <c r="A523" s="38"/>
    </row>
    <row r="524" spans="1:1">
      <c r="A524" s="38"/>
    </row>
    <row r="525" spans="1:1">
      <c r="A525" s="38"/>
    </row>
    <row r="526" spans="1:1">
      <c r="A526" s="38"/>
    </row>
    <row r="527" spans="1:1">
      <c r="A527" s="38"/>
    </row>
    <row r="528" spans="1:1">
      <c r="A528" s="38"/>
    </row>
    <row r="529" spans="1:1">
      <c r="A529" s="38"/>
    </row>
    <row r="530" spans="1:1">
      <c r="A530" s="38"/>
    </row>
    <row r="531" spans="1:1">
      <c r="A531" s="38"/>
    </row>
    <row r="532" spans="1:1">
      <c r="A532" s="38"/>
    </row>
    <row r="533" spans="1:1">
      <c r="A533" s="38"/>
    </row>
    <row r="534" spans="1:1">
      <c r="A534" s="38"/>
    </row>
    <row r="535" spans="1:1">
      <c r="A535" s="38"/>
    </row>
    <row r="536" spans="1:1">
      <c r="A536" s="38"/>
    </row>
    <row r="537" spans="1:1">
      <c r="A537" s="38"/>
    </row>
    <row r="538" spans="1:1">
      <c r="A538" s="38"/>
    </row>
    <row r="539" spans="1:1">
      <c r="A539" s="38"/>
    </row>
    <row r="540" spans="1:1">
      <c r="A540" s="38"/>
    </row>
    <row r="541" spans="1:1">
      <c r="A541" s="38"/>
    </row>
    <row r="542" spans="1:1">
      <c r="A542" s="38"/>
    </row>
    <row r="543" spans="1:1">
      <c r="A543" s="38"/>
    </row>
    <row r="544" spans="1:1">
      <c r="A544" s="38"/>
    </row>
    <row r="545" spans="1:1">
      <c r="A545" s="38"/>
    </row>
    <row r="546" spans="1:1">
      <c r="A546" s="38"/>
    </row>
    <row r="547" spans="1:1">
      <c r="A547" s="38"/>
    </row>
    <row r="548" spans="1:1">
      <c r="A548" s="38"/>
    </row>
    <row r="549" spans="1:1">
      <c r="A549" s="38"/>
    </row>
    <row r="550" spans="1:1">
      <c r="A550" s="38"/>
    </row>
    <row r="551" spans="1:1">
      <c r="A551" s="38"/>
    </row>
    <row r="552" spans="1:1">
      <c r="A552" s="38"/>
    </row>
    <row r="553" spans="1:1">
      <c r="A553" s="38"/>
    </row>
    <row r="554" spans="1:1">
      <c r="A554" s="38"/>
    </row>
    <row r="555" spans="1:1">
      <c r="A555" s="38"/>
    </row>
    <row r="556" spans="1:1">
      <c r="A556" s="38"/>
    </row>
    <row r="557" spans="1:1">
      <c r="A557" s="38"/>
    </row>
    <row r="558" spans="1:1">
      <c r="A558" s="38"/>
    </row>
    <row r="559" spans="1:1">
      <c r="A559" s="38"/>
    </row>
    <row r="560" spans="1:1">
      <c r="A560" s="38"/>
    </row>
    <row r="561" spans="1:1">
      <c r="A561" s="38"/>
    </row>
    <row r="562" spans="1:1">
      <c r="A562" s="38"/>
    </row>
    <row r="563" spans="1:1">
      <c r="A563" s="38"/>
    </row>
    <row r="564" spans="1:1">
      <c r="A564" s="38"/>
    </row>
    <row r="565" spans="1:1">
      <c r="A565" s="38"/>
    </row>
    <row r="566" spans="1:1">
      <c r="A566" s="38"/>
    </row>
    <row r="567" spans="1:1">
      <c r="A567" s="38"/>
    </row>
    <row r="568" spans="1:1">
      <c r="A568" s="38"/>
    </row>
    <row r="569" spans="1:1">
      <c r="A569" s="38"/>
    </row>
    <row r="570" spans="1:1">
      <c r="A570" s="38"/>
    </row>
    <row r="571" spans="1:1">
      <c r="A571" s="38"/>
    </row>
    <row r="572" spans="1:1">
      <c r="A572" s="38"/>
    </row>
    <row r="573" spans="1:1">
      <c r="A573" s="38"/>
    </row>
    <row r="574" spans="1:1">
      <c r="A574" s="38"/>
    </row>
    <row r="575" spans="1:1">
      <c r="A575" s="38"/>
    </row>
    <row r="576" spans="1:1">
      <c r="A576" s="38"/>
    </row>
    <row r="577" spans="1:1">
      <c r="A577" s="38"/>
    </row>
    <row r="578" spans="1:1">
      <c r="A578" s="38"/>
    </row>
    <row r="579" spans="1:1">
      <c r="A579" s="38"/>
    </row>
    <row r="580" spans="1:1">
      <c r="A580" s="38"/>
    </row>
    <row r="581" spans="1:1">
      <c r="A581" s="38"/>
    </row>
    <row r="582" spans="1:1">
      <c r="A582" s="38"/>
    </row>
    <row r="583" spans="1:1">
      <c r="A583" s="38"/>
    </row>
    <row r="584" spans="1:1">
      <c r="A584" s="38"/>
    </row>
    <row r="585" spans="1:1">
      <c r="A585" s="38"/>
    </row>
    <row r="586" spans="1:1">
      <c r="A586" s="38"/>
    </row>
    <row r="587" spans="1:1">
      <c r="A587" s="38"/>
    </row>
    <row r="588" spans="1:1">
      <c r="A588" s="38"/>
    </row>
    <row r="589" spans="1:1">
      <c r="A589" s="38"/>
    </row>
    <row r="590" spans="1:1">
      <c r="A590" s="38"/>
    </row>
    <row r="591" spans="1:1">
      <c r="A591" s="38"/>
    </row>
    <row r="592" spans="1:1">
      <c r="A592" s="38"/>
    </row>
    <row r="593" spans="1:1">
      <c r="A593" s="38"/>
    </row>
    <row r="594" spans="1:1">
      <c r="A594" s="38"/>
    </row>
    <row r="595" spans="1:1">
      <c r="A595" s="38"/>
    </row>
    <row r="596" spans="1:1">
      <c r="A596" s="38"/>
    </row>
    <row r="597" spans="1:1">
      <c r="A597" s="38"/>
    </row>
    <row r="598" spans="1:1">
      <c r="A598" s="38"/>
    </row>
    <row r="599" spans="1:1">
      <c r="A599" s="38"/>
    </row>
    <row r="600" spans="1:1">
      <c r="A600" s="38"/>
    </row>
    <row r="601" spans="1:1">
      <c r="A601" s="38"/>
    </row>
    <row r="602" spans="1:1">
      <c r="A602" s="38"/>
    </row>
    <row r="603" spans="1:1">
      <c r="A603" s="38"/>
    </row>
    <row r="604" spans="1:1">
      <c r="A604" s="38"/>
    </row>
    <row r="605" spans="1:1">
      <c r="A605" s="38"/>
    </row>
    <row r="606" spans="1:1">
      <c r="A606" s="38"/>
    </row>
    <row r="607" spans="1:1">
      <c r="A607" s="38"/>
    </row>
    <row r="608" spans="1:1">
      <c r="A608" s="38"/>
    </row>
    <row r="609" spans="1:1">
      <c r="A609" s="38"/>
    </row>
    <row r="610" spans="1:1">
      <c r="A610" s="38"/>
    </row>
    <row r="611" spans="1:1">
      <c r="A611" s="38"/>
    </row>
    <row r="612" spans="1:1">
      <c r="A612" s="38"/>
    </row>
    <row r="613" spans="1:1">
      <c r="A613" s="38"/>
    </row>
    <row r="614" spans="1:1">
      <c r="A614" s="38"/>
    </row>
    <row r="615" spans="1:1">
      <c r="A615" s="38"/>
    </row>
    <row r="616" spans="1:1">
      <c r="A616" s="38"/>
    </row>
    <row r="617" spans="1:1">
      <c r="A617" s="38"/>
    </row>
    <row r="618" spans="1:1">
      <c r="A618" s="38"/>
    </row>
    <row r="619" spans="1:1">
      <c r="A619" s="38"/>
    </row>
    <row r="620" spans="1:1">
      <c r="A620" s="38"/>
    </row>
    <row r="621" spans="1:1">
      <c r="A621" s="38"/>
    </row>
    <row r="622" spans="1:1">
      <c r="A622" s="38"/>
    </row>
    <row r="623" spans="1:1">
      <c r="A623" s="38"/>
    </row>
    <row r="624" spans="1:1">
      <c r="A624" s="38"/>
    </row>
    <row r="625" spans="1:1">
      <c r="A625" s="38"/>
    </row>
    <row r="626" spans="1:1">
      <c r="A626" s="38"/>
    </row>
    <row r="627" spans="1:1">
      <c r="A627" s="38"/>
    </row>
    <row r="628" spans="1:1">
      <c r="A628" s="38"/>
    </row>
    <row r="629" spans="1:1">
      <c r="A629" s="38"/>
    </row>
    <row r="630" spans="1:1">
      <c r="A630" s="38"/>
    </row>
    <row r="631" spans="1:1">
      <c r="A631" s="38"/>
    </row>
    <row r="632" spans="1:1">
      <c r="A632" s="38"/>
    </row>
    <row r="633" spans="1:1">
      <c r="A633" s="38"/>
    </row>
    <row r="634" spans="1:1">
      <c r="A634" s="38"/>
    </row>
    <row r="635" spans="1:1">
      <c r="A635" s="38"/>
    </row>
    <row r="636" spans="1:1">
      <c r="A636" s="38"/>
    </row>
    <row r="637" spans="1:1">
      <c r="A637" s="38"/>
    </row>
    <row r="638" spans="1:1">
      <c r="A638" s="38"/>
    </row>
    <row r="639" spans="1:1">
      <c r="A639" s="38"/>
    </row>
    <row r="640" spans="1:1">
      <c r="A640" s="38"/>
    </row>
    <row r="641" spans="1:1">
      <c r="A641" s="38"/>
    </row>
    <row r="642" spans="1:1">
      <c r="A642" s="38"/>
    </row>
    <row r="643" spans="1:1">
      <c r="A643" s="38"/>
    </row>
    <row r="644" spans="1:1">
      <c r="A644" s="38"/>
    </row>
    <row r="645" spans="1:1">
      <c r="A645" s="38"/>
    </row>
    <row r="646" spans="1:1">
      <c r="A646" s="38"/>
    </row>
    <row r="647" spans="1:1">
      <c r="A647" s="38"/>
    </row>
    <row r="648" spans="1:1">
      <c r="A648" s="38"/>
    </row>
    <row r="649" spans="1:1">
      <c r="A649" s="38"/>
    </row>
    <row r="650" spans="1:1">
      <c r="A650" s="38"/>
    </row>
    <row r="651" spans="1:1">
      <c r="A651" s="38"/>
    </row>
    <row r="652" spans="1:1">
      <c r="A652" s="38"/>
    </row>
    <row r="653" spans="1:1">
      <c r="A653" s="38"/>
    </row>
    <row r="654" spans="1:1">
      <c r="A654" s="38"/>
    </row>
    <row r="655" spans="1:1">
      <c r="A655" s="38"/>
    </row>
    <row r="656" spans="1:1">
      <c r="A656" s="38"/>
    </row>
    <row r="657" spans="1:1">
      <c r="A657" s="38"/>
    </row>
    <row r="658" spans="1:1">
      <c r="A658" s="38"/>
    </row>
    <row r="659" spans="1:1">
      <c r="A659" s="38"/>
    </row>
    <row r="660" spans="1:1">
      <c r="A660" s="38"/>
    </row>
    <row r="661" spans="1:1">
      <c r="A661" s="38"/>
    </row>
    <row r="662" spans="1:1">
      <c r="A662" s="38"/>
    </row>
    <row r="663" spans="1:1">
      <c r="A663" s="38"/>
    </row>
    <row r="664" spans="1:1">
      <c r="A664" s="38"/>
    </row>
    <row r="665" spans="1:1">
      <c r="A665" s="38"/>
    </row>
    <row r="666" spans="1:1">
      <c r="A666" s="38"/>
    </row>
    <row r="667" spans="1:1">
      <c r="A667" s="38"/>
    </row>
    <row r="668" spans="1:1">
      <c r="A668" s="38"/>
    </row>
    <row r="669" spans="1:1">
      <c r="A669" s="38"/>
    </row>
    <row r="670" spans="1:1">
      <c r="A670" s="38"/>
    </row>
    <row r="671" spans="1:1">
      <c r="A671" s="38"/>
    </row>
    <row r="672" spans="1:1">
      <c r="A672" s="38"/>
    </row>
    <row r="673" spans="1:1">
      <c r="A673" s="38"/>
    </row>
    <row r="674" spans="1:1">
      <c r="A674" s="38"/>
    </row>
    <row r="675" spans="1:1">
      <c r="A675" s="38"/>
    </row>
    <row r="676" spans="1:1">
      <c r="A676" s="38"/>
    </row>
    <row r="677" spans="1:1">
      <c r="A677" s="38"/>
    </row>
    <row r="678" spans="1:1">
      <c r="A678" s="38"/>
    </row>
    <row r="679" spans="1:1">
      <c r="A679" s="38"/>
    </row>
    <row r="680" spans="1:1">
      <c r="A680" s="38"/>
    </row>
    <row r="681" spans="1:1">
      <c r="A681" s="38"/>
    </row>
    <row r="682" spans="1:1">
      <c r="A682" s="38"/>
    </row>
    <row r="683" spans="1:1">
      <c r="A683" s="38"/>
    </row>
    <row r="684" spans="1:1">
      <c r="A684" s="38"/>
    </row>
    <row r="685" spans="1:1">
      <c r="A685" s="38"/>
    </row>
    <row r="686" spans="1:1">
      <c r="A686" s="38"/>
    </row>
    <row r="687" spans="1:1">
      <c r="A687" s="38"/>
    </row>
    <row r="688" spans="1:1">
      <c r="A688" s="38"/>
    </row>
    <row r="689" spans="1:1">
      <c r="A689" s="38"/>
    </row>
    <row r="690" spans="1:1">
      <c r="A690" s="38"/>
    </row>
    <row r="691" spans="1:1">
      <c r="A691" s="38"/>
    </row>
    <row r="692" spans="1:1">
      <c r="A692" s="38"/>
    </row>
    <row r="693" spans="1:1">
      <c r="A693" s="38"/>
    </row>
    <row r="694" spans="1:1">
      <c r="A694" s="38"/>
    </row>
    <row r="695" spans="1:1">
      <c r="A695" s="38"/>
    </row>
    <row r="696" spans="1:1">
      <c r="A696" s="38"/>
    </row>
    <row r="697" spans="1:1">
      <c r="A697" s="38"/>
    </row>
    <row r="698" spans="1:1">
      <c r="A698" s="38"/>
    </row>
    <row r="699" spans="1:1">
      <c r="A699" s="38"/>
    </row>
    <row r="700" spans="1:1">
      <c r="A700" s="38"/>
    </row>
    <row r="701" spans="1:1">
      <c r="A701" s="38"/>
    </row>
    <row r="702" spans="1:1">
      <c r="A702" s="38"/>
    </row>
    <row r="703" spans="1:1">
      <c r="A703" s="38"/>
    </row>
    <row r="704" spans="1:1">
      <c r="A704" s="38"/>
    </row>
    <row r="705" spans="1:1">
      <c r="A705" s="38"/>
    </row>
    <row r="706" spans="1:1">
      <c r="A706" s="38"/>
    </row>
    <row r="707" spans="1:1">
      <c r="A707" s="38"/>
    </row>
    <row r="708" spans="1:1">
      <c r="A708" s="38"/>
    </row>
    <row r="709" spans="1:1">
      <c r="A709" s="38"/>
    </row>
    <row r="710" spans="1:1">
      <c r="A710" s="38"/>
    </row>
    <row r="711" spans="1:1">
      <c r="A711" s="38"/>
    </row>
    <row r="712" spans="1:1">
      <c r="A712" s="38"/>
    </row>
    <row r="713" spans="1:1">
      <c r="A713" s="38"/>
    </row>
    <row r="714" spans="1:1">
      <c r="A714" s="38"/>
    </row>
    <row r="715" spans="1:1">
      <c r="A715" s="38"/>
    </row>
    <row r="716" spans="1:1">
      <c r="A716" s="38"/>
    </row>
    <row r="717" spans="1:1">
      <c r="A717" s="38"/>
    </row>
    <row r="718" spans="1:1">
      <c r="A718" s="38"/>
    </row>
    <row r="719" spans="1:1">
      <c r="A719" s="38"/>
    </row>
    <row r="720" spans="1:1">
      <c r="A720" s="38"/>
    </row>
    <row r="721" spans="1:1">
      <c r="A721" s="38"/>
    </row>
    <row r="722" spans="1:1">
      <c r="A722" s="38"/>
    </row>
    <row r="723" spans="1:1">
      <c r="A723" s="38"/>
    </row>
    <row r="724" spans="1:1">
      <c r="A724" s="38"/>
    </row>
    <row r="725" spans="1:1">
      <c r="A725" s="38"/>
    </row>
    <row r="726" spans="1:1">
      <c r="A726" s="38"/>
    </row>
    <row r="727" spans="1:1">
      <c r="A727" s="38"/>
    </row>
    <row r="728" spans="1:1">
      <c r="A728" s="38"/>
    </row>
    <row r="729" spans="1:1">
      <c r="A729" s="38"/>
    </row>
    <row r="730" spans="1:1">
      <c r="A730" s="38"/>
    </row>
    <row r="731" spans="1:1">
      <c r="A731" s="38"/>
    </row>
    <row r="732" spans="1:1">
      <c r="A732" s="38"/>
    </row>
    <row r="733" spans="1:1">
      <c r="A733" s="38"/>
    </row>
    <row r="734" spans="1:1">
      <c r="A734" s="38"/>
    </row>
    <row r="735" spans="1:1">
      <c r="A735" s="38"/>
    </row>
    <row r="736" spans="1:1">
      <c r="A736" s="38"/>
    </row>
    <row r="737" spans="1:1">
      <c r="A737" s="38"/>
    </row>
    <row r="738" spans="1:1">
      <c r="A738" s="38"/>
    </row>
    <row r="739" spans="1:1">
      <c r="A739" s="38"/>
    </row>
    <row r="740" spans="1:1">
      <c r="A740" s="38"/>
    </row>
    <row r="741" spans="1:1">
      <c r="A741" s="38"/>
    </row>
    <row r="742" spans="1:1">
      <c r="A742" s="38"/>
    </row>
    <row r="743" spans="1:1">
      <c r="A743" s="38"/>
    </row>
    <row r="744" spans="1:1">
      <c r="A744" s="38"/>
    </row>
    <row r="745" spans="1:1">
      <c r="A745" s="38"/>
    </row>
    <row r="746" spans="1:1">
      <c r="A746" s="38"/>
    </row>
    <row r="747" spans="1:1">
      <c r="A747" s="38"/>
    </row>
    <row r="748" spans="1:1">
      <c r="A748" s="38"/>
    </row>
    <row r="749" spans="1:1">
      <c r="A749" s="38"/>
    </row>
    <row r="750" spans="1:1">
      <c r="A750" s="38"/>
    </row>
    <row r="751" spans="1:1">
      <c r="A751" s="38"/>
    </row>
    <row r="752" spans="1:1">
      <c r="A752" s="38"/>
    </row>
    <row r="753" spans="1:1">
      <c r="A753" s="38"/>
    </row>
    <row r="754" spans="1:1">
      <c r="A754" s="38"/>
    </row>
    <row r="755" spans="1:1">
      <c r="A755" s="38"/>
    </row>
    <row r="756" spans="1:1">
      <c r="A756" s="38"/>
    </row>
    <row r="757" spans="1:1">
      <c r="A757" s="38"/>
    </row>
    <row r="758" spans="1:1">
      <c r="A758" s="38"/>
    </row>
    <row r="759" spans="1:1">
      <c r="A759" s="38"/>
    </row>
    <row r="760" spans="1:1">
      <c r="A760" s="38"/>
    </row>
    <row r="761" spans="1:1">
      <c r="A761" s="38"/>
    </row>
    <row r="762" spans="1:1">
      <c r="A762" s="38"/>
    </row>
    <row r="763" spans="1:1">
      <c r="A763" s="38"/>
    </row>
    <row r="764" spans="1:1">
      <c r="A764" s="38"/>
    </row>
    <row r="765" spans="1:1">
      <c r="A765" s="38"/>
    </row>
    <row r="766" spans="1:1">
      <c r="A766" s="38"/>
    </row>
    <row r="767" spans="1:1">
      <c r="A767" s="38"/>
    </row>
    <row r="768" spans="1:1">
      <c r="A768" s="38"/>
    </row>
    <row r="769" spans="1:1">
      <c r="A769" s="38"/>
    </row>
    <row r="770" spans="1:1">
      <c r="A770" s="38"/>
    </row>
    <row r="771" spans="1:1">
      <c r="A771" s="38"/>
    </row>
    <row r="772" spans="1:1">
      <c r="A772" s="38"/>
    </row>
    <row r="773" spans="1:1">
      <c r="A773" s="38"/>
    </row>
    <row r="774" spans="1:1">
      <c r="A774" s="38"/>
    </row>
    <row r="775" spans="1:1">
      <c r="A775" s="38"/>
    </row>
    <row r="776" spans="1:1">
      <c r="A776" s="38"/>
    </row>
    <row r="777" spans="1:1">
      <c r="A777" s="38"/>
    </row>
    <row r="778" spans="1:1">
      <c r="A778" s="38"/>
    </row>
    <row r="779" spans="1:1">
      <c r="A779" s="38"/>
    </row>
    <row r="780" spans="1:1">
      <c r="A780" s="38"/>
    </row>
    <row r="781" spans="1:1">
      <c r="A781" s="38"/>
    </row>
    <row r="782" spans="1:1">
      <c r="A782" s="38"/>
    </row>
    <row r="783" spans="1:1">
      <c r="A783" s="38"/>
    </row>
    <row r="784" spans="1:1">
      <c r="A784" s="38"/>
    </row>
    <row r="785" spans="1:1">
      <c r="A785" s="38"/>
    </row>
    <row r="786" spans="1:1">
      <c r="A786" s="38"/>
    </row>
    <row r="787" spans="1:1">
      <c r="A787" s="38"/>
    </row>
    <row r="788" spans="1:1">
      <c r="A788" s="38"/>
    </row>
    <row r="789" spans="1:1">
      <c r="A789" s="38"/>
    </row>
    <row r="790" spans="1:1">
      <c r="A790" s="38"/>
    </row>
    <row r="791" spans="1:1">
      <c r="A791" s="38"/>
    </row>
    <row r="792" spans="1:1">
      <c r="A792" s="38"/>
    </row>
    <row r="793" spans="1:1">
      <c r="A793" s="38"/>
    </row>
    <row r="794" spans="1:1">
      <c r="A794" s="38"/>
    </row>
    <row r="795" spans="1:1">
      <c r="A795" s="38"/>
    </row>
    <row r="796" spans="1:1">
      <c r="A796" s="38"/>
    </row>
    <row r="797" spans="1:1">
      <c r="A797" s="38"/>
    </row>
    <row r="798" spans="1:1">
      <c r="A798" s="38"/>
    </row>
    <row r="799" spans="1:1">
      <c r="A799" s="38"/>
    </row>
    <row r="800" spans="1:1">
      <c r="A800" s="38"/>
    </row>
    <row r="801" spans="1:1">
      <c r="A801" s="38"/>
    </row>
    <row r="802" spans="1:1">
      <c r="A802" s="38"/>
    </row>
    <row r="803" spans="1:1">
      <c r="A803" s="38"/>
    </row>
    <row r="804" spans="1:1">
      <c r="A804" s="38"/>
    </row>
    <row r="805" spans="1:1">
      <c r="A805" s="38"/>
    </row>
    <row r="806" spans="1:1">
      <c r="A806" s="38"/>
    </row>
    <row r="807" spans="1:1">
      <c r="A807" s="38"/>
    </row>
    <row r="808" spans="1:1">
      <c r="A808" s="38"/>
    </row>
    <row r="809" spans="1:1">
      <c r="A809" s="38"/>
    </row>
    <row r="810" spans="1:1">
      <c r="A810" s="38"/>
    </row>
    <row r="811" spans="1:1">
      <c r="A811" s="38"/>
    </row>
    <row r="812" spans="1:1">
      <c r="A812" s="38"/>
    </row>
    <row r="813" spans="1:1">
      <c r="A813" s="38"/>
    </row>
    <row r="814" spans="1:1">
      <c r="A814" s="38"/>
    </row>
    <row r="815" spans="1:1">
      <c r="A815" s="38"/>
    </row>
    <row r="816" spans="1:1">
      <c r="A816" s="38"/>
    </row>
    <row r="817" spans="1:1">
      <c r="A817" s="38"/>
    </row>
    <row r="818" spans="1:1">
      <c r="A818" s="38"/>
    </row>
    <row r="819" spans="1:1">
      <c r="A819" s="38"/>
    </row>
    <row r="820" spans="1:1">
      <c r="A820" s="38"/>
    </row>
    <row r="821" spans="1:1">
      <c r="A821" s="38"/>
    </row>
    <row r="822" spans="1:1">
      <c r="A822" s="38"/>
    </row>
    <row r="823" spans="1:1">
      <c r="A823" s="38"/>
    </row>
    <row r="824" spans="1:1">
      <c r="A824" s="38"/>
    </row>
    <row r="825" spans="1:1">
      <c r="A825" s="38"/>
    </row>
    <row r="826" spans="1:1">
      <c r="A826" s="38"/>
    </row>
    <row r="827" spans="1:1">
      <c r="A827" s="38"/>
    </row>
    <row r="828" spans="1:1">
      <c r="A828" s="38"/>
    </row>
    <row r="829" spans="1:1">
      <c r="A829" s="38"/>
    </row>
    <row r="830" spans="1:1">
      <c r="A830" s="38"/>
    </row>
    <row r="831" spans="1:1">
      <c r="A831" s="38"/>
    </row>
    <row r="832" spans="1:1">
      <c r="A832" s="38"/>
    </row>
    <row r="833" spans="1:1">
      <c r="A833" s="38"/>
    </row>
    <row r="834" spans="1:1">
      <c r="A834" s="38"/>
    </row>
    <row r="835" spans="1:1">
      <c r="A835" s="38"/>
    </row>
    <row r="836" spans="1:1">
      <c r="A836" s="38"/>
    </row>
    <row r="837" spans="1:1">
      <c r="A837" s="38"/>
    </row>
    <row r="838" spans="1:1">
      <c r="A838" s="38"/>
    </row>
    <row r="839" spans="1:1">
      <c r="A839" s="38"/>
    </row>
    <row r="840" spans="1:1">
      <c r="A840" s="38"/>
    </row>
    <row r="841" spans="1:1">
      <c r="A841" s="38"/>
    </row>
    <row r="842" spans="1:1">
      <c r="A842" s="38"/>
    </row>
    <row r="843" spans="1:1">
      <c r="A843" s="38"/>
    </row>
    <row r="844" spans="1:1">
      <c r="A844" s="38"/>
    </row>
    <row r="845" spans="1:1">
      <c r="A845" s="38"/>
    </row>
    <row r="846" spans="1:1">
      <c r="A846" s="38"/>
    </row>
    <row r="847" spans="1:1">
      <c r="A847" s="38"/>
    </row>
    <row r="848" spans="1:1">
      <c r="A848" s="38"/>
    </row>
    <row r="849" spans="1:1">
      <c r="A849" s="38"/>
    </row>
    <row r="850" spans="1:1">
      <c r="A850" s="38"/>
    </row>
    <row r="851" spans="1:1">
      <c r="A851" s="38"/>
    </row>
    <row r="852" spans="1:1">
      <c r="A852" s="38"/>
    </row>
    <row r="853" spans="1:1">
      <c r="A853" s="38"/>
    </row>
    <row r="854" spans="1:1">
      <c r="A854" s="38"/>
    </row>
    <row r="855" spans="1:1">
      <c r="A855" s="38"/>
    </row>
    <row r="856" spans="1:1">
      <c r="A856" s="38"/>
    </row>
    <row r="857" spans="1:1">
      <c r="A857" s="38"/>
    </row>
    <row r="858" spans="1:1">
      <c r="A858" s="38"/>
    </row>
    <row r="859" spans="1:1">
      <c r="A859" s="38"/>
    </row>
    <row r="860" spans="1:1">
      <c r="A860" s="38"/>
    </row>
    <row r="861" spans="1:1">
      <c r="A861" s="38"/>
    </row>
    <row r="862" spans="1:1">
      <c r="A862" s="38"/>
    </row>
    <row r="863" spans="1:1">
      <c r="A863" s="38"/>
    </row>
    <row r="864" spans="1:1">
      <c r="A864" s="38"/>
    </row>
    <row r="865" spans="1:1">
      <c r="A865" s="38"/>
    </row>
    <row r="866" spans="1:1">
      <c r="A866" s="38"/>
    </row>
    <row r="867" spans="1:1">
      <c r="A867" s="38"/>
    </row>
    <row r="868" spans="1:1">
      <c r="A868" s="38"/>
    </row>
    <row r="869" spans="1:1">
      <c r="A869" s="38"/>
    </row>
    <row r="870" spans="1:1">
      <c r="A870" s="38"/>
    </row>
    <row r="871" spans="1:1">
      <c r="A871" s="38"/>
    </row>
    <row r="872" spans="1:1">
      <c r="A872" s="38"/>
    </row>
    <row r="873" spans="1:1">
      <c r="A873" s="38"/>
    </row>
    <row r="874" spans="1:1">
      <c r="A874" s="38"/>
    </row>
    <row r="875" spans="1:1">
      <c r="A875" s="38"/>
    </row>
    <row r="876" spans="1:1">
      <c r="A876" s="38"/>
    </row>
    <row r="877" spans="1:1">
      <c r="A877" s="38"/>
    </row>
    <row r="878" spans="1:1">
      <c r="A878" s="38"/>
    </row>
    <row r="879" spans="1:1">
      <c r="A879" s="38"/>
    </row>
    <row r="880" spans="1:1">
      <c r="A880" s="38"/>
    </row>
    <row r="881" spans="1:1">
      <c r="A881" s="38"/>
    </row>
    <row r="882" spans="1:1">
      <c r="A882" s="38"/>
    </row>
    <row r="883" spans="1:1">
      <c r="A883" s="38"/>
    </row>
    <row r="884" spans="1:1">
      <c r="A884" s="38"/>
    </row>
    <row r="885" spans="1:1">
      <c r="A885" s="38"/>
    </row>
    <row r="886" spans="1:1">
      <c r="A886" s="38"/>
    </row>
    <row r="887" spans="1:1">
      <c r="A887" s="38"/>
    </row>
    <row r="888" spans="1:1">
      <c r="A888" s="38"/>
    </row>
    <row r="889" spans="1:1">
      <c r="A889" s="38"/>
    </row>
    <row r="890" spans="1:1">
      <c r="A890" s="38"/>
    </row>
    <row r="891" spans="1:1">
      <c r="A891" s="38"/>
    </row>
    <row r="892" spans="1:1">
      <c r="A892" s="38"/>
    </row>
    <row r="893" spans="1:1">
      <c r="A893" s="38"/>
    </row>
    <row r="894" spans="1:1">
      <c r="A894" s="38"/>
    </row>
    <row r="895" spans="1:1">
      <c r="A895" s="38"/>
    </row>
    <row r="896" spans="1:1">
      <c r="A896" s="38"/>
    </row>
    <row r="897" spans="1:1">
      <c r="A897" s="38"/>
    </row>
    <row r="898" spans="1:1">
      <c r="A898" s="38"/>
    </row>
    <row r="899" spans="1:1">
      <c r="A899" s="38"/>
    </row>
    <row r="900" spans="1:1">
      <c r="A900" s="38"/>
    </row>
    <row r="901" spans="1:1">
      <c r="A901" s="38"/>
    </row>
    <row r="902" spans="1:1">
      <c r="A902" s="38"/>
    </row>
    <row r="903" spans="1:1">
      <c r="A903" s="38"/>
    </row>
    <row r="904" spans="1:1">
      <c r="A904" s="38"/>
    </row>
    <row r="905" spans="1:1">
      <c r="A905" s="38"/>
    </row>
    <row r="906" spans="1:1">
      <c r="A906" s="38"/>
    </row>
    <row r="907" spans="1:1">
      <c r="A907" s="38"/>
    </row>
    <row r="908" spans="1:1">
      <c r="A908" s="38"/>
    </row>
    <row r="909" spans="1:1">
      <c r="A909" s="38"/>
    </row>
    <row r="910" spans="1:1">
      <c r="A910" s="38"/>
    </row>
    <row r="911" spans="1:1">
      <c r="A911" s="38"/>
    </row>
    <row r="912" spans="1:1">
      <c r="A912" s="38"/>
    </row>
    <row r="913" spans="1:1">
      <c r="A913" s="38"/>
    </row>
    <row r="914" spans="1:1">
      <c r="A914" s="38"/>
    </row>
    <row r="915" spans="1:1">
      <c r="A915" s="38"/>
    </row>
    <row r="916" spans="1:1">
      <c r="A916" s="38"/>
    </row>
    <row r="917" spans="1:1">
      <c r="A917" s="38"/>
    </row>
    <row r="918" spans="1:1">
      <c r="A918" s="38"/>
    </row>
    <row r="919" spans="1:1">
      <c r="A919" s="38"/>
    </row>
    <row r="920" spans="1:1">
      <c r="A920" s="38"/>
    </row>
    <row r="921" spans="1:1">
      <c r="A921" s="38"/>
    </row>
    <row r="922" spans="1:1">
      <c r="A922" s="38"/>
    </row>
    <row r="923" spans="1:1">
      <c r="A923" s="38"/>
    </row>
    <row r="924" spans="1:1">
      <c r="A924" s="38"/>
    </row>
    <row r="925" spans="1:1">
      <c r="A925" s="38"/>
    </row>
    <row r="926" spans="1:1">
      <c r="A926" s="38"/>
    </row>
    <row r="927" spans="1:1">
      <c r="A927" s="38"/>
    </row>
    <row r="928" spans="1:1">
      <c r="A928" s="38"/>
    </row>
    <row r="929" spans="1:1">
      <c r="A929" s="38"/>
    </row>
    <row r="930" spans="1:1">
      <c r="A930" s="38"/>
    </row>
    <row r="931" spans="1:1">
      <c r="A931" s="38"/>
    </row>
    <row r="932" spans="1:1">
      <c r="A932" s="38"/>
    </row>
    <row r="933" spans="1:1">
      <c r="A933" s="38"/>
    </row>
    <row r="934" spans="1:1">
      <c r="A934" s="38"/>
    </row>
    <row r="935" spans="1:1">
      <c r="A935" s="38"/>
    </row>
    <row r="936" spans="1:1">
      <c r="A936" s="38"/>
    </row>
    <row r="937" spans="1:1">
      <c r="A937" s="38"/>
    </row>
    <row r="938" spans="1:1">
      <c r="A938" s="38"/>
    </row>
    <row r="939" spans="1:1">
      <c r="A939" s="38"/>
    </row>
    <row r="940" spans="1:1">
      <c r="A940" s="38"/>
    </row>
    <row r="941" spans="1:1">
      <c r="A941" s="38"/>
    </row>
    <row r="942" spans="1:1">
      <c r="A942" s="38"/>
    </row>
    <row r="943" spans="1:1">
      <c r="A943" s="38"/>
    </row>
    <row r="944" spans="1:1">
      <c r="A944" s="38"/>
    </row>
    <row r="945" spans="1:1">
      <c r="A945" s="38"/>
    </row>
    <row r="946" spans="1:1">
      <c r="A946" s="38"/>
    </row>
    <row r="947" spans="1:1">
      <c r="A947" s="38"/>
    </row>
    <row r="948" spans="1:1">
      <c r="A948" s="38"/>
    </row>
    <row r="949" spans="1:1">
      <c r="A949" s="38"/>
    </row>
    <row r="950" spans="1:1">
      <c r="A950" s="38"/>
    </row>
    <row r="951" spans="1:1">
      <c r="A951" s="38"/>
    </row>
    <row r="952" spans="1:1">
      <c r="A952" s="38"/>
    </row>
    <row r="953" spans="1:1">
      <c r="A953" s="38"/>
    </row>
    <row r="954" spans="1:1">
      <c r="A954" s="38"/>
    </row>
    <row r="955" spans="1:1">
      <c r="A955" s="38"/>
    </row>
    <row r="956" spans="1:1">
      <c r="A956" s="38"/>
    </row>
    <row r="957" spans="1:1">
      <c r="A957" s="38"/>
    </row>
    <row r="958" spans="1:1">
      <c r="A958" s="38"/>
    </row>
    <row r="959" spans="1:1">
      <c r="A959" s="38"/>
    </row>
    <row r="960" spans="1:1">
      <c r="A960" s="38"/>
    </row>
    <row r="961" spans="1:1">
      <c r="A961" s="38"/>
    </row>
    <row r="962" spans="1:1">
      <c r="A962" s="38"/>
    </row>
    <row r="963" spans="1:1">
      <c r="A963" s="38"/>
    </row>
    <row r="964" spans="1:1">
      <c r="A964" s="38"/>
    </row>
    <row r="965" spans="1:1">
      <c r="A965" s="38"/>
    </row>
    <row r="966" spans="1:1">
      <c r="A966" s="38"/>
    </row>
    <row r="967" spans="1:1">
      <c r="A967" s="38"/>
    </row>
    <row r="968" spans="1:1">
      <c r="A968" s="38"/>
    </row>
    <row r="969" spans="1:1">
      <c r="A969" s="38"/>
    </row>
    <row r="970" spans="1:1">
      <c r="A970" s="38"/>
    </row>
    <row r="971" spans="1:1">
      <c r="A971" s="38"/>
    </row>
    <row r="972" spans="1:1">
      <c r="A972" s="38"/>
    </row>
    <row r="973" spans="1:1">
      <c r="A973" s="38"/>
    </row>
    <row r="974" spans="1:1">
      <c r="A974" s="38"/>
    </row>
    <row r="975" spans="1:1">
      <c r="A975" s="38"/>
    </row>
    <row r="976" spans="1:1">
      <c r="A976" s="38"/>
    </row>
    <row r="977" spans="1:1">
      <c r="A977" s="38"/>
    </row>
    <row r="978" spans="1:1">
      <c r="A978" s="38"/>
    </row>
    <row r="979" spans="1:1">
      <c r="A979" s="38"/>
    </row>
    <row r="980" spans="1:1">
      <c r="A980" s="38"/>
    </row>
    <row r="981" spans="1:1">
      <c r="A981" s="38"/>
    </row>
    <row r="982" spans="1:1">
      <c r="A982" s="38"/>
    </row>
    <row r="983" spans="1:1">
      <c r="A983" s="38"/>
    </row>
    <row r="984" spans="1:1">
      <c r="A984" s="38"/>
    </row>
    <row r="985" spans="1:1">
      <c r="A985" s="38"/>
    </row>
    <row r="986" spans="1:1">
      <c r="A986" s="38"/>
    </row>
    <row r="987" spans="1:1">
      <c r="A987" s="38"/>
    </row>
    <row r="988" spans="1:1">
      <c r="A988" s="38"/>
    </row>
    <row r="989" spans="1:1">
      <c r="A989" s="38"/>
    </row>
    <row r="990" spans="1:1">
      <c r="A990" s="38"/>
    </row>
    <row r="991" spans="1:1">
      <c r="A991" s="38"/>
    </row>
    <row r="992" spans="1:1">
      <c r="A992" s="38"/>
    </row>
    <row r="993" spans="1:1">
      <c r="A993" s="38"/>
    </row>
    <row r="994" spans="1:1">
      <c r="A994" s="38"/>
    </row>
    <row r="995" spans="1:1">
      <c r="A995" s="38"/>
    </row>
    <row r="996" spans="1:1">
      <c r="A996" s="38"/>
    </row>
    <row r="997" spans="1:1">
      <c r="A997" s="38"/>
    </row>
    <row r="998" spans="1:1">
      <c r="A998" s="38"/>
    </row>
  </sheetData>
  <dataValidations count="1">
    <dataValidation type="custom" allowBlank="1" showDropDown="1" sqref="A2:A998" xr:uid="{00000000-0002-0000-0600-000000000000}">
      <formula1>OR(NOT(ISERROR(DATEVALUE(A2))), AND(ISNUMBER(A2), LEFT(CELL("format", A2))="D"))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975"/>
  <sheetViews>
    <sheetView workbookViewId="0"/>
  </sheetViews>
  <sheetFormatPr defaultColWidth="12.5703125" defaultRowHeight="15.75" customHeight="1"/>
  <cols>
    <col min="1" max="1" width="47.85546875" customWidth="1"/>
    <col min="2" max="2" width="25.28515625" customWidth="1"/>
    <col min="3" max="3" width="19.140625" customWidth="1"/>
    <col min="4" max="4" width="94.42578125" customWidth="1"/>
    <col min="5" max="5" width="69.5703125" customWidth="1"/>
    <col min="6" max="6" width="54.28515625" customWidth="1"/>
  </cols>
  <sheetData>
    <row r="1" spans="1:6">
      <c r="A1" s="8" t="s">
        <v>41</v>
      </c>
      <c r="B1" s="8" t="s">
        <v>42</v>
      </c>
      <c r="C1" s="9" t="s">
        <v>44</v>
      </c>
      <c r="D1" s="8" t="s">
        <v>297</v>
      </c>
      <c r="E1" s="8" t="s">
        <v>298</v>
      </c>
      <c r="F1" s="8" t="s">
        <v>299</v>
      </c>
    </row>
    <row r="2" spans="1:6">
      <c r="A2" s="39" t="s">
        <v>39</v>
      </c>
      <c r="B2" s="39" t="s">
        <v>40</v>
      </c>
      <c r="C2" s="40"/>
      <c r="D2" s="39" t="s">
        <v>300</v>
      </c>
      <c r="E2" s="39"/>
      <c r="F2" s="39"/>
    </row>
    <row r="3" spans="1:6">
      <c r="A3" s="39"/>
      <c r="B3" s="39"/>
      <c r="C3" s="40"/>
      <c r="D3" s="39"/>
      <c r="E3" s="39"/>
      <c r="F3" s="39"/>
    </row>
    <row r="4" spans="1:6">
      <c r="A4" s="39"/>
      <c r="B4" s="39"/>
      <c r="C4" s="40"/>
      <c r="D4" s="39"/>
      <c r="E4" s="39"/>
      <c r="F4" s="39"/>
    </row>
    <row r="5" spans="1:6">
      <c r="A5" s="39"/>
      <c r="B5" s="39"/>
      <c r="C5" s="40"/>
      <c r="D5" s="39"/>
      <c r="E5" s="39"/>
      <c r="F5" s="39"/>
    </row>
    <row r="6" spans="1:6">
      <c r="A6" s="39"/>
      <c r="B6" s="39"/>
      <c r="C6" s="40"/>
      <c r="D6" s="39"/>
      <c r="E6" s="39"/>
      <c r="F6" s="39"/>
    </row>
    <row r="7" spans="1:6">
      <c r="A7" s="39"/>
      <c r="B7" s="39"/>
      <c r="C7" s="40"/>
      <c r="D7" s="39"/>
      <c r="E7" s="39"/>
      <c r="F7" s="39"/>
    </row>
    <row r="8" spans="1:6">
      <c r="A8" s="39"/>
      <c r="B8" s="39"/>
      <c r="C8" s="40"/>
      <c r="D8" s="39"/>
      <c r="E8" s="39"/>
      <c r="F8" s="39"/>
    </row>
    <row r="9" spans="1:6">
      <c r="A9" s="39"/>
      <c r="B9" s="39"/>
      <c r="C9" s="40"/>
      <c r="D9" s="39"/>
      <c r="E9" s="39"/>
      <c r="F9" s="39"/>
    </row>
    <row r="10" spans="1:6">
      <c r="A10" s="39"/>
      <c r="B10" s="39"/>
      <c r="C10" s="40"/>
      <c r="D10" s="39"/>
      <c r="E10" s="39"/>
      <c r="F10" s="39"/>
    </row>
    <row r="11" spans="1:6">
      <c r="A11" s="39"/>
      <c r="B11" s="39"/>
      <c r="C11" s="40"/>
      <c r="D11" s="39"/>
      <c r="E11" s="39"/>
      <c r="F11" s="39"/>
    </row>
    <row r="12" spans="1:6">
      <c r="A12" s="39"/>
      <c r="B12" s="39"/>
      <c r="C12" s="40"/>
      <c r="D12" s="39"/>
      <c r="E12" s="39"/>
      <c r="F12" s="39"/>
    </row>
    <row r="13" spans="1:6">
      <c r="A13" s="39"/>
      <c r="B13" s="39"/>
      <c r="C13" s="40"/>
      <c r="D13" s="39"/>
      <c r="E13" s="39"/>
      <c r="F13" s="39"/>
    </row>
    <row r="14" spans="1:6">
      <c r="A14" s="39"/>
      <c r="B14" s="39"/>
      <c r="C14" s="40"/>
      <c r="D14" s="39"/>
      <c r="E14" s="39"/>
      <c r="F14" s="39"/>
    </row>
    <row r="15" spans="1:6">
      <c r="A15" s="39"/>
      <c r="B15" s="39"/>
      <c r="C15" s="40"/>
      <c r="D15" s="39"/>
      <c r="E15" s="39"/>
      <c r="F15" s="39"/>
    </row>
    <row r="16" spans="1:6">
      <c r="A16" s="39"/>
      <c r="B16" s="39"/>
      <c r="C16" s="40"/>
      <c r="D16" s="39"/>
      <c r="E16" s="39"/>
      <c r="F16" s="39"/>
    </row>
    <row r="17" spans="1:6">
      <c r="A17" s="39"/>
      <c r="B17" s="39"/>
      <c r="C17" s="40"/>
      <c r="D17" s="39"/>
      <c r="E17" s="39"/>
      <c r="F17" s="39"/>
    </row>
    <row r="18" spans="1:6">
      <c r="A18" s="39"/>
      <c r="B18" s="39"/>
      <c r="C18" s="40"/>
      <c r="D18" s="39"/>
      <c r="E18" s="39"/>
      <c r="F18" s="39"/>
    </row>
    <row r="19" spans="1:6">
      <c r="A19" s="39"/>
      <c r="B19" s="39"/>
      <c r="C19" s="40"/>
      <c r="D19" s="39"/>
      <c r="E19" s="39"/>
      <c r="F19" s="39"/>
    </row>
    <row r="20" spans="1:6">
      <c r="A20" s="39"/>
      <c r="B20" s="39"/>
      <c r="C20" s="40"/>
      <c r="D20" s="39"/>
      <c r="E20" s="39"/>
      <c r="F20" s="39"/>
    </row>
    <row r="21" spans="1:6">
      <c r="A21" s="39"/>
      <c r="B21" s="39"/>
      <c r="C21" s="40"/>
      <c r="D21" s="39"/>
      <c r="E21" s="39"/>
      <c r="F21" s="39"/>
    </row>
    <row r="22" spans="1:6">
      <c r="A22" s="39"/>
      <c r="B22" s="39"/>
      <c r="C22" s="40"/>
      <c r="D22" s="39"/>
      <c r="E22" s="39"/>
      <c r="F22" s="39"/>
    </row>
    <row r="23" spans="1:6">
      <c r="A23" s="39"/>
      <c r="B23" s="39"/>
      <c r="C23" s="40"/>
      <c r="D23" s="39"/>
      <c r="E23" s="39"/>
      <c r="F23" s="39"/>
    </row>
    <row r="24" spans="1:6">
      <c r="A24" s="39"/>
      <c r="B24" s="39"/>
      <c r="C24" s="40"/>
      <c r="D24" s="39"/>
      <c r="E24" s="39"/>
      <c r="F24" s="39"/>
    </row>
    <row r="25" spans="1:6">
      <c r="A25" s="39"/>
      <c r="B25" s="39"/>
      <c r="C25" s="40"/>
      <c r="D25" s="39"/>
      <c r="E25" s="39"/>
      <c r="F25" s="39"/>
    </row>
    <row r="26" spans="1:6">
      <c r="A26" s="39"/>
      <c r="B26" s="39"/>
      <c r="C26" s="40"/>
      <c r="D26" s="39"/>
      <c r="E26" s="39"/>
      <c r="F26" s="39"/>
    </row>
    <row r="27" spans="1:6">
      <c r="A27" s="39"/>
      <c r="B27" s="39"/>
      <c r="C27" s="40"/>
      <c r="D27" s="39"/>
      <c r="E27" s="39"/>
      <c r="F27" s="39"/>
    </row>
    <row r="28" spans="1:6">
      <c r="A28" s="39"/>
      <c r="B28" s="39"/>
      <c r="C28" s="40"/>
      <c r="D28" s="39"/>
      <c r="E28" s="39"/>
      <c r="F28" s="39"/>
    </row>
    <row r="29" spans="1:6">
      <c r="A29" s="39"/>
      <c r="B29" s="39"/>
      <c r="C29" s="40"/>
      <c r="D29" s="39"/>
      <c r="E29" s="39"/>
      <c r="F29" s="39"/>
    </row>
    <row r="30" spans="1:6">
      <c r="A30" s="39"/>
      <c r="B30" s="39"/>
      <c r="C30" s="40"/>
      <c r="D30" s="39"/>
      <c r="E30" s="39"/>
      <c r="F30" s="39"/>
    </row>
    <row r="31" spans="1:6">
      <c r="A31" s="39"/>
      <c r="B31" s="39"/>
      <c r="C31" s="40"/>
      <c r="D31" s="39"/>
      <c r="E31" s="39"/>
      <c r="F31" s="39"/>
    </row>
    <row r="32" spans="1:6">
      <c r="A32" s="39"/>
      <c r="B32" s="39"/>
      <c r="C32" s="40"/>
      <c r="D32" s="39"/>
      <c r="E32" s="39"/>
      <c r="F32" s="39"/>
    </row>
    <row r="33" spans="1:6">
      <c r="A33" s="39"/>
      <c r="B33" s="39"/>
      <c r="C33" s="40"/>
      <c r="D33" s="39"/>
      <c r="E33" s="39"/>
      <c r="F33" s="39"/>
    </row>
    <row r="34" spans="1:6">
      <c r="A34" s="39"/>
      <c r="B34" s="39"/>
      <c r="C34" s="40"/>
      <c r="D34" s="39"/>
      <c r="E34" s="39"/>
      <c r="F34" s="39"/>
    </row>
    <row r="35" spans="1:6">
      <c r="A35" s="39"/>
      <c r="B35" s="39"/>
      <c r="C35" s="40"/>
      <c r="D35" s="39"/>
      <c r="E35" s="39"/>
      <c r="F35" s="39"/>
    </row>
    <row r="36" spans="1:6">
      <c r="A36" s="39"/>
      <c r="B36" s="39"/>
      <c r="C36" s="40"/>
      <c r="D36" s="39"/>
      <c r="E36" s="39"/>
      <c r="F36" s="39"/>
    </row>
    <row r="37" spans="1:6">
      <c r="A37" s="39"/>
      <c r="B37" s="39"/>
      <c r="C37" s="40"/>
      <c r="D37" s="39"/>
      <c r="E37" s="39"/>
      <c r="F37" s="39"/>
    </row>
    <row r="38" spans="1:6">
      <c r="A38" s="39"/>
      <c r="B38" s="39"/>
      <c r="C38" s="40"/>
      <c r="D38" s="39"/>
      <c r="E38" s="39"/>
      <c r="F38" s="39"/>
    </row>
    <row r="39" spans="1:6">
      <c r="A39" s="39"/>
      <c r="B39" s="39"/>
      <c r="C39" s="40"/>
      <c r="D39" s="39"/>
      <c r="E39" s="39"/>
      <c r="F39" s="39"/>
    </row>
    <row r="40" spans="1:6">
      <c r="A40" s="39"/>
      <c r="B40" s="39"/>
      <c r="C40" s="40"/>
      <c r="D40" s="39"/>
      <c r="E40" s="39"/>
      <c r="F40" s="39"/>
    </row>
    <row r="41" spans="1:6">
      <c r="A41" s="39"/>
      <c r="B41" s="39"/>
      <c r="C41" s="40"/>
      <c r="D41" s="39"/>
      <c r="E41" s="39"/>
      <c r="F41" s="39"/>
    </row>
    <row r="42" spans="1:6">
      <c r="A42" s="39"/>
      <c r="B42" s="39"/>
      <c r="C42" s="40"/>
      <c r="D42" s="39"/>
      <c r="E42" s="39"/>
      <c r="F42" s="39"/>
    </row>
    <row r="43" spans="1:6">
      <c r="A43" s="39"/>
      <c r="B43" s="39"/>
      <c r="C43" s="40"/>
      <c r="D43" s="39"/>
      <c r="E43" s="39"/>
      <c r="F43" s="39"/>
    </row>
    <row r="44" spans="1:6">
      <c r="A44" s="39"/>
      <c r="B44" s="39"/>
      <c r="C44" s="40"/>
      <c r="D44" s="39"/>
      <c r="E44" s="39"/>
      <c r="F44" s="39"/>
    </row>
    <row r="45" spans="1:6">
      <c r="A45" s="39"/>
      <c r="B45" s="39"/>
      <c r="C45" s="40"/>
      <c r="D45" s="39"/>
      <c r="E45" s="39"/>
      <c r="F45" s="39"/>
    </row>
    <row r="46" spans="1:6">
      <c r="A46" s="39"/>
      <c r="B46" s="39"/>
      <c r="C46" s="40"/>
      <c r="D46" s="39"/>
      <c r="E46" s="39"/>
      <c r="F46" s="39"/>
    </row>
    <row r="47" spans="1:6">
      <c r="A47" s="39"/>
      <c r="B47" s="39"/>
      <c r="C47" s="40"/>
      <c r="D47" s="39"/>
      <c r="E47" s="39"/>
      <c r="F47" s="39"/>
    </row>
    <row r="48" spans="1:6">
      <c r="A48" s="39"/>
      <c r="B48" s="39"/>
      <c r="C48" s="40"/>
      <c r="D48" s="39"/>
      <c r="E48" s="39"/>
      <c r="F48" s="39"/>
    </row>
    <row r="49" spans="1:6">
      <c r="A49" s="39"/>
      <c r="B49" s="39"/>
      <c r="C49" s="40"/>
      <c r="D49" s="39"/>
      <c r="E49" s="39"/>
      <c r="F49" s="39"/>
    </row>
    <row r="50" spans="1:6">
      <c r="A50" s="39"/>
      <c r="B50" s="39"/>
      <c r="C50" s="40"/>
      <c r="D50" s="39"/>
      <c r="E50" s="39"/>
      <c r="F50" s="39"/>
    </row>
    <row r="51" spans="1:6">
      <c r="A51" s="39"/>
      <c r="B51" s="39"/>
      <c r="C51" s="40"/>
      <c r="D51" s="39"/>
      <c r="E51" s="39"/>
      <c r="F51" s="39"/>
    </row>
    <row r="52" spans="1:6">
      <c r="A52" s="39"/>
      <c r="B52" s="39"/>
      <c r="C52" s="40"/>
      <c r="D52" s="39"/>
      <c r="E52" s="39"/>
      <c r="F52" s="39"/>
    </row>
    <row r="53" spans="1:6">
      <c r="A53" s="39"/>
      <c r="B53" s="39"/>
      <c r="C53" s="40"/>
      <c r="D53" s="39"/>
      <c r="E53" s="39"/>
      <c r="F53" s="39"/>
    </row>
    <row r="54" spans="1:6">
      <c r="A54" s="39"/>
      <c r="B54" s="39"/>
      <c r="C54" s="40"/>
      <c r="D54" s="39"/>
      <c r="E54" s="39"/>
      <c r="F54" s="39"/>
    </row>
    <row r="55" spans="1:6">
      <c r="A55" s="39"/>
      <c r="B55" s="39"/>
      <c r="C55" s="40"/>
      <c r="D55" s="39"/>
      <c r="E55" s="39"/>
      <c r="F55" s="39"/>
    </row>
    <row r="56" spans="1:6">
      <c r="A56" s="39"/>
      <c r="B56" s="39"/>
      <c r="C56" s="40"/>
      <c r="D56" s="39"/>
      <c r="E56" s="39"/>
      <c r="F56" s="39"/>
    </row>
    <row r="57" spans="1:6">
      <c r="A57" s="39"/>
      <c r="B57" s="39"/>
      <c r="C57" s="40"/>
      <c r="D57" s="39"/>
      <c r="E57" s="39"/>
      <c r="F57" s="39"/>
    </row>
    <row r="58" spans="1:6">
      <c r="A58" s="39"/>
      <c r="B58" s="39"/>
      <c r="C58" s="40"/>
      <c r="D58" s="39"/>
      <c r="E58" s="39"/>
      <c r="F58" s="39"/>
    </row>
    <row r="59" spans="1:6">
      <c r="A59" s="39"/>
      <c r="B59" s="39"/>
      <c r="C59" s="40"/>
      <c r="D59" s="39"/>
      <c r="E59" s="39"/>
      <c r="F59" s="39"/>
    </row>
    <row r="60" spans="1:6">
      <c r="A60" s="39"/>
      <c r="B60" s="39"/>
      <c r="C60" s="40"/>
      <c r="D60" s="39"/>
      <c r="E60" s="39"/>
      <c r="F60" s="39"/>
    </row>
    <row r="61" spans="1:6">
      <c r="A61" s="39"/>
      <c r="B61" s="39"/>
      <c r="C61" s="40"/>
      <c r="D61" s="39"/>
      <c r="E61" s="39"/>
      <c r="F61" s="39"/>
    </row>
    <row r="62" spans="1:6">
      <c r="A62" s="39"/>
      <c r="B62" s="39"/>
      <c r="C62" s="40"/>
      <c r="D62" s="39"/>
      <c r="E62" s="39"/>
      <c r="F62" s="39"/>
    </row>
    <row r="63" spans="1:6">
      <c r="A63" s="39"/>
      <c r="B63" s="39"/>
      <c r="C63" s="40"/>
      <c r="D63" s="39"/>
      <c r="E63" s="39"/>
      <c r="F63" s="39"/>
    </row>
    <row r="64" spans="1:6">
      <c r="A64" s="39"/>
      <c r="B64" s="39"/>
      <c r="C64" s="40"/>
      <c r="D64" s="39"/>
      <c r="E64" s="39"/>
      <c r="F64" s="39"/>
    </row>
    <row r="65" spans="1:6">
      <c r="A65" s="39"/>
      <c r="B65" s="39"/>
      <c r="C65" s="40"/>
      <c r="D65" s="39"/>
      <c r="E65" s="39"/>
      <c r="F65" s="39"/>
    </row>
    <row r="66" spans="1:6">
      <c r="A66" s="39"/>
      <c r="B66" s="39"/>
      <c r="C66" s="40"/>
      <c r="D66" s="39"/>
      <c r="E66" s="39"/>
      <c r="F66" s="39"/>
    </row>
    <row r="67" spans="1:6">
      <c r="A67" s="39"/>
      <c r="B67" s="39"/>
      <c r="C67" s="40"/>
      <c r="D67" s="39"/>
      <c r="E67" s="39"/>
      <c r="F67" s="39"/>
    </row>
    <row r="68" spans="1:6">
      <c r="A68" s="39"/>
      <c r="B68" s="39"/>
      <c r="C68" s="40"/>
      <c r="D68" s="39"/>
      <c r="E68" s="39"/>
      <c r="F68" s="39"/>
    </row>
    <row r="69" spans="1:6">
      <c r="A69" s="39"/>
      <c r="B69" s="39"/>
      <c r="C69" s="40"/>
      <c r="D69" s="39"/>
      <c r="E69" s="39"/>
      <c r="F69" s="39"/>
    </row>
    <row r="70" spans="1:6">
      <c r="A70" s="39"/>
      <c r="B70" s="39"/>
      <c r="C70" s="40"/>
      <c r="D70" s="39"/>
      <c r="E70" s="39"/>
      <c r="F70" s="39"/>
    </row>
    <row r="71" spans="1:6">
      <c r="A71" s="39"/>
      <c r="B71" s="39"/>
      <c r="C71" s="40"/>
      <c r="D71" s="39"/>
      <c r="E71" s="39"/>
      <c r="F71" s="39"/>
    </row>
    <row r="72" spans="1:6">
      <c r="A72" s="39"/>
      <c r="B72" s="39"/>
      <c r="C72" s="40"/>
      <c r="D72" s="39"/>
      <c r="E72" s="39"/>
      <c r="F72" s="39"/>
    </row>
    <row r="73" spans="1:6">
      <c r="A73" s="39"/>
      <c r="B73" s="39"/>
      <c r="C73" s="40"/>
      <c r="D73" s="39"/>
      <c r="E73" s="39"/>
      <c r="F73" s="39"/>
    </row>
    <row r="74" spans="1:6">
      <c r="A74" s="39"/>
      <c r="B74" s="39"/>
      <c r="C74" s="40"/>
      <c r="D74" s="39"/>
      <c r="E74" s="39"/>
      <c r="F74" s="39"/>
    </row>
    <row r="75" spans="1:6">
      <c r="A75" s="39"/>
      <c r="B75" s="39"/>
      <c r="C75" s="40"/>
      <c r="D75" s="39"/>
      <c r="E75" s="39"/>
      <c r="F75" s="39"/>
    </row>
    <row r="76" spans="1:6">
      <c r="A76" s="39"/>
      <c r="B76" s="39"/>
      <c r="C76" s="40"/>
      <c r="D76" s="39"/>
      <c r="E76" s="39"/>
      <c r="F76" s="39"/>
    </row>
    <row r="77" spans="1:6">
      <c r="A77" s="39"/>
      <c r="B77" s="39"/>
      <c r="C77" s="40"/>
      <c r="D77" s="39"/>
      <c r="E77" s="39"/>
      <c r="F77" s="39"/>
    </row>
    <row r="78" spans="1:6">
      <c r="A78" s="39"/>
      <c r="B78" s="39"/>
      <c r="C78" s="40"/>
      <c r="D78" s="39"/>
      <c r="E78" s="39"/>
      <c r="F78" s="39"/>
    </row>
    <row r="79" spans="1:6">
      <c r="A79" s="39"/>
      <c r="B79" s="39"/>
      <c r="C79" s="40"/>
      <c r="D79" s="39"/>
      <c r="E79" s="39"/>
      <c r="F79" s="39"/>
    </row>
    <row r="80" spans="1:6">
      <c r="A80" s="39"/>
      <c r="B80" s="39"/>
      <c r="C80" s="40"/>
      <c r="D80" s="39"/>
      <c r="E80" s="39"/>
      <c r="F80" s="39"/>
    </row>
    <row r="81" spans="1:6">
      <c r="A81" s="39"/>
      <c r="B81" s="39"/>
      <c r="C81" s="40"/>
      <c r="D81" s="39"/>
      <c r="E81" s="39"/>
      <c r="F81" s="39"/>
    </row>
    <row r="82" spans="1:6">
      <c r="A82" s="39"/>
      <c r="B82" s="39"/>
      <c r="C82" s="40"/>
      <c r="D82" s="39"/>
      <c r="E82" s="39"/>
      <c r="F82" s="39"/>
    </row>
    <row r="83" spans="1:6">
      <c r="A83" s="39"/>
      <c r="B83" s="39"/>
      <c r="C83" s="40"/>
      <c r="D83" s="39"/>
      <c r="E83" s="39"/>
      <c r="F83" s="39"/>
    </row>
    <row r="84" spans="1:6">
      <c r="A84" s="39"/>
      <c r="B84" s="39"/>
      <c r="C84" s="40"/>
      <c r="D84" s="39"/>
      <c r="E84" s="39"/>
      <c r="F84" s="39"/>
    </row>
    <row r="85" spans="1:6">
      <c r="A85" s="39"/>
      <c r="B85" s="39"/>
      <c r="C85" s="40"/>
      <c r="D85" s="39"/>
      <c r="E85" s="39"/>
      <c r="F85" s="39"/>
    </row>
    <row r="86" spans="1:6">
      <c r="A86" s="39"/>
      <c r="B86" s="39"/>
      <c r="C86" s="40"/>
      <c r="D86" s="39"/>
      <c r="E86" s="39"/>
      <c r="F86" s="39"/>
    </row>
    <row r="87" spans="1:6">
      <c r="A87" s="39"/>
      <c r="B87" s="39"/>
      <c r="C87" s="40"/>
      <c r="D87" s="39"/>
      <c r="E87" s="39"/>
      <c r="F87" s="39"/>
    </row>
    <row r="88" spans="1:6">
      <c r="A88" s="39"/>
      <c r="B88" s="39"/>
      <c r="C88" s="40"/>
      <c r="D88" s="39"/>
      <c r="E88" s="39"/>
      <c r="F88" s="39"/>
    </row>
    <row r="89" spans="1:6">
      <c r="A89" s="39"/>
      <c r="B89" s="39"/>
      <c r="C89" s="40"/>
      <c r="D89" s="39"/>
      <c r="E89" s="39"/>
      <c r="F89" s="39"/>
    </row>
    <row r="90" spans="1:6">
      <c r="A90" s="39"/>
      <c r="B90" s="39"/>
      <c r="C90" s="40"/>
      <c r="D90" s="39"/>
      <c r="E90" s="39"/>
      <c r="F90" s="39"/>
    </row>
    <row r="91" spans="1:6">
      <c r="A91" s="39"/>
      <c r="B91" s="39"/>
      <c r="C91" s="40"/>
      <c r="D91" s="39"/>
      <c r="E91" s="39"/>
      <c r="F91" s="39"/>
    </row>
    <row r="92" spans="1:6">
      <c r="A92" s="39"/>
      <c r="B92" s="39"/>
      <c r="C92" s="40"/>
      <c r="D92" s="39"/>
      <c r="E92" s="39"/>
      <c r="F92" s="39"/>
    </row>
    <row r="93" spans="1:6">
      <c r="A93" s="39"/>
      <c r="B93" s="39"/>
      <c r="C93" s="40"/>
      <c r="D93" s="39"/>
      <c r="E93" s="39"/>
      <c r="F93" s="39"/>
    </row>
    <row r="94" spans="1:6">
      <c r="A94" s="39"/>
      <c r="B94" s="39"/>
      <c r="C94" s="40"/>
      <c r="D94" s="39"/>
      <c r="E94" s="39"/>
      <c r="F94" s="39"/>
    </row>
    <row r="95" spans="1:6">
      <c r="A95" s="39"/>
      <c r="B95" s="39"/>
      <c r="C95" s="40"/>
      <c r="D95" s="39"/>
      <c r="E95" s="39"/>
      <c r="F95" s="39"/>
    </row>
    <row r="96" spans="1:6">
      <c r="A96" s="39"/>
      <c r="B96" s="39"/>
      <c r="C96" s="40"/>
      <c r="D96" s="39"/>
      <c r="E96" s="39"/>
      <c r="F96" s="39"/>
    </row>
    <row r="97" spans="1:6">
      <c r="A97" s="39"/>
      <c r="B97" s="39"/>
      <c r="C97" s="40"/>
      <c r="D97" s="39"/>
      <c r="E97" s="39"/>
      <c r="F97" s="39"/>
    </row>
    <row r="98" spans="1:6">
      <c r="A98" s="39"/>
      <c r="B98" s="39"/>
      <c r="C98" s="40"/>
      <c r="D98" s="39"/>
      <c r="E98" s="39"/>
      <c r="F98" s="39"/>
    </row>
    <row r="99" spans="1:6">
      <c r="A99" s="39"/>
      <c r="B99" s="39"/>
      <c r="C99" s="40"/>
      <c r="D99" s="39"/>
      <c r="E99" s="39"/>
      <c r="F99" s="39"/>
    </row>
    <row r="100" spans="1:6">
      <c r="A100" s="39"/>
      <c r="B100" s="39"/>
      <c r="C100" s="40"/>
      <c r="D100" s="39"/>
      <c r="E100" s="39"/>
      <c r="F100" s="39"/>
    </row>
    <row r="101" spans="1:6">
      <c r="A101" s="39"/>
      <c r="B101" s="39"/>
      <c r="C101" s="40"/>
      <c r="D101" s="39"/>
      <c r="E101" s="39"/>
      <c r="F101" s="39"/>
    </row>
    <row r="102" spans="1:6">
      <c r="A102" s="39"/>
      <c r="B102" s="39"/>
      <c r="C102" s="40"/>
      <c r="D102" s="39"/>
      <c r="E102" s="39"/>
      <c r="F102" s="39"/>
    </row>
    <row r="103" spans="1:6">
      <c r="A103" s="39"/>
      <c r="B103" s="39"/>
      <c r="C103" s="40"/>
      <c r="D103" s="39"/>
      <c r="E103" s="39"/>
      <c r="F103" s="39"/>
    </row>
    <row r="104" spans="1:6">
      <c r="A104" s="39"/>
      <c r="B104" s="39"/>
      <c r="C104" s="40"/>
      <c r="D104" s="39"/>
      <c r="E104" s="39"/>
      <c r="F104" s="39"/>
    </row>
    <row r="105" spans="1:6">
      <c r="A105" s="39"/>
      <c r="B105" s="39"/>
      <c r="C105" s="40"/>
      <c r="D105" s="39"/>
      <c r="E105" s="39"/>
      <c r="F105" s="39"/>
    </row>
    <row r="106" spans="1:6">
      <c r="A106" s="39"/>
      <c r="B106" s="39"/>
      <c r="C106" s="40"/>
      <c r="D106" s="39"/>
      <c r="E106" s="39"/>
      <c r="F106" s="39"/>
    </row>
    <row r="107" spans="1:6">
      <c r="A107" s="39"/>
      <c r="B107" s="39"/>
      <c r="C107" s="40"/>
      <c r="D107" s="39"/>
      <c r="E107" s="39"/>
      <c r="F107" s="39"/>
    </row>
    <row r="108" spans="1:6">
      <c r="A108" s="39"/>
      <c r="B108" s="39"/>
      <c r="C108" s="40"/>
      <c r="D108" s="39"/>
      <c r="E108" s="39"/>
      <c r="F108" s="39"/>
    </row>
    <row r="109" spans="1:6">
      <c r="A109" s="39"/>
      <c r="B109" s="39"/>
      <c r="C109" s="40"/>
      <c r="D109" s="39"/>
      <c r="E109" s="39"/>
      <c r="F109" s="39"/>
    </row>
    <row r="110" spans="1:6">
      <c r="A110" s="39"/>
      <c r="B110" s="39"/>
      <c r="C110" s="40"/>
      <c r="D110" s="39"/>
      <c r="E110" s="39"/>
      <c r="F110" s="39"/>
    </row>
    <row r="111" spans="1:6">
      <c r="A111" s="39"/>
      <c r="B111" s="39"/>
      <c r="C111" s="40"/>
      <c r="D111" s="39"/>
      <c r="E111" s="39"/>
      <c r="F111" s="39"/>
    </row>
    <row r="112" spans="1:6">
      <c r="A112" s="39"/>
      <c r="B112" s="39"/>
      <c r="C112" s="40"/>
      <c r="D112" s="39"/>
      <c r="E112" s="39"/>
      <c r="F112" s="39"/>
    </row>
    <row r="113" spans="1:6">
      <c r="A113" s="39"/>
      <c r="B113" s="39"/>
      <c r="C113" s="40"/>
      <c r="D113" s="39"/>
      <c r="E113" s="39"/>
      <c r="F113" s="39"/>
    </row>
    <row r="114" spans="1:6">
      <c r="A114" s="39"/>
      <c r="B114" s="39"/>
      <c r="C114" s="40"/>
      <c r="D114" s="39"/>
      <c r="E114" s="39"/>
      <c r="F114" s="39"/>
    </row>
    <row r="115" spans="1:6">
      <c r="A115" s="39"/>
      <c r="B115" s="39"/>
      <c r="C115" s="40"/>
      <c r="D115" s="39"/>
      <c r="E115" s="39"/>
      <c r="F115" s="39"/>
    </row>
    <row r="116" spans="1:6">
      <c r="A116" s="39"/>
      <c r="B116" s="39"/>
      <c r="C116" s="40"/>
      <c r="D116" s="39"/>
      <c r="E116" s="39"/>
      <c r="F116" s="39"/>
    </row>
    <row r="117" spans="1:6">
      <c r="A117" s="39"/>
      <c r="B117" s="39"/>
      <c r="C117" s="40"/>
      <c r="D117" s="39"/>
      <c r="E117" s="39"/>
      <c r="F117" s="39"/>
    </row>
    <row r="118" spans="1:6">
      <c r="A118" s="39"/>
      <c r="B118" s="39"/>
      <c r="C118" s="40"/>
      <c r="D118" s="39"/>
      <c r="E118" s="39"/>
      <c r="F118" s="39"/>
    </row>
    <row r="119" spans="1:6">
      <c r="A119" s="39"/>
      <c r="B119" s="39"/>
      <c r="C119" s="40"/>
      <c r="D119" s="39"/>
      <c r="E119" s="39"/>
      <c r="F119" s="39"/>
    </row>
    <row r="120" spans="1:6">
      <c r="A120" s="39"/>
      <c r="B120" s="39"/>
      <c r="C120" s="40"/>
      <c r="D120" s="39"/>
      <c r="E120" s="39"/>
      <c r="F120" s="39"/>
    </row>
    <row r="121" spans="1:6">
      <c r="A121" s="39"/>
      <c r="B121" s="39"/>
      <c r="C121" s="40"/>
      <c r="D121" s="39"/>
      <c r="E121" s="39"/>
      <c r="F121" s="39"/>
    </row>
    <row r="122" spans="1:6">
      <c r="A122" s="39"/>
      <c r="B122" s="39"/>
      <c r="C122" s="40"/>
      <c r="D122" s="39"/>
      <c r="E122" s="39"/>
      <c r="F122" s="39"/>
    </row>
    <row r="123" spans="1:6">
      <c r="A123" s="39"/>
      <c r="B123" s="39"/>
      <c r="C123" s="40"/>
      <c r="D123" s="39"/>
      <c r="E123" s="39"/>
      <c r="F123" s="39"/>
    </row>
    <row r="124" spans="1:6">
      <c r="A124" s="39"/>
      <c r="B124" s="39"/>
      <c r="C124" s="40"/>
      <c r="D124" s="39"/>
      <c r="E124" s="39"/>
      <c r="F124" s="39"/>
    </row>
    <row r="125" spans="1:6">
      <c r="A125" s="39"/>
      <c r="B125" s="39"/>
      <c r="C125" s="40"/>
      <c r="D125" s="39"/>
      <c r="E125" s="39"/>
      <c r="F125" s="39"/>
    </row>
    <row r="126" spans="1:6">
      <c r="A126" s="39"/>
      <c r="B126" s="39"/>
      <c r="C126" s="40"/>
      <c r="D126" s="39"/>
      <c r="E126" s="39"/>
      <c r="F126" s="39"/>
    </row>
    <row r="127" spans="1:6">
      <c r="A127" s="39"/>
      <c r="B127" s="39"/>
      <c r="C127" s="40"/>
      <c r="D127" s="39"/>
      <c r="E127" s="39"/>
      <c r="F127" s="39"/>
    </row>
    <row r="128" spans="1:6">
      <c r="A128" s="39"/>
      <c r="B128" s="39"/>
      <c r="C128" s="40"/>
      <c r="D128" s="39"/>
      <c r="E128" s="39"/>
      <c r="F128" s="39"/>
    </row>
    <row r="129" spans="1:6">
      <c r="A129" s="39"/>
      <c r="B129" s="39"/>
      <c r="C129" s="40"/>
      <c r="D129" s="39"/>
      <c r="E129" s="39"/>
      <c r="F129" s="39"/>
    </row>
    <row r="130" spans="1:6">
      <c r="A130" s="39"/>
      <c r="B130" s="39"/>
      <c r="C130" s="40"/>
      <c r="D130" s="39"/>
      <c r="E130" s="39"/>
      <c r="F130" s="39"/>
    </row>
    <row r="131" spans="1:6">
      <c r="A131" s="39"/>
      <c r="B131" s="39"/>
      <c r="C131" s="40"/>
      <c r="D131" s="39"/>
      <c r="E131" s="39"/>
      <c r="F131" s="39"/>
    </row>
    <row r="132" spans="1:6">
      <c r="A132" s="39"/>
      <c r="B132" s="39"/>
      <c r="C132" s="40"/>
      <c r="D132" s="39"/>
      <c r="E132" s="39"/>
      <c r="F132" s="39"/>
    </row>
    <row r="133" spans="1:6">
      <c r="A133" s="39"/>
      <c r="B133" s="39"/>
      <c r="C133" s="40"/>
      <c r="D133" s="39"/>
      <c r="E133" s="39"/>
      <c r="F133" s="39"/>
    </row>
    <row r="134" spans="1:6">
      <c r="A134" s="39"/>
      <c r="B134" s="39"/>
      <c r="C134" s="40"/>
      <c r="D134" s="39"/>
      <c r="E134" s="39"/>
      <c r="F134" s="39"/>
    </row>
    <row r="135" spans="1:6">
      <c r="A135" s="39"/>
      <c r="B135" s="39"/>
      <c r="C135" s="40"/>
      <c r="D135" s="39"/>
      <c r="E135" s="39"/>
      <c r="F135" s="39"/>
    </row>
    <row r="136" spans="1:6">
      <c r="A136" s="39"/>
      <c r="B136" s="39"/>
      <c r="C136" s="40"/>
      <c r="D136" s="39"/>
      <c r="E136" s="39"/>
      <c r="F136" s="39"/>
    </row>
    <row r="137" spans="1:6">
      <c r="A137" s="39"/>
      <c r="B137" s="39"/>
      <c r="C137" s="40"/>
      <c r="D137" s="39"/>
      <c r="E137" s="39"/>
      <c r="F137" s="39"/>
    </row>
    <row r="138" spans="1:6">
      <c r="A138" s="39"/>
      <c r="B138" s="39"/>
      <c r="C138" s="40"/>
      <c r="D138" s="39"/>
      <c r="E138" s="39"/>
      <c r="F138" s="39"/>
    </row>
    <row r="139" spans="1:6">
      <c r="A139" s="39"/>
      <c r="B139" s="39"/>
      <c r="C139" s="40"/>
      <c r="D139" s="39"/>
      <c r="E139" s="39"/>
      <c r="F139" s="39"/>
    </row>
    <row r="140" spans="1:6">
      <c r="A140" s="39"/>
      <c r="B140" s="39"/>
      <c r="C140" s="40"/>
      <c r="D140" s="39"/>
      <c r="E140" s="39"/>
      <c r="F140" s="39"/>
    </row>
    <row r="141" spans="1:6">
      <c r="A141" s="39"/>
      <c r="B141" s="39"/>
      <c r="C141" s="40"/>
      <c r="D141" s="39"/>
      <c r="E141" s="39"/>
      <c r="F141" s="39"/>
    </row>
    <row r="142" spans="1:6">
      <c r="A142" s="39"/>
      <c r="B142" s="39"/>
      <c r="C142" s="40"/>
      <c r="D142" s="39"/>
      <c r="E142" s="39"/>
      <c r="F142" s="39"/>
    </row>
    <row r="143" spans="1:6">
      <c r="A143" s="39"/>
      <c r="B143" s="39"/>
      <c r="C143" s="40"/>
      <c r="D143" s="39"/>
      <c r="E143" s="39"/>
      <c r="F143" s="39"/>
    </row>
    <row r="144" spans="1:6">
      <c r="A144" s="39"/>
      <c r="B144" s="39"/>
      <c r="C144" s="40"/>
      <c r="D144" s="39"/>
      <c r="E144" s="39"/>
      <c r="F144" s="39"/>
    </row>
    <row r="145" spans="1:6">
      <c r="A145" s="39"/>
      <c r="B145" s="39"/>
      <c r="C145" s="40"/>
      <c r="D145" s="39"/>
      <c r="E145" s="39"/>
      <c r="F145" s="39"/>
    </row>
    <row r="146" spans="1:6">
      <c r="A146" s="39"/>
      <c r="B146" s="39"/>
      <c r="C146" s="40"/>
      <c r="D146" s="39"/>
      <c r="E146" s="39"/>
      <c r="F146" s="39"/>
    </row>
    <row r="147" spans="1:6">
      <c r="A147" s="39"/>
      <c r="B147" s="39"/>
      <c r="C147" s="40"/>
      <c r="D147" s="39"/>
      <c r="E147" s="39"/>
      <c r="F147" s="39"/>
    </row>
    <row r="148" spans="1:6">
      <c r="A148" s="39"/>
      <c r="B148" s="39"/>
      <c r="C148" s="40"/>
      <c r="D148" s="39"/>
      <c r="E148" s="39"/>
      <c r="F148" s="39"/>
    </row>
    <row r="149" spans="1:6">
      <c r="A149" s="39"/>
      <c r="B149" s="39"/>
      <c r="C149" s="40"/>
      <c r="D149" s="39"/>
      <c r="E149" s="39"/>
      <c r="F149" s="39"/>
    </row>
    <row r="150" spans="1:6">
      <c r="A150" s="39"/>
      <c r="B150" s="39"/>
      <c r="C150" s="40"/>
      <c r="D150" s="39"/>
      <c r="E150" s="39"/>
      <c r="F150" s="39"/>
    </row>
    <row r="151" spans="1:6">
      <c r="A151" s="39"/>
      <c r="B151" s="39"/>
      <c r="C151" s="40"/>
      <c r="D151" s="39"/>
      <c r="E151" s="39"/>
      <c r="F151" s="39"/>
    </row>
    <row r="152" spans="1:6">
      <c r="A152" s="39"/>
      <c r="B152" s="39"/>
      <c r="C152" s="40"/>
      <c r="D152" s="39"/>
      <c r="E152" s="39"/>
      <c r="F152" s="39"/>
    </row>
    <row r="153" spans="1:6">
      <c r="A153" s="39"/>
      <c r="B153" s="39"/>
      <c r="C153" s="40"/>
      <c r="D153" s="39"/>
      <c r="E153" s="39"/>
      <c r="F153" s="39"/>
    </row>
    <row r="154" spans="1:6">
      <c r="A154" s="39"/>
      <c r="B154" s="39"/>
      <c r="C154" s="40"/>
      <c r="D154" s="39"/>
      <c r="E154" s="39"/>
      <c r="F154" s="39"/>
    </row>
    <row r="155" spans="1:6">
      <c r="A155" s="39"/>
      <c r="B155" s="39"/>
      <c r="C155" s="40"/>
      <c r="D155" s="39"/>
      <c r="E155" s="39"/>
      <c r="F155" s="39"/>
    </row>
    <row r="156" spans="1:6">
      <c r="A156" s="39"/>
      <c r="B156" s="39"/>
      <c r="C156" s="40"/>
      <c r="D156" s="39"/>
      <c r="E156" s="39"/>
      <c r="F156" s="39"/>
    </row>
    <row r="157" spans="1:6">
      <c r="A157" s="39"/>
      <c r="B157" s="39"/>
      <c r="C157" s="40"/>
      <c r="D157" s="39"/>
      <c r="E157" s="39"/>
      <c r="F157" s="39"/>
    </row>
    <row r="158" spans="1:6">
      <c r="A158" s="39"/>
      <c r="B158" s="39"/>
      <c r="C158" s="40"/>
      <c r="D158" s="39"/>
      <c r="E158" s="39"/>
      <c r="F158" s="39"/>
    </row>
    <row r="159" spans="1:6">
      <c r="A159" s="39"/>
      <c r="B159" s="39"/>
      <c r="C159" s="40"/>
      <c r="D159" s="39"/>
      <c r="E159" s="39"/>
      <c r="F159" s="39"/>
    </row>
    <row r="160" spans="1:6">
      <c r="A160" s="39"/>
      <c r="B160" s="39"/>
      <c r="C160" s="40"/>
      <c r="D160" s="39"/>
      <c r="E160" s="39"/>
      <c r="F160" s="39"/>
    </row>
    <row r="161" spans="1:6">
      <c r="A161" s="39"/>
      <c r="B161" s="39"/>
      <c r="C161" s="40"/>
      <c r="D161" s="39"/>
      <c r="E161" s="39"/>
      <c r="F161" s="39"/>
    </row>
    <row r="162" spans="1:6">
      <c r="A162" s="39"/>
      <c r="B162" s="39"/>
      <c r="C162" s="40"/>
      <c r="D162" s="39"/>
      <c r="E162" s="39"/>
      <c r="F162" s="39"/>
    </row>
    <row r="163" spans="1:6">
      <c r="A163" s="39"/>
      <c r="B163" s="39"/>
      <c r="C163" s="40"/>
      <c r="D163" s="39"/>
      <c r="E163" s="39"/>
      <c r="F163" s="39"/>
    </row>
    <row r="164" spans="1:6">
      <c r="A164" s="39"/>
      <c r="B164" s="39"/>
      <c r="C164" s="40"/>
      <c r="D164" s="39"/>
      <c r="E164" s="39"/>
      <c r="F164" s="39"/>
    </row>
    <row r="165" spans="1:6">
      <c r="A165" s="39"/>
      <c r="B165" s="39"/>
      <c r="C165" s="40"/>
      <c r="D165" s="39"/>
      <c r="E165" s="39"/>
      <c r="F165" s="39"/>
    </row>
    <row r="166" spans="1:6">
      <c r="A166" s="39"/>
      <c r="B166" s="39"/>
      <c r="C166" s="40"/>
      <c r="D166" s="39"/>
      <c r="E166" s="39"/>
      <c r="F166" s="39"/>
    </row>
    <row r="167" spans="1:6">
      <c r="A167" s="39"/>
      <c r="B167" s="39"/>
      <c r="C167" s="40"/>
      <c r="D167" s="39"/>
      <c r="E167" s="39"/>
      <c r="F167" s="39"/>
    </row>
    <row r="168" spans="1:6">
      <c r="A168" s="39"/>
      <c r="B168" s="39"/>
      <c r="C168" s="40"/>
      <c r="D168" s="39"/>
      <c r="E168" s="39"/>
      <c r="F168" s="39"/>
    </row>
    <row r="169" spans="1:6">
      <c r="A169" s="39"/>
      <c r="B169" s="39"/>
      <c r="C169" s="40"/>
      <c r="D169" s="39"/>
      <c r="E169" s="39"/>
      <c r="F169" s="39"/>
    </row>
    <row r="170" spans="1:6">
      <c r="A170" s="39"/>
      <c r="B170" s="39"/>
      <c r="C170" s="40"/>
      <c r="D170" s="39"/>
      <c r="E170" s="39"/>
      <c r="F170" s="39"/>
    </row>
    <row r="171" spans="1:6">
      <c r="A171" s="39"/>
      <c r="B171" s="39"/>
      <c r="C171" s="40"/>
      <c r="D171" s="39"/>
      <c r="E171" s="39"/>
      <c r="F171" s="39"/>
    </row>
    <row r="172" spans="1:6">
      <c r="A172" s="39"/>
      <c r="B172" s="39"/>
      <c r="C172" s="40"/>
      <c r="D172" s="39"/>
      <c r="E172" s="39"/>
      <c r="F172" s="39"/>
    </row>
    <row r="173" spans="1:6">
      <c r="A173" s="39"/>
      <c r="B173" s="39"/>
      <c r="C173" s="40"/>
      <c r="D173" s="39"/>
      <c r="E173" s="39"/>
      <c r="F173" s="39"/>
    </row>
    <row r="174" spans="1:6">
      <c r="A174" s="39"/>
      <c r="B174" s="39"/>
      <c r="C174" s="40"/>
      <c r="D174" s="39"/>
      <c r="E174" s="39"/>
      <c r="F174" s="39"/>
    </row>
    <row r="175" spans="1:6">
      <c r="A175" s="39"/>
      <c r="B175" s="39"/>
      <c r="C175" s="40"/>
      <c r="D175" s="39"/>
      <c r="E175" s="39"/>
      <c r="F175" s="39"/>
    </row>
    <row r="176" spans="1:6">
      <c r="A176" s="39"/>
      <c r="B176" s="39"/>
      <c r="C176" s="40"/>
      <c r="D176" s="39"/>
      <c r="E176" s="39"/>
      <c r="F176" s="39"/>
    </row>
    <row r="177" spans="1:6">
      <c r="A177" s="39"/>
      <c r="B177" s="39"/>
      <c r="C177" s="40"/>
      <c r="D177" s="39"/>
      <c r="E177" s="39"/>
      <c r="F177" s="39"/>
    </row>
    <row r="178" spans="1:6">
      <c r="A178" s="39"/>
      <c r="B178" s="39"/>
      <c r="C178" s="40"/>
      <c r="D178" s="39"/>
      <c r="E178" s="39"/>
      <c r="F178" s="39"/>
    </row>
    <row r="179" spans="1:6">
      <c r="A179" s="39"/>
      <c r="B179" s="39"/>
      <c r="C179" s="40"/>
      <c r="D179" s="39"/>
      <c r="E179" s="39"/>
      <c r="F179" s="39"/>
    </row>
    <row r="180" spans="1:6">
      <c r="A180" s="39"/>
      <c r="B180" s="39"/>
      <c r="C180" s="40"/>
      <c r="D180" s="39"/>
      <c r="E180" s="39"/>
      <c r="F180" s="39"/>
    </row>
    <row r="181" spans="1:6">
      <c r="A181" s="39"/>
      <c r="B181" s="39"/>
      <c r="C181" s="40"/>
      <c r="D181" s="39"/>
      <c r="E181" s="39"/>
      <c r="F181" s="39"/>
    </row>
    <row r="182" spans="1:6">
      <c r="A182" s="39"/>
      <c r="B182" s="39"/>
      <c r="C182" s="40"/>
      <c r="D182" s="39"/>
      <c r="E182" s="39"/>
      <c r="F182" s="39"/>
    </row>
    <row r="183" spans="1:6">
      <c r="A183" s="39"/>
      <c r="B183" s="39"/>
      <c r="C183" s="40"/>
      <c r="D183" s="39"/>
      <c r="E183" s="39"/>
      <c r="F183" s="39"/>
    </row>
    <row r="184" spans="1:6">
      <c r="A184" s="39"/>
      <c r="B184" s="39"/>
      <c r="C184" s="40"/>
      <c r="D184" s="39"/>
      <c r="E184" s="39"/>
      <c r="F184" s="39"/>
    </row>
    <row r="185" spans="1:6">
      <c r="A185" s="39"/>
      <c r="B185" s="39"/>
      <c r="C185" s="40"/>
      <c r="D185" s="39"/>
      <c r="E185" s="39"/>
      <c r="F185" s="39"/>
    </row>
    <row r="186" spans="1:6">
      <c r="A186" s="39"/>
      <c r="B186" s="39"/>
      <c r="C186" s="40"/>
      <c r="D186" s="39"/>
      <c r="E186" s="39"/>
      <c r="F186" s="39"/>
    </row>
    <row r="187" spans="1:6">
      <c r="A187" s="39"/>
      <c r="B187" s="39"/>
      <c r="C187" s="40"/>
      <c r="D187" s="39"/>
      <c r="E187" s="39"/>
      <c r="F187" s="39"/>
    </row>
    <row r="188" spans="1:6">
      <c r="A188" s="39"/>
      <c r="B188" s="39"/>
      <c r="C188" s="40"/>
      <c r="D188" s="39"/>
      <c r="E188" s="39"/>
      <c r="F188" s="39"/>
    </row>
    <row r="189" spans="1:6">
      <c r="A189" s="39"/>
      <c r="B189" s="39"/>
      <c r="C189" s="40"/>
      <c r="D189" s="39"/>
      <c r="E189" s="39"/>
      <c r="F189" s="39"/>
    </row>
    <row r="190" spans="1:6">
      <c r="A190" s="39"/>
      <c r="B190" s="39"/>
      <c r="C190" s="40"/>
      <c r="D190" s="39"/>
      <c r="E190" s="39"/>
      <c r="F190" s="39"/>
    </row>
    <row r="191" spans="1:6">
      <c r="A191" s="39"/>
      <c r="B191" s="39"/>
      <c r="C191" s="40"/>
      <c r="D191" s="39"/>
      <c r="E191" s="39"/>
      <c r="F191" s="39"/>
    </row>
    <row r="192" spans="1:6">
      <c r="A192" s="39"/>
      <c r="B192" s="39"/>
      <c r="C192" s="40"/>
      <c r="D192" s="39"/>
      <c r="E192" s="39"/>
      <c r="F192" s="39"/>
    </row>
    <row r="193" spans="1:6">
      <c r="A193" s="39"/>
      <c r="B193" s="39"/>
      <c r="C193" s="40"/>
      <c r="D193" s="39"/>
      <c r="E193" s="39"/>
      <c r="F193" s="39"/>
    </row>
    <row r="194" spans="1:6">
      <c r="A194" s="39"/>
      <c r="B194" s="39"/>
      <c r="C194" s="40"/>
      <c r="D194" s="39"/>
      <c r="E194" s="39"/>
      <c r="F194" s="39"/>
    </row>
    <row r="195" spans="1:6">
      <c r="A195" s="39"/>
      <c r="B195" s="39"/>
      <c r="C195" s="40"/>
      <c r="D195" s="39"/>
      <c r="E195" s="39"/>
      <c r="F195" s="39"/>
    </row>
    <row r="196" spans="1:6">
      <c r="A196" s="39"/>
      <c r="B196" s="39"/>
      <c r="C196" s="40"/>
      <c r="D196" s="39"/>
      <c r="E196" s="39"/>
      <c r="F196" s="39"/>
    </row>
    <row r="197" spans="1:6">
      <c r="A197" s="39"/>
      <c r="B197" s="39"/>
      <c r="C197" s="40"/>
      <c r="D197" s="39"/>
      <c r="E197" s="39"/>
      <c r="F197" s="39"/>
    </row>
    <row r="198" spans="1:6">
      <c r="A198" s="39"/>
      <c r="B198" s="39"/>
      <c r="C198" s="40"/>
      <c r="D198" s="39"/>
      <c r="E198" s="39"/>
      <c r="F198" s="39"/>
    </row>
    <row r="199" spans="1:6">
      <c r="A199" s="39"/>
      <c r="B199" s="39"/>
      <c r="C199" s="40"/>
      <c r="D199" s="39"/>
      <c r="E199" s="39"/>
      <c r="F199" s="39"/>
    </row>
    <row r="200" spans="1:6">
      <c r="A200" s="39"/>
      <c r="B200" s="39"/>
      <c r="C200" s="40"/>
      <c r="D200" s="39"/>
      <c r="E200" s="39"/>
      <c r="F200" s="39"/>
    </row>
    <row r="201" spans="1:6">
      <c r="A201" s="39"/>
      <c r="B201" s="39"/>
      <c r="C201" s="40"/>
      <c r="D201" s="39"/>
      <c r="E201" s="39"/>
      <c r="F201" s="39"/>
    </row>
    <row r="202" spans="1:6">
      <c r="A202" s="39"/>
      <c r="B202" s="39"/>
      <c r="C202" s="40"/>
      <c r="D202" s="39"/>
      <c r="E202" s="39"/>
      <c r="F202" s="39"/>
    </row>
    <row r="203" spans="1:6">
      <c r="A203" s="39"/>
      <c r="B203" s="39"/>
      <c r="C203" s="40"/>
      <c r="D203" s="39"/>
      <c r="E203" s="39"/>
      <c r="F203" s="39"/>
    </row>
    <row r="204" spans="1:6">
      <c r="A204" s="39"/>
      <c r="B204" s="39"/>
      <c r="C204" s="40"/>
      <c r="D204" s="39"/>
      <c r="E204" s="39"/>
      <c r="F204" s="39"/>
    </row>
    <row r="205" spans="1:6">
      <c r="A205" s="39"/>
      <c r="B205" s="39"/>
      <c r="C205" s="40"/>
      <c r="D205" s="39"/>
      <c r="E205" s="39"/>
      <c r="F205" s="39"/>
    </row>
    <row r="206" spans="1:6">
      <c r="A206" s="39"/>
      <c r="B206" s="39"/>
      <c r="C206" s="40"/>
      <c r="D206" s="39"/>
      <c r="E206" s="39"/>
      <c r="F206" s="39"/>
    </row>
    <row r="207" spans="1:6">
      <c r="A207" s="39"/>
      <c r="B207" s="39"/>
      <c r="C207" s="40"/>
      <c r="D207" s="39"/>
      <c r="E207" s="39"/>
      <c r="F207" s="39"/>
    </row>
    <row r="208" spans="1:6">
      <c r="A208" s="39"/>
      <c r="B208" s="39"/>
      <c r="C208" s="40"/>
      <c r="D208" s="39"/>
      <c r="E208" s="39"/>
      <c r="F208" s="39"/>
    </row>
    <row r="209" spans="1:6">
      <c r="A209" s="39"/>
      <c r="B209" s="39"/>
      <c r="C209" s="40"/>
      <c r="D209" s="39"/>
      <c r="E209" s="39"/>
      <c r="F209" s="39"/>
    </row>
    <row r="210" spans="1:6">
      <c r="A210" s="39"/>
      <c r="B210" s="39"/>
      <c r="C210" s="40"/>
      <c r="D210" s="39"/>
      <c r="E210" s="39"/>
      <c r="F210" s="39"/>
    </row>
    <row r="211" spans="1:6">
      <c r="A211" s="39"/>
      <c r="B211" s="39"/>
      <c r="C211" s="40"/>
      <c r="D211" s="39"/>
      <c r="E211" s="39"/>
      <c r="F211" s="39"/>
    </row>
    <row r="212" spans="1:6">
      <c r="A212" s="39"/>
      <c r="B212" s="39"/>
      <c r="C212" s="40"/>
      <c r="D212" s="39"/>
      <c r="E212" s="39"/>
      <c r="F212" s="39"/>
    </row>
    <row r="213" spans="1:6">
      <c r="A213" s="39"/>
      <c r="B213" s="39"/>
      <c r="C213" s="40"/>
      <c r="D213" s="39"/>
      <c r="E213" s="39"/>
      <c r="F213" s="39"/>
    </row>
    <row r="214" spans="1:6">
      <c r="A214" s="39"/>
      <c r="B214" s="39"/>
      <c r="C214" s="40"/>
      <c r="D214" s="39"/>
      <c r="E214" s="39"/>
      <c r="F214" s="39"/>
    </row>
    <row r="215" spans="1:6">
      <c r="A215" s="39"/>
      <c r="B215" s="39"/>
      <c r="C215" s="40"/>
      <c r="D215" s="39"/>
      <c r="E215" s="39"/>
      <c r="F215" s="39"/>
    </row>
    <row r="216" spans="1:6">
      <c r="A216" s="39"/>
      <c r="B216" s="39"/>
      <c r="C216" s="40"/>
      <c r="D216" s="39"/>
      <c r="E216" s="39"/>
      <c r="F216" s="39"/>
    </row>
    <row r="217" spans="1:6">
      <c r="A217" s="39"/>
      <c r="B217" s="39"/>
      <c r="C217" s="40"/>
      <c r="D217" s="39"/>
      <c r="E217" s="39"/>
      <c r="F217" s="39"/>
    </row>
    <row r="218" spans="1:6">
      <c r="A218" s="39"/>
      <c r="B218" s="39"/>
      <c r="C218" s="40"/>
      <c r="D218" s="39"/>
      <c r="E218" s="39"/>
      <c r="F218" s="39"/>
    </row>
    <row r="219" spans="1:6">
      <c r="A219" s="39"/>
      <c r="B219" s="39"/>
      <c r="C219" s="40"/>
      <c r="D219" s="39"/>
      <c r="E219" s="39"/>
      <c r="F219" s="39"/>
    </row>
    <row r="220" spans="1:6">
      <c r="A220" s="39"/>
      <c r="B220" s="39"/>
      <c r="C220" s="40"/>
      <c r="D220" s="39"/>
      <c r="E220" s="39"/>
      <c r="F220" s="39"/>
    </row>
    <row r="221" spans="1:6">
      <c r="A221" s="39"/>
      <c r="B221" s="39"/>
      <c r="C221" s="40"/>
      <c r="D221" s="39"/>
      <c r="E221" s="39"/>
      <c r="F221" s="39"/>
    </row>
    <row r="222" spans="1:6">
      <c r="A222" s="39"/>
      <c r="B222" s="39"/>
      <c r="C222" s="40"/>
      <c r="D222" s="39"/>
      <c r="E222" s="39"/>
      <c r="F222" s="39"/>
    </row>
    <row r="223" spans="1:6">
      <c r="A223" s="39"/>
      <c r="B223" s="39"/>
      <c r="C223" s="40"/>
      <c r="D223" s="39"/>
      <c r="E223" s="39"/>
      <c r="F223" s="39"/>
    </row>
    <row r="224" spans="1:6">
      <c r="A224" s="39"/>
      <c r="B224" s="39"/>
      <c r="C224" s="40"/>
      <c r="D224" s="39"/>
      <c r="E224" s="39"/>
      <c r="F224" s="39"/>
    </row>
    <row r="225" spans="1:6">
      <c r="A225" s="39"/>
      <c r="B225" s="39"/>
      <c r="C225" s="40"/>
      <c r="D225" s="39"/>
      <c r="E225" s="39"/>
      <c r="F225" s="39"/>
    </row>
    <row r="226" spans="1:6">
      <c r="A226" s="39"/>
      <c r="B226" s="39"/>
      <c r="C226" s="40"/>
      <c r="D226" s="39"/>
      <c r="E226" s="39"/>
      <c r="F226" s="39"/>
    </row>
    <row r="227" spans="1:6">
      <c r="A227" s="39"/>
      <c r="B227" s="39"/>
      <c r="C227" s="40"/>
      <c r="D227" s="39"/>
      <c r="E227" s="39"/>
      <c r="F227" s="39"/>
    </row>
    <row r="228" spans="1:6">
      <c r="A228" s="39"/>
      <c r="B228" s="39"/>
      <c r="C228" s="40"/>
      <c r="D228" s="39"/>
      <c r="E228" s="39"/>
      <c r="F228" s="39"/>
    </row>
    <row r="229" spans="1:6">
      <c r="A229" s="39"/>
      <c r="B229" s="39"/>
      <c r="C229" s="40"/>
      <c r="D229" s="39"/>
      <c r="E229" s="39"/>
      <c r="F229" s="39"/>
    </row>
    <row r="230" spans="1:6">
      <c r="A230" s="39"/>
      <c r="B230" s="39"/>
      <c r="C230" s="40"/>
      <c r="D230" s="39"/>
      <c r="E230" s="39"/>
      <c r="F230" s="39"/>
    </row>
    <row r="231" spans="1:6">
      <c r="A231" s="39"/>
      <c r="B231" s="39"/>
      <c r="C231" s="40"/>
      <c r="D231" s="39"/>
      <c r="E231" s="39"/>
      <c r="F231" s="39"/>
    </row>
    <row r="232" spans="1:6">
      <c r="A232" s="39"/>
      <c r="B232" s="39"/>
      <c r="C232" s="40"/>
      <c r="D232" s="39"/>
      <c r="E232" s="39"/>
      <c r="F232" s="39"/>
    </row>
    <row r="233" spans="1:6">
      <c r="A233" s="39"/>
      <c r="B233" s="39"/>
      <c r="C233" s="40"/>
      <c r="D233" s="39"/>
      <c r="E233" s="39"/>
      <c r="F233" s="39"/>
    </row>
    <row r="234" spans="1:6">
      <c r="A234" s="39"/>
      <c r="B234" s="39"/>
      <c r="C234" s="40"/>
      <c r="D234" s="39"/>
      <c r="E234" s="39"/>
      <c r="F234" s="39"/>
    </row>
    <row r="235" spans="1:6">
      <c r="A235" s="39"/>
      <c r="B235" s="39"/>
      <c r="C235" s="40"/>
      <c r="D235" s="39"/>
      <c r="E235" s="39"/>
      <c r="F235" s="39"/>
    </row>
    <row r="236" spans="1:6">
      <c r="A236" s="39"/>
      <c r="B236" s="39"/>
      <c r="C236" s="40"/>
      <c r="D236" s="39"/>
      <c r="E236" s="39"/>
      <c r="F236" s="39"/>
    </row>
    <row r="237" spans="1:6">
      <c r="A237" s="39"/>
      <c r="B237" s="39"/>
      <c r="C237" s="40"/>
      <c r="D237" s="39"/>
      <c r="E237" s="39"/>
      <c r="F237" s="39"/>
    </row>
    <row r="238" spans="1:6">
      <c r="A238" s="39"/>
      <c r="B238" s="39"/>
      <c r="C238" s="40"/>
      <c r="D238" s="39"/>
      <c r="E238" s="39"/>
      <c r="F238" s="39"/>
    </row>
    <row r="239" spans="1:6">
      <c r="A239" s="39"/>
      <c r="B239" s="39"/>
      <c r="C239" s="40"/>
      <c r="D239" s="39"/>
      <c r="E239" s="39"/>
      <c r="F239" s="39"/>
    </row>
    <row r="240" spans="1:6">
      <c r="A240" s="39"/>
      <c r="B240" s="39"/>
      <c r="C240" s="40"/>
      <c r="D240" s="39"/>
      <c r="E240" s="39"/>
      <c r="F240" s="39"/>
    </row>
    <row r="241" spans="1:6">
      <c r="A241" s="39"/>
      <c r="B241" s="39"/>
      <c r="C241" s="40"/>
      <c r="D241" s="39"/>
      <c r="E241" s="39"/>
      <c r="F241" s="39"/>
    </row>
    <row r="242" spans="1:6">
      <c r="A242" s="39"/>
      <c r="B242" s="39"/>
      <c r="C242" s="40"/>
      <c r="D242" s="39"/>
      <c r="E242" s="39"/>
      <c r="F242" s="39"/>
    </row>
    <row r="243" spans="1:6">
      <c r="A243" s="39"/>
      <c r="B243" s="39"/>
      <c r="C243" s="40"/>
      <c r="D243" s="39"/>
      <c r="E243" s="39"/>
      <c r="F243" s="39"/>
    </row>
    <row r="244" spans="1:6">
      <c r="A244" s="39"/>
      <c r="B244" s="39"/>
      <c r="C244" s="40"/>
      <c r="D244" s="39"/>
      <c r="E244" s="39"/>
      <c r="F244" s="39"/>
    </row>
    <row r="245" spans="1:6">
      <c r="A245" s="39"/>
      <c r="B245" s="39"/>
      <c r="C245" s="40"/>
      <c r="D245" s="39"/>
      <c r="E245" s="39"/>
      <c r="F245" s="39"/>
    </row>
    <row r="246" spans="1:6">
      <c r="A246" s="39"/>
      <c r="B246" s="39"/>
      <c r="C246" s="40"/>
      <c r="D246" s="39"/>
      <c r="E246" s="39"/>
      <c r="F246" s="39"/>
    </row>
    <row r="247" spans="1:6">
      <c r="A247" s="39"/>
      <c r="B247" s="39"/>
      <c r="C247" s="40"/>
      <c r="D247" s="39"/>
      <c r="E247" s="39"/>
      <c r="F247" s="39"/>
    </row>
    <row r="248" spans="1:6">
      <c r="A248" s="39"/>
      <c r="B248" s="39"/>
      <c r="C248" s="40"/>
      <c r="D248" s="39"/>
      <c r="E248" s="39"/>
      <c r="F248" s="39"/>
    </row>
    <row r="249" spans="1:6">
      <c r="A249" s="39"/>
      <c r="B249" s="39"/>
      <c r="C249" s="40"/>
      <c r="D249" s="39"/>
      <c r="E249" s="39"/>
      <c r="F249" s="39"/>
    </row>
    <row r="250" spans="1:6">
      <c r="A250" s="39"/>
      <c r="B250" s="39"/>
      <c r="C250" s="40"/>
      <c r="D250" s="39"/>
      <c r="E250" s="39"/>
      <c r="F250" s="39"/>
    </row>
    <row r="251" spans="1:6">
      <c r="A251" s="39"/>
      <c r="B251" s="39"/>
      <c r="C251" s="40"/>
      <c r="D251" s="39"/>
      <c r="E251" s="39"/>
      <c r="F251" s="39"/>
    </row>
    <row r="252" spans="1:6">
      <c r="A252" s="39"/>
      <c r="B252" s="39"/>
      <c r="C252" s="40"/>
      <c r="D252" s="39"/>
      <c r="E252" s="39"/>
      <c r="F252" s="39"/>
    </row>
    <row r="253" spans="1:6">
      <c r="A253" s="39"/>
      <c r="B253" s="39"/>
      <c r="C253" s="40"/>
      <c r="D253" s="39"/>
      <c r="E253" s="39"/>
      <c r="F253" s="39"/>
    </row>
    <row r="254" spans="1:6">
      <c r="A254" s="39"/>
      <c r="B254" s="39"/>
      <c r="C254" s="40"/>
      <c r="D254" s="39"/>
      <c r="E254" s="39"/>
      <c r="F254" s="39"/>
    </row>
    <row r="255" spans="1:6">
      <c r="A255" s="39"/>
      <c r="B255" s="39"/>
      <c r="C255" s="40"/>
      <c r="D255" s="39"/>
      <c r="E255" s="39"/>
      <c r="F255" s="39"/>
    </row>
    <row r="256" spans="1:6">
      <c r="A256" s="39"/>
      <c r="B256" s="39"/>
      <c r="C256" s="40"/>
      <c r="D256" s="39"/>
      <c r="E256" s="39"/>
      <c r="F256" s="39"/>
    </row>
    <row r="257" spans="1:6">
      <c r="A257" s="39"/>
      <c r="B257" s="39"/>
      <c r="C257" s="40"/>
      <c r="D257" s="39"/>
      <c r="E257" s="39"/>
      <c r="F257" s="39"/>
    </row>
    <row r="258" spans="1:6">
      <c r="A258" s="39"/>
      <c r="B258" s="39"/>
      <c r="C258" s="40"/>
      <c r="D258" s="39"/>
      <c r="E258" s="39"/>
      <c r="F258" s="39"/>
    </row>
    <row r="259" spans="1:6">
      <c r="A259" s="39"/>
      <c r="B259" s="39"/>
      <c r="C259" s="40"/>
      <c r="D259" s="39"/>
      <c r="E259" s="39"/>
      <c r="F259" s="39"/>
    </row>
    <row r="260" spans="1:6">
      <c r="A260" s="39"/>
      <c r="B260" s="39"/>
      <c r="C260" s="40"/>
      <c r="D260" s="39"/>
      <c r="E260" s="39"/>
      <c r="F260" s="39"/>
    </row>
    <row r="261" spans="1:6">
      <c r="A261" s="39"/>
      <c r="B261" s="39"/>
      <c r="C261" s="40"/>
      <c r="D261" s="39"/>
      <c r="E261" s="39"/>
      <c r="F261" s="39"/>
    </row>
    <row r="262" spans="1:6">
      <c r="A262" s="39"/>
      <c r="B262" s="39"/>
      <c r="C262" s="40"/>
      <c r="D262" s="39"/>
      <c r="E262" s="39"/>
      <c r="F262" s="39"/>
    </row>
    <row r="263" spans="1:6">
      <c r="A263" s="39"/>
      <c r="B263" s="39"/>
      <c r="C263" s="40"/>
      <c r="D263" s="39"/>
      <c r="E263" s="39"/>
      <c r="F263" s="39"/>
    </row>
    <row r="264" spans="1:6">
      <c r="A264" s="39"/>
      <c r="B264" s="39"/>
      <c r="C264" s="40"/>
      <c r="D264" s="39"/>
      <c r="E264" s="39"/>
      <c r="F264" s="39"/>
    </row>
    <row r="265" spans="1:6">
      <c r="A265" s="39"/>
      <c r="B265" s="39"/>
      <c r="C265" s="40"/>
      <c r="D265" s="39"/>
      <c r="E265" s="39"/>
      <c r="F265" s="39"/>
    </row>
    <row r="266" spans="1:6">
      <c r="A266" s="39"/>
      <c r="B266" s="39"/>
      <c r="C266" s="40"/>
      <c r="D266" s="39"/>
      <c r="E266" s="39"/>
      <c r="F266" s="39"/>
    </row>
    <row r="267" spans="1:6">
      <c r="A267" s="39"/>
      <c r="B267" s="39"/>
      <c r="C267" s="40"/>
      <c r="D267" s="39"/>
      <c r="E267" s="39"/>
      <c r="F267" s="39"/>
    </row>
    <row r="268" spans="1:6">
      <c r="A268" s="39"/>
      <c r="B268" s="39"/>
      <c r="C268" s="40"/>
      <c r="D268" s="39"/>
      <c r="E268" s="39"/>
      <c r="F268" s="39"/>
    </row>
    <row r="269" spans="1:6">
      <c r="A269" s="39"/>
      <c r="B269" s="39"/>
      <c r="C269" s="40"/>
      <c r="D269" s="39"/>
      <c r="E269" s="39"/>
      <c r="F269" s="39"/>
    </row>
    <row r="270" spans="1:6">
      <c r="A270" s="39"/>
      <c r="B270" s="39"/>
      <c r="C270" s="40"/>
      <c r="D270" s="39"/>
      <c r="E270" s="39"/>
      <c r="F270" s="39"/>
    </row>
    <row r="271" spans="1:6">
      <c r="A271" s="39"/>
      <c r="B271" s="39"/>
      <c r="C271" s="40"/>
      <c r="D271" s="39"/>
      <c r="E271" s="39"/>
      <c r="F271" s="39"/>
    </row>
    <row r="272" spans="1:6">
      <c r="A272" s="39"/>
      <c r="B272" s="39"/>
      <c r="C272" s="40"/>
      <c r="D272" s="39"/>
      <c r="E272" s="39"/>
      <c r="F272" s="39"/>
    </row>
    <row r="273" spans="1:6">
      <c r="A273" s="39"/>
      <c r="B273" s="39"/>
      <c r="C273" s="40"/>
      <c r="D273" s="39"/>
      <c r="E273" s="39"/>
      <c r="F273" s="39"/>
    </row>
    <row r="274" spans="1:6">
      <c r="A274" s="39"/>
      <c r="B274" s="39"/>
      <c r="C274" s="40"/>
      <c r="D274" s="39"/>
      <c r="E274" s="39"/>
      <c r="F274" s="39"/>
    </row>
    <row r="275" spans="1:6">
      <c r="A275" s="39"/>
      <c r="B275" s="39"/>
      <c r="C275" s="40"/>
      <c r="D275" s="39"/>
      <c r="E275" s="39"/>
      <c r="F275" s="39"/>
    </row>
    <row r="276" spans="1:6">
      <c r="A276" s="39"/>
      <c r="B276" s="39"/>
      <c r="C276" s="40"/>
      <c r="D276" s="39"/>
      <c r="E276" s="39"/>
      <c r="F276" s="39"/>
    </row>
    <row r="277" spans="1:6">
      <c r="A277" s="39"/>
      <c r="B277" s="39"/>
      <c r="C277" s="40"/>
      <c r="D277" s="39"/>
      <c r="E277" s="39"/>
      <c r="F277" s="39"/>
    </row>
    <row r="278" spans="1:6">
      <c r="A278" s="39"/>
      <c r="B278" s="39"/>
      <c r="C278" s="40"/>
      <c r="D278" s="39"/>
      <c r="E278" s="39"/>
      <c r="F278" s="39"/>
    </row>
    <row r="279" spans="1:6">
      <c r="A279" s="39"/>
      <c r="B279" s="39"/>
      <c r="C279" s="40"/>
      <c r="D279" s="39"/>
      <c r="E279" s="39"/>
      <c r="F279" s="39"/>
    </row>
    <row r="280" spans="1:6">
      <c r="A280" s="39"/>
      <c r="B280" s="39"/>
      <c r="C280" s="40"/>
      <c r="D280" s="39"/>
      <c r="E280" s="39"/>
      <c r="F280" s="39"/>
    </row>
    <row r="281" spans="1:6">
      <c r="A281" s="39"/>
      <c r="B281" s="39"/>
      <c r="C281" s="40"/>
      <c r="D281" s="39"/>
      <c r="E281" s="39"/>
      <c r="F281" s="39"/>
    </row>
    <row r="282" spans="1:6">
      <c r="A282" s="39"/>
      <c r="B282" s="39"/>
      <c r="C282" s="40"/>
      <c r="D282" s="39"/>
      <c r="E282" s="39"/>
      <c r="F282" s="39"/>
    </row>
    <row r="283" spans="1:6">
      <c r="A283" s="39"/>
      <c r="B283" s="39"/>
      <c r="C283" s="40"/>
      <c r="D283" s="39"/>
      <c r="E283" s="39"/>
      <c r="F283" s="39"/>
    </row>
    <row r="284" spans="1:6">
      <c r="A284" s="39"/>
      <c r="B284" s="39"/>
      <c r="C284" s="40"/>
      <c r="D284" s="39"/>
      <c r="E284" s="39"/>
      <c r="F284" s="39"/>
    </row>
    <row r="285" spans="1:6">
      <c r="A285" s="39"/>
      <c r="B285" s="39"/>
      <c r="C285" s="40"/>
      <c r="D285" s="39"/>
      <c r="E285" s="39"/>
      <c r="F285" s="39"/>
    </row>
    <row r="286" spans="1:6">
      <c r="A286" s="39"/>
      <c r="B286" s="39"/>
      <c r="C286" s="40"/>
      <c r="D286" s="39"/>
      <c r="E286" s="39"/>
      <c r="F286" s="39"/>
    </row>
    <row r="287" spans="1:6">
      <c r="A287" s="39"/>
      <c r="B287" s="39"/>
      <c r="C287" s="40"/>
      <c r="D287" s="39"/>
      <c r="E287" s="39"/>
      <c r="F287" s="39"/>
    </row>
    <row r="288" spans="1:6">
      <c r="A288" s="39"/>
      <c r="B288" s="39"/>
      <c r="C288" s="40"/>
      <c r="D288" s="39"/>
      <c r="E288" s="39"/>
      <c r="F288" s="39"/>
    </row>
    <row r="289" spans="1:6">
      <c r="A289" s="39"/>
      <c r="B289" s="39"/>
      <c r="C289" s="40"/>
      <c r="D289" s="39"/>
      <c r="E289" s="39"/>
      <c r="F289" s="39"/>
    </row>
    <row r="290" spans="1:6">
      <c r="A290" s="39"/>
      <c r="B290" s="39"/>
      <c r="C290" s="40"/>
      <c r="D290" s="39"/>
      <c r="E290" s="39"/>
      <c r="F290" s="39"/>
    </row>
    <row r="291" spans="1:6">
      <c r="A291" s="39"/>
      <c r="B291" s="39"/>
      <c r="C291" s="40"/>
      <c r="D291" s="39"/>
      <c r="E291" s="39"/>
      <c r="F291" s="39"/>
    </row>
    <row r="292" spans="1:6">
      <c r="A292" s="39"/>
      <c r="B292" s="39"/>
      <c r="C292" s="40"/>
      <c r="D292" s="39"/>
      <c r="E292" s="39"/>
      <c r="F292" s="39"/>
    </row>
    <row r="293" spans="1:6">
      <c r="A293" s="39"/>
      <c r="B293" s="39"/>
      <c r="C293" s="40"/>
      <c r="D293" s="39"/>
      <c r="E293" s="39"/>
      <c r="F293" s="39"/>
    </row>
    <row r="294" spans="1:6">
      <c r="A294" s="39"/>
      <c r="B294" s="39"/>
      <c r="C294" s="40"/>
      <c r="D294" s="39"/>
      <c r="E294" s="39"/>
      <c r="F294" s="39"/>
    </row>
    <row r="295" spans="1:6">
      <c r="A295" s="39"/>
      <c r="B295" s="39"/>
      <c r="C295" s="40"/>
      <c r="D295" s="39"/>
      <c r="E295" s="39"/>
      <c r="F295" s="39"/>
    </row>
    <row r="296" spans="1:6">
      <c r="A296" s="39"/>
      <c r="B296" s="39"/>
      <c r="C296" s="40"/>
      <c r="D296" s="39"/>
      <c r="E296" s="39"/>
      <c r="F296" s="39"/>
    </row>
    <row r="297" spans="1:6">
      <c r="A297" s="39"/>
      <c r="B297" s="39"/>
      <c r="C297" s="40"/>
      <c r="D297" s="39"/>
      <c r="E297" s="39"/>
      <c r="F297" s="39"/>
    </row>
    <row r="298" spans="1:6">
      <c r="A298" s="39"/>
      <c r="B298" s="39"/>
      <c r="C298" s="40"/>
      <c r="D298" s="39"/>
      <c r="E298" s="39"/>
      <c r="F298" s="39"/>
    </row>
    <row r="299" spans="1:6">
      <c r="A299" s="39"/>
      <c r="B299" s="39"/>
      <c r="C299" s="40"/>
      <c r="D299" s="39"/>
      <c r="E299" s="39"/>
      <c r="F299" s="39"/>
    </row>
    <row r="300" spans="1:6">
      <c r="A300" s="39"/>
      <c r="B300" s="39"/>
      <c r="C300" s="40"/>
      <c r="D300" s="39"/>
      <c r="E300" s="39"/>
      <c r="F300" s="39"/>
    </row>
    <row r="301" spans="1:6">
      <c r="A301" s="39"/>
      <c r="B301" s="39"/>
      <c r="C301" s="40"/>
      <c r="D301" s="39"/>
      <c r="E301" s="39"/>
      <c r="F301" s="39"/>
    </row>
    <row r="302" spans="1:6">
      <c r="A302" s="39"/>
      <c r="B302" s="39"/>
      <c r="C302" s="40"/>
      <c r="D302" s="39"/>
      <c r="E302" s="39"/>
      <c r="F302" s="39"/>
    </row>
    <row r="303" spans="1:6">
      <c r="A303" s="39"/>
      <c r="B303" s="39"/>
      <c r="C303" s="40"/>
      <c r="D303" s="39"/>
      <c r="E303" s="39"/>
      <c r="F303" s="39"/>
    </row>
    <row r="304" spans="1:6">
      <c r="A304" s="39"/>
      <c r="B304" s="39"/>
      <c r="C304" s="40"/>
      <c r="D304" s="39"/>
      <c r="E304" s="39"/>
      <c r="F304" s="39"/>
    </row>
    <row r="305" spans="1:6">
      <c r="A305" s="39"/>
      <c r="B305" s="39"/>
      <c r="C305" s="40"/>
      <c r="D305" s="39"/>
      <c r="E305" s="39"/>
      <c r="F305" s="39"/>
    </row>
    <row r="306" spans="1:6">
      <c r="A306" s="39"/>
      <c r="B306" s="39"/>
      <c r="C306" s="40"/>
      <c r="D306" s="39"/>
      <c r="E306" s="39"/>
      <c r="F306" s="39"/>
    </row>
    <row r="307" spans="1:6">
      <c r="A307" s="39"/>
      <c r="B307" s="39"/>
      <c r="C307" s="40"/>
      <c r="D307" s="39"/>
      <c r="E307" s="39"/>
      <c r="F307" s="39"/>
    </row>
    <row r="308" spans="1:6">
      <c r="A308" s="39"/>
      <c r="B308" s="39"/>
      <c r="C308" s="40"/>
      <c r="D308" s="39"/>
      <c r="E308" s="39"/>
      <c r="F308" s="39"/>
    </row>
    <row r="309" spans="1:6">
      <c r="A309" s="39"/>
      <c r="B309" s="39"/>
      <c r="C309" s="40"/>
      <c r="D309" s="39"/>
      <c r="E309" s="39"/>
      <c r="F309" s="39"/>
    </row>
    <row r="310" spans="1:6">
      <c r="A310" s="39"/>
      <c r="B310" s="39"/>
      <c r="C310" s="40"/>
      <c r="D310" s="39"/>
      <c r="E310" s="39"/>
      <c r="F310" s="39"/>
    </row>
    <row r="311" spans="1:6">
      <c r="A311" s="39"/>
      <c r="B311" s="39"/>
      <c r="C311" s="40"/>
      <c r="D311" s="39"/>
      <c r="E311" s="39"/>
      <c r="F311" s="39"/>
    </row>
    <row r="312" spans="1:6">
      <c r="A312" s="39"/>
      <c r="B312" s="39"/>
      <c r="C312" s="40"/>
      <c r="D312" s="39"/>
      <c r="E312" s="39"/>
      <c r="F312" s="39"/>
    </row>
    <row r="313" spans="1:6">
      <c r="A313" s="39"/>
      <c r="B313" s="39"/>
      <c r="C313" s="40"/>
      <c r="D313" s="39"/>
      <c r="E313" s="39"/>
      <c r="F313" s="39"/>
    </row>
    <row r="314" spans="1:6">
      <c r="A314" s="39"/>
      <c r="B314" s="39"/>
      <c r="C314" s="40"/>
      <c r="D314" s="39"/>
      <c r="E314" s="39"/>
      <c r="F314" s="39"/>
    </row>
    <row r="315" spans="1:6">
      <c r="A315" s="39"/>
      <c r="B315" s="39"/>
      <c r="C315" s="40"/>
      <c r="D315" s="39"/>
      <c r="E315" s="39"/>
      <c r="F315" s="39"/>
    </row>
    <row r="316" spans="1:6">
      <c r="A316" s="39"/>
      <c r="B316" s="39"/>
      <c r="C316" s="40"/>
      <c r="D316" s="39"/>
      <c r="E316" s="39"/>
      <c r="F316" s="39"/>
    </row>
    <row r="317" spans="1:6">
      <c r="A317" s="39"/>
      <c r="B317" s="39"/>
      <c r="C317" s="40"/>
      <c r="D317" s="39"/>
      <c r="E317" s="39"/>
      <c r="F317" s="39"/>
    </row>
    <row r="318" spans="1:6">
      <c r="A318" s="39"/>
      <c r="B318" s="39"/>
      <c r="C318" s="40"/>
      <c r="D318" s="39"/>
      <c r="E318" s="39"/>
      <c r="F318" s="39"/>
    </row>
    <row r="319" spans="1:6">
      <c r="A319" s="39"/>
      <c r="B319" s="39"/>
      <c r="C319" s="40"/>
      <c r="D319" s="39"/>
      <c r="E319" s="39"/>
      <c r="F319" s="39"/>
    </row>
    <row r="320" spans="1:6">
      <c r="A320" s="39"/>
      <c r="B320" s="39"/>
      <c r="C320" s="40"/>
      <c r="D320" s="39"/>
      <c r="E320" s="39"/>
      <c r="F320" s="39"/>
    </row>
    <row r="321" spans="1:6">
      <c r="A321" s="39"/>
      <c r="B321" s="39"/>
      <c r="C321" s="40"/>
      <c r="D321" s="39"/>
      <c r="E321" s="39"/>
      <c r="F321" s="39"/>
    </row>
    <row r="322" spans="1:6">
      <c r="A322" s="39"/>
      <c r="B322" s="39"/>
      <c r="C322" s="40"/>
      <c r="D322" s="39"/>
      <c r="E322" s="39"/>
      <c r="F322" s="39"/>
    </row>
    <row r="323" spans="1:6">
      <c r="A323" s="39"/>
      <c r="B323" s="39"/>
      <c r="C323" s="40"/>
      <c r="D323" s="39"/>
      <c r="E323" s="39"/>
      <c r="F323" s="39"/>
    </row>
    <row r="324" spans="1:6">
      <c r="A324" s="39"/>
      <c r="B324" s="39"/>
      <c r="C324" s="40"/>
      <c r="D324" s="39"/>
      <c r="E324" s="39"/>
      <c r="F324" s="39"/>
    </row>
    <row r="325" spans="1:6">
      <c r="A325" s="39"/>
      <c r="B325" s="39"/>
      <c r="C325" s="40"/>
      <c r="D325" s="39"/>
      <c r="E325" s="39"/>
      <c r="F325" s="39"/>
    </row>
    <row r="326" spans="1:6">
      <c r="A326" s="39"/>
      <c r="B326" s="39"/>
      <c r="C326" s="40"/>
      <c r="D326" s="39"/>
      <c r="E326" s="39"/>
      <c r="F326" s="39"/>
    </row>
    <row r="327" spans="1:6">
      <c r="A327" s="39"/>
      <c r="B327" s="39"/>
      <c r="C327" s="40"/>
      <c r="D327" s="39"/>
      <c r="E327" s="39"/>
      <c r="F327" s="39"/>
    </row>
    <row r="328" spans="1:6">
      <c r="A328" s="39"/>
      <c r="B328" s="39"/>
      <c r="C328" s="40"/>
      <c r="D328" s="39"/>
      <c r="E328" s="39"/>
      <c r="F328" s="39"/>
    </row>
    <row r="329" spans="1:6">
      <c r="A329" s="39"/>
      <c r="B329" s="39"/>
      <c r="C329" s="40"/>
      <c r="D329" s="39"/>
      <c r="E329" s="39"/>
      <c r="F329" s="39"/>
    </row>
    <row r="330" spans="1:6">
      <c r="A330" s="39"/>
      <c r="B330" s="39"/>
      <c r="C330" s="40"/>
      <c r="D330" s="39"/>
      <c r="E330" s="39"/>
      <c r="F330" s="39"/>
    </row>
    <row r="331" spans="1:6">
      <c r="A331" s="39"/>
      <c r="B331" s="39"/>
      <c r="C331" s="40"/>
      <c r="D331" s="39"/>
      <c r="E331" s="39"/>
      <c r="F331" s="39"/>
    </row>
    <row r="332" spans="1:6">
      <c r="A332" s="39"/>
      <c r="B332" s="39"/>
      <c r="C332" s="40"/>
      <c r="D332" s="39"/>
      <c r="E332" s="39"/>
      <c r="F332" s="39"/>
    </row>
    <row r="333" spans="1:6">
      <c r="A333" s="39"/>
      <c r="B333" s="39"/>
      <c r="C333" s="40"/>
      <c r="D333" s="39"/>
      <c r="E333" s="39"/>
      <c r="F333" s="39"/>
    </row>
    <row r="334" spans="1:6">
      <c r="A334" s="39"/>
      <c r="B334" s="39"/>
      <c r="C334" s="40"/>
      <c r="D334" s="39"/>
      <c r="E334" s="39"/>
      <c r="F334" s="39"/>
    </row>
    <row r="335" spans="1:6">
      <c r="A335" s="39"/>
      <c r="B335" s="39"/>
      <c r="C335" s="40"/>
      <c r="D335" s="39"/>
      <c r="E335" s="39"/>
      <c r="F335" s="39"/>
    </row>
    <row r="336" spans="1:6">
      <c r="A336" s="39"/>
      <c r="B336" s="39"/>
      <c r="C336" s="40"/>
      <c r="D336" s="39"/>
      <c r="E336" s="39"/>
      <c r="F336" s="39"/>
    </row>
    <row r="337" spans="1:6">
      <c r="A337" s="39"/>
      <c r="B337" s="39"/>
      <c r="C337" s="40"/>
      <c r="D337" s="39"/>
      <c r="E337" s="39"/>
      <c r="F337" s="39"/>
    </row>
    <row r="338" spans="1:6">
      <c r="A338" s="39"/>
      <c r="B338" s="39"/>
      <c r="C338" s="40"/>
      <c r="D338" s="39"/>
      <c r="E338" s="39"/>
      <c r="F338" s="39"/>
    </row>
    <row r="339" spans="1:6">
      <c r="A339" s="39"/>
      <c r="B339" s="39"/>
      <c r="C339" s="40"/>
      <c r="D339" s="39"/>
      <c r="E339" s="39"/>
      <c r="F339" s="39"/>
    </row>
    <row r="340" spans="1:6">
      <c r="A340" s="39"/>
      <c r="B340" s="39"/>
      <c r="C340" s="40"/>
      <c r="D340" s="39"/>
      <c r="E340" s="39"/>
      <c r="F340" s="39"/>
    </row>
    <row r="341" spans="1:6">
      <c r="A341" s="39"/>
      <c r="B341" s="39"/>
      <c r="C341" s="40"/>
      <c r="D341" s="39"/>
      <c r="E341" s="39"/>
      <c r="F341" s="39"/>
    </row>
    <row r="342" spans="1:6">
      <c r="A342" s="39"/>
      <c r="B342" s="39"/>
      <c r="C342" s="40"/>
      <c r="D342" s="39"/>
      <c r="E342" s="39"/>
      <c r="F342" s="39"/>
    </row>
    <row r="343" spans="1:6">
      <c r="A343" s="39"/>
      <c r="B343" s="39"/>
      <c r="C343" s="40"/>
      <c r="D343" s="39"/>
      <c r="E343" s="39"/>
      <c r="F343" s="39"/>
    </row>
    <row r="344" spans="1:6">
      <c r="A344" s="39"/>
      <c r="B344" s="39"/>
      <c r="C344" s="40"/>
      <c r="D344" s="39"/>
      <c r="E344" s="39"/>
      <c r="F344" s="39"/>
    </row>
    <row r="345" spans="1:6">
      <c r="A345" s="39"/>
      <c r="B345" s="39"/>
      <c r="C345" s="40"/>
      <c r="D345" s="39"/>
      <c r="E345" s="39"/>
      <c r="F345" s="39"/>
    </row>
    <row r="346" spans="1:6">
      <c r="A346" s="39"/>
      <c r="B346" s="39"/>
      <c r="C346" s="40"/>
      <c r="D346" s="39"/>
      <c r="E346" s="39"/>
      <c r="F346" s="39"/>
    </row>
    <row r="347" spans="1:6">
      <c r="A347" s="39"/>
      <c r="B347" s="39"/>
      <c r="C347" s="40"/>
      <c r="D347" s="39"/>
      <c r="E347" s="39"/>
      <c r="F347" s="39"/>
    </row>
    <row r="348" spans="1:6">
      <c r="A348" s="39"/>
      <c r="B348" s="39"/>
      <c r="C348" s="40"/>
      <c r="D348" s="39"/>
      <c r="E348" s="39"/>
      <c r="F348" s="39"/>
    </row>
    <row r="349" spans="1:6">
      <c r="A349" s="39"/>
      <c r="B349" s="39"/>
      <c r="C349" s="40"/>
      <c r="D349" s="39"/>
      <c r="E349" s="39"/>
      <c r="F349" s="39"/>
    </row>
    <row r="350" spans="1:6">
      <c r="A350" s="39"/>
      <c r="B350" s="39"/>
      <c r="C350" s="40"/>
      <c r="D350" s="39"/>
      <c r="E350" s="39"/>
      <c r="F350" s="39"/>
    </row>
    <row r="351" spans="1:6">
      <c r="A351" s="39"/>
      <c r="B351" s="39"/>
      <c r="C351" s="40"/>
      <c r="D351" s="39"/>
      <c r="E351" s="39"/>
      <c r="F351" s="39"/>
    </row>
    <row r="352" spans="1:6">
      <c r="A352" s="39"/>
      <c r="B352" s="39"/>
      <c r="C352" s="40"/>
      <c r="D352" s="39"/>
      <c r="E352" s="39"/>
      <c r="F352" s="39"/>
    </row>
    <row r="353" spans="1:6">
      <c r="A353" s="39"/>
      <c r="B353" s="39"/>
      <c r="C353" s="40"/>
      <c r="D353" s="39"/>
      <c r="E353" s="39"/>
      <c r="F353" s="39"/>
    </row>
    <row r="354" spans="1:6">
      <c r="A354" s="39"/>
      <c r="B354" s="39"/>
      <c r="C354" s="40"/>
      <c r="D354" s="39"/>
      <c r="E354" s="39"/>
      <c r="F354" s="39"/>
    </row>
    <row r="355" spans="1:6">
      <c r="A355" s="39"/>
      <c r="B355" s="39"/>
      <c r="C355" s="40"/>
      <c r="D355" s="39"/>
      <c r="E355" s="39"/>
      <c r="F355" s="39"/>
    </row>
    <row r="356" spans="1:6">
      <c r="A356" s="39"/>
      <c r="B356" s="39"/>
      <c r="C356" s="40"/>
      <c r="D356" s="39"/>
      <c r="E356" s="39"/>
      <c r="F356" s="39"/>
    </row>
    <row r="357" spans="1:6">
      <c r="A357" s="39"/>
      <c r="B357" s="39"/>
      <c r="C357" s="40"/>
      <c r="D357" s="39"/>
      <c r="E357" s="39"/>
      <c r="F357" s="39"/>
    </row>
    <row r="358" spans="1:6">
      <c r="A358" s="39"/>
      <c r="B358" s="39"/>
      <c r="C358" s="40"/>
      <c r="D358" s="39"/>
      <c r="E358" s="39"/>
      <c r="F358" s="39"/>
    </row>
    <row r="359" spans="1:6">
      <c r="A359" s="39"/>
      <c r="B359" s="39"/>
      <c r="C359" s="40"/>
      <c r="D359" s="39"/>
      <c r="E359" s="39"/>
      <c r="F359" s="39"/>
    </row>
    <row r="360" spans="1:6">
      <c r="A360" s="39"/>
      <c r="B360" s="39"/>
      <c r="C360" s="40"/>
      <c r="D360" s="39"/>
      <c r="E360" s="39"/>
      <c r="F360" s="39"/>
    </row>
    <row r="361" spans="1:6">
      <c r="A361" s="39"/>
      <c r="B361" s="39"/>
      <c r="C361" s="40"/>
      <c r="D361" s="39"/>
      <c r="E361" s="39"/>
      <c r="F361" s="39"/>
    </row>
    <row r="362" spans="1:6">
      <c r="A362" s="39"/>
      <c r="B362" s="39"/>
      <c r="C362" s="40"/>
      <c r="D362" s="39"/>
      <c r="E362" s="39"/>
      <c r="F362" s="39"/>
    </row>
    <row r="363" spans="1:6">
      <c r="A363" s="39"/>
      <c r="B363" s="39"/>
      <c r="C363" s="40"/>
      <c r="D363" s="39"/>
      <c r="E363" s="39"/>
      <c r="F363" s="39"/>
    </row>
    <row r="364" spans="1:6">
      <c r="A364" s="39"/>
      <c r="B364" s="39"/>
      <c r="C364" s="40"/>
      <c r="D364" s="39"/>
      <c r="E364" s="39"/>
      <c r="F364" s="39"/>
    </row>
    <row r="365" spans="1:6">
      <c r="A365" s="39"/>
      <c r="B365" s="39"/>
      <c r="C365" s="40"/>
      <c r="D365" s="39"/>
      <c r="E365" s="39"/>
      <c r="F365" s="39"/>
    </row>
    <row r="366" spans="1:6">
      <c r="A366" s="39"/>
      <c r="B366" s="39"/>
      <c r="C366" s="40"/>
      <c r="D366" s="39"/>
      <c r="E366" s="39"/>
      <c r="F366" s="39"/>
    </row>
    <row r="367" spans="1:6">
      <c r="A367" s="39"/>
      <c r="B367" s="39"/>
      <c r="C367" s="40"/>
      <c r="D367" s="39"/>
      <c r="E367" s="39"/>
      <c r="F367" s="39"/>
    </row>
    <row r="368" spans="1:6">
      <c r="A368" s="39"/>
      <c r="B368" s="39"/>
      <c r="C368" s="40"/>
      <c r="D368" s="39"/>
      <c r="E368" s="39"/>
      <c r="F368" s="39"/>
    </row>
    <row r="369" spans="1:6">
      <c r="A369" s="39"/>
      <c r="B369" s="39"/>
      <c r="C369" s="40"/>
      <c r="D369" s="39"/>
      <c r="E369" s="39"/>
      <c r="F369" s="39"/>
    </row>
    <row r="370" spans="1:6">
      <c r="A370" s="39"/>
      <c r="B370" s="39"/>
      <c r="C370" s="40"/>
      <c r="D370" s="39"/>
      <c r="E370" s="39"/>
      <c r="F370" s="39"/>
    </row>
    <row r="371" spans="1:6">
      <c r="A371" s="39"/>
      <c r="B371" s="39"/>
      <c r="C371" s="40"/>
      <c r="D371" s="39"/>
      <c r="E371" s="39"/>
      <c r="F371" s="39"/>
    </row>
    <row r="372" spans="1:6">
      <c r="A372" s="39"/>
      <c r="B372" s="39"/>
      <c r="C372" s="40"/>
      <c r="D372" s="39"/>
      <c r="E372" s="39"/>
      <c r="F372" s="39"/>
    </row>
    <row r="373" spans="1:6">
      <c r="A373" s="39"/>
      <c r="B373" s="39"/>
      <c r="C373" s="40"/>
      <c r="D373" s="39"/>
      <c r="E373" s="39"/>
      <c r="F373" s="39"/>
    </row>
    <row r="374" spans="1:6">
      <c r="A374" s="39"/>
      <c r="B374" s="39"/>
      <c r="C374" s="40"/>
      <c r="D374" s="39"/>
      <c r="E374" s="39"/>
      <c r="F374" s="39"/>
    </row>
    <row r="375" spans="1:6">
      <c r="A375" s="39"/>
      <c r="B375" s="39"/>
      <c r="C375" s="40"/>
      <c r="D375" s="39"/>
      <c r="E375" s="39"/>
      <c r="F375" s="39"/>
    </row>
    <row r="376" spans="1:6">
      <c r="A376" s="39"/>
      <c r="B376" s="39"/>
      <c r="C376" s="40"/>
      <c r="D376" s="39"/>
      <c r="E376" s="39"/>
      <c r="F376" s="39"/>
    </row>
    <row r="377" spans="1:6">
      <c r="A377" s="39"/>
      <c r="B377" s="39"/>
      <c r="C377" s="40"/>
      <c r="D377" s="39"/>
      <c r="E377" s="39"/>
      <c r="F377" s="39"/>
    </row>
    <row r="378" spans="1:6">
      <c r="A378" s="39"/>
      <c r="B378" s="39"/>
      <c r="C378" s="40"/>
      <c r="D378" s="39"/>
      <c r="E378" s="39"/>
      <c r="F378" s="39"/>
    </row>
    <row r="379" spans="1:6">
      <c r="A379" s="39"/>
      <c r="B379" s="39"/>
      <c r="C379" s="40"/>
      <c r="D379" s="39"/>
      <c r="E379" s="39"/>
      <c r="F379" s="39"/>
    </row>
    <row r="380" spans="1:6">
      <c r="A380" s="39"/>
      <c r="B380" s="39"/>
      <c r="C380" s="40"/>
      <c r="D380" s="39"/>
      <c r="E380" s="39"/>
      <c r="F380" s="39"/>
    </row>
    <row r="381" spans="1:6">
      <c r="A381" s="39"/>
      <c r="B381" s="39"/>
      <c r="C381" s="40"/>
      <c r="D381" s="39"/>
      <c r="E381" s="39"/>
      <c r="F381" s="39"/>
    </row>
    <row r="382" spans="1:6">
      <c r="A382" s="39"/>
      <c r="B382" s="39"/>
      <c r="C382" s="40"/>
      <c r="D382" s="39"/>
      <c r="E382" s="39"/>
      <c r="F382" s="39"/>
    </row>
    <row r="383" spans="1:6">
      <c r="A383" s="39"/>
      <c r="B383" s="39"/>
      <c r="C383" s="40"/>
      <c r="D383" s="39"/>
      <c r="E383" s="39"/>
      <c r="F383" s="39"/>
    </row>
    <row r="384" spans="1:6">
      <c r="A384" s="39"/>
      <c r="B384" s="39"/>
      <c r="C384" s="40"/>
      <c r="D384" s="39"/>
      <c r="E384" s="39"/>
      <c r="F384" s="39"/>
    </row>
    <row r="385" spans="1:6">
      <c r="A385" s="39"/>
      <c r="B385" s="39"/>
      <c r="C385" s="40"/>
      <c r="D385" s="39"/>
      <c r="E385" s="39"/>
      <c r="F385" s="39"/>
    </row>
    <row r="386" spans="1:6">
      <c r="A386" s="39"/>
      <c r="B386" s="39"/>
      <c r="C386" s="40"/>
      <c r="D386" s="39"/>
      <c r="E386" s="39"/>
      <c r="F386" s="39"/>
    </row>
    <row r="387" spans="1:6">
      <c r="A387" s="39"/>
      <c r="B387" s="39"/>
      <c r="C387" s="40"/>
      <c r="D387" s="39"/>
      <c r="E387" s="39"/>
      <c r="F387" s="39"/>
    </row>
    <row r="388" spans="1:6">
      <c r="A388" s="39"/>
      <c r="B388" s="39"/>
      <c r="C388" s="40"/>
      <c r="D388" s="39"/>
      <c r="E388" s="39"/>
      <c r="F388" s="39"/>
    </row>
    <row r="389" spans="1:6">
      <c r="A389" s="39"/>
      <c r="B389" s="39"/>
      <c r="C389" s="40"/>
      <c r="D389" s="39"/>
      <c r="E389" s="39"/>
      <c r="F389" s="39"/>
    </row>
    <row r="390" spans="1:6">
      <c r="A390" s="39"/>
      <c r="B390" s="39"/>
      <c r="C390" s="40"/>
      <c r="D390" s="39"/>
      <c r="E390" s="39"/>
      <c r="F390" s="39"/>
    </row>
    <row r="391" spans="1:6">
      <c r="A391" s="39"/>
      <c r="B391" s="39"/>
      <c r="C391" s="40"/>
      <c r="D391" s="39"/>
      <c r="E391" s="39"/>
      <c r="F391" s="39"/>
    </row>
    <row r="392" spans="1:6">
      <c r="A392" s="39"/>
      <c r="B392" s="39"/>
      <c r="C392" s="40"/>
      <c r="D392" s="39"/>
      <c r="E392" s="39"/>
      <c r="F392" s="39"/>
    </row>
    <row r="393" spans="1:6">
      <c r="A393" s="39"/>
      <c r="B393" s="39"/>
      <c r="C393" s="40"/>
      <c r="D393" s="39"/>
      <c r="E393" s="39"/>
      <c r="F393" s="39"/>
    </row>
    <row r="394" spans="1:6">
      <c r="A394" s="39"/>
      <c r="B394" s="39"/>
      <c r="C394" s="40"/>
      <c r="D394" s="39"/>
      <c r="E394" s="39"/>
      <c r="F394" s="39"/>
    </row>
    <row r="395" spans="1:6">
      <c r="A395" s="39"/>
      <c r="B395" s="39"/>
      <c r="C395" s="40"/>
      <c r="D395" s="39"/>
      <c r="E395" s="39"/>
      <c r="F395" s="39"/>
    </row>
    <row r="396" spans="1:6">
      <c r="A396" s="39"/>
      <c r="B396" s="39"/>
      <c r="C396" s="40"/>
      <c r="D396" s="39"/>
      <c r="E396" s="39"/>
      <c r="F396" s="39"/>
    </row>
    <row r="397" spans="1:6">
      <c r="A397" s="39"/>
      <c r="B397" s="39"/>
      <c r="C397" s="40"/>
      <c r="D397" s="39"/>
      <c r="E397" s="39"/>
      <c r="F397" s="39"/>
    </row>
    <row r="398" spans="1:6">
      <c r="A398" s="39"/>
      <c r="B398" s="39"/>
      <c r="C398" s="40"/>
      <c r="D398" s="39"/>
      <c r="E398" s="39"/>
      <c r="F398" s="39"/>
    </row>
    <row r="399" spans="1:6">
      <c r="A399" s="39"/>
      <c r="B399" s="39"/>
      <c r="C399" s="40"/>
      <c r="D399" s="39"/>
      <c r="E399" s="39"/>
      <c r="F399" s="39"/>
    </row>
    <row r="400" spans="1:6">
      <c r="A400" s="39"/>
      <c r="B400" s="39"/>
      <c r="C400" s="40"/>
      <c r="D400" s="39"/>
      <c r="E400" s="39"/>
      <c r="F400" s="39"/>
    </row>
    <row r="401" spans="1:6">
      <c r="A401" s="39"/>
      <c r="B401" s="39"/>
      <c r="C401" s="40"/>
      <c r="D401" s="39"/>
      <c r="E401" s="39"/>
      <c r="F401" s="39"/>
    </row>
    <row r="402" spans="1:6">
      <c r="A402" s="39"/>
      <c r="B402" s="39"/>
      <c r="C402" s="40"/>
      <c r="D402" s="39"/>
      <c r="E402" s="39"/>
      <c r="F402" s="39"/>
    </row>
    <row r="403" spans="1:6">
      <c r="A403" s="39"/>
      <c r="B403" s="39"/>
      <c r="C403" s="40"/>
      <c r="D403" s="39"/>
      <c r="E403" s="39"/>
      <c r="F403" s="39"/>
    </row>
    <row r="404" spans="1:6">
      <c r="A404" s="39"/>
      <c r="B404" s="39"/>
      <c r="C404" s="40"/>
      <c r="D404" s="39"/>
      <c r="E404" s="39"/>
      <c r="F404" s="39"/>
    </row>
    <row r="405" spans="1:6">
      <c r="A405" s="39"/>
      <c r="B405" s="39"/>
      <c r="C405" s="40"/>
      <c r="D405" s="39"/>
      <c r="E405" s="39"/>
      <c r="F405" s="39"/>
    </row>
    <row r="406" spans="1:6">
      <c r="A406" s="39"/>
      <c r="B406" s="39"/>
      <c r="C406" s="40"/>
      <c r="D406" s="39"/>
      <c r="E406" s="39"/>
      <c r="F406" s="39"/>
    </row>
    <row r="407" spans="1:6">
      <c r="A407" s="39"/>
      <c r="B407" s="39"/>
      <c r="C407" s="40"/>
      <c r="D407" s="39"/>
      <c r="E407" s="39"/>
      <c r="F407" s="39"/>
    </row>
    <row r="408" spans="1:6">
      <c r="A408" s="39"/>
      <c r="B408" s="39"/>
      <c r="C408" s="40"/>
      <c r="D408" s="39"/>
      <c r="E408" s="39"/>
      <c r="F408" s="39"/>
    </row>
    <row r="409" spans="1:6">
      <c r="A409" s="39"/>
      <c r="B409" s="39"/>
      <c r="C409" s="40"/>
      <c r="D409" s="39"/>
      <c r="E409" s="39"/>
      <c r="F409" s="39"/>
    </row>
    <row r="410" spans="1:6">
      <c r="A410" s="39"/>
      <c r="B410" s="39"/>
      <c r="C410" s="40"/>
      <c r="D410" s="39"/>
      <c r="E410" s="39"/>
      <c r="F410" s="39"/>
    </row>
    <row r="411" spans="1:6">
      <c r="A411" s="39"/>
      <c r="B411" s="39"/>
      <c r="C411" s="40"/>
      <c r="D411" s="39"/>
      <c r="E411" s="39"/>
      <c r="F411" s="39"/>
    </row>
    <row r="412" spans="1:6">
      <c r="A412" s="39"/>
      <c r="B412" s="39"/>
      <c r="C412" s="40"/>
      <c r="D412" s="39"/>
      <c r="E412" s="39"/>
      <c r="F412" s="39"/>
    </row>
    <row r="413" spans="1:6">
      <c r="A413" s="39"/>
      <c r="B413" s="39"/>
      <c r="C413" s="40"/>
      <c r="D413" s="39"/>
      <c r="E413" s="39"/>
      <c r="F413" s="39"/>
    </row>
    <row r="414" spans="1:6">
      <c r="A414" s="39"/>
      <c r="B414" s="39"/>
      <c r="C414" s="40"/>
      <c r="D414" s="39"/>
      <c r="E414" s="39"/>
      <c r="F414" s="39"/>
    </row>
    <row r="415" spans="1:6">
      <c r="A415" s="39"/>
      <c r="B415" s="39"/>
      <c r="C415" s="40"/>
      <c r="D415" s="39"/>
      <c r="E415" s="39"/>
      <c r="F415" s="39"/>
    </row>
    <row r="416" spans="1:6">
      <c r="A416" s="39"/>
      <c r="B416" s="39"/>
      <c r="C416" s="40"/>
      <c r="D416" s="39"/>
      <c r="E416" s="39"/>
      <c r="F416" s="39"/>
    </row>
    <row r="417" spans="1:6">
      <c r="A417" s="39"/>
      <c r="B417" s="39"/>
      <c r="C417" s="40"/>
      <c r="D417" s="39"/>
      <c r="E417" s="39"/>
      <c r="F417" s="39"/>
    </row>
    <row r="418" spans="1:6">
      <c r="A418" s="39"/>
      <c r="B418" s="39"/>
      <c r="C418" s="40"/>
      <c r="D418" s="39"/>
      <c r="E418" s="39"/>
      <c r="F418" s="39"/>
    </row>
    <row r="419" spans="1:6">
      <c r="A419" s="39"/>
      <c r="B419" s="39"/>
      <c r="C419" s="40"/>
      <c r="D419" s="39"/>
      <c r="E419" s="39"/>
      <c r="F419" s="39"/>
    </row>
    <row r="420" spans="1:6">
      <c r="A420" s="39"/>
      <c r="B420" s="39"/>
      <c r="C420" s="40"/>
      <c r="D420" s="39"/>
      <c r="E420" s="39"/>
      <c r="F420" s="39"/>
    </row>
    <row r="421" spans="1:6">
      <c r="A421" s="39"/>
      <c r="B421" s="39"/>
      <c r="C421" s="40"/>
      <c r="D421" s="39"/>
      <c r="E421" s="39"/>
      <c r="F421" s="39"/>
    </row>
    <row r="422" spans="1:6">
      <c r="A422" s="39"/>
      <c r="B422" s="39"/>
      <c r="C422" s="40"/>
      <c r="D422" s="39"/>
      <c r="E422" s="39"/>
      <c r="F422" s="39"/>
    </row>
    <row r="423" spans="1:6">
      <c r="A423" s="39"/>
      <c r="B423" s="39"/>
      <c r="C423" s="40"/>
      <c r="D423" s="39"/>
      <c r="E423" s="39"/>
      <c r="F423" s="39"/>
    </row>
    <row r="424" spans="1:6">
      <c r="A424" s="39"/>
      <c r="B424" s="39"/>
      <c r="C424" s="40"/>
      <c r="D424" s="39"/>
      <c r="E424" s="39"/>
      <c r="F424" s="39"/>
    </row>
    <row r="425" spans="1:6">
      <c r="A425" s="39"/>
      <c r="B425" s="39"/>
      <c r="C425" s="40"/>
      <c r="D425" s="39"/>
      <c r="E425" s="39"/>
      <c r="F425" s="39"/>
    </row>
    <row r="426" spans="1:6">
      <c r="A426" s="39"/>
      <c r="B426" s="39"/>
      <c r="C426" s="40"/>
      <c r="D426" s="39"/>
      <c r="E426" s="39"/>
      <c r="F426" s="39"/>
    </row>
    <row r="427" spans="1:6">
      <c r="A427" s="39"/>
      <c r="B427" s="39"/>
      <c r="C427" s="40"/>
      <c r="D427" s="39"/>
      <c r="E427" s="39"/>
      <c r="F427" s="39"/>
    </row>
    <row r="428" spans="1:6">
      <c r="A428" s="39"/>
      <c r="B428" s="39"/>
      <c r="C428" s="40"/>
      <c r="D428" s="39"/>
      <c r="E428" s="39"/>
      <c r="F428" s="39"/>
    </row>
    <row r="429" spans="1:6">
      <c r="A429" s="39"/>
      <c r="B429" s="39"/>
      <c r="C429" s="40"/>
      <c r="D429" s="39"/>
      <c r="E429" s="39"/>
      <c r="F429" s="39"/>
    </row>
    <row r="430" spans="1:6">
      <c r="A430" s="39"/>
      <c r="B430" s="39"/>
      <c r="C430" s="40"/>
      <c r="D430" s="39"/>
      <c r="E430" s="39"/>
      <c r="F430" s="39"/>
    </row>
    <row r="431" spans="1:6">
      <c r="A431" s="39"/>
      <c r="B431" s="39"/>
      <c r="C431" s="40"/>
      <c r="D431" s="39"/>
      <c r="E431" s="39"/>
      <c r="F431" s="39"/>
    </row>
    <row r="432" spans="1:6">
      <c r="A432" s="39"/>
      <c r="B432" s="39"/>
      <c r="C432" s="40"/>
      <c r="D432" s="39"/>
      <c r="E432" s="39"/>
      <c r="F432" s="39"/>
    </row>
    <row r="433" spans="1:6">
      <c r="A433" s="39"/>
      <c r="B433" s="39"/>
      <c r="C433" s="40"/>
      <c r="D433" s="39"/>
      <c r="E433" s="39"/>
      <c r="F433" s="39"/>
    </row>
    <row r="434" spans="1:6">
      <c r="A434" s="39"/>
      <c r="B434" s="39"/>
      <c r="C434" s="40"/>
      <c r="D434" s="39"/>
      <c r="E434" s="39"/>
      <c r="F434" s="39"/>
    </row>
    <row r="435" spans="1:6">
      <c r="A435" s="39"/>
      <c r="B435" s="39"/>
      <c r="C435" s="40"/>
      <c r="D435" s="39"/>
      <c r="E435" s="39"/>
      <c r="F435" s="39"/>
    </row>
    <row r="436" spans="1:6">
      <c r="A436" s="39"/>
      <c r="B436" s="39"/>
      <c r="C436" s="40"/>
      <c r="D436" s="39"/>
      <c r="E436" s="39"/>
      <c r="F436" s="39"/>
    </row>
    <row r="437" spans="1:6">
      <c r="A437" s="39"/>
      <c r="B437" s="39"/>
      <c r="C437" s="40"/>
      <c r="D437" s="39"/>
      <c r="E437" s="39"/>
      <c r="F437" s="39"/>
    </row>
    <row r="438" spans="1:6">
      <c r="A438" s="39"/>
      <c r="B438" s="39"/>
      <c r="C438" s="40"/>
      <c r="D438" s="39"/>
      <c r="E438" s="39"/>
      <c r="F438" s="39"/>
    </row>
    <row r="439" spans="1:6">
      <c r="A439" s="39"/>
      <c r="B439" s="39"/>
      <c r="C439" s="40"/>
      <c r="D439" s="39"/>
      <c r="E439" s="39"/>
      <c r="F439" s="39"/>
    </row>
    <row r="440" spans="1:6">
      <c r="A440" s="39"/>
      <c r="B440" s="39"/>
      <c r="C440" s="40"/>
      <c r="D440" s="39"/>
      <c r="E440" s="39"/>
      <c r="F440" s="39"/>
    </row>
    <row r="441" spans="1:6">
      <c r="A441" s="39"/>
      <c r="B441" s="39"/>
      <c r="C441" s="40"/>
      <c r="D441" s="39"/>
      <c r="E441" s="39"/>
      <c r="F441" s="39"/>
    </row>
    <row r="442" spans="1:6">
      <c r="A442" s="39"/>
      <c r="B442" s="39"/>
      <c r="C442" s="40"/>
      <c r="D442" s="39"/>
      <c r="E442" s="39"/>
      <c r="F442" s="39"/>
    </row>
    <row r="443" spans="1:6">
      <c r="A443" s="39"/>
      <c r="B443" s="39"/>
      <c r="C443" s="40"/>
      <c r="D443" s="39"/>
      <c r="E443" s="39"/>
      <c r="F443" s="39"/>
    </row>
    <row r="444" spans="1:6">
      <c r="A444" s="39"/>
      <c r="B444" s="39"/>
      <c r="C444" s="40"/>
      <c r="D444" s="39"/>
      <c r="E444" s="39"/>
      <c r="F444" s="39"/>
    </row>
    <row r="445" spans="1:6">
      <c r="A445" s="39"/>
      <c r="B445" s="39"/>
      <c r="C445" s="40"/>
      <c r="D445" s="39"/>
      <c r="E445" s="39"/>
      <c r="F445" s="39"/>
    </row>
    <row r="446" spans="1:6">
      <c r="A446" s="39"/>
      <c r="B446" s="39"/>
      <c r="C446" s="40"/>
      <c r="D446" s="39"/>
      <c r="E446" s="39"/>
      <c r="F446" s="39"/>
    </row>
    <row r="447" spans="1:6">
      <c r="A447" s="39"/>
      <c r="B447" s="39"/>
      <c r="C447" s="40"/>
      <c r="D447" s="39"/>
      <c r="E447" s="39"/>
      <c r="F447" s="39"/>
    </row>
    <row r="448" spans="1:6">
      <c r="A448" s="39"/>
      <c r="B448" s="39"/>
      <c r="C448" s="40"/>
      <c r="D448" s="39"/>
      <c r="E448" s="39"/>
      <c r="F448" s="39"/>
    </row>
    <row r="449" spans="1:6">
      <c r="A449" s="39"/>
      <c r="B449" s="39"/>
      <c r="C449" s="40"/>
      <c r="D449" s="39"/>
      <c r="E449" s="39"/>
      <c r="F449" s="39"/>
    </row>
    <row r="450" spans="1:6">
      <c r="A450" s="39"/>
      <c r="B450" s="39"/>
      <c r="C450" s="40"/>
      <c r="D450" s="39"/>
      <c r="E450" s="39"/>
      <c r="F450" s="39"/>
    </row>
    <row r="451" spans="1:6">
      <c r="A451" s="39"/>
      <c r="B451" s="39"/>
      <c r="C451" s="40"/>
      <c r="D451" s="39"/>
      <c r="E451" s="39"/>
      <c r="F451" s="39"/>
    </row>
    <row r="452" spans="1:6">
      <c r="A452" s="39"/>
      <c r="B452" s="39"/>
      <c r="C452" s="40"/>
      <c r="D452" s="39"/>
      <c r="E452" s="39"/>
      <c r="F452" s="39"/>
    </row>
    <row r="453" spans="1:6">
      <c r="A453" s="39"/>
      <c r="B453" s="39"/>
      <c r="C453" s="40"/>
      <c r="D453" s="39"/>
      <c r="E453" s="39"/>
      <c r="F453" s="39"/>
    </row>
    <row r="454" spans="1:6">
      <c r="A454" s="39"/>
      <c r="B454" s="39"/>
      <c r="C454" s="40"/>
      <c r="D454" s="39"/>
      <c r="E454" s="39"/>
      <c r="F454" s="39"/>
    </row>
    <row r="455" spans="1:6">
      <c r="A455" s="39"/>
      <c r="B455" s="39"/>
      <c r="C455" s="40"/>
      <c r="D455" s="39"/>
      <c r="E455" s="39"/>
      <c r="F455" s="39"/>
    </row>
    <row r="456" spans="1:6">
      <c r="A456" s="39"/>
      <c r="B456" s="39"/>
      <c r="C456" s="40"/>
      <c r="D456" s="39"/>
      <c r="E456" s="39"/>
      <c r="F456" s="39"/>
    </row>
    <row r="457" spans="1:6">
      <c r="A457" s="39"/>
      <c r="B457" s="39"/>
      <c r="C457" s="40"/>
      <c r="D457" s="39"/>
      <c r="E457" s="39"/>
      <c r="F457" s="39"/>
    </row>
    <row r="458" spans="1:6">
      <c r="A458" s="39"/>
      <c r="B458" s="39"/>
      <c r="C458" s="40"/>
      <c r="D458" s="39"/>
      <c r="E458" s="39"/>
      <c r="F458" s="39"/>
    </row>
    <row r="459" spans="1:6">
      <c r="A459" s="39"/>
      <c r="B459" s="39"/>
      <c r="C459" s="40"/>
      <c r="D459" s="39"/>
      <c r="E459" s="39"/>
      <c r="F459" s="39"/>
    </row>
    <row r="460" spans="1:6">
      <c r="A460" s="39"/>
      <c r="B460" s="39"/>
      <c r="C460" s="40"/>
      <c r="D460" s="39"/>
      <c r="E460" s="39"/>
      <c r="F460" s="39"/>
    </row>
    <row r="461" spans="1:6">
      <c r="A461" s="39"/>
      <c r="B461" s="39"/>
      <c r="C461" s="40"/>
      <c r="D461" s="39"/>
      <c r="E461" s="39"/>
      <c r="F461" s="39"/>
    </row>
    <row r="462" spans="1:6">
      <c r="A462" s="39"/>
      <c r="B462" s="39"/>
      <c r="C462" s="40"/>
      <c r="D462" s="39"/>
      <c r="E462" s="39"/>
      <c r="F462" s="39"/>
    </row>
    <row r="463" spans="1:6">
      <c r="A463" s="39"/>
      <c r="B463" s="39"/>
      <c r="C463" s="40"/>
      <c r="D463" s="39"/>
      <c r="E463" s="39"/>
      <c r="F463" s="39"/>
    </row>
    <row r="464" spans="1:6">
      <c r="A464" s="39"/>
      <c r="B464" s="39"/>
      <c r="C464" s="40"/>
      <c r="D464" s="39"/>
      <c r="E464" s="39"/>
      <c r="F464" s="39"/>
    </row>
    <row r="465" spans="1:6">
      <c r="A465" s="39"/>
      <c r="B465" s="39"/>
      <c r="C465" s="40"/>
      <c r="D465" s="39"/>
      <c r="E465" s="39"/>
      <c r="F465" s="39"/>
    </row>
    <row r="466" spans="1:6">
      <c r="A466" s="39"/>
      <c r="B466" s="39"/>
      <c r="C466" s="40"/>
      <c r="D466" s="39"/>
      <c r="E466" s="39"/>
      <c r="F466" s="39"/>
    </row>
    <row r="467" spans="1:6">
      <c r="A467" s="39"/>
      <c r="B467" s="39"/>
      <c r="C467" s="40"/>
      <c r="D467" s="39"/>
      <c r="E467" s="39"/>
      <c r="F467" s="39"/>
    </row>
    <row r="468" spans="1:6">
      <c r="A468" s="39"/>
      <c r="B468" s="39"/>
      <c r="C468" s="40"/>
      <c r="D468" s="39"/>
      <c r="E468" s="39"/>
      <c r="F468" s="39"/>
    </row>
    <row r="469" spans="1:6">
      <c r="A469" s="39"/>
      <c r="B469" s="39"/>
      <c r="C469" s="40"/>
      <c r="D469" s="39"/>
      <c r="E469" s="39"/>
      <c r="F469" s="39"/>
    </row>
    <row r="470" spans="1:6">
      <c r="A470" s="39"/>
      <c r="B470" s="39"/>
      <c r="C470" s="40"/>
      <c r="D470" s="39"/>
      <c r="E470" s="39"/>
      <c r="F470" s="39"/>
    </row>
    <row r="471" spans="1:6">
      <c r="A471" s="39"/>
      <c r="B471" s="39"/>
      <c r="C471" s="40"/>
      <c r="D471" s="39"/>
      <c r="E471" s="39"/>
      <c r="F471" s="39"/>
    </row>
    <row r="472" spans="1:6">
      <c r="A472" s="39"/>
      <c r="B472" s="39"/>
      <c r="C472" s="40"/>
      <c r="D472" s="39"/>
      <c r="E472" s="39"/>
      <c r="F472" s="39"/>
    </row>
    <row r="473" spans="1:6">
      <c r="A473" s="39"/>
      <c r="B473" s="39"/>
      <c r="C473" s="40"/>
      <c r="D473" s="39"/>
      <c r="E473" s="39"/>
      <c r="F473" s="39"/>
    </row>
    <row r="474" spans="1:6">
      <c r="A474" s="39"/>
      <c r="B474" s="39"/>
      <c r="C474" s="40"/>
      <c r="D474" s="39"/>
      <c r="E474" s="39"/>
      <c r="F474" s="39"/>
    </row>
    <row r="475" spans="1:6">
      <c r="A475" s="39"/>
      <c r="B475" s="39"/>
      <c r="C475" s="40"/>
      <c r="D475" s="39"/>
      <c r="E475" s="39"/>
      <c r="F475" s="39"/>
    </row>
    <row r="476" spans="1:6">
      <c r="A476" s="39"/>
      <c r="B476" s="39"/>
      <c r="C476" s="40"/>
      <c r="D476" s="39"/>
      <c r="E476" s="39"/>
      <c r="F476" s="39"/>
    </row>
    <row r="477" spans="1:6">
      <c r="A477" s="39"/>
      <c r="B477" s="39"/>
      <c r="C477" s="40"/>
      <c r="D477" s="39"/>
      <c r="E477" s="39"/>
      <c r="F477" s="39"/>
    </row>
    <row r="478" spans="1:6">
      <c r="A478" s="39"/>
      <c r="B478" s="39"/>
      <c r="C478" s="40"/>
      <c r="D478" s="39"/>
      <c r="E478" s="39"/>
      <c r="F478" s="39"/>
    </row>
    <row r="479" spans="1:6">
      <c r="A479" s="39"/>
      <c r="B479" s="39"/>
      <c r="C479" s="40"/>
      <c r="D479" s="39"/>
      <c r="E479" s="39"/>
      <c r="F479" s="39"/>
    </row>
    <row r="480" spans="1:6">
      <c r="A480" s="39"/>
      <c r="B480" s="39"/>
      <c r="C480" s="40"/>
      <c r="D480" s="39"/>
      <c r="E480" s="39"/>
      <c r="F480" s="39"/>
    </row>
    <row r="481" spans="1:6">
      <c r="A481" s="39"/>
      <c r="B481" s="39"/>
      <c r="C481" s="40"/>
      <c r="D481" s="39"/>
      <c r="E481" s="39"/>
      <c r="F481" s="39"/>
    </row>
    <row r="482" spans="1:6">
      <c r="A482" s="39"/>
      <c r="B482" s="39"/>
      <c r="C482" s="40"/>
      <c r="D482" s="39"/>
      <c r="E482" s="39"/>
      <c r="F482" s="39"/>
    </row>
    <row r="483" spans="1:6">
      <c r="A483" s="39"/>
      <c r="B483" s="39"/>
      <c r="C483" s="40"/>
      <c r="D483" s="39"/>
      <c r="E483" s="39"/>
      <c r="F483" s="39"/>
    </row>
    <row r="484" spans="1:6">
      <c r="A484" s="39"/>
      <c r="B484" s="39"/>
      <c r="C484" s="40"/>
      <c r="D484" s="39"/>
      <c r="E484" s="39"/>
      <c r="F484" s="39"/>
    </row>
    <row r="485" spans="1:6">
      <c r="A485" s="39"/>
      <c r="B485" s="39"/>
      <c r="C485" s="40"/>
      <c r="D485" s="39"/>
      <c r="E485" s="39"/>
      <c r="F485" s="39"/>
    </row>
    <row r="486" spans="1:6">
      <c r="A486" s="39"/>
      <c r="B486" s="39"/>
      <c r="C486" s="40"/>
      <c r="D486" s="39"/>
      <c r="E486" s="39"/>
      <c r="F486" s="39"/>
    </row>
    <row r="487" spans="1:6">
      <c r="A487" s="39"/>
      <c r="B487" s="39"/>
      <c r="C487" s="40"/>
      <c r="D487" s="39"/>
      <c r="E487" s="39"/>
      <c r="F487" s="39"/>
    </row>
    <row r="488" spans="1:6">
      <c r="A488" s="39"/>
      <c r="B488" s="39"/>
      <c r="C488" s="40"/>
      <c r="D488" s="39"/>
      <c r="E488" s="39"/>
      <c r="F488" s="39"/>
    </row>
    <row r="489" spans="1:6">
      <c r="A489" s="39"/>
      <c r="B489" s="39"/>
      <c r="C489" s="40"/>
      <c r="D489" s="39"/>
      <c r="E489" s="39"/>
      <c r="F489" s="39"/>
    </row>
    <row r="490" spans="1:6">
      <c r="A490" s="39"/>
      <c r="B490" s="39"/>
      <c r="C490" s="40"/>
      <c r="D490" s="39"/>
      <c r="E490" s="39"/>
      <c r="F490" s="39"/>
    </row>
    <row r="491" spans="1:6">
      <c r="A491" s="39"/>
      <c r="B491" s="39"/>
      <c r="C491" s="40"/>
      <c r="D491" s="39"/>
      <c r="E491" s="39"/>
      <c r="F491" s="39"/>
    </row>
    <row r="492" spans="1:6">
      <c r="A492" s="39"/>
      <c r="B492" s="39"/>
      <c r="C492" s="40"/>
      <c r="D492" s="39"/>
      <c r="E492" s="39"/>
      <c r="F492" s="39"/>
    </row>
    <row r="493" spans="1:6">
      <c r="A493" s="39"/>
      <c r="B493" s="39"/>
      <c r="C493" s="40"/>
      <c r="D493" s="39"/>
      <c r="E493" s="39"/>
      <c r="F493" s="39"/>
    </row>
    <row r="494" spans="1:6">
      <c r="A494" s="39"/>
      <c r="B494" s="39"/>
      <c r="C494" s="40"/>
      <c r="D494" s="39"/>
      <c r="E494" s="39"/>
      <c r="F494" s="39"/>
    </row>
    <row r="495" spans="1:6">
      <c r="A495" s="39"/>
      <c r="B495" s="39"/>
      <c r="C495" s="40"/>
      <c r="D495" s="39"/>
      <c r="E495" s="39"/>
      <c r="F495" s="39"/>
    </row>
    <row r="496" spans="1:6">
      <c r="A496" s="39"/>
      <c r="B496" s="39"/>
      <c r="C496" s="40"/>
      <c r="D496" s="39"/>
      <c r="E496" s="39"/>
      <c r="F496" s="39"/>
    </row>
    <row r="497" spans="1:6">
      <c r="A497" s="39"/>
      <c r="B497" s="39"/>
      <c r="C497" s="40"/>
      <c r="D497" s="39"/>
      <c r="E497" s="39"/>
      <c r="F497" s="39"/>
    </row>
    <row r="498" spans="1:6">
      <c r="A498" s="39"/>
      <c r="B498" s="39"/>
      <c r="C498" s="40"/>
      <c r="D498" s="39"/>
      <c r="E498" s="39"/>
      <c r="F498" s="39"/>
    </row>
    <row r="499" spans="1:6">
      <c r="A499" s="39"/>
      <c r="B499" s="39"/>
      <c r="C499" s="40"/>
      <c r="D499" s="39"/>
      <c r="E499" s="39"/>
      <c r="F499" s="39"/>
    </row>
    <row r="500" spans="1:6">
      <c r="A500" s="39"/>
      <c r="B500" s="39"/>
      <c r="C500" s="40"/>
      <c r="D500" s="39"/>
      <c r="E500" s="39"/>
      <c r="F500" s="39"/>
    </row>
    <row r="501" spans="1:6">
      <c r="A501" s="39"/>
      <c r="B501" s="39"/>
      <c r="C501" s="40"/>
      <c r="D501" s="39"/>
      <c r="E501" s="39"/>
      <c r="F501" s="39"/>
    </row>
    <row r="502" spans="1:6">
      <c r="A502" s="39"/>
      <c r="B502" s="39"/>
      <c r="C502" s="40"/>
      <c r="D502" s="39"/>
      <c r="E502" s="39"/>
      <c r="F502" s="39"/>
    </row>
    <row r="503" spans="1:6">
      <c r="A503" s="39"/>
      <c r="B503" s="39"/>
      <c r="C503" s="40"/>
      <c r="D503" s="39"/>
      <c r="E503" s="39"/>
      <c r="F503" s="39"/>
    </row>
    <row r="504" spans="1:6">
      <c r="A504" s="39"/>
      <c r="B504" s="39"/>
      <c r="C504" s="40"/>
      <c r="D504" s="39"/>
      <c r="E504" s="39"/>
      <c r="F504" s="39"/>
    </row>
    <row r="505" spans="1:6">
      <c r="A505" s="39"/>
      <c r="B505" s="39"/>
      <c r="C505" s="40"/>
      <c r="D505" s="39"/>
      <c r="E505" s="39"/>
      <c r="F505" s="39"/>
    </row>
    <row r="506" spans="1:6">
      <c r="A506" s="39"/>
      <c r="B506" s="39"/>
      <c r="C506" s="40"/>
      <c r="D506" s="39"/>
      <c r="E506" s="39"/>
      <c r="F506" s="39"/>
    </row>
    <row r="507" spans="1:6">
      <c r="A507" s="39"/>
      <c r="B507" s="39"/>
      <c r="C507" s="40"/>
      <c r="D507" s="39"/>
      <c r="E507" s="39"/>
      <c r="F507" s="39"/>
    </row>
    <row r="508" spans="1:6">
      <c r="A508" s="39"/>
      <c r="B508" s="39"/>
      <c r="C508" s="40"/>
      <c r="D508" s="39"/>
      <c r="E508" s="39"/>
      <c r="F508" s="39"/>
    </row>
    <row r="509" spans="1:6">
      <c r="A509" s="39"/>
      <c r="B509" s="39"/>
      <c r="C509" s="40"/>
      <c r="D509" s="39"/>
      <c r="E509" s="39"/>
      <c r="F509" s="39"/>
    </row>
    <row r="510" spans="1:6">
      <c r="A510" s="39"/>
      <c r="B510" s="39"/>
      <c r="C510" s="40"/>
      <c r="D510" s="39"/>
      <c r="E510" s="39"/>
      <c r="F510" s="39"/>
    </row>
    <row r="511" spans="1:6">
      <c r="A511" s="39"/>
      <c r="B511" s="39"/>
      <c r="C511" s="40"/>
      <c r="D511" s="39"/>
      <c r="E511" s="39"/>
      <c r="F511" s="39"/>
    </row>
    <row r="512" spans="1:6">
      <c r="A512" s="39"/>
      <c r="B512" s="39"/>
      <c r="C512" s="40"/>
      <c r="D512" s="39"/>
      <c r="E512" s="39"/>
      <c r="F512" s="39"/>
    </row>
    <row r="513" spans="1:6">
      <c r="A513" s="39"/>
      <c r="B513" s="39"/>
      <c r="C513" s="40"/>
      <c r="D513" s="39"/>
      <c r="E513" s="39"/>
      <c r="F513" s="39"/>
    </row>
    <row r="514" spans="1:6">
      <c r="A514" s="39"/>
      <c r="B514" s="39"/>
      <c r="C514" s="40"/>
      <c r="D514" s="39"/>
      <c r="E514" s="39"/>
      <c r="F514" s="39"/>
    </row>
    <row r="515" spans="1:6">
      <c r="A515" s="39"/>
      <c r="B515" s="39"/>
      <c r="C515" s="40"/>
      <c r="D515" s="39"/>
      <c r="E515" s="39"/>
      <c r="F515" s="39"/>
    </row>
    <row r="516" spans="1:6">
      <c r="A516" s="39"/>
      <c r="B516" s="39"/>
      <c r="C516" s="40"/>
      <c r="D516" s="39"/>
      <c r="E516" s="39"/>
      <c r="F516" s="39"/>
    </row>
    <row r="517" spans="1:6">
      <c r="A517" s="39"/>
      <c r="B517" s="39"/>
      <c r="C517" s="40"/>
      <c r="D517" s="39"/>
      <c r="E517" s="39"/>
      <c r="F517" s="39"/>
    </row>
    <row r="518" spans="1:6">
      <c r="A518" s="39"/>
      <c r="B518" s="39"/>
      <c r="C518" s="40"/>
      <c r="D518" s="39"/>
      <c r="E518" s="39"/>
      <c r="F518" s="39"/>
    </row>
    <row r="519" spans="1:6">
      <c r="A519" s="39"/>
      <c r="B519" s="39"/>
      <c r="C519" s="40"/>
      <c r="D519" s="39"/>
      <c r="E519" s="39"/>
      <c r="F519" s="39"/>
    </row>
    <row r="520" spans="1:6">
      <c r="A520" s="39"/>
      <c r="B520" s="39"/>
      <c r="C520" s="40"/>
      <c r="D520" s="39"/>
      <c r="E520" s="39"/>
      <c r="F520" s="39"/>
    </row>
    <row r="521" spans="1:6">
      <c r="A521" s="39"/>
      <c r="B521" s="39"/>
      <c r="C521" s="40"/>
      <c r="D521" s="39"/>
      <c r="E521" s="39"/>
      <c r="F521" s="39"/>
    </row>
    <row r="522" spans="1:6">
      <c r="A522" s="39"/>
      <c r="B522" s="39"/>
      <c r="C522" s="40"/>
      <c r="D522" s="39"/>
      <c r="E522" s="39"/>
      <c r="F522" s="39"/>
    </row>
    <row r="523" spans="1:6">
      <c r="A523" s="39"/>
      <c r="B523" s="39"/>
      <c r="C523" s="40"/>
      <c r="D523" s="39"/>
      <c r="E523" s="39"/>
      <c r="F523" s="39"/>
    </row>
    <row r="524" spans="1:6">
      <c r="A524" s="39"/>
      <c r="B524" s="39"/>
      <c r="C524" s="40"/>
      <c r="D524" s="39"/>
      <c r="E524" s="39"/>
      <c r="F524" s="39"/>
    </row>
    <row r="525" spans="1:6">
      <c r="A525" s="39"/>
      <c r="B525" s="39"/>
      <c r="C525" s="40"/>
      <c r="D525" s="39"/>
      <c r="E525" s="39"/>
      <c r="F525" s="39"/>
    </row>
    <row r="526" spans="1:6">
      <c r="A526" s="39"/>
      <c r="B526" s="39"/>
      <c r="C526" s="40"/>
      <c r="D526" s="39"/>
      <c r="E526" s="39"/>
      <c r="F526" s="39"/>
    </row>
    <row r="527" spans="1:6">
      <c r="A527" s="39"/>
      <c r="B527" s="39"/>
      <c r="C527" s="40"/>
      <c r="D527" s="39"/>
      <c r="E527" s="39"/>
      <c r="F527" s="39"/>
    </row>
    <row r="528" spans="1:6">
      <c r="A528" s="39"/>
      <c r="B528" s="39"/>
      <c r="C528" s="40"/>
      <c r="D528" s="39"/>
      <c r="E528" s="39"/>
      <c r="F528" s="39"/>
    </row>
    <row r="529" spans="1:6">
      <c r="A529" s="39"/>
      <c r="B529" s="39"/>
      <c r="C529" s="40"/>
      <c r="D529" s="39"/>
      <c r="E529" s="39"/>
      <c r="F529" s="39"/>
    </row>
    <row r="530" spans="1:6">
      <c r="A530" s="39"/>
      <c r="B530" s="39"/>
      <c r="C530" s="40"/>
      <c r="D530" s="39"/>
      <c r="E530" s="39"/>
      <c r="F530" s="39"/>
    </row>
    <row r="531" spans="1:6">
      <c r="A531" s="39"/>
      <c r="B531" s="39"/>
      <c r="C531" s="40"/>
      <c r="D531" s="39"/>
      <c r="E531" s="39"/>
      <c r="F531" s="39"/>
    </row>
    <row r="532" spans="1:6">
      <c r="A532" s="39"/>
      <c r="B532" s="39"/>
      <c r="C532" s="40"/>
      <c r="D532" s="39"/>
      <c r="E532" s="39"/>
      <c r="F532" s="39"/>
    </row>
    <row r="533" spans="1:6">
      <c r="A533" s="39"/>
      <c r="B533" s="39"/>
      <c r="C533" s="40"/>
      <c r="D533" s="39"/>
      <c r="E533" s="39"/>
      <c r="F533" s="39"/>
    </row>
    <row r="534" spans="1:6">
      <c r="A534" s="39"/>
      <c r="B534" s="39"/>
      <c r="C534" s="40"/>
      <c r="D534" s="39"/>
      <c r="E534" s="39"/>
      <c r="F534" s="39"/>
    </row>
    <row r="535" spans="1:6">
      <c r="A535" s="39"/>
      <c r="B535" s="39"/>
      <c r="C535" s="40"/>
      <c r="D535" s="39"/>
      <c r="E535" s="39"/>
      <c r="F535" s="39"/>
    </row>
    <row r="536" spans="1:6">
      <c r="A536" s="39"/>
      <c r="B536" s="39"/>
      <c r="C536" s="40"/>
      <c r="D536" s="39"/>
      <c r="E536" s="39"/>
      <c r="F536" s="39"/>
    </row>
    <row r="537" spans="1:6">
      <c r="A537" s="39"/>
      <c r="B537" s="39"/>
      <c r="C537" s="40"/>
      <c r="D537" s="39"/>
      <c r="E537" s="39"/>
      <c r="F537" s="39"/>
    </row>
    <row r="538" spans="1:6">
      <c r="A538" s="39"/>
      <c r="B538" s="39"/>
      <c r="C538" s="40"/>
      <c r="D538" s="39"/>
      <c r="E538" s="39"/>
      <c r="F538" s="39"/>
    </row>
    <row r="539" spans="1:6">
      <c r="A539" s="39"/>
      <c r="B539" s="39"/>
      <c r="C539" s="40"/>
      <c r="D539" s="39"/>
      <c r="E539" s="39"/>
      <c r="F539" s="39"/>
    </row>
    <row r="540" spans="1:6">
      <c r="A540" s="39"/>
      <c r="B540" s="39"/>
      <c r="C540" s="40"/>
      <c r="D540" s="39"/>
      <c r="E540" s="39"/>
      <c r="F540" s="39"/>
    </row>
    <row r="541" spans="1:6">
      <c r="A541" s="39"/>
      <c r="B541" s="39"/>
      <c r="C541" s="40"/>
      <c r="D541" s="39"/>
      <c r="E541" s="39"/>
      <c r="F541" s="39"/>
    </row>
    <row r="542" spans="1:6">
      <c r="A542" s="39"/>
      <c r="B542" s="39"/>
      <c r="C542" s="40"/>
      <c r="D542" s="39"/>
      <c r="E542" s="39"/>
      <c r="F542" s="39"/>
    </row>
    <row r="543" spans="1:6">
      <c r="A543" s="39"/>
      <c r="B543" s="39"/>
      <c r="C543" s="40"/>
      <c r="D543" s="39"/>
      <c r="E543" s="39"/>
      <c r="F543" s="39"/>
    </row>
    <row r="544" spans="1:6">
      <c r="A544" s="39"/>
      <c r="B544" s="39"/>
      <c r="C544" s="40"/>
      <c r="D544" s="39"/>
      <c r="E544" s="39"/>
      <c r="F544" s="39"/>
    </row>
    <row r="545" spans="1:6">
      <c r="A545" s="39"/>
      <c r="B545" s="39"/>
      <c r="C545" s="40"/>
      <c r="D545" s="39"/>
      <c r="E545" s="39"/>
      <c r="F545" s="39"/>
    </row>
    <row r="546" spans="1:6">
      <c r="A546" s="39"/>
      <c r="B546" s="39"/>
      <c r="C546" s="40"/>
      <c r="D546" s="39"/>
      <c r="E546" s="39"/>
      <c r="F546" s="39"/>
    </row>
    <row r="547" spans="1:6">
      <c r="A547" s="39"/>
      <c r="B547" s="39"/>
      <c r="C547" s="40"/>
      <c r="D547" s="39"/>
      <c r="E547" s="39"/>
      <c r="F547" s="39"/>
    </row>
    <row r="548" spans="1:6">
      <c r="A548" s="39"/>
      <c r="B548" s="39"/>
      <c r="C548" s="40"/>
      <c r="D548" s="39"/>
      <c r="E548" s="39"/>
      <c r="F548" s="39"/>
    </row>
    <row r="549" spans="1:6">
      <c r="A549" s="39"/>
      <c r="B549" s="39"/>
      <c r="C549" s="40"/>
      <c r="D549" s="39"/>
      <c r="E549" s="39"/>
      <c r="F549" s="39"/>
    </row>
    <row r="550" spans="1:6">
      <c r="A550" s="39"/>
      <c r="B550" s="39"/>
      <c r="C550" s="40"/>
      <c r="D550" s="39"/>
      <c r="E550" s="39"/>
      <c r="F550" s="39"/>
    </row>
    <row r="551" spans="1:6">
      <c r="A551" s="39"/>
      <c r="B551" s="39"/>
      <c r="C551" s="40"/>
      <c r="D551" s="39"/>
      <c r="E551" s="39"/>
      <c r="F551" s="39"/>
    </row>
    <row r="552" spans="1:6">
      <c r="A552" s="39"/>
      <c r="B552" s="39"/>
      <c r="C552" s="40"/>
      <c r="D552" s="39"/>
      <c r="E552" s="39"/>
      <c r="F552" s="39"/>
    </row>
    <row r="553" spans="1:6">
      <c r="A553" s="39"/>
      <c r="B553" s="39"/>
      <c r="C553" s="40"/>
      <c r="D553" s="39"/>
      <c r="E553" s="39"/>
      <c r="F553" s="39"/>
    </row>
    <row r="554" spans="1:6">
      <c r="A554" s="39"/>
      <c r="B554" s="39"/>
      <c r="C554" s="40"/>
      <c r="D554" s="39"/>
      <c r="E554" s="39"/>
      <c r="F554" s="39"/>
    </row>
    <row r="555" spans="1:6">
      <c r="A555" s="39"/>
      <c r="B555" s="39"/>
      <c r="C555" s="40"/>
      <c r="D555" s="39"/>
      <c r="E555" s="39"/>
      <c r="F555" s="39"/>
    </row>
    <row r="556" spans="1:6">
      <c r="A556" s="39"/>
      <c r="B556" s="39"/>
      <c r="C556" s="40"/>
      <c r="D556" s="39"/>
      <c r="E556" s="39"/>
      <c r="F556" s="39"/>
    </row>
    <row r="557" spans="1:6">
      <c r="A557" s="39"/>
      <c r="B557" s="39"/>
      <c r="C557" s="40"/>
      <c r="D557" s="39"/>
      <c r="E557" s="39"/>
      <c r="F557" s="39"/>
    </row>
    <row r="558" spans="1:6">
      <c r="A558" s="39"/>
      <c r="B558" s="39"/>
      <c r="C558" s="40"/>
      <c r="D558" s="39"/>
      <c r="E558" s="39"/>
      <c r="F558" s="39"/>
    </row>
    <row r="559" spans="1:6">
      <c r="A559" s="39"/>
      <c r="B559" s="39"/>
      <c r="C559" s="40"/>
      <c r="D559" s="39"/>
      <c r="E559" s="39"/>
      <c r="F559" s="39"/>
    </row>
    <row r="560" spans="1:6">
      <c r="A560" s="39"/>
      <c r="B560" s="39"/>
      <c r="C560" s="40"/>
      <c r="D560" s="39"/>
      <c r="E560" s="39"/>
      <c r="F560" s="39"/>
    </row>
    <row r="561" spans="1:6">
      <c r="A561" s="39"/>
      <c r="B561" s="39"/>
      <c r="C561" s="40"/>
      <c r="D561" s="39"/>
      <c r="E561" s="39"/>
      <c r="F561" s="39"/>
    </row>
    <row r="562" spans="1:6">
      <c r="A562" s="39"/>
      <c r="B562" s="39"/>
      <c r="C562" s="40"/>
      <c r="D562" s="39"/>
      <c r="E562" s="39"/>
      <c r="F562" s="39"/>
    </row>
    <row r="563" spans="1:6">
      <c r="A563" s="39"/>
      <c r="B563" s="39"/>
      <c r="C563" s="40"/>
      <c r="D563" s="39"/>
      <c r="E563" s="39"/>
      <c r="F563" s="39"/>
    </row>
    <row r="564" spans="1:6">
      <c r="A564" s="39"/>
      <c r="B564" s="39"/>
      <c r="C564" s="40"/>
      <c r="D564" s="39"/>
      <c r="E564" s="39"/>
      <c r="F564" s="39"/>
    </row>
    <row r="565" spans="1:6">
      <c r="A565" s="39"/>
      <c r="B565" s="39"/>
      <c r="C565" s="40"/>
      <c r="D565" s="39"/>
      <c r="E565" s="39"/>
      <c r="F565" s="39"/>
    </row>
    <row r="566" spans="1:6">
      <c r="A566" s="39"/>
      <c r="B566" s="39"/>
      <c r="C566" s="40"/>
      <c r="D566" s="39"/>
      <c r="E566" s="39"/>
      <c r="F566" s="39"/>
    </row>
    <row r="567" spans="1:6">
      <c r="A567" s="39"/>
      <c r="B567" s="39"/>
      <c r="C567" s="40"/>
      <c r="D567" s="39"/>
      <c r="E567" s="39"/>
      <c r="F567" s="39"/>
    </row>
    <row r="568" spans="1:6">
      <c r="A568" s="39"/>
      <c r="B568" s="39"/>
      <c r="C568" s="40"/>
      <c r="D568" s="39"/>
      <c r="E568" s="39"/>
      <c r="F568" s="39"/>
    </row>
    <row r="569" spans="1:6">
      <c r="A569" s="39"/>
      <c r="B569" s="39"/>
      <c r="C569" s="40"/>
      <c r="D569" s="39"/>
      <c r="E569" s="39"/>
      <c r="F569" s="39"/>
    </row>
    <row r="570" spans="1:6">
      <c r="A570" s="39"/>
      <c r="B570" s="39"/>
      <c r="C570" s="40"/>
      <c r="D570" s="39"/>
      <c r="E570" s="39"/>
      <c r="F570" s="39"/>
    </row>
    <row r="571" spans="1:6">
      <c r="A571" s="39"/>
      <c r="B571" s="39"/>
      <c r="C571" s="40"/>
      <c r="D571" s="39"/>
      <c r="E571" s="39"/>
      <c r="F571" s="39"/>
    </row>
    <row r="572" spans="1:6">
      <c r="A572" s="39"/>
      <c r="B572" s="39"/>
      <c r="C572" s="40"/>
      <c r="D572" s="39"/>
      <c r="E572" s="39"/>
      <c r="F572" s="39"/>
    </row>
    <row r="573" spans="1:6">
      <c r="A573" s="39"/>
      <c r="B573" s="39"/>
      <c r="C573" s="40"/>
      <c r="D573" s="39"/>
      <c r="E573" s="39"/>
      <c r="F573" s="39"/>
    </row>
    <row r="574" spans="1:6">
      <c r="A574" s="39"/>
      <c r="B574" s="39"/>
      <c r="C574" s="40"/>
      <c r="D574" s="39"/>
      <c r="E574" s="39"/>
      <c r="F574" s="39"/>
    </row>
    <row r="575" spans="1:6">
      <c r="A575" s="39"/>
      <c r="B575" s="39"/>
      <c r="C575" s="40"/>
      <c r="D575" s="39"/>
      <c r="E575" s="39"/>
      <c r="F575" s="39"/>
    </row>
    <row r="576" spans="1:6">
      <c r="A576" s="39"/>
      <c r="B576" s="39"/>
      <c r="C576" s="40"/>
      <c r="D576" s="39"/>
      <c r="E576" s="39"/>
      <c r="F576" s="39"/>
    </row>
    <row r="577" spans="1:6">
      <c r="A577" s="39"/>
      <c r="B577" s="39"/>
      <c r="C577" s="40"/>
      <c r="D577" s="39"/>
      <c r="E577" s="39"/>
      <c r="F577" s="39"/>
    </row>
    <row r="578" spans="1:6">
      <c r="A578" s="39"/>
      <c r="B578" s="39"/>
      <c r="C578" s="40"/>
      <c r="D578" s="39"/>
      <c r="E578" s="39"/>
      <c r="F578" s="39"/>
    </row>
    <row r="579" spans="1:6">
      <c r="A579" s="39"/>
      <c r="B579" s="39"/>
      <c r="C579" s="40"/>
      <c r="D579" s="39"/>
      <c r="E579" s="39"/>
      <c r="F579" s="39"/>
    </row>
    <row r="580" spans="1:6">
      <c r="A580" s="39"/>
      <c r="B580" s="39"/>
      <c r="C580" s="40"/>
      <c r="D580" s="39"/>
      <c r="E580" s="39"/>
      <c r="F580" s="39"/>
    </row>
    <row r="581" spans="1:6">
      <c r="A581" s="39"/>
      <c r="B581" s="39"/>
      <c r="C581" s="40"/>
      <c r="D581" s="39"/>
      <c r="E581" s="39"/>
      <c r="F581" s="39"/>
    </row>
    <row r="582" spans="1:6">
      <c r="A582" s="39"/>
      <c r="B582" s="39"/>
      <c r="C582" s="40"/>
      <c r="D582" s="39"/>
      <c r="E582" s="39"/>
      <c r="F582" s="39"/>
    </row>
    <row r="583" spans="1:6">
      <c r="A583" s="39"/>
      <c r="B583" s="39"/>
      <c r="C583" s="40"/>
      <c r="D583" s="39"/>
      <c r="E583" s="39"/>
      <c r="F583" s="39"/>
    </row>
    <row r="584" spans="1:6">
      <c r="A584" s="39"/>
      <c r="B584" s="39"/>
      <c r="C584" s="40"/>
      <c r="D584" s="39"/>
      <c r="E584" s="39"/>
      <c r="F584" s="39"/>
    </row>
    <row r="585" spans="1:6">
      <c r="A585" s="39"/>
      <c r="B585" s="39"/>
      <c r="C585" s="40"/>
      <c r="D585" s="39"/>
      <c r="E585" s="39"/>
      <c r="F585" s="39"/>
    </row>
    <row r="586" spans="1:6">
      <c r="A586" s="39"/>
      <c r="B586" s="39"/>
      <c r="C586" s="40"/>
      <c r="D586" s="39"/>
      <c r="E586" s="39"/>
      <c r="F586" s="39"/>
    </row>
    <row r="587" spans="1:6">
      <c r="A587" s="39"/>
      <c r="B587" s="39"/>
      <c r="C587" s="40"/>
      <c r="D587" s="39"/>
      <c r="E587" s="39"/>
      <c r="F587" s="39"/>
    </row>
    <row r="588" spans="1:6">
      <c r="A588" s="39"/>
      <c r="B588" s="39"/>
      <c r="C588" s="40"/>
      <c r="D588" s="39"/>
      <c r="E588" s="39"/>
      <c r="F588" s="39"/>
    </row>
    <row r="589" spans="1:6">
      <c r="A589" s="39"/>
      <c r="B589" s="39"/>
      <c r="C589" s="40"/>
      <c r="D589" s="39"/>
      <c r="E589" s="39"/>
      <c r="F589" s="39"/>
    </row>
    <row r="590" spans="1:6">
      <c r="A590" s="39"/>
      <c r="B590" s="39"/>
      <c r="C590" s="40"/>
      <c r="D590" s="39"/>
      <c r="E590" s="39"/>
      <c r="F590" s="39"/>
    </row>
    <row r="591" spans="1:6">
      <c r="A591" s="39"/>
      <c r="B591" s="39"/>
      <c r="C591" s="40"/>
      <c r="D591" s="39"/>
      <c r="E591" s="39"/>
      <c r="F591" s="39"/>
    </row>
    <row r="592" spans="1:6">
      <c r="A592" s="39"/>
      <c r="B592" s="39"/>
      <c r="C592" s="40"/>
      <c r="D592" s="39"/>
      <c r="E592" s="39"/>
      <c r="F592" s="39"/>
    </row>
    <row r="593" spans="1:6">
      <c r="A593" s="39"/>
      <c r="B593" s="39"/>
      <c r="C593" s="40"/>
      <c r="D593" s="39"/>
      <c r="E593" s="39"/>
      <c r="F593" s="39"/>
    </row>
    <row r="594" spans="1:6">
      <c r="A594" s="39"/>
      <c r="B594" s="39"/>
      <c r="C594" s="40"/>
      <c r="D594" s="39"/>
      <c r="E594" s="39"/>
      <c r="F594" s="39"/>
    </row>
    <row r="595" spans="1:6">
      <c r="A595" s="39"/>
      <c r="B595" s="39"/>
      <c r="C595" s="40"/>
      <c r="D595" s="39"/>
      <c r="E595" s="39"/>
      <c r="F595" s="39"/>
    </row>
    <row r="596" spans="1:6">
      <c r="A596" s="39"/>
      <c r="B596" s="39"/>
      <c r="C596" s="40"/>
      <c r="D596" s="39"/>
      <c r="E596" s="39"/>
      <c r="F596" s="39"/>
    </row>
    <row r="597" spans="1:6">
      <c r="A597" s="39"/>
      <c r="B597" s="39"/>
      <c r="C597" s="40"/>
      <c r="D597" s="39"/>
      <c r="E597" s="39"/>
      <c r="F597" s="39"/>
    </row>
    <row r="598" spans="1:6">
      <c r="A598" s="39"/>
      <c r="B598" s="39"/>
      <c r="C598" s="40"/>
      <c r="D598" s="39"/>
      <c r="E598" s="39"/>
      <c r="F598" s="39"/>
    </row>
    <row r="599" spans="1:6">
      <c r="A599" s="39"/>
      <c r="B599" s="39"/>
      <c r="C599" s="40"/>
      <c r="D599" s="39"/>
      <c r="E599" s="39"/>
      <c r="F599" s="39"/>
    </row>
    <row r="600" spans="1:6">
      <c r="A600" s="39"/>
      <c r="B600" s="39"/>
      <c r="C600" s="40"/>
      <c r="D600" s="39"/>
      <c r="E600" s="39"/>
      <c r="F600" s="39"/>
    </row>
    <row r="601" spans="1:6">
      <c r="A601" s="39"/>
      <c r="B601" s="39"/>
      <c r="C601" s="40"/>
      <c r="D601" s="39"/>
      <c r="E601" s="39"/>
      <c r="F601" s="39"/>
    </row>
    <row r="602" spans="1:6">
      <c r="A602" s="39"/>
      <c r="B602" s="39"/>
      <c r="C602" s="40"/>
      <c r="D602" s="39"/>
      <c r="E602" s="39"/>
      <c r="F602" s="39"/>
    </row>
    <row r="603" spans="1:6">
      <c r="A603" s="39"/>
      <c r="B603" s="39"/>
      <c r="C603" s="40"/>
      <c r="D603" s="39"/>
      <c r="E603" s="39"/>
      <c r="F603" s="39"/>
    </row>
    <row r="604" spans="1:6">
      <c r="A604" s="39"/>
      <c r="B604" s="39"/>
      <c r="C604" s="40"/>
      <c r="D604" s="39"/>
      <c r="E604" s="39"/>
      <c r="F604" s="39"/>
    </row>
    <row r="605" spans="1:6">
      <c r="A605" s="39"/>
      <c r="B605" s="39"/>
      <c r="C605" s="40"/>
      <c r="D605" s="39"/>
      <c r="E605" s="39"/>
      <c r="F605" s="39"/>
    </row>
    <row r="606" spans="1:6">
      <c r="A606" s="39"/>
      <c r="B606" s="39"/>
      <c r="C606" s="40"/>
      <c r="D606" s="39"/>
      <c r="E606" s="39"/>
      <c r="F606" s="39"/>
    </row>
    <row r="607" spans="1:6">
      <c r="A607" s="39"/>
      <c r="B607" s="39"/>
      <c r="C607" s="40"/>
      <c r="D607" s="39"/>
      <c r="E607" s="39"/>
      <c r="F607" s="39"/>
    </row>
    <row r="608" spans="1:6">
      <c r="A608" s="39"/>
      <c r="B608" s="39"/>
      <c r="C608" s="40"/>
      <c r="D608" s="39"/>
      <c r="E608" s="39"/>
      <c r="F608" s="39"/>
    </row>
    <row r="609" spans="1:6">
      <c r="A609" s="39"/>
      <c r="B609" s="39"/>
      <c r="C609" s="40"/>
      <c r="D609" s="39"/>
      <c r="E609" s="39"/>
      <c r="F609" s="39"/>
    </row>
    <row r="610" spans="1:6">
      <c r="A610" s="39"/>
      <c r="B610" s="39"/>
      <c r="C610" s="40"/>
      <c r="D610" s="39"/>
      <c r="E610" s="39"/>
      <c r="F610" s="39"/>
    </row>
    <row r="611" spans="1:6">
      <c r="A611" s="39"/>
      <c r="B611" s="39"/>
      <c r="C611" s="40"/>
      <c r="D611" s="39"/>
      <c r="E611" s="39"/>
      <c r="F611" s="39"/>
    </row>
    <row r="612" spans="1:6">
      <c r="A612" s="39"/>
      <c r="B612" s="39"/>
      <c r="C612" s="40"/>
      <c r="D612" s="39"/>
      <c r="E612" s="39"/>
      <c r="F612" s="39"/>
    </row>
    <row r="613" spans="1:6">
      <c r="A613" s="39"/>
      <c r="B613" s="39"/>
      <c r="C613" s="40"/>
      <c r="D613" s="39"/>
      <c r="E613" s="39"/>
      <c r="F613" s="39"/>
    </row>
    <row r="614" spans="1:6">
      <c r="A614" s="39"/>
      <c r="B614" s="39"/>
      <c r="C614" s="40"/>
      <c r="D614" s="39"/>
      <c r="E614" s="39"/>
      <c r="F614" s="39"/>
    </row>
    <row r="615" spans="1:6">
      <c r="A615" s="39"/>
      <c r="B615" s="39"/>
      <c r="C615" s="40"/>
      <c r="D615" s="39"/>
      <c r="E615" s="39"/>
      <c r="F615" s="39"/>
    </row>
    <row r="616" spans="1:6">
      <c r="A616" s="39"/>
      <c r="B616" s="39"/>
      <c r="C616" s="40"/>
      <c r="D616" s="39"/>
      <c r="E616" s="39"/>
      <c r="F616" s="39"/>
    </row>
    <row r="617" spans="1:6">
      <c r="A617" s="39"/>
      <c r="B617" s="39"/>
      <c r="C617" s="40"/>
      <c r="D617" s="39"/>
      <c r="E617" s="39"/>
      <c r="F617" s="39"/>
    </row>
    <row r="618" spans="1:6">
      <c r="A618" s="39"/>
      <c r="B618" s="39"/>
      <c r="C618" s="40"/>
      <c r="D618" s="39"/>
      <c r="E618" s="39"/>
      <c r="F618" s="39"/>
    </row>
    <row r="619" spans="1:6">
      <c r="A619" s="39"/>
      <c r="B619" s="39"/>
      <c r="C619" s="40"/>
      <c r="D619" s="39"/>
      <c r="E619" s="39"/>
      <c r="F619" s="39"/>
    </row>
    <row r="620" spans="1:6">
      <c r="A620" s="39"/>
      <c r="B620" s="39"/>
      <c r="C620" s="40"/>
      <c r="D620" s="39"/>
      <c r="E620" s="39"/>
      <c r="F620" s="39"/>
    </row>
    <row r="621" spans="1:6">
      <c r="A621" s="39"/>
      <c r="B621" s="39"/>
      <c r="C621" s="40"/>
      <c r="D621" s="39"/>
      <c r="E621" s="39"/>
      <c r="F621" s="39"/>
    </row>
    <row r="622" spans="1:6">
      <c r="A622" s="39"/>
      <c r="B622" s="39"/>
      <c r="C622" s="40"/>
      <c r="D622" s="39"/>
      <c r="E622" s="39"/>
      <c r="F622" s="39"/>
    </row>
    <row r="623" spans="1:6">
      <c r="A623" s="39"/>
      <c r="B623" s="39"/>
      <c r="C623" s="40"/>
      <c r="D623" s="39"/>
      <c r="E623" s="39"/>
      <c r="F623" s="39"/>
    </row>
    <row r="624" spans="1:6">
      <c r="A624" s="39"/>
      <c r="B624" s="39"/>
      <c r="C624" s="40"/>
      <c r="D624" s="39"/>
      <c r="E624" s="39"/>
      <c r="F624" s="39"/>
    </row>
    <row r="625" spans="1:6">
      <c r="A625" s="39"/>
      <c r="B625" s="39"/>
      <c r="C625" s="40"/>
      <c r="D625" s="39"/>
      <c r="E625" s="39"/>
      <c r="F625" s="39"/>
    </row>
    <row r="626" spans="1:6">
      <c r="A626" s="39"/>
      <c r="B626" s="39"/>
      <c r="C626" s="40"/>
      <c r="D626" s="39"/>
      <c r="E626" s="39"/>
      <c r="F626" s="39"/>
    </row>
    <row r="627" spans="1:6">
      <c r="A627" s="39"/>
      <c r="B627" s="39"/>
      <c r="C627" s="40"/>
      <c r="D627" s="39"/>
      <c r="E627" s="39"/>
      <c r="F627" s="39"/>
    </row>
    <row r="628" spans="1:6">
      <c r="A628" s="39"/>
      <c r="B628" s="39"/>
      <c r="C628" s="40"/>
      <c r="D628" s="39"/>
      <c r="E628" s="39"/>
      <c r="F628" s="39"/>
    </row>
    <row r="629" spans="1:6">
      <c r="A629" s="39"/>
      <c r="B629" s="39"/>
      <c r="C629" s="40"/>
      <c r="D629" s="39"/>
      <c r="E629" s="39"/>
      <c r="F629" s="39"/>
    </row>
    <row r="630" spans="1:6">
      <c r="A630" s="39"/>
      <c r="B630" s="39"/>
      <c r="C630" s="40"/>
      <c r="D630" s="39"/>
      <c r="E630" s="39"/>
      <c r="F630" s="39"/>
    </row>
    <row r="631" spans="1:6">
      <c r="A631" s="39"/>
      <c r="B631" s="39"/>
      <c r="C631" s="40"/>
      <c r="D631" s="39"/>
      <c r="E631" s="39"/>
      <c r="F631" s="39"/>
    </row>
    <row r="632" spans="1:6">
      <c r="A632" s="39"/>
      <c r="B632" s="39"/>
      <c r="C632" s="40"/>
      <c r="D632" s="39"/>
      <c r="E632" s="39"/>
      <c r="F632" s="39"/>
    </row>
    <row r="633" spans="1:6">
      <c r="A633" s="39"/>
      <c r="B633" s="39"/>
      <c r="C633" s="40"/>
      <c r="D633" s="39"/>
      <c r="E633" s="39"/>
      <c r="F633" s="39"/>
    </row>
    <row r="634" spans="1:6">
      <c r="A634" s="39"/>
      <c r="B634" s="39"/>
      <c r="C634" s="40"/>
      <c r="D634" s="39"/>
      <c r="E634" s="39"/>
      <c r="F634" s="39"/>
    </row>
    <row r="635" spans="1:6">
      <c r="A635" s="39"/>
      <c r="B635" s="39"/>
      <c r="C635" s="40"/>
      <c r="D635" s="39"/>
      <c r="E635" s="39"/>
      <c r="F635" s="39"/>
    </row>
    <row r="636" spans="1:6">
      <c r="A636" s="39"/>
      <c r="B636" s="39"/>
      <c r="C636" s="40"/>
      <c r="D636" s="39"/>
      <c r="E636" s="39"/>
      <c r="F636" s="39"/>
    </row>
    <row r="637" spans="1:6">
      <c r="A637" s="39"/>
      <c r="B637" s="39"/>
      <c r="C637" s="40"/>
      <c r="D637" s="39"/>
      <c r="E637" s="39"/>
      <c r="F637" s="39"/>
    </row>
    <row r="638" spans="1:6">
      <c r="A638" s="39"/>
      <c r="B638" s="39"/>
      <c r="C638" s="40"/>
      <c r="D638" s="39"/>
      <c r="E638" s="39"/>
      <c r="F638" s="39"/>
    </row>
    <row r="639" spans="1:6">
      <c r="A639" s="39"/>
      <c r="B639" s="39"/>
      <c r="C639" s="40"/>
      <c r="D639" s="39"/>
      <c r="E639" s="39"/>
      <c r="F639" s="39"/>
    </row>
    <row r="640" spans="1:6">
      <c r="A640" s="39"/>
      <c r="B640" s="39"/>
      <c r="C640" s="40"/>
      <c r="D640" s="39"/>
      <c r="E640" s="39"/>
      <c r="F640" s="39"/>
    </row>
    <row r="641" spans="1:6">
      <c r="A641" s="39"/>
      <c r="B641" s="39"/>
      <c r="C641" s="40"/>
      <c r="D641" s="39"/>
      <c r="E641" s="39"/>
      <c r="F641" s="39"/>
    </row>
    <row r="642" spans="1:6">
      <c r="A642" s="39"/>
      <c r="B642" s="39"/>
      <c r="C642" s="40"/>
      <c r="D642" s="39"/>
      <c r="E642" s="39"/>
      <c r="F642" s="39"/>
    </row>
    <row r="643" spans="1:6">
      <c r="A643" s="39"/>
      <c r="B643" s="39"/>
      <c r="C643" s="40"/>
      <c r="D643" s="39"/>
      <c r="E643" s="39"/>
      <c r="F643" s="39"/>
    </row>
    <row r="644" spans="1:6">
      <c r="A644" s="39"/>
      <c r="B644" s="39"/>
      <c r="C644" s="40"/>
      <c r="D644" s="39"/>
      <c r="E644" s="39"/>
      <c r="F644" s="39"/>
    </row>
    <row r="645" spans="1:6">
      <c r="A645" s="39"/>
      <c r="B645" s="39"/>
      <c r="C645" s="40"/>
      <c r="D645" s="39"/>
      <c r="E645" s="39"/>
      <c r="F645" s="39"/>
    </row>
    <row r="646" spans="1:6">
      <c r="A646" s="39"/>
      <c r="B646" s="39"/>
      <c r="C646" s="40"/>
      <c r="D646" s="39"/>
      <c r="E646" s="39"/>
      <c r="F646" s="39"/>
    </row>
    <row r="647" spans="1:6">
      <c r="A647" s="39"/>
      <c r="B647" s="39"/>
      <c r="C647" s="40"/>
      <c r="D647" s="39"/>
      <c r="E647" s="39"/>
      <c r="F647" s="39"/>
    </row>
    <row r="648" spans="1:6">
      <c r="A648" s="39"/>
      <c r="B648" s="39"/>
      <c r="C648" s="40"/>
      <c r="D648" s="39"/>
      <c r="E648" s="39"/>
      <c r="F648" s="39"/>
    </row>
    <row r="649" spans="1:6">
      <c r="A649" s="39"/>
      <c r="B649" s="39"/>
      <c r="C649" s="40"/>
      <c r="D649" s="39"/>
      <c r="E649" s="39"/>
      <c r="F649" s="39"/>
    </row>
    <row r="650" spans="1:6">
      <c r="A650" s="39"/>
      <c r="B650" s="39"/>
      <c r="C650" s="40"/>
      <c r="D650" s="39"/>
      <c r="E650" s="39"/>
      <c r="F650" s="39"/>
    </row>
    <row r="651" spans="1:6">
      <c r="A651" s="39"/>
      <c r="B651" s="39"/>
      <c r="C651" s="40"/>
      <c r="D651" s="39"/>
      <c r="E651" s="39"/>
      <c r="F651" s="39"/>
    </row>
    <row r="652" spans="1:6">
      <c r="A652" s="39"/>
      <c r="B652" s="39"/>
      <c r="C652" s="40"/>
      <c r="D652" s="39"/>
      <c r="E652" s="39"/>
      <c r="F652" s="39"/>
    </row>
    <row r="653" spans="1:6">
      <c r="A653" s="39"/>
      <c r="B653" s="39"/>
      <c r="C653" s="40"/>
      <c r="D653" s="39"/>
      <c r="E653" s="39"/>
      <c r="F653" s="39"/>
    </row>
    <row r="654" spans="1:6">
      <c r="A654" s="39"/>
      <c r="B654" s="39"/>
      <c r="C654" s="40"/>
      <c r="D654" s="39"/>
      <c r="E654" s="39"/>
      <c r="F654" s="39"/>
    </row>
    <row r="655" spans="1:6">
      <c r="A655" s="39"/>
      <c r="B655" s="39"/>
      <c r="C655" s="40"/>
      <c r="D655" s="39"/>
      <c r="E655" s="39"/>
      <c r="F655" s="39"/>
    </row>
    <row r="656" spans="1:6">
      <c r="A656" s="39"/>
      <c r="B656" s="39"/>
      <c r="C656" s="40"/>
      <c r="D656" s="39"/>
      <c r="E656" s="39"/>
      <c r="F656" s="39"/>
    </row>
    <row r="657" spans="1:6">
      <c r="A657" s="39"/>
      <c r="B657" s="39"/>
      <c r="C657" s="40"/>
      <c r="D657" s="39"/>
      <c r="E657" s="39"/>
      <c r="F657" s="39"/>
    </row>
    <row r="658" spans="1:6">
      <c r="A658" s="39"/>
      <c r="B658" s="39"/>
      <c r="C658" s="40"/>
      <c r="D658" s="39"/>
      <c r="E658" s="39"/>
      <c r="F658" s="39"/>
    </row>
    <row r="659" spans="1:6">
      <c r="A659" s="39"/>
      <c r="B659" s="39"/>
      <c r="C659" s="40"/>
      <c r="D659" s="39"/>
      <c r="E659" s="39"/>
      <c r="F659" s="39"/>
    </row>
    <row r="660" spans="1:6">
      <c r="A660" s="39"/>
      <c r="B660" s="39"/>
      <c r="C660" s="40"/>
      <c r="D660" s="39"/>
      <c r="E660" s="39"/>
      <c r="F660" s="39"/>
    </row>
    <row r="661" spans="1:6">
      <c r="A661" s="39"/>
      <c r="B661" s="39"/>
      <c r="C661" s="40"/>
      <c r="D661" s="39"/>
      <c r="E661" s="39"/>
      <c r="F661" s="39"/>
    </row>
    <row r="662" spans="1:6">
      <c r="A662" s="39"/>
      <c r="B662" s="39"/>
      <c r="C662" s="40"/>
      <c r="D662" s="39"/>
      <c r="E662" s="39"/>
      <c r="F662" s="39"/>
    </row>
    <row r="663" spans="1:6">
      <c r="A663" s="39"/>
      <c r="B663" s="39"/>
      <c r="C663" s="40"/>
      <c r="D663" s="39"/>
      <c r="E663" s="39"/>
      <c r="F663" s="39"/>
    </row>
    <row r="664" spans="1:6">
      <c r="A664" s="39"/>
      <c r="B664" s="39"/>
      <c r="C664" s="40"/>
      <c r="D664" s="39"/>
      <c r="E664" s="39"/>
      <c r="F664" s="39"/>
    </row>
    <row r="665" spans="1:6">
      <c r="A665" s="39"/>
      <c r="B665" s="39"/>
      <c r="C665" s="40"/>
      <c r="D665" s="39"/>
      <c r="E665" s="39"/>
      <c r="F665" s="39"/>
    </row>
    <row r="666" spans="1:6">
      <c r="A666" s="39"/>
      <c r="B666" s="39"/>
      <c r="C666" s="40"/>
      <c r="D666" s="39"/>
      <c r="E666" s="39"/>
      <c r="F666" s="39"/>
    </row>
    <row r="667" spans="1:6">
      <c r="A667" s="39"/>
      <c r="B667" s="39"/>
      <c r="C667" s="40"/>
      <c r="D667" s="39"/>
      <c r="E667" s="39"/>
      <c r="F667" s="39"/>
    </row>
    <row r="668" spans="1:6">
      <c r="A668" s="39"/>
      <c r="B668" s="39"/>
      <c r="C668" s="40"/>
      <c r="D668" s="39"/>
      <c r="E668" s="39"/>
      <c r="F668" s="39"/>
    </row>
    <row r="669" spans="1:6">
      <c r="A669" s="39"/>
      <c r="B669" s="39"/>
      <c r="C669" s="40"/>
      <c r="D669" s="39"/>
      <c r="E669" s="39"/>
      <c r="F669" s="39"/>
    </row>
    <row r="670" spans="1:6">
      <c r="A670" s="39"/>
      <c r="B670" s="39"/>
      <c r="C670" s="40"/>
      <c r="D670" s="39"/>
      <c r="E670" s="39"/>
      <c r="F670" s="39"/>
    </row>
    <row r="671" spans="1:6">
      <c r="A671" s="39"/>
      <c r="B671" s="39"/>
      <c r="C671" s="40"/>
      <c r="D671" s="39"/>
      <c r="E671" s="39"/>
      <c r="F671" s="39"/>
    </row>
    <row r="672" spans="1:6">
      <c r="A672" s="39"/>
      <c r="B672" s="39"/>
      <c r="C672" s="40"/>
      <c r="D672" s="39"/>
      <c r="E672" s="39"/>
      <c r="F672" s="39"/>
    </row>
    <row r="673" spans="1:6">
      <c r="A673" s="39"/>
      <c r="B673" s="39"/>
      <c r="C673" s="40"/>
      <c r="D673" s="39"/>
      <c r="E673" s="39"/>
      <c r="F673" s="39"/>
    </row>
    <row r="674" spans="1:6">
      <c r="A674" s="39"/>
      <c r="B674" s="39"/>
      <c r="C674" s="40"/>
      <c r="D674" s="39"/>
      <c r="E674" s="39"/>
      <c r="F674" s="39"/>
    </row>
    <row r="675" spans="1:6">
      <c r="A675" s="39"/>
      <c r="B675" s="39"/>
      <c r="C675" s="40"/>
      <c r="D675" s="39"/>
      <c r="E675" s="39"/>
      <c r="F675" s="39"/>
    </row>
    <row r="676" spans="1:6">
      <c r="A676" s="39"/>
      <c r="B676" s="39"/>
      <c r="C676" s="40"/>
      <c r="D676" s="39"/>
      <c r="E676" s="39"/>
      <c r="F676" s="39"/>
    </row>
    <row r="677" spans="1:6">
      <c r="A677" s="39"/>
      <c r="B677" s="39"/>
      <c r="C677" s="40"/>
      <c r="D677" s="39"/>
      <c r="E677" s="39"/>
      <c r="F677" s="39"/>
    </row>
    <row r="678" spans="1:6">
      <c r="A678" s="39"/>
      <c r="B678" s="39"/>
      <c r="C678" s="40"/>
      <c r="D678" s="39"/>
      <c r="E678" s="39"/>
      <c r="F678" s="39"/>
    </row>
    <row r="679" spans="1:6">
      <c r="A679" s="39"/>
      <c r="B679" s="39"/>
      <c r="C679" s="40"/>
      <c r="D679" s="39"/>
      <c r="E679" s="39"/>
      <c r="F679" s="39"/>
    </row>
    <row r="680" spans="1:6">
      <c r="A680" s="39"/>
      <c r="B680" s="39"/>
      <c r="C680" s="40"/>
      <c r="D680" s="39"/>
      <c r="E680" s="39"/>
      <c r="F680" s="39"/>
    </row>
    <row r="681" spans="1:6">
      <c r="A681" s="39"/>
      <c r="B681" s="39"/>
      <c r="C681" s="40"/>
      <c r="D681" s="39"/>
      <c r="E681" s="39"/>
      <c r="F681" s="39"/>
    </row>
    <row r="682" spans="1:6">
      <c r="A682" s="39"/>
      <c r="B682" s="39"/>
      <c r="C682" s="40"/>
      <c r="D682" s="39"/>
      <c r="E682" s="39"/>
      <c r="F682" s="39"/>
    </row>
    <row r="683" spans="1:6">
      <c r="A683" s="39"/>
      <c r="B683" s="39"/>
      <c r="C683" s="40"/>
      <c r="D683" s="39"/>
      <c r="E683" s="39"/>
      <c r="F683" s="39"/>
    </row>
    <row r="684" spans="1:6">
      <c r="A684" s="39"/>
      <c r="B684" s="39"/>
      <c r="C684" s="40"/>
      <c r="D684" s="39"/>
      <c r="E684" s="39"/>
      <c r="F684" s="39"/>
    </row>
    <row r="685" spans="1:6">
      <c r="A685" s="39"/>
      <c r="B685" s="39"/>
      <c r="C685" s="40"/>
      <c r="D685" s="39"/>
      <c r="E685" s="39"/>
      <c r="F685" s="39"/>
    </row>
    <row r="686" spans="1:6">
      <c r="A686" s="39"/>
      <c r="B686" s="39"/>
      <c r="C686" s="40"/>
      <c r="D686" s="39"/>
      <c r="E686" s="39"/>
      <c r="F686" s="39"/>
    </row>
    <row r="687" spans="1:6">
      <c r="A687" s="39"/>
      <c r="B687" s="39"/>
      <c r="C687" s="40"/>
      <c r="D687" s="39"/>
      <c r="E687" s="39"/>
      <c r="F687" s="39"/>
    </row>
    <row r="688" spans="1:6">
      <c r="A688" s="39"/>
      <c r="B688" s="39"/>
      <c r="C688" s="40"/>
      <c r="D688" s="39"/>
      <c r="E688" s="39"/>
      <c r="F688" s="39"/>
    </row>
    <row r="689" spans="1:6">
      <c r="A689" s="39"/>
      <c r="B689" s="39"/>
      <c r="C689" s="40"/>
      <c r="D689" s="39"/>
      <c r="E689" s="39"/>
      <c r="F689" s="39"/>
    </row>
    <row r="690" spans="1:6">
      <c r="A690" s="39"/>
      <c r="B690" s="39"/>
      <c r="C690" s="40"/>
      <c r="D690" s="39"/>
      <c r="E690" s="39"/>
      <c r="F690" s="39"/>
    </row>
    <row r="691" spans="1:6">
      <c r="A691" s="39"/>
      <c r="B691" s="39"/>
      <c r="C691" s="40"/>
      <c r="D691" s="39"/>
      <c r="E691" s="39"/>
      <c r="F691" s="39"/>
    </row>
    <row r="692" spans="1:6">
      <c r="A692" s="39"/>
      <c r="B692" s="39"/>
      <c r="C692" s="40"/>
      <c r="D692" s="39"/>
      <c r="E692" s="39"/>
      <c r="F692" s="39"/>
    </row>
    <row r="693" spans="1:6">
      <c r="A693" s="39"/>
      <c r="B693" s="39"/>
      <c r="C693" s="40"/>
      <c r="D693" s="39"/>
      <c r="E693" s="39"/>
      <c r="F693" s="39"/>
    </row>
    <row r="694" spans="1:6">
      <c r="A694" s="39"/>
      <c r="B694" s="39"/>
      <c r="C694" s="40"/>
      <c r="D694" s="39"/>
      <c r="E694" s="39"/>
      <c r="F694" s="39"/>
    </row>
    <row r="695" spans="1:6">
      <c r="A695" s="39"/>
      <c r="B695" s="39"/>
      <c r="C695" s="40"/>
      <c r="D695" s="39"/>
      <c r="E695" s="39"/>
      <c r="F695" s="39"/>
    </row>
    <row r="696" spans="1:6">
      <c r="A696" s="39"/>
      <c r="B696" s="39"/>
      <c r="C696" s="40"/>
      <c r="D696" s="39"/>
      <c r="E696" s="39"/>
      <c r="F696" s="39"/>
    </row>
    <row r="697" spans="1:6">
      <c r="A697" s="39"/>
      <c r="B697" s="39"/>
      <c r="C697" s="40"/>
      <c r="D697" s="39"/>
      <c r="E697" s="39"/>
      <c r="F697" s="39"/>
    </row>
    <row r="698" spans="1:6">
      <c r="A698" s="39"/>
      <c r="B698" s="39"/>
      <c r="C698" s="40"/>
      <c r="D698" s="39"/>
      <c r="E698" s="39"/>
      <c r="F698" s="39"/>
    </row>
    <row r="699" spans="1:6">
      <c r="A699" s="39"/>
      <c r="B699" s="39"/>
      <c r="C699" s="40"/>
      <c r="D699" s="39"/>
      <c r="E699" s="39"/>
      <c r="F699" s="39"/>
    </row>
    <row r="700" spans="1:6">
      <c r="A700" s="39"/>
      <c r="B700" s="39"/>
      <c r="C700" s="40"/>
      <c r="D700" s="39"/>
      <c r="E700" s="39"/>
      <c r="F700" s="39"/>
    </row>
    <row r="701" spans="1:6">
      <c r="A701" s="39"/>
      <c r="B701" s="39"/>
      <c r="C701" s="40"/>
      <c r="D701" s="39"/>
      <c r="E701" s="39"/>
      <c r="F701" s="39"/>
    </row>
    <row r="702" spans="1:6">
      <c r="A702" s="39"/>
      <c r="B702" s="39"/>
      <c r="C702" s="40"/>
      <c r="D702" s="39"/>
      <c r="E702" s="39"/>
      <c r="F702" s="39"/>
    </row>
    <row r="703" spans="1:6">
      <c r="A703" s="39"/>
      <c r="B703" s="39"/>
      <c r="C703" s="40"/>
      <c r="D703" s="39"/>
      <c r="E703" s="39"/>
      <c r="F703" s="39"/>
    </row>
    <row r="704" spans="1:6">
      <c r="A704" s="39"/>
      <c r="B704" s="39"/>
      <c r="C704" s="40"/>
      <c r="D704" s="39"/>
      <c r="E704" s="39"/>
      <c r="F704" s="39"/>
    </row>
    <row r="705" spans="1:6">
      <c r="A705" s="39"/>
      <c r="B705" s="39"/>
      <c r="C705" s="40"/>
      <c r="D705" s="39"/>
      <c r="E705" s="39"/>
      <c r="F705" s="39"/>
    </row>
    <row r="706" spans="1:6">
      <c r="A706" s="39"/>
      <c r="B706" s="39"/>
      <c r="C706" s="40"/>
      <c r="D706" s="39"/>
      <c r="E706" s="39"/>
      <c r="F706" s="39"/>
    </row>
    <row r="707" spans="1:6">
      <c r="A707" s="39"/>
      <c r="B707" s="39"/>
      <c r="C707" s="40"/>
      <c r="D707" s="39"/>
      <c r="E707" s="39"/>
      <c r="F707" s="39"/>
    </row>
    <row r="708" spans="1:6">
      <c r="A708" s="39"/>
      <c r="B708" s="39"/>
      <c r="C708" s="40"/>
      <c r="D708" s="39"/>
      <c r="E708" s="39"/>
      <c r="F708" s="39"/>
    </row>
    <row r="709" spans="1:6">
      <c r="A709" s="39"/>
      <c r="B709" s="39"/>
      <c r="C709" s="40"/>
      <c r="D709" s="39"/>
      <c r="E709" s="39"/>
      <c r="F709" s="39"/>
    </row>
    <row r="710" spans="1:6">
      <c r="A710" s="39"/>
      <c r="B710" s="39"/>
      <c r="C710" s="40"/>
      <c r="D710" s="39"/>
      <c r="E710" s="39"/>
      <c r="F710" s="39"/>
    </row>
    <row r="711" spans="1:6">
      <c r="A711" s="39"/>
      <c r="B711" s="39"/>
      <c r="C711" s="40"/>
      <c r="D711" s="39"/>
      <c r="E711" s="39"/>
      <c r="F711" s="39"/>
    </row>
    <row r="712" spans="1:6">
      <c r="A712" s="39"/>
      <c r="B712" s="39"/>
      <c r="C712" s="40"/>
      <c r="D712" s="39"/>
      <c r="E712" s="39"/>
      <c r="F712" s="39"/>
    </row>
    <row r="713" spans="1:6">
      <c r="A713" s="39"/>
      <c r="B713" s="39"/>
      <c r="C713" s="40"/>
      <c r="D713" s="39"/>
      <c r="E713" s="39"/>
      <c r="F713" s="39"/>
    </row>
    <row r="714" spans="1:6">
      <c r="A714" s="39"/>
      <c r="B714" s="39"/>
      <c r="C714" s="40"/>
      <c r="D714" s="39"/>
      <c r="E714" s="39"/>
      <c r="F714" s="39"/>
    </row>
    <row r="715" spans="1:6">
      <c r="A715" s="39"/>
      <c r="B715" s="39"/>
      <c r="C715" s="40"/>
      <c r="D715" s="39"/>
      <c r="E715" s="39"/>
      <c r="F715" s="39"/>
    </row>
    <row r="716" spans="1:6">
      <c r="A716" s="39"/>
      <c r="B716" s="39"/>
      <c r="C716" s="40"/>
      <c r="D716" s="39"/>
      <c r="E716" s="39"/>
      <c r="F716" s="39"/>
    </row>
    <row r="717" spans="1:6">
      <c r="A717" s="39"/>
      <c r="B717" s="39"/>
      <c r="C717" s="40"/>
      <c r="D717" s="39"/>
      <c r="E717" s="39"/>
      <c r="F717" s="39"/>
    </row>
    <row r="718" spans="1:6">
      <c r="A718" s="39"/>
      <c r="B718" s="39"/>
      <c r="C718" s="40"/>
      <c r="D718" s="39"/>
      <c r="E718" s="39"/>
      <c r="F718" s="39"/>
    </row>
    <row r="719" spans="1:6">
      <c r="A719" s="39"/>
      <c r="B719" s="39"/>
      <c r="C719" s="40"/>
      <c r="D719" s="39"/>
      <c r="E719" s="39"/>
      <c r="F719" s="39"/>
    </row>
    <row r="720" spans="1:6">
      <c r="A720" s="39"/>
      <c r="B720" s="39"/>
      <c r="C720" s="40"/>
      <c r="D720" s="39"/>
      <c r="E720" s="39"/>
      <c r="F720" s="39"/>
    </row>
    <row r="721" spans="1:6">
      <c r="A721" s="39"/>
      <c r="B721" s="39"/>
      <c r="C721" s="40"/>
      <c r="D721" s="39"/>
      <c r="E721" s="39"/>
      <c r="F721" s="39"/>
    </row>
    <row r="722" spans="1:6">
      <c r="A722" s="39"/>
      <c r="B722" s="39"/>
      <c r="C722" s="40"/>
      <c r="D722" s="39"/>
      <c r="E722" s="39"/>
      <c r="F722" s="39"/>
    </row>
    <row r="723" spans="1:6">
      <c r="A723" s="39"/>
      <c r="B723" s="39"/>
      <c r="C723" s="40"/>
      <c r="D723" s="39"/>
      <c r="E723" s="39"/>
      <c r="F723" s="39"/>
    </row>
    <row r="724" spans="1:6">
      <c r="A724" s="39"/>
      <c r="B724" s="39"/>
      <c r="C724" s="40"/>
      <c r="D724" s="39"/>
      <c r="E724" s="39"/>
      <c r="F724" s="39"/>
    </row>
    <row r="725" spans="1:6">
      <c r="A725" s="39"/>
      <c r="B725" s="39"/>
      <c r="C725" s="40"/>
      <c r="D725" s="39"/>
      <c r="E725" s="39"/>
      <c r="F725" s="39"/>
    </row>
    <row r="726" spans="1:6">
      <c r="A726" s="39"/>
      <c r="B726" s="39"/>
      <c r="C726" s="40"/>
      <c r="D726" s="39"/>
      <c r="E726" s="39"/>
      <c r="F726" s="39"/>
    </row>
    <row r="727" spans="1:6">
      <c r="A727" s="39"/>
      <c r="B727" s="39"/>
      <c r="C727" s="40"/>
      <c r="D727" s="39"/>
      <c r="E727" s="39"/>
      <c r="F727" s="39"/>
    </row>
    <row r="728" spans="1:6">
      <c r="A728" s="39"/>
      <c r="B728" s="39"/>
      <c r="C728" s="40"/>
      <c r="D728" s="39"/>
      <c r="E728" s="39"/>
      <c r="F728" s="39"/>
    </row>
    <row r="729" spans="1:6">
      <c r="A729" s="39"/>
      <c r="B729" s="39"/>
      <c r="C729" s="40"/>
      <c r="D729" s="39"/>
      <c r="E729" s="39"/>
      <c r="F729" s="39"/>
    </row>
    <row r="730" spans="1:6">
      <c r="A730" s="39"/>
      <c r="B730" s="39"/>
      <c r="C730" s="40"/>
      <c r="D730" s="39"/>
      <c r="E730" s="39"/>
      <c r="F730" s="39"/>
    </row>
    <row r="731" spans="1:6">
      <c r="A731" s="39"/>
      <c r="B731" s="39"/>
      <c r="C731" s="40"/>
      <c r="D731" s="39"/>
      <c r="E731" s="39"/>
      <c r="F731" s="39"/>
    </row>
    <row r="732" spans="1:6">
      <c r="A732" s="39"/>
      <c r="B732" s="39"/>
      <c r="C732" s="40"/>
      <c r="D732" s="39"/>
      <c r="E732" s="39"/>
      <c r="F732" s="39"/>
    </row>
    <row r="733" spans="1:6">
      <c r="A733" s="39"/>
      <c r="B733" s="39"/>
      <c r="C733" s="40"/>
      <c r="D733" s="39"/>
      <c r="E733" s="39"/>
      <c r="F733" s="39"/>
    </row>
    <row r="734" spans="1:6">
      <c r="A734" s="39"/>
      <c r="B734" s="39"/>
      <c r="C734" s="40"/>
      <c r="D734" s="39"/>
      <c r="E734" s="39"/>
      <c r="F734" s="39"/>
    </row>
    <row r="735" spans="1:6">
      <c r="A735" s="39"/>
      <c r="B735" s="39"/>
      <c r="C735" s="40"/>
      <c r="D735" s="39"/>
      <c r="E735" s="39"/>
      <c r="F735" s="39"/>
    </row>
    <row r="736" spans="1:6">
      <c r="A736" s="39"/>
      <c r="B736" s="39"/>
      <c r="C736" s="40"/>
      <c r="D736" s="39"/>
      <c r="E736" s="39"/>
      <c r="F736" s="39"/>
    </row>
    <row r="737" spans="1:6">
      <c r="A737" s="39"/>
      <c r="B737" s="39"/>
      <c r="C737" s="40"/>
      <c r="D737" s="39"/>
      <c r="E737" s="39"/>
      <c r="F737" s="39"/>
    </row>
    <row r="738" spans="1:6">
      <c r="A738" s="39"/>
      <c r="B738" s="39"/>
      <c r="C738" s="40"/>
      <c r="D738" s="39"/>
      <c r="E738" s="39"/>
      <c r="F738" s="39"/>
    </row>
    <row r="739" spans="1:6">
      <c r="A739" s="39"/>
      <c r="B739" s="39"/>
      <c r="C739" s="40"/>
      <c r="D739" s="39"/>
      <c r="E739" s="39"/>
      <c r="F739" s="39"/>
    </row>
    <row r="740" spans="1:6">
      <c r="A740" s="39"/>
      <c r="B740" s="39"/>
      <c r="C740" s="40"/>
      <c r="D740" s="39"/>
      <c r="E740" s="39"/>
      <c r="F740" s="39"/>
    </row>
    <row r="741" spans="1:6">
      <c r="A741" s="39"/>
      <c r="B741" s="39"/>
      <c r="C741" s="40"/>
      <c r="D741" s="39"/>
      <c r="E741" s="39"/>
      <c r="F741" s="39"/>
    </row>
    <row r="742" spans="1:6">
      <c r="A742" s="39"/>
      <c r="B742" s="39"/>
      <c r="C742" s="40"/>
      <c r="D742" s="39"/>
      <c r="E742" s="39"/>
      <c r="F742" s="39"/>
    </row>
    <row r="743" spans="1:6">
      <c r="A743" s="39"/>
      <c r="B743" s="39"/>
      <c r="C743" s="40"/>
      <c r="D743" s="39"/>
      <c r="E743" s="39"/>
      <c r="F743" s="39"/>
    </row>
    <row r="744" spans="1:6">
      <c r="A744" s="39"/>
      <c r="B744" s="39"/>
      <c r="C744" s="40"/>
      <c r="D744" s="39"/>
      <c r="E744" s="39"/>
      <c r="F744" s="39"/>
    </row>
    <row r="745" spans="1:6">
      <c r="A745" s="39"/>
      <c r="B745" s="39"/>
      <c r="C745" s="40"/>
      <c r="D745" s="39"/>
      <c r="E745" s="39"/>
      <c r="F745" s="39"/>
    </row>
    <row r="746" spans="1:6">
      <c r="A746" s="39"/>
      <c r="B746" s="39"/>
      <c r="C746" s="40"/>
      <c r="D746" s="39"/>
      <c r="E746" s="39"/>
      <c r="F746" s="39"/>
    </row>
    <row r="747" spans="1:6">
      <c r="A747" s="39"/>
      <c r="B747" s="39"/>
      <c r="C747" s="40"/>
      <c r="D747" s="39"/>
      <c r="E747" s="39"/>
      <c r="F747" s="39"/>
    </row>
    <row r="748" spans="1:6">
      <c r="A748" s="39"/>
      <c r="B748" s="39"/>
      <c r="C748" s="40"/>
      <c r="D748" s="39"/>
      <c r="E748" s="39"/>
      <c r="F748" s="39"/>
    </row>
    <row r="749" spans="1:6">
      <c r="A749" s="39"/>
      <c r="B749" s="39"/>
      <c r="C749" s="40"/>
      <c r="D749" s="39"/>
      <c r="E749" s="39"/>
      <c r="F749" s="39"/>
    </row>
    <row r="750" spans="1:6">
      <c r="A750" s="39"/>
      <c r="B750" s="39"/>
      <c r="C750" s="40"/>
      <c r="D750" s="39"/>
      <c r="E750" s="39"/>
      <c r="F750" s="39"/>
    </row>
    <row r="751" spans="1:6">
      <c r="A751" s="39"/>
      <c r="B751" s="39"/>
      <c r="C751" s="40"/>
      <c r="D751" s="39"/>
      <c r="E751" s="39"/>
      <c r="F751" s="39"/>
    </row>
    <row r="752" spans="1:6">
      <c r="A752" s="39"/>
      <c r="B752" s="39"/>
      <c r="C752" s="40"/>
      <c r="D752" s="39"/>
      <c r="E752" s="39"/>
      <c r="F752" s="39"/>
    </row>
    <row r="753" spans="1:6">
      <c r="A753" s="39"/>
      <c r="B753" s="39"/>
      <c r="C753" s="40"/>
      <c r="D753" s="39"/>
      <c r="E753" s="39"/>
      <c r="F753" s="39"/>
    </row>
    <row r="754" spans="1:6">
      <c r="A754" s="39"/>
      <c r="B754" s="39"/>
      <c r="C754" s="40"/>
      <c r="D754" s="39"/>
      <c r="E754" s="39"/>
      <c r="F754" s="39"/>
    </row>
    <row r="755" spans="1:6">
      <c r="A755" s="39"/>
      <c r="B755" s="39"/>
      <c r="C755" s="40"/>
      <c r="D755" s="39"/>
      <c r="E755" s="39"/>
      <c r="F755" s="39"/>
    </row>
    <row r="756" spans="1:6">
      <c r="A756" s="39"/>
      <c r="B756" s="39"/>
      <c r="C756" s="40"/>
      <c r="D756" s="39"/>
      <c r="E756" s="39"/>
      <c r="F756" s="39"/>
    </row>
    <row r="757" spans="1:6">
      <c r="A757" s="39"/>
      <c r="B757" s="39"/>
      <c r="C757" s="40"/>
      <c r="D757" s="39"/>
      <c r="E757" s="39"/>
      <c r="F757" s="39"/>
    </row>
    <row r="758" spans="1:6">
      <c r="A758" s="39"/>
      <c r="B758" s="39"/>
      <c r="C758" s="40"/>
      <c r="D758" s="39"/>
      <c r="E758" s="39"/>
      <c r="F758" s="39"/>
    </row>
    <row r="759" spans="1:6">
      <c r="A759" s="39"/>
      <c r="B759" s="39"/>
      <c r="C759" s="40"/>
      <c r="D759" s="39"/>
      <c r="E759" s="39"/>
      <c r="F759" s="39"/>
    </row>
    <row r="760" spans="1:6">
      <c r="A760" s="39"/>
      <c r="B760" s="39"/>
      <c r="C760" s="40"/>
      <c r="D760" s="39"/>
      <c r="E760" s="39"/>
      <c r="F760" s="39"/>
    </row>
    <row r="761" spans="1:6">
      <c r="A761" s="39"/>
      <c r="B761" s="39"/>
      <c r="C761" s="40"/>
      <c r="D761" s="39"/>
      <c r="E761" s="39"/>
      <c r="F761" s="39"/>
    </row>
    <row r="762" spans="1:6">
      <c r="A762" s="39"/>
      <c r="B762" s="39"/>
      <c r="C762" s="40"/>
      <c r="D762" s="39"/>
      <c r="E762" s="39"/>
      <c r="F762" s="39"/>
    </row>
    <row r="763" spans="1:6">
      <c r="A763" s="39"/>
      <c r="B763" s="39"/>
      <c r="C763" s="40"/>
      <c r="D763" s="39"/>
      <c r="E763" s="39"/>
      <c r="F763" s="39"/>
    </row>
    <row r="764" spans="1:6">
      <c r="A764" s="39"/>
      <c r="B764" s="39"/>
      <c r="C764" s="40"/>
      <c r="D764" s="39"/>
      <c r="E764" s="39"/>
      <c r="F764" s="39"/>
    </row>
    <row r="765" spans="1:6">
      <c r="A765" s="39"/>
      <c r="B765" s="39"/>
      <c r="C765" s="40"/>
      <c r="D765" s="39"/>
      <c r="E765" s="39"/>
      <c r="F765" s="39"/>
    </row>
    <row r="766" spans="1:6">
      <c r="A766" s="39"/>
      <c r="B766" s="39"/>
      <c r="C766" s="40"/>
      <c r="D766" s="39"/>
      <c r="E766" s="39"/>
      <c r="F766" s="39"/>
    </row>
    <row r="767" spans="1:6">
      <c r="A767" s="39"/>
      <c r="B767" s="39"/>
      <c r="C767" s="40"/>
      <c r="D767" s="39"/>
      <c r="E767" s="39"/>
      <c r="F767" s="39"/>
    </row>
    <row r="768" spans="1:6">
      <c r="A768" s="39"/>
      <c r="B768" s="39"/>
      <c r="C768" s="40"/>
      <c r="D768" s="39"/>
      <c r="E768" s="39"/>
      <c r="F768" s="39"/>
    </row>
    <row r="769" spans="1:6">
      <c r="A769" s="39"/>
      <c r="B769" s="39"/>
      <c r="C769" s="40"/>
      <c r="D769" s="39"/>
      <c r="E769" s="39"/>
      <c r="F769" s="39"/>
    </row>
    <row r="770" spans="1:6">
      <c r="A770" s="39"/>
      <c r="B770" s="39"/>
      <c r="C770" s="40"/>
      <c r="D770" s="39"/>
      <c r="E770" s="39"/>
      <c r="F770" s="39"/>
    </row>
    <row r="771" spans="1:6">
      <c r="A771" s="39"/>
      <c r="B771" s="39"/>
      <c r="C771" s="40"/>
      <c r="D771" s="39"/>
      <c r="E771" s="39"/>
      <c r="F771" s="39"/>
    </row>
    <row r="772" spans="1:6">
      <c r="A772" s="39"/>
      <c r="B772" s="39"/>
      <c r="C772" s="40"/>
      <c r="D772" s="39"/>
      <c r="E772" s="39"/>
      <c r="F772" s="39"/>
    </row>
    <row r="773" spans="1:6">
      <c r="A773" s="39"/>
      <c r="B773" s="39"/>
      <c r="C773" s="40"/>
      <c r="D773" s="39"/>
      <c r="E773" s="39"/>
      <c r="F773" s="39"/>
    </row>
    <row r="774" spans="1:6">
      <c r="A774" s="39"/>
      <c r="B774" s="39"/>
      <c r="C774" s="40"/>
      <c r="D774" s="39"/>
      <c r="E774" s="39"/>
      <c r="F774" s="39"/>
    </row>
    <row r="775" spans="1:6">
      <c r="A775" s="39"/>
      <c r="B775" s="39"/>
      <c r="C775" s="40"/>
      <c r="D775" s="39"/>
      <c r="E775" s="39"/>
      <c r="F775" s="39"/>
    </row>
    <row r="776" spans="1:6">
      <c r="A776" s="39"/>
      <c r="B776" s="39"/>
      <c r="C776" s="40"/>
      <c r="D776" s="39"/>
      <c r="E776" s="39"/>
      <c r="F776" s="39"/>
    </row>
    <row r="777" spans="1:6">
      <c r="A777" s="39"/>
      <c r="B777" s="39"/>
      <c r="C777" s="40"/>
      <c r="D777" s="39"/>
      <c r="E777" s="39"/>
      <c r="F777" s="39"/>
    </row>
    <row r="778" spans="1:6">
      <c r="A778" s="39"/>
      <c r="B778" s="39"/>
      <c r="C778" s="40"/>
      <c r="D778" s="39"/>
      <c r="E778" s="39"/>
      <c r="F778" s="39"/>
    </row>
    <row r="779" spans="1:6">
      <c r="A779" s="39"/>
      <c r="B779" s="39"/>
      <c r="C779" s="40"/>
      <c r="D779" s="39"/>
      <c r="E779" s="39"/>
      <c r="F779" s="39"/>
    </row>
    <row r="780" spans="1:6">
      <c r="A780" s="39"/>
      <c r="B780" s="39"/>
      <c r="C780" s="40"/>
      <c r="D780" s="39"/>
      <c r="E780" s="39"/>
      <c r="F780" s="39"/>
    </row>
    <row r="781" spans="1:6">
      <c r="A781" s="39"/>
      <c r="B781" s="39"/>
      <c r="C781" s="40"/>
      <c r="D781" s="39"/>
      <c r="E781" s="39"/>
      <c r="F781" s="39"/>
    </row>
    <row r="782" spans="1:6">
      <c r="A782" s="39"/>
      <c r="B782" s="39"/>
      <c r="C782" s="40"/>
      <c r="D782" s="39"/>
      <c r="E782" s="39"/>
      <c r="F782" s="39"/>
    </row>
    <row r="783" spans="1:6">
      <c r="A783" s="39"/>
      <c r="B783" s="39"/>
      <c r="C783" s="40"/>
      <c r="D783" s="39"/>
      <c r="E783" s="39"/>
      <c r="F783" s="39"/>
    </row>
    <row r="784" spans="1:6">
      <c r="A784" s="39"/>
      <c r="B784" s="39"/>
      <c r="C784" s="40"/>
      <c r="D784" s="39"/>
      <c r="E784" s="39"/>
      <c r="F784" s="39"/>
    </row>
    <row r="785" spans="1:6">
      <c r="A785" s="39"/>
      <c r="B785" s="39"/>
      <c r="C785" s="40"/>
      <c r="D785" s="39"/>
      <c r="E785" s="39"/>
      <c r="F785" s="39"/>
    </row>
    <row r="786" spans="1:6">
      <c r="A786" s="39"/>
      <c r="B786" s="39"/>
      <c r="C786" s="40"/>
      <c r="D786" s="39"/>
      <c r="E786" s="39"/>
      <c r="F786" s="39"/>
    </row>
    <row r="787" spans="1:6">
      <c r="A787" s="39"/>
      <c r="B787" s="39"/>
      <c r="C787" s="40"/>
      <c r="D787" s="39"/>
      <c r="E787" s="39"/>
      <c r="F787" s="39"/>
    </row>
    <row r="788" spans="1:6">
      <c r="A788" s="39"/>
      <c r="B788" s="39"/>
      <c r="C788" s="40"/>
      <c r="D788" s="39"/>
      <c r="E788" s="39"/>
      <c r="F788" s="39"/>
    </row>
    <row r="789" spans="1:6">
      <c r="A789" s="39"/>
      <c r="B789" s="39"/>
      <c r="C789" s="40"/>
      <c r="D789" s="39"/>
      <c r="E789" s="39"/>
      <c r="F789" s="39"/>
    </row>
    <row r="790" spans="1:6">
      <c r="A790" s="39"/>
      <c r="B790" s="39"/>
      <c r="C790" s="40"/>
      <c r="D790" s="39"/>
      <c r="E790" s="39"/>
      <c r="F790" s="39"/>
    </row>
    <row r="791" spans="1:6">
      <c r="A791" s="39"/>
      <c r="B791" s="39"/>
      <c r="C791" s="40"/>
      <c r="D791" s="39"/>
      <c r="E791" s="39"/>
      <c r="F791" s="39"/>
    </row>
    <row r="792" spans="1:6">
      <c r="A792" s="39"/>
      <c r="B792" s="39"/>
      <c r="C792" s="40"/>
      <c r="D792" s="39"/>
      <c r="E792" s="39"/>
      <c r="F792" s="39"/>
    </row>
    <row r="793" spans="1:6">
      <c r="A793" s="39"/>
      <c r="B793" s="39"/>
      <c r="C793" s="40"/>
      <c r="D793" s="39"/>
      <c r="E793" s="39"/>
      <c r="F793" s="39"/>
    </row>
    <row r="794" spans="1:6">
      <c r="A794" s="39"/>
      <c r="B794" s="39"/>
      <c r="C794" s="40"/>
      <c r="D794" s="39"/>
      <c r="E794" s="39"/>
      <c r="F794" s="39"/>
    </row>
    <row r="795" spans="1:6">
      <c r="A795" s="39"/>
      <c r="B795" s="39"/>
      <c r="C795" s="40"/>
      <c r="D795" s="39"/>
      <c r="E795" s="39"/>
      <c r="F795" s="39"/>
    </row>
    <row r="796" spans="1:6">
      <c r="A796" s="39"/>
      <c r="B796" s="39"/>
      <c r="C796" s="40"/>
      <c r="D796" s="39"/>
      <c r="E796" s="39"/>
      <c r="F796" s="39"/>
    </row>
    <row r="797" spans="1:6">
      <c r="A797" s="39"/>
      <c r="B797" s="39"/>
      <c r="C797" s="40"/>
      <c r="D797" s="39"/>
      <c r="E797" s="39"/>
      <c r="F797" s="39"/>
    </row>
    <row r="798" spans="1:6">
      <c r="A798" s="39"/>
      <c r="B798" s="39"/>
      <c r="C798" s="40"/>
      <c r="D798" s="39"/>
      <c r="E798" s="39"/>
      <c r="F798" s="39"/>
    </row>
    <row r="799" spans="1:6">
      <c r="A799" s="39"/>
      <c r="B799" s="39"/>
      <c r="C799" s="40"/>
      <c r="D799" s="39"/>
      <c r="E799" s="39"/>
      <c r="F799" s="39"/>
    </row>
    <row r="800" spans="1:6">
      <c r="A800" s="39"/>
      <c r="B800" s="39"/>
      <c r="C800" s="40"/>
      <c r="D800" s="39"/>
      <c r="E800" s="39"/>
      <c r="F800" s="39"/>
    </row>
    <row r="801" spans="1:6">
      <c r="A801" s="39"/>
      <c r="B801" s="39"/>
      <c r="C801" s="40"/>
      <c r="D801" s="39"/>
      <c r="E801" s="39"/>
      <c r="F801" s="39"/>
    </row>
    <row r="802" spans="1:6">
      <c r="A802" s="39"/>
      <c r="B802" s="39"/>
      <c r="C802" s="40"/>
      <c r="D802" s="39"/>
      <c r="E802" s="39"/>
      <c r="F802" s="39"/>
    </row>
    <row r="803" spans="1:6">
      <c r="A803" s="39"/>
      <c r="B803" s="39"/>
      <c r="C803" s="40"/>
      <c r="D803" s="39"/>
      <c r="E803" s="39"/>
      <c r="F803" s="39"/>
    </row>
    <row r="804" spans="1:6">
      <c r="A804" s="39"/>
      <c r="B804" s="39"/>
      <c r="C804" s="40"/>
      <c r="D804" s="39"/>
      <c r="E804" s="39"/>
      <c r="F804" s="39"/>
    </row>
    <row r="805" spans="1:6">
      <c r="A805" s="39"/>
      <c r="B805" s="39"/>
      <c r="C805" s="40"/>
      <c r="D805" s="39"/>
      <c r="E805" s="39"/>
      <c r="F805" s="39"/>
    </row>
    <row r="806" spans="1:6">
      <c r="A806" s="39"/>
      <c r="B806" s="39"/>
      <c r="C806" s="40"/>
      <c r="D806" s="39"/>
      <c r="E806" s="39"/>
      <c r="F806" s="39"/>
    </row>
    <row r="807" spans="1:6">
      <c r="A807" s="39"/>
      <c r="B807" s="39"/>
      <c r="C807" s="40"/>
      <c r="D807" s="39"/>
      <c r="E807" s="39"/>
      <c r="F807" s="39"/>
    </row>
    <row r="808" spans="1:6">
      <c r="A808" s="39"/>
      <c r="B808" s="39"/>
      <c r="C808" s="40"/>
      <c r="D808" s="39"/>
      <c r="E808" s="39"/>
      <c r="F808" s="39"/>
    </row>
    <row r="809" spans="1:6">
      <c r="A809" s="39"/>
      <c r="B809" s="39"/>
      <c r="C809" s="40"/>
      <c r="D809" s="39"/>
      <c r="E809" s="39"/>
      <c r="F809" s="39"/>
    </row>
    <row r="810" spans="1:6">
      <c r="A810" s="39"/>
      <c r="B810" s="39"/>
      <c r="C810" s="40"/>
      <c r="D810" s="39"/>
      <c r="E810" s="39"/>
      <c r="F810" s="39"/>
    </row>
    <row r="811" spans="1:6">
      <c r="A811" s="39"/>
      <c r="B811" s="39"/>
      <c r="C811" s="40"/>
      <c r="D811" s="39"/>
      <c r="E811" s="39"/>
      <c r="F811" s="39"/>
    </row>
    <row r="812" spans="1:6">
      <c r="A812" s="39"/>
      <c r="B812" s="39"/>
      <c r="C812" s="40"/>
      <c r="D812" s="39"/>
      <c r="E812" s="39"/>
      <c r="F812" s="39"/>
    </row>
    <row r="813" spans="1:6">
      <c r="A813" s="39"/>
      <c r="B813" s="39"/>
      <c r="C813" s="40"/>
      <c r="D813" s="39"/>
      <c r="E813" s="39"/>
      <c r="F813" s="39"/>
    </row>
    <row r="814" spans="1:6">
      <c r="A814" s="39"/>
      <c r="B814" s="39"/>
      <c r="C814" s="40"/>
      <c r="D814" s="39"/>
      <c r="E814" s="39"/>
      <c r="F814" s="39"/>
    </row>
    <row r="815" spans="1:6">
      <c r="A815" s="39"/>
      <c r="B815" s="39"/>
      <c r="C815" s="40"/>
      <c r="D815" s="39"/>
      <c r="E815" s="39"/>
      <c r="F815" s="39"/>
    </row>
    <row r="816" spans="1:6">
      <c r="A816" s="39"/>
      <c r="B816" s="39"/>
      <c r="C816" s="40"/>
      <c r="D816" s="39"/>
      <c r="E816" s="39"/>
      <c r="F816" s="39"/>
    </row>
    <row r="817" spans="1:6">
      <c r="A817" s="39"/>
      <c r="B817" s="39"/>
      <c r="C817" s="40"/>
      <c r="D817" s="39"/>
      <c r="E817" s="39"/>
      <c r="F817" s="39"/>
    </row>
    <row r="818" spans="1:6">
      <c r="A818" s="39"/>
      <c r="B818" s="39"/>
      <c r="C818" s="40"/>
      <c r="D818" s="39"/>
      <c r="E818" s="39"/>
      <c r="F818" s="39"/>
    </row>
    <row r="819" spans="1:6">
      <c r="A819" s="39"/>
      <c r="B819" s="39"/>
      <c r="C819" s="40"/>
      <c r="D819" s="39"/>
      <c r="E819" s="39"/>
      <c r="F819" s="39"/>
    </row>
    <row r="820" spans="1:6">
      <c r="A820" s="39"/>
      <c r="B820" s="39"/>
      <c r="C820" s="40"/>
      <c r="D820" s="39"/>
      <c r="E820" s="39"/>
      <c r="F820" s="39"/>
    </row>
    <row r="821" spans="1:6">
      <c r="A821" s="39"/>
      <c r="B821" s="39"/>
      <c r="C821" s="40"/>
      <c r="D821" s="39"/>
      <c r="E821" s="39"/>
      <c r="F821" s="39"/>
    </row>
    <row r="822" spans="1:6">
      <c r="A822" s="39"/>
      <c r="B822" s="39"/>
      <c r="C822" s="40"/>
      <c r="D822" s="39"/>
      <c r="E822" s="39"/>
      <c r="F822" s="39"/>
    </row>
    <row r="823" spans="1:6">
      <c r="A823" s="39"/>
      <c r="B823" s="39"/>
      <c r="C823" s="40"/>
      <c r="D823" s="39"/>
      <c r="E823" s="39"/>
      <c r="F823" s="39"/>
    </row>
    <row r="824" spans="1:6">
      <c r="A824" s="39"/>
      <c r="B824" s="39"/>
      <c r="C824" s="40"/>
      <c r="D824" s="39"/>
      <c r="E824" s="39"/>
      <c r="F824" s="39"/>
    </row>
    <row r="825" spans="1:6">
      <c r="A825" s="39"/>
      <c r="B825" s="39"/>
      <c r="C825" s="40"/>
      <c r="D825" s="39"/>
      <c r="E825" s="39"/>
      <c r="F825" s="39"/>
    </row>
    <row r="826" spans="1:6">
      <c r="A826" s="39"/>
      <c r="B826" s="39"/>
      <c r="C826" s="40"/>
      <c r="D826" s="39"/>
      <c r="E826" s="39"/>
      <c r="F826" s="39"/>
    </row>
    <row r="827" spans="1:6">
      <c r="A827" s="39"/>
      <c r="B827" s="39"/>
      <c r="C827" s="40"/>
      <c r="D827" s="39"/>
      <c r="E827" s="39"/>
      <c r="F827" s="39"/>
    </row>
    <row r="828" spans="1:6">
      <c r="A828" s="39"/>
      <c r="B828" s="39"/>
      <c r="C828" s="40"/>
      <c r="D828" s="39"/>
      <c r="E828" s="39"/>
      <c r="F828" s="39"/>
    </row>
    <row r="829" spans="1:6">
      <c r="A829" s="39"/>
      <c r="B829" s="39"/>
      <c r="C829" s="40"/>
      <c r="D829" s="39"/>
      <c r="E829" s="39"/>
      <c r="F829" s="39"/>
    </row>
    <row r="830" spans="1:6">
      <c r="A830" s="39"/>
      <c r="B830" s="39"/>
      <c r="C830" s="40"/>
      <c r="D830" s="39"/>
      <c r="E830" s="39"/>
      <c r="F830" s="39"/>
    </row>
    <row r="831" spans="1:6">
      <c r="A831" s="39"/>
      <c r="B831" s="39"/>
      <c r="C831" s="40"/>
      <c r="D831" s="39"/>
      <c r="E831" s="39"/>
      <c r="F831" s="39"/>
    </row>
    <row r="832" spans="1:6">
      <c r="A832" s="39"/>
      <c r="B832" s="39"/>
      <c r="C832" s="40"/>
      <c r="D832" s="39"/>
      <c r="E832" s="39"/>
      <c r="F832" s="39"/>
    </row>
    <row r="833" spans="1:6">
      <c r="A833" s="39"/>
      <c r="B833" s="39"/>
      <c r="C833" s="40"/>
      <c r="D833" s="39"/>
      <c r="E833" s="39"/>
      <c r="F833" s="39"/>
    </row>
    <row r="834" spans="1:6">
      <c r="A834" s="39"/>
      <c r="B834" s="39"/>
      <c r="C834" s="40"/>
      <c r="D834" s="39"/>
      <c r="E834" s="39"/>
      <c r="F834" s="39"/>
    </row>
    <row r="835" spans="1:6">
      <c r="A835" s="39"/>
      <c r="B835" s="39"/>
      <c r="C835" s="40"/>
      <c r="D835" s="39"/>
      <c r="E835" s="39"/>
      <c r="F835" s="39"/>
    </row>
    <row r="836" spans="1:6">
      <c r="A836" s="39"/>
      <c r="B836" s="39"/>
      <c r="C836" s="40"/>
      <c r="D836" s="39"/>
      <c r="E836" s="39"/>
      <c r="F836" s="39"/>
    </row>
    <row r="837" spans="1:6">
      <c r="A837" s="39"/>
      <c r="B837" s="39"/>
      <c r="C837" s="40"/>
      <c r="D837" s="39"/>
      <c r="E837" s="39"/>
      <c r="F837" s="39"/>
    </row>
    <row r="838" spans="1:6">
      <c r="A838" s="39"/>
      <c r="B838" s="39"/>
      <c r="C838" s="40"/>
      <c r="D838" s="39"/>
      <c r="E838" s="39"/>
      <c r="F838" s="39"/>
    </row>
    <row r="839" spans="1:6">
      <c r="A839" s="39"/>
      <c r="B839" s="39"/>
      <c r="C839" s="40"/>
      <c r="D839" s="39"/>
      <c r="E839" s="39"/>
      <c r="F839" s="39"/>
    </row>
    <row r="840" spans="1:6">
      <c r="A840" s="39"/>
      <c r="B840" s="39"/>
      <c r="C840" s="40"/>
      <c r="D840" s="39"/>
      <c r="E840" s="39"/>
      <c r="F840" s="39"/>
    </row>
    <row r="841" spans="1:6">
      <c r="A841" s="39"/>
      <c r="B841" s="39"/>
      <c r="C841" s="40"/>
      <c r="D841" s="39"/>
      <c r="E841" s="39"/>
      <c r="F841" s="39"/>
    </row>
    <row r="842" spans="1:6">
      <c r="A842" s="39"/>
      <c r="B842" s="39"/>
      <c r="C842" s="40"/>
      <c r="D842" s="39"/>
      <c r="E842" s="39"/>
      <c r="F842" s="39"/>
    </row>
    <row r="843" spans="1:6">
      <c r="A843" s="39"/>
      <c r="B843" s="39"/>
      <c r="C843" s="40"/>
      <c r="D843" s="39"/>
      <c r="E843" s="39"/>
      <c r="F843" s="39"/>
    </row>
    <row r="844" spans="1:6">
      <c r="A844" s="39"/>
      <c r="B844" s="39"/>
      <c r="C844" s="40"/>
      <c r="D844" s="39"/>
      <c r="E844" s="39"/>
      <c r="F844" s="39"/>
    </row>
    <row r="845" spans="1:6">
      <c r="A845" s="39"/>
      <c r="B845" s="39"/>
      <c r="C845" s="40"/>
      <c r="D845" s="39"/>
      <c r="E845" s="39"/>
      <c r="F845" s="39"/>
    </row>
    <row r="846" spans="1:6">
      <c r="A846" s="39"/>
      <c r="B846" s="39"/>
      <c r="C846" s="40"/>
      <c r="D846" s="39"/>
      <c r="E846" s="39"/>
      <c r="F846" s="39"/>
    </row>
    <row r="847" spans="1:6">
      <c r="A847" s="39"/>
      <c r="B847" s="39"/>
      <c r="C847" s="40"/>
      <c r="D847" s="39"/>
      <c r="E847" s="39"/>
      <c r="F847" s="39"/>
    </row>
    <row r="848" spans="1:6">
      <c r="A848" s="39"/>
      <c r="B848" s="39"/>
      <c r="C848" s="40"/>
      <c r="D848" s="39"/>
      <c r="E848" s="39"/>
      <c r="F848" s="39"/>
    </row>
    <row r="849" spans="1:6">
      <c r="A849" s="39"/>
      <c r="B849" s="39"/>
      <c r="C849" s="40"/>
      <c r="D849" s="39"/>
      <c r="E849" s="39"/>
      <c r="F849" s="39"/>
    </row>
    <row r="850" spans="1:6">
      <c r="A850" s="39"/>
      <c r="B850" s="39"/>
      <c r="C850" s="40"/>
      <c r="D850" s="39"/>
      <c r="E850" s="39"/>
      <c r="F850" s="39"/>
    </row>
    <row r="851" spans="1:6">
      <c r="A851" s="39"/>
      <c r="B851" s="39"/>
      <c r="C851" s="40"/>
      <c r="D851" s="39"/>
      <c r="E851" s="39"/>
      <c r="F851" s="39"/>
    </row>
    <row r="852" spans="1:6">
      <c r="A852" s="39"/>
      <c r="B852" s="39"/>
      <c r="C852" s="40"/>
      <c r="D852" s="39"/>
      <c r="E852" s="39"/>
      <c r="F852" s="39"/>
    </row>
    <row r="853" spans="1:6">
      <c r="A853" s="39"/>
      <c r="B853" s="39"/>
      <c r="C853" s="40"/>
      <c r="D853" s="39"/>
      <c r="E853" s="39"/>
      <c r="F853" s="39"/>
    </row>
    <row r="854" spans="1:6">
      <c r="A854" s="39"/>
      <c r="B854" s="39"/>
      <c r="C854" s="40"/>
      <c r="D854" s="39"/>
      <c r="E854" s="39"/>
      <c r="F854" s="39"/>
    </row>
    <row r="855" spans="1:6">
      <c r="A855" s="39"/>
      <c r="B855" s="39"/>
      <c r="C855" s="40"/>
      <c r="D855" s="39"/>
      <c r="E855" s="39"/>
      <c r="F855" s="39"/>
    </row>
    <row r="856" spans="1:6">
      <c r="A856" s="39"/>
      <c r="B856" s="39"/>
      <c r="C856" s="40"/>
      <c r="D856" s="39"/>
      <c r="E856" s="39"/>
      <c r="F856" s="39"/>
    </row>
    <row r="857" spans="1:6">
      <c r="A857" s="39"/>
      <c r="B857" s="39"/>
      <c r="C857" s="40"/>
      <c r="D857" s="39"/>
      <c r="E857" s="39"/>
      <c r="F857" s="39"/>
    </row>
    <row r="858" spans="1:6">
      <c r="A858" s="39"/>
      <c r="B858" s="39"/>
      <c r="C858" s="40"/>
      <c r="D858" s="39"/>
      <c r="E858" s="39"/>
      <c r="F858" s="39"/>
    </row>
    <row r="859" spans="1:6">
      <c r="A859" s="39"/>
      <c r="B859" s="39"/>
      <c r="C859" s="40"/>
      <c r="D859" s="39"/>
      <c r="E859" s="39"/>
      <c r="F859" s="39"/>
    </row>
    <row r="860" spans="1:6">
      <c r="A860" s="39"/>
      <c r="B860" s="39"/>
      <c r="C860" s="40"/>
      <c r="D860" s="39"/>
      <c r="E860" s="39"/>
      <c r="F860" s="39"/>
    </row>
    <row r="861" spans="1:6">
      <c r="A861" s="39"/>
      <c r="B861" s="39"/>
      <c r="C861" s="40"/>
      <c r="D861" s="39"/>
      <c r="E861" s="39"/>
      <c r="F861" s="39"/>
    </row>
    <row r="862" spans="1:6">
      <c r="A862" s="39"/>
      <c r="B862" s="39"/>
      <c r="C862" s="40"/>
      <c r="D862" s="39"/>
      <c r="E862" s="39"/>
      <c r="F862" s="39"/>
    </row>
    <row r="863" spans="1:6">
      <c r="A863" s="39"/>
      <c r="B863" s="39"/>
      <c r="C863" s="40"/>
      <c r="D863" s="39"/>
      <c r="E863" s="39"/>
      <c r="F863" s="39"/>
    </row>
    <row r="864" spans="1:6">
      <c r="A864" s="39"/>
      <c r="B864" s="39"/>
      <c r="C864" s="40"/>
      <c r="D864" s="39"/>
      <c r="E864" s="39"/>
      <c r="F864" s="39"/>
    </row>
    <row r="865" spans="1:6">
      <c r="A865" s="39"/>
      <c r="B865" s="39"/>
      <c r="C865" s="40"/>
      <c r="D865" s="39"/>
      <c r="E865" s="39"/>
      <c r="F865" s="39"/>
    </row>
    <row r="866" spans="1:6">
      <c r="A866" s="39"/>
      <c r="B866" s="39"/>
      <c r="C866" s="40"/>
      <c r="D866" s="39"/>
      <c r="E866" s="39"/>
      <c r="F866" s="39"/>
    </row>
    <row r="867" spans="1:6">
      <c r="A867" s="39"/>
      <c r="B867" s="39"/>
      <c r="C867" s="40"/>
      <c r="D867" s="39"/>
      <c r="E867" s="39"/>
      <c r="F867" s="39"/>
    </row>
    <row r="868" spans="1:6">
      <c r="A868" s="39"/>
      <c r="B868" s="39"/>
      <c r="C868" s="40"/>
      <c r="D868" s="39"/>
      <c r="E868" s="39"/>
      <c r="F868" s="39"/>
    </row>
    <row r="869" spans="1:6">
      <c r="A869" s="39"/>
      <c r="B869" s="39"/>
      <c r="C869" s="40"/>
      <c r="D869" s="39"/>
      <c r="E869" s="39"/>
      <c r="F869" s="39"/>
    </row>
    <row r="870" spans="1:6">
      <c r="A870" s="39"/>
      <c r="B870" s="39"/>
      <c r="C870" s="40"/>
      <c r="D870" s="39"/>
      <c r="E870" s="39"/>
      <c r="F870" s="39"/>
    </row>
    <row r="871" spans="1:6">
      <c r="A871" s="39"/>
      <c r="B871" s="39"/>
      <c r="C871" s="40"/>
      <c r="D871" s="39"/>
      <c r="E871" s="39"/>
      <c r="F871" s="39"/>
    </row>
    <row r="872" spans="1:6">
      <c r="A872" s="39"/>
      <c r="B872" s="39"/>
      <c r="C872" s="40"/>
      <c r="D872" s="39"/>
      <c r="E872" s="39"/>
      <c r="F872" s="39"/>
    </row>
    <row r="873" spans="1:6">
      <c r="A873" s="39"/>
      <c r="B873" s="39"/>
      <c r="C873" s="40"/>
      <c r="D873" s="39"/>
      <c r="E873" s="39"/>
      <c r="F873" s="39"/>
    </row>
    <row r="874" spans="1:6">
      <c r="A874" s="39"/>
      <c r="B874" s="39"/>
      <c r="C874" s="40"/>
      <c r="D874" s="39"/>
      <c r="E874" s="39"/>
      <c r="F874" s="39"/>
    </row>
    <row r="875" spans="1:6">
      <c r="A875" s="39"/>
      <c r="B875" s="39"/>
      <c r="C875" s="40"/>
      <c r="D875" s="39"/>
      <c r="E875" s="39"/>
      <c r="F875" s="39"/>
    </row>
    <row r="876" spans="1:6">
      <c r="A876" s="39"/>
      <c r="B876" s="39"/>
      <c r="C876" s="40"/>
      <c r="D876" s="39"/>
      <c r="E876" s="39"/>
      <c r="F876" s="39"/>
    </row>
    <row r="877" spans="1:6">
      <c r="A877" s="39"/>
      <c r="B877" s="39"/>
      <c r="C877" s="40"/>
      <c r="D877" s="39"/>
      <c r="E877" s="39"/>
      <c r="F877" s="39"/>
    </row>
    <row r="878" spans="1:6">
      <c r="A878" s="39"/>
      <c r="B878" s="39"/>
      <c r="C878" s="40"/>
      <c r="D878" s="39"/>
      <c r="E878" s="39"/>
      <c r="F878" s="39"/>
    </row>
    <row r="879" spans="1:6">
      <c r="A879" s="39"/>
      <c r="B879" s="39"/>
      <c r="C879" s="40"/>
      <c r="D879" s="39"/>
      <c r="E879" s="39"/>
      <c r="F879" s="39"/>
    </row>
    <row r="880" spans="1:6">
      <c r="A880" s="39"/>
      <c r="B880" s="39"/>
      <c r="C880" s="40"/>
      <c r="D880" s="39"/>
      <c r="E880" s="39"/>
      <c r="F880" s="39"/>
    </row>
    <row r="881" spans="1:6">
      <c r="A881" s="39"/>
      <c r="B881" s="39"/>
      <c r="C881" s="40"/>
      <c r="D881" s="39"/>
      <c r="E881" s="39"/>
      <c r="F881" s="39"/>
    </row>
    <row r="882" spans="1:6">
      <c r="A882" s="39"/>
      <c r="B882" s="39"/>
      <c r="C882" s="40"/>
      <c r="D882" s="39"/>
      <c r="E882" s="39"/>
      <c r="F882" s="39"/>
    </row>
    <row r="883" spans="1:6">
      <c r="A883" s="39"/>
      <c r="B883" s="39"/>
      <c r="C883" s="40"/>
      <c r="D883" s="39"/>
      <c r="E883" s="39"/>
      <c r="F883" s="39"/>
    </row>
    <row r="884" spans="1:6">
      <c r="A884" s="39"/>
      <c r="B884" s="39"/>
      <c r="C884" s="40"/>
      <c r="D884" s="39"/>
      <c r="E884" s="39"/>
      <c r="F884" s="39"/>
    </row>
    <row r="885" spans="1:6">
      <c r="A885" s="39"/>
      <c r="B885" s="39"/>
      <c r="C885" s="40"/>
      <c r="D885" s="39"/>
      <c r="E885" s="39"/>
      <c r="F885" s="39"/>
    </row>
    <row r="886" spans="1:6">
      <c r="A886" s="39"/>
      <c r="B886" s="39"/>
      <c r="C886" s="40"/>
      <c r="D886" s="39"/>
      <c r="E886" s="39"/>
      <c r="F886" s="39"/>
    </row>
    <row r="887" spans="1:6">
      <c r="A887" s="39"/>
      <c r="B887" s="39"/>
      <c r="C887" s="40"/>
      <c r="D887" s="39"/>
      <c r="E887" s="39"/>
      <c r="F887" s="39"/>
    </row>
    <row r="888" spans="1:6">
      <c r="A888" s="39"/>
      <c r="B888" s="39"/>
      <c r="C888" s="40"/>
      <c r="D888" s="39"/>
      <c r="E888" s="39"/>
      <c r="F888" s="39"/>
    </row>
    <row r="889" spans="1:6">
      <c r="A889" s="39"/>
      <c r="B889" s="39"/>
      <c r="C889" s="40"/>
      <c r="D889" s="39"/>
      <c r="E889" s="39"/>
      <c r="F889" s="39"/>
    </row>
    <row r="890" spans="1:6">
      <c r="A890" s="39"/>
      <c r="B890" s="39"/>
      <c r="C890" s="40"/>
      <c r="D890" s="39"/>
      <c r="E890" s="39"/>
      <c r="F890" s="39"/>
    </row>
    <row r="891" spans="1:6">
      <c r="A891" s="39"/>
      <c r="B891" s="39"/>
      <c r="C891" s="40"/>
      <c r="D891" s="39"/>
      <c r="E891" s="39"/>
      <c r="F891" s="39"/>
    </row>
    <row r="892" spans="1:6">
      <c r="A892" s="39"/>
      <c r="B892" s="39"/>
      <c r="C892" s="40"/>
      <c r="D892" s="39"/>
      <c r="E892" s="39"/>
      <c r="F892" s="39"/>
    </row>
    <row r="893" spans="1:6">
      <c r="A893" s="39"/>
      <c r="B893" s="39"/>
      <c r="C893" s="40"/>
      <c r="D893" s="39"/>
      <c r="E893" s="39"/>
      <c r="F893" s="39"/>
    </row>
    <row r="894" spans="1:6">
      <c r="A894" s="39"/>
      <c r="B894" s="39"/>
      <c r="C894" s="40"/>
      <c r="D894" s="39"/>
      <c r="E894" s="39"/>
      <c r="F894" s="39"/>
    </row>
    <row r="895" spans="1:6">
      <c r="A895" s="39"/>
      <c r="B895" s="39"/>
      <c r="C895" s="40"/>
      <c r="D895" s="39"/>
      <c r="E895" s="39"/>
      <c r="F895" s="39"/>
    </row>
    <row r="896" spans="1:6">
      <c r="A896" s="39"/>
      <c r="B896" s="39"/>
      <c r="C896" s="40"/>
      <c r="D896" s="39"/>
      <c r="E896" s="39"/>
      <c r="F896" s="39"/>
    </row>
    <row r="897" spans="1:6">
      <c r="A897" s="39"/>
      <c r="B897" s="39"/>
      <c r="C897" s="40"/>
      <c r="D897" s="39"/>
      <c r="E897" s="39"/>
      <c r="F897" s="39"/>
    </row>
    <row r="898" spans="1:6">
      <c r="A898" s="39"/>
      <c r="B898" s="39"/>
      <c r="C898" s="40"/>
      <c r="D898" s="39"/>
      <c r="E898" s="39"/>
      <c r="F898" s="39"/>
    </row>
    <row r="899" spans="1:6">
      <c r="A899" s="39"/>
      <c r="B899" s="39"/>
      <c r="C899" s="40"/>
      <c r="D899" s="39"/>
      <c r="E899" s="39"/>
      <c r="F899" s="39"/>
    </row>
    <row r="900" spans="1:6">
      <c r="A900" s="39"/>
      <c r="B900" s="39"/>
      <c r="C900" s="40"/>
      <c r="D900" s="39"/>
      <c r="E900" s="39"/>
      <c r="F900" s="39"/>
    </row>
    <row r="901" spans="1:6">
      <c r="A901" s="39"/>
      <c r="B901" s="39"/>
      <c r="C901" s="40"/>
      <c r="D901" s="39"/>
      <c r="E901" s="39"/>
      <c r="F901" s="39"/>
    </row>
    <row r="902" spans="1:6">
      <c r="A902" s="39"/>
      <c r="B902" s="39"/>
      <c r="C902" s="40"/>
      <c r="D902" s="39"/>
      <c r="E902" s="39"/>
      <c r="F902" s="39"/>
    </row>
    <row r="903" spans="1:6">
      <c r="A903" s="39"/>
      <c r="B903" s="39"/>
      <c r="C903" s="40"/>
      <c r="D903" s="39"/>
      <c r="E903" s="39"/>
      <c r="F903" s="39"/>
    </row>
    <row r="904" spans="1:6">
      <c r="A904" s="39"/>
      <c r="B904" s="39"/>
      <c r="C904" s="40"/>
      <c r="D904" s="39"/>
      <c r="E904" s="39"/>
      <c r="F904" s="39"/>
    </row>
    <row r="905" spans="1:6">
      <c r="A905" s="39"/>
      <c r="B905" s="39"/>
      <c r="C905" s="40"/>
      <c r="D905" s="39"/>
      <c r="E905" s="39"/>
      <c r="F905" s="39"/>
    </row>
    <row r="906" spans="1:6">
      <c r="A906" s="39"/>
      <c r="B906" s="39"/>
      <c r="C906" s="40"/>
      <c r="D906" s="39"/>
      <c r="E906" s="39"/>
      <c r="F906" s="39"/>
    </row>
    <row r="907" spans="1:6">
      <c r="A907" s="39"/>
      <c r="B907" s="39"/>
      <c r="C907" s="40"/>
      <c r="D907" s="39"/>
      <c r="E907" s="39"/>
      <c r="F907" s="39"/>
    </row>
    <row r="908" spans="1:6">
      <c r="A908" s="39"/>
      <c r="B908" s="39"/>
      <c r="C908" s="40"/>
      <c r="D908" s="39"/>
      <c r="E908" s="39"/>
      <c r="F908" s="39"/>
    </row>
    <row r="909" spans="1:6">
      <c r="A909" s="39"/>
      <c r="B909" s="39"/>
      <c r="C909" s="40"/>
      <c r="D909" s="39"/>
      <c r="E909" s="39"/>
      <c r="F909" s="39"/>
    </row>
    <row r="910" spans="1:6">
      <c r="A910" s="39"/>
      <c r="B910" s="39"/>
      <c r="C910" s="40"/>
      <c r="D910" s="39"/>
      <c r="E910" s="39"/>
      <c r="F910" s="39"/>
    </row>
    <row r="911" spans="1:6">
      <c r="A911" s="39"/>
      <c r="B911" s="39"/>
      <c r="C911" s="40"/>
      <c r="D911" s="39"/>
      <c r="E911" s="39"/>
      <c r="F911" s="39"/>
    </row>
    <row r="912" spans="1:6">
      <c r="A912" s="39"/>
      <c r="B912" s="39"/>
      <c r="C912" s="40"/>
      <c r="D912" s="39"/>
      <c r="E912" s="39"/>
      <c r="F912" s="39"/>
    </row>
    <row r="913" spans="1:6">
      <c r="A913" s="39"/>
      <c r="B913" s="39"/>
      <c r="C913" s="40"/>
      <c r="D913" s="39"/>
      <c r="E913" s="39"/>
      <c r="F913" s="39"/>
    </row>
    <row r="914" spans="1:6">
      <c r="A914" s="39"/>
      <c r="B914" s="39"/>
      <c r="C914" s="40"/>
      <c r="D914" s="39"/>
      <c r="E914" s="39"/>
      <c r="F914" s="39"/>
    </row>
    <row r="915" spans="1:6">
      <c r="A915" s="39"/>
      <c r="B915" s="39"/>
      <c r="C915" s="40"/>
      <c r="D915" s="39"/>
      <c r="E915" s="39"/>
      <c r="F915" s="39"/>
    </row>
    <row r="916" spans="1:6">
      <c r="A916" s="39"/>
      <c r="B916" s="39"/>
      <c r="C916" s="40"/>
      <c r="D916" s="39"/>
      <c r="E916" s="39"/>
      <c r="F916" s="39"/>
    </row>
    <row r="917" spans="1:6">
      <c r="A917" s="39"/>
      <c r="B917" s="39"/>
      <c r="C917" s="40"/>
      <c r="D917" s="39"/>
      <c r="E917" s="39"/>
      <c r="F917" s="39"/>
    </row>
    <row r="918" spans="1:6">
      <c r="A918" s="39"/>
      <c r="B918" s="39"/>
      <c r="C918" s="40"/>
      <c r="D918" s="39"/>
      <c r="E918" s="39"/>
      <c r="F918" s="39"/>
    </row>
    <row r="919" spans="1:6">
      <c r="A919" s="39"/>
      <c r="B919" s="39"/>
      <c r="C919" s="40"/>
      <c r="D919" s="39"/>
      <c r="E919" s="39"/>
      <c r="F919" s="39"/>
    </row>
    <row r="920" spans="1:6">
      <c r="A920" s="39"/>
      <c r="B920" s="39"/>
      <c r="C920" s="40"/>
      <c r="D920" s="39"/>
      <c r="E920" s="39"/>
      <c r="F920" s="39"/>
    </row>
    <row r="921" spans="1:6">
      <c r="A921" s="39"/>
      <c r="B921" s="39"/>
      <c r="C921" s="40"/>
      <c r="D921" s="39"/>
      <c r="E921" s="39"/>
      <c r="F921" s="39"/>
    </row>
    <row r="922" spans="1:6">
      <c r="A922" s="39"/>
      <c r="B922" s="39"/>
      <c r="C922" s="40"/>
      <c r="D922" s="39"/>
      <c r="E922" s="39"/>
      <c r="F922" s="39"/>
    </row>
    <row r="923" spans="1:6">
      <c r="A923" s="39"/>
      <c r="B923" s="39"/>
      <c r="C923" s="40"/>
      <c r="D923" s="39"/>
      <c r="E923" s="39"/>
      <c r="F923" s="39"/>
    </row>
    <row r="924" spans="1:6">
      <c r="A924" s="39"/>
      <c r="B924" s="39"/>
      <c r="C924" s="40"/>
      <c r="D924" s="39"/>
      <c r="E924" s="39"/>
      <c r="F924" s="39"/>
    </row>
    <row r="925" spans="1:6">
      <c r="A925" s="39"/>
      <c r="B925" s="39"/>
      <c r="C925" s="40"/>
      <c r="D925" s="39"/>
      <c r="E925" s="39"/>
      <c r="F925" s="39"/>
    </row>
    <row r="926" spans="1:6">
      <c r="A926" s="39"/>
      <c r="B926" s="39"/>
      <c r="C926" s="40"/>
      <c r="D926" s="39"/>
      <c r="E926" s="39"/>
      <c r="F926" s="39"/>
    </row>
    <row r="927" spans="1:6">
      <c r="A927" s="39"/>
      <c r="B927" s="39"/>
      <c r="C927" s="40"/>
      <c r="D927" s="39"/>
      <c r="E927" s="39"/>
      <c r="F927" s="39"/>
    </row>
    <row r="928" spans="1:6">
      <c r="A928" s="39"/>
      <c r="B928" s="39"/>
      <c r="C928" s="40"/>
      <c r="D928" s="39"/>
      <c r="E928" s="39"/>
      <c r="F928" s="39"/>
    </row>
    <row r="929" spans="1:6">
      <c r="A929" s="39"/>
      <c r="B929" s="39"/>
      <c r="C929" s="40"/>
      <c r="D929" s="39"/>
      <c r="E929" s="39"/>
      <c r="F929" s="39"/>
    </row>
    <row r="930" spans="1:6">
      <c r="A930" s="39"/>
      <c r="B930" s="39"/>
      <c r="C930" s="40"/>
      <c r="D930" s="39"/>
      <c r="E930" s="39"/>
      <c r="F930" s="39"/>
    </row>
    <row r="931" spans="1:6">
      <c r="A931" s="39"/>
      <c r="B931" s="39"/>
      <c r="C931" s="40"/>
      <c r="D931" s="39"/>
      <c r="E931" s="39"/>
      <c r="F931" s="39"/>
    </row>
    <row r="932" spans="1:6">
      <c r="A932" s="39"/>
      <c r="B932" s="39"/>
      <c r="C932" s="40"/>
      <c r="D932" s="39"/>
      <c r="E932" s="39"/>
      <c r="F932" s="39"/>
    </row>
    <row r="933" spans="1:6">
      <c r="A933" s="39"/>
      <c r="B933" s="39"/>
      <c r="C933" s="40"/>
      <c r="D933" s="39"/>
      <c r="E933" s="39"/>
      <c r="F933" s="39"/>
    </row>
    <row r="934" spans="1:6">
      <c r="A934" s="39"/>
      <c r="B934" s="39"/>
      <c r="C934" s="40"/>
      <c r="D934" s="39"/>
      <c r="E934" s="39"/>
      <c r="F934" s="39"/>
    </row>
    <row r="935" spans="1:6">
      <c r="A935" s="39"/>
      <c r="B935" s="39"/>
      <c r="C935" s="40"/>
      <c r="D935" s="39"/>
      <c r="E935" s="39"/>
      <c r="F935" s="39"/>
    </row>
    <row r="936" spans="1:6">
      <c r="A936" s="39"/>
      <c r="B936" s="39"/>
      <c r="C936" s="40"/>
      <c r="D936" s="39"/>
      <c r="E936" s="39"/>
      <c r="F936" s="39"/>
    </row>
    <row r="937" spans="1:6">
      <c r="A937" s="39"/>
      <c r="B937" s="39"/>
      <c r="C937" s="40"/>
      <c r="D937" s="39"/>
      <c r="E937" s="39"/>
      <c r="F937" s="39"/>
    </row>
    <row r="938" spans="1:6">
      <c r="A938" s="39"/>
      <c r="B938" s="39"/>
      <c r="C938" s="40"/>
      <c r="D938" s="39"/>
      <c r="E938" s="39"/>
      <c r="F938" s="39"/>
    </row>
    <row r="939" spans="1:6">
      <c r="A939" s="39"/>
      <c r="B939" s="39"/>
      <c r="C939" s="40"/>
      <c r="D939" s="39"/>
      <c r="E939" s="39"/>
      <c r="F939" s="39"/>
    </row>
    <row r="940" spans="1:6">
      <c r="A940" s="39"/>
      <c r="B940" s="39"/>
      <c r="C940" s="40"/>
      <c r="D940" s="39"/>
      <c r="E940" s="39"/>
      <c r="F940" s="39"/>
    </row>
    <row r="941" spans="1:6">
      <c r="A941" s="39"/>
      <c r="B941" s="39"/>
      <c r="C941" s="40"/>
      <c r="D941" s="39"/>
      <c r="E941" s="39"/>
      <c r="F941" s="39"/>
    </row>
    <row r="942" spans="1:6">
      <c r="A942" s="39"/>
      <c r="B942" s="39"/>
      <c r="C942" s="40"/>
      <c r="D942" s="39"/>
      <c r="E942" s="39"/>
      <c r="F942" s="39"/>
    </row>
    <row r="943" spans="1:6">
      <c r="A943" s="39"/>
      <c r="B943" s="39"/>
      <c r="C943" s="40"/>
      <c r="D943" s="39"/>
      <c r="E943" s="39"/>
      <c r="F943" s="39"/>
    </row>
    <row r="944" spans="1:6">
      <c r="A944" s="39"/>
      <c r="B944" s="39"/>
      <c r="C944" s="40"/>
      <c r="D944" s="39"/>
      <c r="E944" s="39"/>
      <c r="F944" s="39"/>
    </row>
    <row r="945" spans="1:6">
      <c r="A945" s="39"/>
      <c r="B945" s="39"/>
      <c r="C945" s="40"/>
      <c r="D945" s="39"/>
      <c r="E945" s="39"/>
      <c r="F945" s="39"/>
    </row>
    <row r="946" spans="1:6">
      <c r="A946" s="39"/>
      <c r="B946" s="39"/>
      <c r="C946" s="40"/>
      <c r="D946" s="39"/>
      <c r="E946" s="39"/>
      <c r="F946" s="39"/>
    </row>
    <row r="947" spans="1:6">
      <c r="A947" s="39"/>
      <c r="B947" s="39"/>
      <c r="C947" s="40"/>
      <c r="D947" s="39"/>
      <c r="E947" s="39"/>
      <c r="F947" s="39"/>
    </row>
    <row r="948" spans="1:6">
      <c r="A948" s="39"/>
      <c r="B948" s="39"/>
      <c r="C948" s="40"/>
      <c r="D948" s="39"/>
      <c r="E948" s="39"/>
      <c r="F948" s="39"/>
    </row>
    <row r="949" spans="1:6">
      <c r="A949" s="39"/>
      <c r="B949" s="39"/>
      <c r="C949" s="40"/>
      <c r="D949" s="39"/>
      <c r="E949" s="39"/>
      <c r="F949" s="39"/>
    </row>
    <row r="950" spans="1:6">
      <c r="A950" s="39"/>
      <c r="B950" s="39"/>
      <c r="C950" s="40"/>
      <c r="D950" s="39"/>
      <c r="E950" s="39"/>
      <c r="F950" s="39"/>
    </row>
    <row r="951" spans="1:6">
      <c r="A951" s="39"/>
      <c r="B951" s="39"/>
      <c r="C951" s="40"/>
      <c r="D951" s="39"/>
      <c r="E951" s="39"/>
      <c r="F951" s="39"/>
    </row>
    <row r="952" spans="1:6">
      <c r="A952" s="39"/>
      <c r="B952" s="39"/>
      <c r="C952" s="40"/>
      <c r="D952" s="39"/>
      <c r="E952" s="39"/>
      <c r="F952" s="39"/>
    </row>
    <row r="953" spans="1:6">
      <c r="A953" s="39"/>
      <c r="B953" s="39"/>
      <c r="C953" s="40"/>
      <c r="D953" s="39"/>
      <c r="E953" s="39"/>
      <c r="F953" s="39"/>
    </row>
    <row r="954" spans="1:6">
      <c r="A954" s="39"/>
      <c r="B954" s="39"/>
      <c r="C954" s="40"/>
      <c r="D954" s="39"/>
      <c r="E954" s="39"/>
      <c r="F954" s="39"/>
    </row>
    <row r="955" spans="1:6">
      <c r="A955" s="39"/>
      <c r="B955" s="39"/>
      <c r="C955" s="40"/>
      <c r="D955" s="39"/>
      <c r="E955" s="39"/>
      <c r="F955" s="39"/>
    </row>
    <row r="956" spans="1:6">
      <c r="A956" s="39"/>
      <c r="B956" s="39"/>
      <c r="C956" s="40"/>
      <c r="D956" s="39"/>
      <c r="E956" s="39"/>
      <c r="F956" s="39"/>
    </row>
    <row r="957" spans="1:6">
      <c r="A957" s="39"/>
      <c r="B957" s="39"/>
      <c r="C957" s="40"/>
      <c r="D957" s="39"/>
      <c r="E957" s="39"/>
      <c r="F957" s="39"/>
    </row>
    <row r="958" spans="1:6">
      <c r="A958" s="39"/>
      <c r="B958" s="39"/>
      <c r="C958" s="40"/>
      <c r="D958" s="39"/>
      <c r="E958" s="39"/>
      <c r="F958" s="39"/>
    </row>
    <row r="959" spans="1:6">
      <c r="A959" s="39"/>
      <c r="B959" s="39"/>
      <c r="C959" s="40"/>
      <c r="D959" s="39"/>
      <c r="E959" s="39"/>
      <c r="F959" s="39"/>
    </row>
    <row r="960" spans="1:6">
      <c r="A960" s="39"/>
      <c r="B960" s="39"/>
      <c r="C960" s="40"/>
      <c r="D960" s="39"/>
      <c r="E960" s="39"/>
      <c r="F960" s="39"/>
    </row>
    <row r="961" spans="1:6">
      <c r="A961" s="39"/>
      <c r="B961" s="39"/>
      <c r="C961" s="40"/>
      <c r="D961" s="39"/>
      <c r="E961" s="39"/>
      <c r="F961" s="39"/>
    </row>
    <row r="962" spans="1:6">
      <c r="A962" s="39"/>
      <c r="B962" s="39"/>
      <c r="C962" s="40"/>
      <c r="D962" s="39"/>
      <c r="E962" s="39"/>
      <c r="F962" s="39"/>
    </row>
    <row r="963" spans="1:6">
      <c r="A963" s="39"/>
      <c r="B963" s="39"/>
      <c r="C963" s="40"/>
      <c r="D963" s="39"/>
      <c r="E963" s="39"/>
      <c r="F963" s="39"/>
    </row>
    <row r="964" spans="1:6">
      <c r="A964" s="39"/>
      <c r="B964" s="39"/>
      <c r="C964" s="40"/>
      <c r="D964" s="39"/>
      <c r="E964" s="39"/>
      <c r="F964" s="39"/>
    </row>
    <row r="965" spans="1:6">
      <c r="A965" s="39"/>
      <c r="B965" s="39"/>
      <c r="C965" s="40"/>
      <c r="D965" s="39"/>
      <c r="E965" s="39"/>
      <c r="F965" s="39"/>
    </row>
    <row r="966" spans="1:6">
      <c r="A966" s="39"/>
      <c r="B966" s="39"/>
      <c r="C966" s="40"/>
      <c r="D966" s="39"/>
      <c r="E966" s="39"/>
      <c r="F966" s="39"/>
    </row>
    <row r="967" spans="1:6">
      <c r="A967" s="39"/>
      <c r="B967" s="39"/>
      <c r="C967" s="40"/>
      <c r="D967" s="39"/>
      <c r="E967" s="39"/>
      <c r="F967" s="39"/>
    </row>
    <row r="968" spans="1:6">
      <c r="A968" s="39"/>
      <c r="B968" s="39"/>
      <c r="C968" s="40"/>
      <c r="D968" s="39"/>
      <c r="E968" s="39"/>
      <c r="F968" s="39"/>
    </row>
    <row r="969" spans="1:6">
      <c r="A969" s="39"/>
      <c r="B969" s="39"/>
      <c r="C969" s="40"/>
      <c r="D969" s="39"/>
      <c r="E969" s="39"/>
      <c r="F969" s="39"/>
    </row>
    <row r="970" spans="1:6">
      <c r="A970" s="39"/>
      <c r="B970" s="39"/>
      <c r="C970" s="40"/>
      <c r="D970" s="39"/>
      <c r="E970" s="39"/>
      <c r="F970" s="39"/>
    </row>
    <row r="971" spans="1:6">
      <c r="A971" s="39"/>
      <c r="B971" s="39"/>
      <c r="C971" s="40"/>
      <c r="D971" s="39"/>
      <c r="E971" s="39"/>
      <c r="F971" s="39"/>
    </row>
    <row r="972" spans="1:6">
      <c r="A972" s="39"/>
      <c r="B972" s="39"/>
      <c r="C972" s="40"/>
      <c r="D972" s="39"/>
      <c r="E972" s="39"/>
      <c r="F972" s="39"/>
    </row>
    <row r="973" spans="1:6">
      <c r="A973" s="39"/>
      <c r="B973" s="39"/>
      <c r="C973" s="40"/>
      <c r="D973" s="39"/>
      <c r="E973" s="39"/>
      <c r="F973" s="39"/>
    </row>
    <row r="974" spans="1:6">
      <c r="A974" s="39"/>
      <c r="B974" s="39"/>
      <c r="C974" s="40"/>
      <c r="D974" s="39"/>
      <c r="E974" s="39"/>
      <c r="F974" s="39"/>
    </row>
    <row r="975" spans="1:6">
      <c r="A975" s="39"/>
      <c r="B975" s="39"/>
      <c r="C975" s="40"/>
      <c r="D975" s="39"/>
      <c r="E975" s="39"/>
      <c r="F975" s="3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49.7109375" customWidth="1"/>
    <col min="2" max="2" width="15" customWidth="1"/>
    <col min="3" max="3" width="28.42578125" customWidth="1"/>
    <col min="4" max="4" width="19.28515625" customWidth="1"/>
    <col min="5" max="5" width="26.28515625" customWidth="1"/>
    <col min="6" max="6" width="19.42578125" customWidth="1"/>
    <col min="7" max="7" width="18.5703125" customWidth="1"/>
    <col min="8" max="8" width="15.7109375" customWidth="1"/>
    <col min="9" max="9" width="19.85546875" customWidth="1"/>
    <col min="10" max="10" width="19.140625" customWidth="1"/>
  </cols>
  <sheetData>
    <row r="1" spans="1:10">
      <c r="A1" s="8" t="s">
        <v>301</v>
      </c>
      <c r="B1" s="8" t="s">
        <v>302</v>
      </c>
      <c r="C1" s="8" t="s">
        <v>303</v>
      </c>
      <c r="D1" s="8" t="s">
        <v>304</v>
      </c>
      <c r="E1" s="8" t="s">
        <v>305</v>
      </c>
      <c r="F1" s="8" t="s">
        <v>306</v>
      </c>
      <c r="G1" s="8" t="s">
        <v>307</v>
      </c>
      <c r="H1" s="8" t="s">
        <v>308</v>
      </c>
      <c r="I1" s="8" t="s">
        <v>309</v>
      </c>
      <c r="J1" s="8" t="s">
        <v>44</v>
      </c>
    </row>
    <row r="2" spans="1:10">
      <c r="A2" s="4"/>
      <c r="B2" s="4"/>
      <c r="C2" s="4"/>
      <c r="D2" s="12"/>
      <c r="E2" s="12"/>
      <c r="F2" s="12"/>
      <c r="G2" s="12"/>
      <c r="H2" s="12"/>
      <c r="I2" s="12"/>
      <c r="J2" s="4"/>
    </row>
    <row r="3" spans="1:10">
      <c r="A3" s="4"/>
      <c r="B3" s="4"/>
      <c r="C3" s="4"/>
      <c r="D3" s="12"/>
      <c r="E3" s="12"/>
      <c r="F3" s="12"/>
      <c r="G3" s="12"/>
      <c r="H3" s="12"/>
      <c r="I3" s="12"/>
      <c r="J3" s="4"/>
    </row>
    <row r="4" spans="1:10">
      <c r="A4" s="4"/>
      <c r="B4" s="4"/>
      <c r="C4" s="4"/>
      <c r="D4" s="12"/>
      <c r="E4" s="12"/>
      <c r="F4" s="12"/>
      <c r="G4" s="12"/>
      <c r="H4" s="12"/>
      <c r="I4" s="12"/>
      <c r="J4" s="4"/>
    </row>
    <row r="5" spans="1:10">
      <c r="A5" s="4"/>
      <c r="B5" s="4"/>
      <c r="C5" s="4"/>
      <c r="D5" s="12"/>
      <c r="E5" s="12"/>
      <c r="F5" s="12"/>
      <c r="G5" s="12"/>
      <c r="H5" s="12"/>
      <c r="I5" s="12"/>
      <c r="J5" s="4"/>
    </row>
    <row r="6" spans="1:10">
      <c r="A6" s="4"/>
      <c r="B6" s="4"/>
      <c r="C6" s="4"/>
      <c r="D6" s="12"/>
      <c r="E6" s="12"/>
      <c r="F6" s="12"/>
      <c r="G6" s="12"/>
      <c r="H6" s="12"/>
      <c r="I6" s="12"/>
      <c r="J6" s="4"/>
    </row>
    <row r="7" spans="1:10">
      <c r="A7" s="4"/>
      <c r="B7" s="4"/>
      <c r="C7" s="4"/>
      <c r="D7" s="12"/>
      <c r="E7" s="12"/>
      <c r="F7" s="12"/>
      <c r="G7" s="12"/>
      <c r="H7" s="12"/>
      <c r="I7" s="12"/>
      <c r="J7" s="4"/>
    </row>
    <row r="8" spans="1:10">
      <c r="A8" s="4"/>
      <c r="B8" s="4"/>
      <c r="C8" s="4"/>
      <c r="D8" s="12"/>
      <c r="E8" s="12"/>
      <c r="F8" s="12"/>
      <c r="G8" s="12"/>
      <c r="H8" s="12"/>
      <c r="I8" s="12"/>
      <c r="J8" s="4"/>
    </row>
    <row r="9" spans="1:10">
      <c r="A9" s="4"/>
      <c r="B9" s="4"/>
      <c r="C9" s="4"/>
      <c r="D9" s="12"/>
      <c r="E9" s="12"/>
      <c r="F9" s="12"/>
      <c r="G9" s="12"/>
      <c r="H9" s="12"/>
      <c r="I9" s="12"/>
      <c r="J9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F42"/>
  <sheetViews>
    <sheetView showGridLines="0" tabSelected="1" workbookViewId="0">
      <pane xSplit="10" ySplit="1" topLeftCell="N2" activePane="bottomRight" state="frozen"/>
      <selection pane="topRight" activeCell="K1" sqref="K1"/>
      <selection pane="bottomLeft" activeCell="A2" sqref="A2"/>
      <selection pane="bottomRight" activeCell="O18" sqref="O18"/>
    </sheetView>
  </sheetViews>
  <sheetFormatPr defaultColWidth="12.5703125" defaultRowHeight="15.75" customHeight="1"/>
  <cols>
    <col min="1" max="1" width="23.7109375" customWidth="1"/>
    <col min="2" max="2" width="15.7109375" customWidth="1"/>
    <col min="3" max="3" width="20" customWidth="1"/>
    <col min="4" max="4" width="17" customWidth="1"/>
    <col min="5" max="6" width="16.42578125" customWidth="1"/>
    <col min="7" max="7" width="14.42578125" customWidth="1"/>
    <col min="8" max="8" width="24.85546875" customWidth="1"/>
    <col min="9" max="10" width="23.42578125" customWidth="1"/>
    <col min="11" max="11" width="15.85546875" customWidth="1"/>
    <col min="15" max="16" width="9.28515625" customWidth="1"/>
    <col min="17" max="17" width="8.42578125" customWidth="1"/>
    <col min="18" max="18" width="12.42578125" customWidth="1"/>
    <col min="19" max="19" width="10.28515625" customWidth="1"/>
    <col min="20" max="20" width="11" customWidth="1"/>
    <col min="21" max="21" width="9.85546875" customWidth="1"/>
    <col min="22" max="22" width="12.42578125" customWidth="1"/>
    <col min="23" max="23" width="9" customWidth="1"/>
    <col min="24" max="24" width="11" customWidth="1"/>
    <col min="25" max="25" width="10.28515625" customWidth="1"/>
    <col min="26" max="26" width="7.140625" customWidth="1"/>
    <col min="27" max="27" width="8.85546875" customWidth="1"/>
    <col min="28" max="28" width="12.5703125" customWidth="1"/>
    <col min="29" max="29" width="9.28515625" customWidth="1"/>
    <col min="30" max="32" width="12.140625" customWidth="1"/>
  </cols>
  <sheetData>
    <row r="1" spans="1:32" ht="74.25" customHeight="1">
      <c r="A1" s="41"/>
      <c r="B1" s="41"/>
      <c r="C1" s="41"/>
      <c r="D1" s="41"/>
      <c r="E1" s="41"/>
      <c r="F1" s="41"/>
      <c r="G1" s="98" t="s">
        <v>310</v>
      </c>
      <c r="H1" s="99"/>
      <c r="I1" s="99"/>
      <c r="J1" s="41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</row>
    <row r="2" spans="1:32" ht="17.25">
      <c r="A2" s="100" t="s">
        <v>311</v>
      </c>
      <c r="B2" s="101"/>
      <c r="C2" s="101"/>
      <c r="D2" s="101"/>
      <c r="E2" s="101"/>
      <c r="F2" s="101"/>
      <c r="G2" s="101"/>
      <c r="H2" s="102"/>
      <c r="I2" s="43"/>
      <c r="J2" s="44"/>
    </row>
    <row r="3" spans="1:32" ht="94.5">
      <c r="A3" s="45" t="s">
        <v>102</v>
      </c>
      <c r="B3" s="45" t="s">
        <v>312</v>
      </c>
      <c r="C3" s="46" t="s">
        <v>313</v>
      </c>
      <c r="D3" s="46" t="s">
        <v>314</v>
      </c>
      <c r="E3" s="46" t="s">
        <v>315</v>
      </c>
      <c r="F3" s="45" t="s">
        <v>316</v>
      </c>
      <c r="G3" s="45" t="s">
        <v>317</v>
      </c>
      <c r="H3" s="45" t="s">
        <v>318</v>
      </c>
      <c r="I3" s="47"/>
      <c r="J3" s="47"/>
      <c r="L3" s="48" t="s">
        <v>319</v>
      </c>
      <c r="M3" s="48" t="s">
        <v>320</v>
      </c>
      <c r="O3" s="49" t="s">
        <v>321</v>
      </c>
      <c r="P3" s="50" t="s">
        <v>322</v>
      </c>
      <c r="Q3" s="51" t="s">
        <v>323</v>
      </c>
      <c r="R3" s="50" t="s">
        <v>324</v>
      </c>
      <c r="S3" s="52" t="s">
        <v>325</v>
      </c>
      <c r="T3" s="52" t="s">
        <v>326</v>
      </c>
      <c r="U3" s="52" t="s">
        <v>327</v>
      </c>
      <c r="V3" s="52" t="s">
        <v>328</v>
      </c>
      <c r="W3" s="52" t="s">
        <v>329</v>
      </c>
      <c r="X3" s="52" t="s">
        <v>330</v>
      </c>
      <c r="Y3" s="53" t="s">
        <v>331</v>
      </c>
      <c r="Z3" s="53" t="s">
        <v>332</v>
      </c>
      <c r="AA3" s="54" t="s">
        <v>333</v>
      </c>
      <c r="AB3" s="54" t="s">
        <v>334</v>
      </c>
      <c r="AC3" s="54" t="s">
        <v>335</v>
      </c>
      <c r="AD3" s="54" t="s">
        <v>336</v>
      </c>
      <c r="AE3" s="55" t="s">
        <v>319</v>
      </c>
      <c r="AF3" s="55" t="s">
        <v>320</v>
      </c>
    </row>
    <row r="4" spans="1:32" ht="15">
      <c r="A4" s="56" t="s">
        <v>337</v>
      </c>
      <c r="B4" s="57">
        <v>7.86</v>
      </c>
      <c r="C4" s="58">
        <v>3000</v>
      </c>
      <c r="D4" s="58">
        <v>1200</v>
      </c>
      <c r="E4" s="58">
        <v>3</v>
      </c>
      <c r="F4" s="59">
        <f t="shared" ref="F4:F6" si="0">C4/1000*D4/1000*E4*B4</f>
        <v>84.888000000000005</v>
      </c>
      <c r="G4" s="60">
        <v>7.1</v>
      </c>
      <c r="H4" s="60">
        <f t="array" ref="H4">IF(ISERROR(MATCH(E4,'Configurações Máquina de corte'!A:A,0)),
     INDEX('Configurações Máquina de corte'!F:F, MATCH(E4,'Configurações Máquina de corte'!A:A,1)+1),
     INDEX('Configurações Máquina de corte'!F:F, MATCH(E4,'Configurações Máquina de corte'!A:A,0))
)</f>
        <v>9.5850000000000009</v>
      </c>
      <c r="I4" s="61"/>
      <c r="J4" s="47"/>
      <c r="K4" s="56" t="s">
        <v>337</v>
      </c>
      <c r="L4" s="60">
        <f t="shared" ref="L4:L9" si="1">M4/E12</f>
        <v>266.32953666666668</v>
      </c>
      <c r="M4" s="62">
        <f t="shared" ref="M4:M9" si="2">I36</f>
        <v>266.32953666666668</v>
      </c>
      <c r="O4" s="60">
        <f t="shared" ref="O4:O6" si="3">H4</f>
        <v>9.5850000000000009</v>
      </c>
      <c r="P4" s="63">
        <f t="shared" ref="P4:R9" si="4">H12</f>
        <v>21.222000000000001</v>
      </c>
      <c r="Q4" s="63">
        <f t="shared" si="4"/>
        <v>21.222000000000001</v>
      </c>
      <c r="R4" s="60">
        <f t="shared" si="4"/>
        <v>203.41287000000003</v>
      </c>
      <c r="S4" s="64">
        <f t="shared" ref="S4:S9" si="5">D20</f>
        <v>1</v>
      </c>
      <c r="T4" s="63">
        <f t="shared" ref="T4:V9" si="6">F20</f>
        <v>1.6666666666666666E-2</v>
      </c>
      <c r="U4" s="63">
        <f t="shared" si="6"/>
        <v>4</v>
      </c>
      <c r="V4" s="63">
        <f t="shared" si="6"/>
        <v>8.3333333333333329E-2</v>
      </c>
      <c r="W4" s="60">
        <f t="shared" ref="W4:W9" si="7">B20</f>
        <v>275</v>
      </c>
      <c r="X4" s="60">
        <f t="shared" ref="X4:X9" si="8">I20</f>
        <v>22.916666666666664</v>
      </c>
      <c r="Y4" s="65">
        <f t="shared" ref="Y4:AA9" si="9">D28</f>
        <v>4</v>
      </c>
      <c r="Z4" s="66">
        <f t="shared" si="9"/>
        <v>30</v>
      </c>
      <c r="AA4" s="64">
        <f t="shared" si="9"/>
        <v>1</v>
      </c>
      <c r="AB4" s="63">
        <f t="shared" ref="AB4:AB9" si="10">H28</f>
        <v>0.19999999999999998</v>
      </c>
      <c r="AC4" s="60">
        <f t="shared" ref="AC4:AC9" si="11">B28</f>
        <v>200</v>
      </c>
      <c r="AD4" s="63">
        <f t="shared" ref="AD4:AD9" si="12">I28</f>
        <v>40</v>
      </c>
      <c r="AE4" s="60">
        <f t="shared" ref="AE4:AF4" si="13">L4</f>
        <v>266.32953666666668</v>
      </c>
      <c r="AF4" s="62">
        <f t="shared" si="13"/>
        <v>266.32953666666668</v>
      </c>
    </row>
    <row r="5" spans="1:32" ht="15">
      <c r="A5" s="56" t="s">
        <v>338</v>
      </c>
      <c r="B5" s="57">
        <v>2.81</v>
      </c>
      <c r="C5" s="58">
        <v>3000</v>
      </c>
      <c r="D5" s="58">
        <v>1200</v>
      </c>
      <c r="E5" s="58">
        <v>3</v>
      </c>
      <c r="F5" s="59">
        <f t="shared" si="0"/>
        <v>30.348000000000003</v>
      </c>
      <c r="G5" s="60">
        <v>40</v>
      </c>
      <c r="H5" s="60">
        <f t="array" ref="H5">IF(ISERROR(MATCH(E5,'Configurações Máquina de corte'!A:A,0)),
     INDEX('Configurações Máquina de corte'!N:N, MATCH(E5,'Configurações Máquina de corte'!I:I,1)+1),
     INDEX('Configurações Máquina de corte'!N:N, MATCH(E5,'Configurações Máquina de corte'!I:I,0))
)</f>
        <v>56</v>
      </c>
      <c r="I5" s="61"/>
      <c r="J5" s="47"/>
      <c r="K5" s="56" t="s">
        <v>338</v>
      </c>
      <c r="L5" s="60">
        <f t="shared" si="1"/>
        <v>1782.939388888889</v>
      </c>
      <c r="M5" s="62">
        <f t="shared" si="2"/>
        <v>1782.939388888889</v>
      </c>
      <c r="O5" s="60">
        <f t="shared" si="3"/>
        <v>56</v>
      </c>
      <c r="P5" s="63">
        <f t="shared" ref="P5:R5" si="14">H13</f>
        <v>30.348000000000003</v>
      </c>
      <c r="Q5" s="63">
        <f t="shared" si="4"/>
        <v>30.348000000000003</v>
      </c>
      <c r="R5" s="60">
        <f t="shared" si="4"/>
        <v>1699.4880000000001</v>
      </c>
      <c r="S5" s="64">
        <f t="shared" si="5"/>
        <v>1</v>
      </c>
      <c r="T5" s="63">
        <f t="shared" si="6"/>
        <v>1.861111111111111E-2</v>
      </c>
      <c r="U5" s="63">
        <f t="shared" si="6"/>
        <v>4</v>
      </c>
      <c r="V5" s="63">
        <f t="shared" si="6"/>
        <v>8.5277777777777772E-2</v>
      </c>
      <c r="W5" s="60">
        <f t="shared" si="7"/>
        <v>275</v>
      </c>
      <c r="X5" s="60">
        <f t="shared" si="8"/>
        <v>23.451388888888886</v>
      </c>
      <c r="Y5" s="65">
        <f t="shared" si="9"/>
        <v>4</v>
      </c>
      <c r="Z5" s="66">
        <f t="shared" si="9"/>
        <v>30</v>
      </c>
      <c r="AA5" s="64">
        <f t="shared" si="9"/>
        <v>1</v>
      </c>
      <c r="AB5" s="63">
        <f t="shared" si="10"/>
        <v>0.19999999999999998</v>
      </c>
      <c r="AC5" s="60">
        <f t="shared" si="11"/>
        <v>300</v>
      </c>
      <c r="AD5" s="63">
        <f t="shared" si="12"/>
        <v>59.999999999999993</v>
      </c>
      <c r="AE5" s="60">
        <f t="shared" ref="AE5:AF5" si="15">L5</f>
        <v>1782.939388888889</v>
      </c>
      <c r="AF5" s="62">
        <f t="shared" si="15"/>
        <v>1782.939388888889</v>
      </c>
    </row>
    <row r="6" spans="1:32" ht="15">
      <c r="A6" s="56" t="s">
        <v>339</v>
      </c>
      <c r="B6" s="57">
        <v>7.86</v>
      </c>
      <c r="C6" s="58">
        <v>3000</v>
      </c>
      <c r="D6" s="58">
        <v>1200</v>
      </c>
      <c r="E6" s="58">
        <v>3</v>
      </c>
      <c r="F6" s="59">
        <f>C6/1000*D6/1000*E6*B6</f>
        <v>84.888000000000005</v>
      </c>
      <c r="G6" s="60">
        <v>26</v>
      </c>
      <c r="H6" s="60">
        <f t="array" ref="H6">IF(ISERROR(MATCH(E6,'Configurações Máquina de corte'!A:A,0)),
     INDEX('Configurações Máquina de corte'!N:N, MATCH(E6,'Configurações Máquina de corte'!I:I,1)+1),
     INDEX('Configurações Máquina de corte'!N:N, MATCH(E6,'Configurações Máquina de corte'!I:I,0))
)</f>
        <v>56</v>
      </c>
      <c r="I6" s="61"/>
      <c r="J6" s="47"/>
      <c r="K6" s="56" t="s">
        <v>339</v>
      </c>
      <c r="L6" s="60">
        <f t="shared" si="1"/>
        <v>195.92511111111114</v>
      </c>
      <c r="M6" s="62">
        <f t="shared" si="2"/>
        <v>195.92511111111114</v>
      </c>
      <c r="O6" s="60">
        <f t="shared" si="3"/>
        <v>56</v>
      </c>
      <c r="P6" s="63">
        <f t="shared" ref="P6:R6" si="16">H14</f>
        <v>3.1440000000000001</v>
      </c>
      <c r="Q6" s="63">
        <f t="shared" si="4"/>
        <v>3.1440000000000001</v>
      </c>
      <c r="R6" s="60">
        <f t="shared" si="4"/>
        <v>176.06400000000002</v>
      </c>
      <c r="S6" s="64">
        <f t="shared" si="5"/>
        <v>1</v>
      </c>
      <c r="T6" s="63">
        <f t="shared" si="6"/>
        <v>5.5555555555555558E-3</v>
      </c>
      <c r="U6" s="63">
        <f t="shared" si="6"/>
        <v>4</v>
      </c>
      <c r="V6" s="63">
        <f t="shared" si="6"/>
        <v>7.2222222222222215E-2</v>
      </c>
      <c r="W6" s="60">
        <f t="shared" si="7"/>
        <v>275</v>
      </c>
      <c r="X6" s="60">
        <f t="shared" si="8"/>
        <v>19.861111111111111</v>
      </c>
      <c r="Y6" s="65">
        <f t="shared" si="9"/>
        <v>0</v>
      </c>
      <c r="Z6" s="66">
        <f t="shared" si="9"/>
        <v>0</v>
      </c>
      <c r="AA6" s="64">
        <f t="shared" si="9"/>
        <v>1</v>
      </c>
      <c r="AB6" s="63">
        <f t="shared" si="10"/>
        <v>0</v>
      </c>
      <c r="AC6" s="60">
        <f t="shared" si="11"/>
        <v>200</v>
      </c>
      <c r="AD6" s="63">
        <f t="shared" si="12"/>
        <v>0</v>
      </c>
      <c r="AE6" s="60">
        <f t="shared" ref="AE6:AF7" si="17">L6</f>
        <v>195.92511111111114</v>
      </c>
      <c r="AF6" s="62">
        <f t="shared" si="17"/>
        <v>195.92511111111114</v>
      </c>
    </row>
    <row r="7" spans="1:32" ht="15">
      <c r="A7" s="56" t="s">
        <v>340</v>
      </c>
      <c r="B7" s="57">
        <v>7.86</v>
      </c>
      <c r="C7" s="58">
        <v>3000</v>
      </c>
      <c r="D7" s="58">
        <v>1200</v>
      </c>
      <c r="E7" s="58">
        <v>2</v>
      </c>
      <c r="F7" s="59">
        <v>56.592000000000006</v>
      </c>
      <c r="G7" s="60">
        <v>40</v>
      </c>
      <c r="H7" s="60">
        <f t="array" ref="H7">IF(ISERROR(MATCH(E7,'Configurações Máquina de corte'!A:A,0)),
     INDEX('Configurações Máquina de corte'!N:N, MATCH(E7,'Configurações Máquina de corte'!I:I,1)+1),
     INDEX('Configurações Máquina de corte'!N:N, MATCH(E7,'Configurações Máquina de corte'!I:I,0))
)</f>
        <v>53</v>
      </c>
      <c r="I7" s="61"/>
      <c r="J7" s="47"/>
      <c r="K7" s="56" t="s">
        <v>340</v>
      </c>
      <c r="L7" s="60">
        <f t="shared" si="1"/>
        <v>30.177093333333335</v>
      </c>
      <c r="M7" s="62">
        <f t="shared" si="2"/>
        <v>3017.7093333333337</v>
      </c>
      <c r="O7" s="60">
        <v>0</v>
      </c>
      <c r="P7" s="63">
        <v>0.56592000000000009</v>
      </c>
      <c r="Q7" s="63">
        <f t="shared" si="4"/>
        <v>56.592000000000006</v>
      </c>
      <c r="R7" s="60">
        <f t="shared" si="4"/>
        <v>2999.3760000000002</v>
      </c>
      <c r="S7" s="64">
        <f t="shared" si="5"/>
        <v>1</v>
      </c>
      <c r="T7" s="63">
        <f t="shared" si="6"/>
        <v>0</v>
      </c>
      <c r="U7" s="63">
        <f t="shared" si="6"/>
        <v>4</v>
      </c>
      <c r="V7" s="63">
        <f t="shared" si="6"/>
        <v>6.6666666666666666E-2</v>
      </c>
      <c r="W7" s="60">
        <f t="shared" si="7"/>
        <v>275</v>
      </c>
      <c r="X7" s="60">
        <f t="shared" si="8"/>
        <v>18.333333333333332</v>
      </c>
      <c r="Y7" s="65">
        <f t="shared" si="9"/>
        <v>1</v>
      </c>
      <c r="Z7" s="66">
        <f t="shared" si="9"/>
        <v>0</v>
      </c>
      <c r="AA7" s="64">
        <f t="shared" si="9"/>
        <v>100</v>
      </c>
      <c r="AB7" s="63">
        <f t="shared" si="10"/>
        <v>0</v>
      </c>
      <c r="AC7" s="60">
        <f t="shared" si="11"/>
        <v>200</v>
      </c>
      <c r="AD7" s="63">
        <f t="shared" si="12"/>
        <v>0</v>
      </c>
      <c r="AE7" s="60">
        <f t="shared" si="17"/>
        <v>30.177093333333335</v>
      </c>
      <c r="AF7" s="62">
        <f t="shared" si="17"/>
        <v>3017.7093333333337</v>
      </c>
    </row>
    <row r="8" spans="1:32" ht="15">
      <c r="A8" s="56" t="s">
        <v>341</v>
      </c>
      <c r="B8" s="57">
        <v>8.6999999999999993</v>
      </c>
      <c r="C8" s="58">
        <v>3000</v>
      </c>
      <c r="D8" s="58">
        <v>1200</v>
      </c>
      <c r="E8" s="58">
        <v>2</v>
      </c>
      <c r="F8" s="59">
        <f t="shared" ref="F8:F9" si="18">C8/1000*D8/1000*E8*B8</f>
        <v>62.639999999999993</v>
      </c>
      <c r="G8" s="60">
        <v>35</v>
      </c>
      <c r="H8" s="60">
        <f t="array" ref="H8">IF(ISERROR(MATCH(E8,'Configurações Máquina de corte'!A:A,0)),
     INDEX('Configurações Máquina de corte'!N:N, MATCH(E8,'Configurações Máquina de corte'!I:I,1)+1),
     INDEX('Configurações Máquina de corte'!N:N, MATCH(E8,'Configurações Máquina de corte'!I:I,0))
)</f>
        <v>53</v>
      </c>
      <c r="I8" s="61"/>
      <c r="J8" s="47"/>
      <c r="K8" s="56" t="s">
        <v>341</v>
      </c>
      <c r="L8" s="60">
        <f t="shared" si="1"/>
        <v>553.31999999999994</v>
      </c>
      <c r="M8" s="62">
        <f t="shared" si="2"/>
        <v>553.31999999999994</v>
      </c>
      <c r="O8" s="60">
        <f t="shared" ref="O8:O9" si="19">H8</f>
        <v>53</v>
      </c>
      <c r="P8" s="63">
        <f t="shared" ref="P8:R8" si="20">H16</f>
        <v>10.44</v>
      </c>
      <c r="Q8" s="63">
        <f t="shared" si="4"/>
        <v>10.44</v>
      </c>
      <c r="R8" s="60">
        <f t="shared" si="4"/>
        <v>553.31999999999994</v>
      </c>
      <c r="S8" s="64">
        <f t="shared" si="5"/>
        <v>1</v>
      </c>
      <c r="T8" s="63">
        <f t="shared" si="6"/>
        <v>0</v>
      </c>
      <c r="U8" s="63">
        <f t="shared" si="6"/>
        <v>0</v>
      </c>
      <c r="V8" s="63">
        <f t="shared" si="6"/>
        <v>0</v>
      </c>
      <c r="W8" s="60" t="b">
        <f t="shared" si="7"/>
        <v>0</v>
      </c>
      <c r="X8" s="60">
        <f t="shared" si="8"/>
        <v>0</v>
      </c>
      <c r="Y8" s="65">
        <f t="shared" si="9"/>
        <v>1</v>
      </c>
      <c r="Z8" s="66">
        <f t="shared" si="9"/>
        <v>0</v>
      </c>
      <c r="AA8" s="64">
        <f t="shared" si="9"/>
        <v>1</v>
      </c>
      <c r="AB8" s="63">
        <f t="shared" si="10"/>
        <v>0</v>
      </c>
      <c r="AC8" s="60">
        <f t="shared" si="11"/>
        <v>200</v>
      </c>
      <c r="AD8" s="63">
        <f t="shared" si="12"/>
        <v>0</v>
      </c>
      <c r="AE8" s="60">
        <f t="shared" ref="AE8:AF8" si="21">L8</f>
        <v>553.31999999999994</v>
      </c>
      <c r="AF8" s="62">
        <f t="shared" si="21"/>
        <v>553.31999999999994</v>
      </c>
    </row>
    <row r="9" spans="1:32" ht="15">
      <c r="A9" s="56" t="s">
        <v>342</v>
      </c>
      <c r="B9" s="57">
        <v>8.9600000000000009</v>
      </c>
      <c r="C9" s="58">
        <v>3000</v>
      </c>
      <c r="D9" s="58">
        <v>1200</v>
      </c>
      <c r="E9" s="58">
        <v>2</v>
      </c>
      <c r="F9" s="59">
        <f t="shared" si="18"/>
        <v>64.512000000000015</v>
      </c>
      <c r="G9" s="60">
        <v>52</v>
      </c>
      <c r="H9" s="60">
        <f t="array" ref="H9">IF(ISERROR(MATCH(E9,'Configurações Máquina de corte'!A:A,0)),
     INDEX('Configurações Máquina de corte'!N:N, MATCH(E9,'Configurações Máquina de corte'!I:I,1)+1),
     INDEX('Configurações Máquina de corte'!N:N, MATCH(E9,'Configurações Máquina de corte'!I:I,0))
)</f>
        <v>53</v>
      </c>
      <c r="I9" s="61"/>
      <c r="J9" s="47"/>
      <c r="K9" s="56" t="s">
        <v>342</v>
      </c>
      <c r="L9" s="60">
        <f t="shared" si="1"/>
        <v>569.85600000000011</v>
      </c>
      <c r="M9" s="62">
        <f t="shared" si="2"/>
        <v>569.85600000000011</v>
      </c>
      <c r="O9" s="60">
        <f t="shared" si="19"/>
        <v>53</v>
      </c>
      <c r="P9" s="63">
        <f t="shared" ref="P9:R9" si="22">H17</f>
        <v>10.752000000000002</v>
      </c>
      <c r="Q9" s="63">
        <f t="shared" si="4"/>
        <v>10.752000000000002</v>
      </c>
      <c r="R9" s="60">
        <f t="shared" si="4"/>
        <v>569.85600000000011</v>
      </c>
      <c r="S9" s="64">
        <f t="shared" si="5"/>
        <v>1</v>
      </c>
      <c r="T9" s="63">
        <f t="shared" si="6"/>
        <v>0</v>
      </c>
      <c r="U9" s="63">
        <f t="shared" si="6"/>
        <v>0</v>
      </c>
      <c r="V9" s="63">
        <f t="shared" si="6"/>
        <v>0</v>
      </c>
      <c r="W9" s="60" t="b">
        <f t="shared" si="7"/>
        <v>0</v>
      </c>
      <c r="X9" s="60">
        <f t="shared" si="8"/>
        <v>0</v>
      </c>
      <c r="Y9" s="65">
        <f t="shared" si="9"/>
        <v>1</v>
      </c>
      <c r="Z9" s="66">
        <f t="shared" si="9"/>
        <v>0</v>
      </c>
      <c r="AA9" s="64">
        <f t="shared" si="9"/>
        <v>1</v>
      </c>
      <c r="AB9" s="63">
        <f t="shared" si="10"/>
        <v>0</v>
      </c>
      <c r="AC9" s="60">
        <f t="shared" si="11"/>
        <v>200</v>
      </c>
      <c r="AD9" s="63">
        <f t="shared" si="12"/>
        <v>0</v>
      </c>
      <c r="AE9" s="60">
        <f t="shared" ref="AE9:AF9" si="23">L9</f>
        <v>569.85600000000011</v>
      </c>
      <c r="AF9" s="62">
        <f t="shared" si="23"/>
        <v>569.85600000000011</v>
      </c>
    </row>
    <row r="10" spans="1:32" ht="17.25">
      <c r="A10" s="100" t="s">
        <v>343</v>
      </c>
      <c r="B10" s="101"/>
      <c r="C10" s="101"/>
      <c r="D10" s="101"/>
      <c r="E10" s="101"/>
      <c r="F10" s="101"/>
      <c r="G10" s="101"/>
      <c r="H10" s="101"/>
      <c r="I10" s="101"/>
      <c r="J10" s="102"/>
    </row>
    <row r="11" spans="1:32" ht="47.25">
      <c r="A11" s="67" t="s">
        <v>102</v>
      </c>
      <c r="B11" s="68" t="s">
        <v>313</v>
      </c>
      <c r="C11" s="68" t="s">
        <v>314</v>
      </c>
      <c r="D11" s="67" t="s">
        <v>344</v>
      </c>
      <c r="E11" s="68" t="s">
        <v>345</v>
      </c>
      <c r="F11" s="69" t="s">
        <v>346</v>
      </c>
      <c r="G11" s="67" t="s">
        <v>347</v>
      </c>
      <c r="H11" s="70" t="s">
        <v>348</v>
      </c>
      <c r="I11" s="67" t="s">
        <v>349</v>
      </c>
      <c r="J11" s="71" t="s">
        <v>350</v>
      </c>
      <c r="K11" s="47"/>
      <c r="L11" s="47"/>
      <c r="M11" s="47"/>
      <c r="N11" s="47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</row>
    <row r="12" spans="1:32" ht="15">
      <c r="A12" s="73" t="s">
        <v>337</v>
      </c>
      <c r="B12" s="66">
        <v>700</v>
      </c>
      <c r="C12" s="66">
        <v>705</v>
      </c>
      <c r="D12" s="74">
        <v>30</v>
      </c>
      <c r="E12" s="65">
        <v>1</v>
      </c>
      <c r="F12" s="65">
        <v>4</v>
      </c>
      <c r="G12" s="59">
        <f t="shared" ref="G12:G14" si="24">(B12/1000 *C12/1000 *E4 * B4)</f>
        <v>11.636729999999998</v>
      </c>
      <c r="H12" s="63">
        <f>F4/F12</f>
        <v>21.222000000000001</v>
      </c>
      <c r="I12" s="63">
        <f t="shared" ref="I12:I17" si="25">H12*E12</f>
        <v>21.222000000000001</v>
      </c>
      <c r="J12" s="60">
        <f t="shared" ref="J12:J17" si="26">H4*I12</f>
        <v>203.41287000000003</v>
      </c>
      <c r="K12" s="47"/>
      <c r="L12" s="47"/>
      <c r="M12" s="47"/>
      <c r="N12" s="47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</row>
    <row r="13" spans="1:32" ht="15">
      <c r="A13" s="73" t="s">
        <v>338</v>
      </c>
      <c r="B13" s="66">
        <v>700</v>
      </c>
      <c r="C13" s="66">
        <v>705</v>
      </c>
      <c r="D13" s="74">
        <f t="shared" ref="D13:D17" si="27">B13*2 + C13*2</f>
        <v>2810</v>
      </c>
      <c r="E13" s="65">
        <v>1</v>
      </c>
      <c r="F13" s="65">
        <v>1</v>
      </c>
      <c r="G13" s="59">
        <f t="shared" si="24"/>
        <v>4.1602049999999995</v>
      </c>
      <c r="H13" s="63">
        <f t="shared" ref="H12:H17" si="28">F5/F13</f>
        <v>30.348000000000003</v>
      </c>
      <c r="I13" s="63">
        <f t="shared" si="25"/>
        <v>30.348000000000003</v>
      </c>
      <c r="J13" s="60">
        <f t="shared" si="26"/>
        <v>1699.4880000000001</v>
      </c>
      <c r="K13" s="47"/>
      <c r="L13" s="47"/>
      <c r="M13" s="47"/>
      <c r="N13" s="47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</row>
    <row r="14" spans="1:32" ht="15">
      <c r="A14" s="73" t="s">
        <v>339</v>
      </c>
      <c r="B14" s="66">
        <v>1295</v>
      </c>
      <c r="C14" s="66">
        <v>82</v>
      </c>
      <c r="D14" s="74">
        <f t="shared" si="27"/>
        <v>2754</v>
      </c>
      <c r="E14" s="65">
        <v>1</v>
      </c>
      <c r="F14" s="65">
        <v>27</v>
      </c>
      <c r="G14" s="59">
        <f t="shared" si="24"/>
        <v>2.5039601999999999</v>
      </c>
      <c r="H14" s="63">
        <f t="shared" si="28"/>
        <v>3.1440000000000001</v>
      </c>
      <c r="I14" s="63">
        <f t="shared" si="25"/>
        <v>3.1440000000000001</v>
      </c>
      <c r="J14" s="60">
        <f t="shared" si="26"/>
        <v>176.06400000000002</v>
      </c>
      <c r="K14" s="47"/>
      <c r="L14" s="47"/>
      <c r="M14" s="47"/>
      <c r="N14" s="47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</row>
    <row r="15" spans="1:32" ht="15">
      <c r="A15" s="73" t="s">
        <v>340</v>
      </c>
      <c r="B15" s="66">
        <v>65</v>
      </c>
      <c r="C15" s="66">
        <v>45</v>
      </c>
      <c r="D15" s="74">
        <f t="shared" si="27"/>
        <v>220</v>
      </c>
      <c r="E15" s="65">
        <v>100</v>
      </c>
      <c r="F15" s="65">
        <v>100</v>
      </c>
      <c r="G15" s="59">
        <f t="shared" ref="G15:G17" si="29">(B15/1000 *C15/1000 *E7 * B7)</f>
        <v>4.5981000000000001E-2</v>
      </c>
      <c r="H15" s="63">
        <f t="shared" si="28"/>
        <v>0.56592000000000009</v>
      </c>
      <c r="I15" s="63">
        <f t="shared" si="25"/>
        <v>56.592000000000006</v>
      </c>
      <c r="J15" s="60">
        <f t="shared" si="26"/>
        <v>2999.3760000000002</v>
      </c>
      <c r="K15" s="47"/>
      <c r="L15" s="47"/>
      <c r="M15" s="47"/>
      <c r="N15" s="47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</row>
    <row r="16" spans="1:32" ht="15">
      <c r="A16" s="73" t="s">
        <v>341</v>
      </c>
      <c r="B16" s="66">
        <v>1000</v>
      </c>
      <c r="C16" s="66">
        <v>1000</v>
      </c>
      <c r="D16" s="74">
        <f t="shared" si="27"/>
        <v>4000</v>
      </c>
      <c r="E16" s="65">
        <v>1</v>
      </c>
      <c r="F16" s="65">
        <v>6</v>
      </c>
      <c r="G16" s="59">
        <f t="shared" si="29"/>
        <v>17.399999999999999</v>
      </c>
      <c r="H16" s="63">
        <f t="shared" si="28"/>
        <v>10.44</v>
      </c>
      <c r="I16" s="63">
        <f t="shared" si="25"/>
        <v>10.44</v>
      </c>
      <c r="J16" s="60">
        <f t="shared" si="26"/>
        <v>553.31999999999994</v>
      </c>
      <c r="L16" s="47"/>
      <c r="M16" s="47"/>
      <c r="N16" s="47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</row>
    <row r="17" spans="1:32" ht="15">
      <c r="A17" s="73" t="s">
        <v>342</v>
      </c>
      <c r="B17" s="66">
        <v>1000</v>
      </c>
      <c r="C17" s="66">
        <v>1000</v>
      </c>
      <c r="D17" s="74">
        <f t="shared" si="27"/>
        <v>4000</v>
      </c>
      <c r="E17" s="65">
        <v>1</v>
      </c>
      <c r="F17" s="65">
        <v>6</v>
      </c>
      <c r="G17" s="59">
        <f t="shared" si="29"/>
        <v>17.920000000000002</v>
      </c>
      <c r="H17" s="63">
        <f t="shared" si="28"/>
        <v>10.752000000000002</v>
      </c>
      <c r="I17" s="63">
        <f t="shared" si="25"/>
        <v>10.752000000000002</v>
      </c>
      <c r="J17" s="60">
        <f t="shared" si="26"/>
        <v>569.85600000000011</v>
      </c>
      <c r="K17" s="47"/>
      <c r="L17" s="47"/>
      <c r="M17" s="47"/>
      <c r="N17" s="47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</row>
    <row r="18" spans="1:32" ht="17.25">
      <c r="A18" s="100" t="s">
        <v>351</v>
      </c>
      <c r="B18" s="101"/>
      <c r="C18" s="101"/>
      <c r="D18" s="101"/>
      <c r="E18" s="101"/>
      <c r="F18" s="101"/>
      <c r="G18" s="101"/>
      <c r="H18" s="101"/>
      <c r="I18" s="101"/>
      <c r="J18" s="101"/>
    </row>
    <row r="19" spans="1:32" ht="63">
      <c r="A19" s="75" t="s">
        <v>102</v>
      </c>
      <c r="B19" s="75" t="s">
        <v>352</v>
      </c>
      <c r="C19" s="75" t="s">
        <v>353</v>
      </c>
      <c r="D19" s="75" t="s">
        <v>354</v>
      </c>
      <c r="E19" s="75" t="s">
        <v>355</v>
      </c>
      <c r="F19" s="75" t="s">
        <v>326</v>
      </c>
      <c r="G19" s="75" t="s">
        <v>327</v>
      </c>
      <c r="H19" s="75" t="s">
        <v>328</v>
      </c>
      <c r="I19" s="75" t="s">
        <v>356</v>
      </c>
      <c r="J19" s="47"/>
      <c r="K19" s="76"/>
      <c r="L19" s="76"/>
      <c r="M19" s="76"/>
      <c r="N19" s="76"/>
      <c r="O19" s="72"/>
      <c r="P19" s="72"/>
      <c r="Q19" s="72"/>
      <c r="R19" s="72"/>
      <c r="S19" s="72"/>
    </row>
    <row r="20" spans="1:32" ht="15">
      <c r="A20" s="56" t="s">
        <v>337</v>
      </c>
      <c r="B20" s="60">
        <f t="array" ref="B20">IFERROR(
  IF(A20="AÇO CARBONO",
     INDEX('Configurações Máquina de corte'!E:E,
        IF(ISERROR(MATCH(E4,'Configurações Máquina de corte'!A:A,0)),
           MATCH(E4,'Configurações Máquina de corte'!A:A,1)+1,
           MATCH(E4,'Configurações Máquina de corte'!A:A,0)
        )
     ),
  IF(A20="ALUMÍNIO",
     INDEX('Configurações Máquina de corte'!M:M,
        IF(ISERROR(MATCH(E5,'Configurações Máquina de corte'!I:I,0)),
           MATCH(E5,'Configurações Máquina de corte'!I:I,1)+1,
           MATCH(E5,'Configurações Máquina de corte'!I:I,0)
        )
     ),
  IF(OR(A20="INOX",A20="INOX 200 OU 300",A20="INOX 400"),
     INDEX('Configurações Máquina de corte'!U:U,
        IF(ISERROR(MATCH(E6,'Configurações Máquina de corte'!Q:Q,0)),
           MATCH(E6,'Configurações Máquina de corte'!Q:Q,1)+1,
           MATCH(E6,'Configurações Máquina de corte'!Q:Q,0)
        )
     )
  ))),"")</f>
        <v>275</v>
      </c>
      <c r="C20" s="60">
        <f t="array" ref="C20">IFERROR(
  IF(A20="AÇO CARBONO",
     INDEX('Configurações Máquina de corte'!E:E,
        IF(ISERROR(MATCH(E4,'Configurações Máquina de corte'!A:A,0)),
           MATCH(E4,'Configurações Máquina de corte'!A:A,1)+1,
           MATCH(E4,'Configurações Máquina de corte'!A:A,0)
        )
     ),
  IF(A20="ALUMÍNIO",
     INDEX('Configurações Máquina de corte'!M:M,
        IF(ISERROR(MATCH(E5,'Configurações Máquina de corte'!I:I,0)),
           MATCH(E5,'Configurações Máquina de corte'!I:I,1)+1,
           MATCH(E5,'Configurações Máquina de corte'!I:I,0)
        )
     ),
  IF(OR(A20="INOX",A20="INOX 200 OU 300",A20="INOX 400"),
     INDEX('Configurações Máquina de corte'!U:U,
        IF(ISERROR(MATCH(E6,'Configurações Máquina de corte'!Q:Q,0)),
           MATCH(E6,'Configurações Máquina de corte'!Q:Q,1)+1,
           MATCH(E6,'Configurações Máquina de corte'!Q:Q,0)
        )
     )
  ))),"")</f>
        <v>275</v>
      </c>
      <c r="D20" s="64">
        <f t="shared" ref="D20:D25" si="30">ROUNDUP(E12/F12,0)</f>
        <v>1</v>
      </c>
      <c r="E20" s="66">
        <v>60</v>
      </c>
      <c r="F20" s="77">
        <f t="shared" ref="F20:F25" si="31">(E20 * E12)/3600</f>
        <v>1.6666666666666666E-2</v>
      </c>
      <c r="G20" s="63">
        <f t="array" ref="G20">IFERROR(
   D20 *
     IF(A20="AÇO CARBONO",
        INDEX('Configurações Máquina de corte'!B:B,
           IF(ISERROR(MATCH(E4,'Configurações Máquina de corte'!A:A,0)),
              MATCH(E4,'Configurações Máquina de corte'!A:A,1)+1,
              MATCH(E4,'Configurações Máquina de corte'!A:A,0)
           )
        ),
     IF(A20="ALUMÍNIO",
        INDEX('Configurações Máquina de corte'!J:J,
           IF(ISERROR(MATCH(E5,'Configurações Máquina de corte'!I:I,0)),
              MATCH(E5,'Configurações Máquina de corte'!I:I,1)+1,
              MATCH(E5,'Configurações Máquina de corte'!I:I,0)
           )
        ),
     IF(OR(A20="INOX",A20="INOX 200 OU 300",A20="INOX 400"),
        INDEX('Configurações Máquina de corte'!R:R,
           IF(ISERROR(MATCH(E6,'Configurações Máquina de corte'!Q:Q,0)),
              MATCH(E6,'Configurações Máquina de corte'!Q:Q,1)+1,
              MATCH(E6,'Configurações Máquina de corte'!Q:Q,0)
           )
        ),
     0))),
"Verifique Material/Espessura")</f>
        <v>4</v>
      </c>
      <c r="H20" s="77">
        <f t="shared" ref="H20:H25" si="32">F20 + (G20/60)</f>
        <v>8.3333333333333329E-2</v>
      </c>
      <c r="I20" s="60">
        <f t="shared" ref="I20:I25" si="33">B20*H20</f>
        <v>22.916666666666664</v>
      </c>
      <c r="J20" s="47"/>
      <c r="K20" s="76"/>
      <c r="L20" s="76"/>
      <c r="M20" s="76"/>
      <c r="N20" s="76"/>
      <c r="O20" s="72"/>
      <c r="P20" s="72"/>
      <c r="Q20" s="72"/>
      <c r="R20" s="72"/>
      <c r="S20" s="72"/>
    </row>
    <row r="21" spans="1:32" ht="15">
      <c r="A21" s="56" t="s">
        <v>338</v>
      </c>
      <c r="B21" s="60">
        <f t="array" ref="B21">IFERROR(
  IF(A21="AÇO CARBONO",
     INDEX('Configurações Máquina de corte'!E:E,
        IF(ISERROR(MATCH(E5,'Configurações Máquina de corte'!A:A,0)),
           MATCH(E5,'Configurações Máquina de corte'!A:A,1)+1,
           MATCH(E5,'Configurações Máquina de corte'!A:A,0)
        )
     ),
  IF(A21="ALUMÍNIO",
     INDEX('Configurações Máquina de corte'!M:M,
        IF(ISERROR(MATCH(E6,'Configurações Máquina de corte'!I:I,0)),
           MATCH(E6,'Configurações Máquina de corte'!I:I,1)+1,
           MATCH(E6,'Configurações Máquina de corte'!I:I,0)
        )
     ),
  IF(OR(A21="INOX",A21="INOX 200 OU 300",A21="INOX 400"),
     INDEX('Configurações Máquina de corte'!U:U,
        IF(ISERROR(MATCH(E7,'Configurações Máquina de corte'!Q:Q,0)),
           MATCH(E7,'Configurações Máquina de corte'!Q:Q,1)+1,
           MATCH(E7,'Configurações Máquina de corte'!Q:Q,0)
        )
     )
  ))),"")</f>
        <v>275</v>
      </c>
      <c r="C21" s="60">
        <f t="array" ref="C21">IFERROR(
  IF(A21="AÇO CARBONO",
     INDEX('Configurações Máquina de corte'!E:E,
        IF(ISERROR(MATCH(E5,'Configurações Máquina de corte'!A:A,0)),
           MATCH(E5,'Configurações Máquina de corte'!A:A,1)+1,
           MATCH(E5,'Configurações Máquina de corte'!A:A,0)
        )
     ),
  IF(A21="ALUMÍNIO",
     INDEX('Configurações Máquina de corte'!M:M,
        IF(ISERROR(MATCH(E6,'Configurações Máquina de corte'!I:I,0)),
           MATCH(E6,'Configurações Máquina de corte'!I:I,1)+1,
           MATCH(E6,'Configurações Máquina de corte'!I:I,0)
        )
     ),
  IF(OR(A21="INOX",A21="INOX 200 OU 300",A21="INOX 400"),
     INDEX('Configurações Máquina de corte'!U:U,
        IF(ISERROR(MATCH(E7,'Configurações Máquina de corte'!Q:Q,0)),
           MATCH(E7,'Configurações Máquina de corte'!Q:Q,1)+1,
           MATCH(E7,'Configurações Máquina de corte'!Q:Q,0)
        )
     )
  ))),"")</f>
        <v>275</v>
      </c>
      <c r="D21" s="64">
        <f t="shared" si="30"/>
        <v>1</v>
      </c>
      <c r="E21" s="66">
        <v>67</v>
      </c>
      <c r="F21" s="77">
        <f t="shared" si="31"/>
        <v>1.861111111111111E-2</v>
      </c>
      <c r="G21" s="63">
        <f t="array" ref="G21">IFERROR(
   D21 *
     IF(A21="AÇO CARBONO",
        INDEX('Configurações Máquina de corte'!B:B,
           IF(ISERROR(MATCH(E5,'Configurações Máquina de corte'!A:A,0)),
              MATCH(E5,'Configurações Máquina de corte'!A:A,1)+1,
              MATCH(E5,'Configurações Máquina de corte'!A:A,0)
           )
        ),
     IF(A21="ALUMÍNIO",
        INDEX('Configurações Máquina de corte'!J:J,
           IF(ISERROR(MATCH(E6,'Configurações Máquina de corte'!I:I,0)),
              MATCH(E6,'Configurações Máquina de corte'!I:I,1)+1,
              MATCH(E6,'Configurações Máquina de corte'!I:I,0)
           )
        ),
     IF(OR(A21="INOX",A21="INOX 200 OU 300",A21="INOX 400"),
        INDEX('Configurações Máquina de corte'!R:R,
           IF(ISERROR(MATCH(E7,'Configurações Máquina de corte'!Q:Q,0)),
              MATCH(E7,'Configurações Máquina de corte'!Q:Q,1)+1,
              MATCH(E7,'Configurações Máquina de corte'!Q:Q,0)
           )
        ),
     0))),
"Verifique Material/Espessura")</f>
        <v>4</v>
      </c>
      <c r="H21" s="77">
        <f t="shared" si="32"/>
        <v>8.5277777777777772E-2</v>
      </c>
      <c r="I21" s="60">
        <f t="shared" si="33"/>
        <v>23.451388888888886</v>
      </c>
      <c r="J21" s="47"/>
      <c r="K21" s="76"/>
      <c r="L21" s="76"/>
      <c r="M21" s="76"/>
      <c r="N21" s="76"/>
      <c r="O21" s="72"/>
      <c r="P21" s="72"/>
      <c r="Q21" s="72"/>
      <c r="R21" s="72"/>
      <c r="S21" s="72"/>
    </row>
    <row r="22" spans="1:32" ht="15">
      <c r="A22" s="56" t="s">
        <v>339</v>
      </c>
      <c r="B22" s="60">
        <f t="array" ref="B22">IFERROR(
  IF(A22="AÇO CARBONO",
     INDEX('Configurações Máquina de corte'!E:E,
        IF(ISERROR(MATCH(E6,'Configurações Máquina de corte'!A:A,0)),
           MATCH(E6,'Configurações Máquina de corte'!A:A,1)+1,
           MATCH(E6,'Configurações Máquina de corte'!A:A,0)
        )
     ),
  IF(A22="ALUMÍNIO",
     INDEX('Configurações Máquina de corte'!M:M,
        IF(ISERROR(MATCH(E7,'Configurações Máquina de corte'!I:I,0)),
           MATCH(E7,'Configurações Máquina de corte'!I:I,1)+1,
           MATCH(E7,'Configurações Máquina de corte'!I:I,0)
        )
     ),
  IF(OR(A22="INOX",A22="INOX 200 OU 300",A22="INOX 400"),
     INDEX('Configurações Máquina de corte'!U:U,
        IF(ISERROR(MATCH(E8,'Configurações Máquina de corte'!Q:Q,0)),
           MATCH(E8,'Configurações Máquina de corte'!Q:Q,1)+1,
           MATCH(E8,'Configurações Máquina de corte'!Q:Q,0)
        )
     )
  ))),"")</f>
        <v>275</v>
      </c>
      <c r="C22" s="60">
        <f t="array" ref="C22">IFERROR(
  IF(A22="AÇO CARBONO",
     INDEX('Configurações Máquina de corte'!E:E,
        IF(ISERROR(MATCH(E6,'Configurações Máquina de corte'!A:A,0)),
           MATCH(E6,'Configurações Máquina de corte'!A:A,1)+1,
           MATCH(E6,'Configurações Máquina de corte'!A:A,0)
        )
     ),
  IF(A22="ALUMÍNIO",
     INDEX('Configurações Máquina de corte'!M:M,
        IF(ISERROR(MATCH(E7,'Configurações Máquina de corte'!I:I,0)),
           MATCH(E7,'Configurações Máquina de corte'!I:I,1)+1,
           MATCH(E7,'Configurações Máquina de corte'!I:I,0)
        )
     ),
  IF(OR(A22="INOX",A22="INOX 200 OU 300",A22="INOX 400"),
     INDEX('Configurações Máquina de corte'!U:U,
        IF(ISERROR(MATCH(E8,'Configurações Máquina de corte'!Q:Q,0)),
           MATCH(E8,'Configurações Máquina de corte'!Q:Q,1)+1,
           MATCH(E8,'Configurações Máquina de corte'!Q:Q,0)
        )
     )
  ))),"")</f>
        <v>275</v>
      </c>
      <c r="D22" s="64">
        <f t="shared" si="30"/>
        <v>1</v>
      </c>
      <c r="E22" s="66">
        <v>20</v>
      </c>
      <c r="F22" s="77">
        <f t="shared" si="31"/>
        <v>5.5555555555555558E-3</v>
      </c>
      <c r="G22" s="63">
        <f t="array" ref="G22">IFERROR(
   D22 *
     IF(A22="AÇO CARBONO",
        INDEX('Configurações Máquina de corte'!B:B,
           IF(ISERROR(MATCH(E6,'Configurações Máquina de corte'!A:A,0)),
              MATCH(E6,'Configurações Máquina de corte'!A:A,1)+1,
              MATCH(E6,'Configurações Máquina de corte'!A:A,0)
           )
        ),
     IF(A22="ALUMÍNIO",
        INDEX('Configurações Máquina de corte'!J:J,
           IF(ISERROR(MATCH(E7,'Configurações Máquina de corte'!I:I,0)),
              MATCH(E7,'Configurações Máquina de corte'!I:I,1)+1,
              MATCH(E7,'Configurações Máquina de corte'!I:I,0)
           )
        ),
     IF(OR(A22="INOX",A22="INOX 200 OU 300",A22="INOX 400"),
        INDEX('Configurações Máquina de corte'!R:R,
           IF(ISERROR(MATCH(E8,'Configurações Máquina de corte'!Q:Q,0)),
              MATCH(E8,'Configurações Máquina de corte'!Q:Q,1)+1,
              MATCH(E8,'Configurações Máquina de corte'!Q:Q,0)
           )
        ),
     0))),
"Verifique Material/Espessura")</f>
        <v>4</v>
      </c>
      <c r="H22" s="77">
        <f t="shared" si="32"/>
        <v>7.2222222222222215E-2</v>
      </c>
      <c r="I22" s="60">
        <f t="shared" si="33"/>
        <v>19.861111111111111</v>
      </c>
      <c r="J22" s="47"/>
      <c r="K22" s="76"/>
      <c r="L22" s="76"/>
      <c r="M22" s="76"/>
      <c r="N22" s="76"/>
      <c r="O22" s="72"/>
      <c r="P22" s="72"/>
      <c r="Q22" s="72"/>
      <c r="R22" s="72"/>
      <c r="S22" s="72"/>
    </row>
    <row r="23" spans="1:32" ht="15">
      <c r="A23" s="56" t="s">
        <v>340</v>
      </c>
      <c r="B23" s="60">
        <f t="array" ref="B23">IFERROR(
  IF(A23="AÇO CARBONO",
     INDEX('Configurações Máquina de corte'!E:E,
        IF(ISERROR(MATCH(E7,'Configurações Máquina de corte'!A:A,0)),
           MATCH(E7,'Configurações Máquina de corte'!A:A,1)+1,
           MATCH(E7,'Configurações Máquina de corte'!A:A,0)
        )
     ),
  IF(A23="ALUMÍNIO",
     INDEX('Configurações Máquina de corte'!M:M,
        IF(ISERROR(MATCH(E8,'Configurações Máquina de corte'!I:I,0)),
           MATCH(E8,'Configurações Máquina de corte'!I:I,1)+1,
           MATCH(E8,'Configurações Máquina de corte'!I:I,0)
        )
     ),
  IF(OR(A23="INOX",A23="INOX 200 OU 300",A23="INOX 400"),
     INDEX('Configurações Máquina de corte'!U:U,
        IF(ISERROR(MATCH(E9,'Configurações Máquina de corte'!Q:Q,0)),
           MATCH(E9,'Configurações Máquina de corte'!Q:Q,1)+1,
           MATCH(E9,'Configurações Máquina de corte'!Q:Q,0)
        )
     )
  ))),"")</f>
        <v>275</v>
      </c>
      <c r="C23" s="60">
        <f t="array" ref="C23">IFERROR(
  IF(A23="AÇO CARBONO",
     INDEX('Configurações Máquina de corte'!E:E,
        IF(ISERROR(MATCH(E7,'Configurações Máquina de corte'!A:A,0)),
           MATCH(E7,'Configurações Máquina de corte'!A:A,1)+1,
           MATCH(E7,'Configurações Máquina de corte'!A:A,0)
        )
     ),
  IF(A23="ALUMÍNIO",
     INDEX('Configurações Máquina de corte'!M:M,
        IF(ISERROR(MATCH(E8,'Configurações Máquina de corte'!I:I,0)),
           MATCH(E8,'Configurações Máquina de corte'!I:I,1)+1,
           MATCH(E8,'Configurações Máquina de corte'!I:I,0)
        )
     ),
  IF(OR(A23="INOX",A23="INOX 200 OU 300",A23="INOX 400"),
     INDEX('Configurações Máquina de corte'!U:U,
        IF(ISERROR(MATCH(E9,'Configurações Máquina de corte'!Q:Q,0)),
           MATCH(E9,'Configurações Máquina de corte'!Q:Q,1)+1,
           MATCH(E9,'Configurações Máquina de corte'!Q:Q,0)
        )
     )
  ))),"")</f>
        <v>275</v>
      </c>
      <c r="D23" s="64">
        <f t="shared" si="30"/>
        <v>1</v>
      </c>
      <c r="E23" s="66">
        <v>0</v>
      </c>
      <c r="F23" s="77">
        <f t="shared" si="31"/>
        <v>0</v>
      </c>
      <c r="G23" s="63">
        <f t="array" ref="G23">IFERROR(
   D23 *
     IF(A23="AÇO CARBONO",
        INDEX('Configurações Máquina de corte'!B:B,
           IF(ISERROR(MATCH(E7,'Configurações Máquina de corte'!A:A,0)),
              MATCH(E7,'Configurações Máquina de corte'!A:A,1)+1,
              MATCH(E7,'Configurações Máquina de corte'!A:A,0)
           )
        ),
     IF(A23="ALUMÍNIO",
        INDEX('Configurações Máquina de corte'!J:J,
           IF(ISERROR(MATCH(E8,'Configurações Máquina de corte'!I:I,0)),
              MATCH(E8,'Configurações Máquina de corte'!I:I,1)+1,
              MATCH(E8,'Configurações Máquina de corte'!I:I,0)
           )
        ),
     IF(OR(A23="INOX",A23="INOX 200 OU 300",A23="INOX 400"),
        INDEX('Configurações Máquina de corte'!R:R,
           IF(ISERROR(MATCH(E9,'Configurações Máquina de corte'!Q:Q,0)),
              MATCH(E9,'Configurações Máquina de corte'!Q:Q,1)+1,
              MATCH(E9,'Configurações Máquina de corte'!Q:Q,0)
           )
        ),
     0))),
"Verifique Material/Espessura")</f>
        <v>4</v>
      </c>
      <c r="H23" s="77">
        <f t="shared" si="32"/>
        <v>6.6666666666666666E-2</v>
      </c>
      <c r="I23" s="60">
        <f t="shared" si="33"/>
        <v>18.333333333333332</v>
      </c>
      <c r="J23" s="47"/>
      <c r="K23" s="76"/>
      <c r="L23" s="76"/>
      <c r="M23" s="76"/>
      <c r="N23" s="76"/>
      <c r="O23" s="72"/>
      <c r="P23" s="72"/>
      <c r="Q23" s="72"/>
      <c r="R23" s="72"/>
      <c r="S23" s="72"/>
    </row>
    <row r="24" spans="1:32" ht="15">
      <c r="A24" s="56" t="s">
        <v>341</v>
      </c>
      <c r="B24" s="60" t="b">
        <f t="array" ref="B24">IFERROR(
  IF(A24="AÇO CARBONO",
     INDEX('Configurações Máquina de corte'!E:E,
        IF(ISERROR(MATCH(E8,'Configurações Máquina de corte'!A:A,0)),
           MATCH(E8,'Configurações Máquina de corte'!A:A,1)+1,
           MATCH(E8,'Configurações Máquina de corte'!A:A,0)
        )
     ),
  IF(A24="ALUMÍNIO",
     INDEX('Configurações Máquina de corte'!M:M,
        IF(ISERROR(MATCH(E9,'Configurações Máquina de corte'!I:I,0)),
           MATCH(E9,'Configurações Máquina de corte'!I:I,1)+1,
           MATCH(E9,'Configurações Máquina de corte'!I:I,0)
        )
     ),
  IF(OR(A24="INOX",A24="INOX 200 OU 300",A24="INOX400"),
     INDEX('Configurações Máquina de corte'!U:U,
        IF(ISERROR(MATCH(E10,'Configurações Máquina de corte'!Q:Q,0)),
           MATCH(E10,'Configurações Máquina de corte'!Q:Q,1)+1,
           MATCH(E10,'Configurações Máquina de corte'!Q:Q,0)
        )
     )
  ))),"")</f>
        <v>0</v>
      </c>
      <c r="C24" s="60" t="b">
        <f t="array" ref="C24">IFERROR(
  IF(A24="AÇO CARBONO",
     INDEX('Configurações Máquina de corte'!E:E,
        IF(ISERROR(MATCH(E8,'Configurações Máquina de corte'!A:A,0)),
           MATCH(E8,'Configurações Máquina de corte'!A:A,1)+1,
           MATCH(E8,'Configurações Máquina de corte'!A:A,0)
        )
     ),
  IF(A24="ALUMÍNIO",
     INDEX('Configurações Máquina de corte'!M:M,
        IF(ISERROR(MATCH(E9,'Configurações Máquina de corte'!I:I,0)),
           MATCH(E9,'Configurações Máquina de corte'!I:I,1)+1,
           MATCH(E9,'Configurações Máquina de corte'!I:I,0)
        )
     ),
  IF(OR(A24="INOX",A24="INOX 200 OU 300",A24="INOX 400"),
     INDEX('Configurações Máquina de corte'!U:U,
        IF(ISERROR(MATCH(E10,'Configurações Máquina de corte'!Q:Q,0)),
           MATCH(E10,'Configurações Máquina de corte'!Q:Q,1)+1,
           MATCH(E10,'Configurações Máquina de corte'!Q:Q,0)
        )
     )
  ))),"")</f>
        <v>0</v>
      </c>
      <c r="D24" s="64">
        <f t="shared" si="30"/>
        <v>1</v>
      </c>
      <c r="E24" s="66">
        <v>0</v>
      </c>
      <c r="F24" s="77">
        <f t="shared" si="31"/>
        <v>0</v>
      </c>
      <c r="G24" s="63">
        <f t="array" ref="G24">IFERROR(
   D24 *
     IF(A24="AÇO CARBONO",
        INDEX('Configurações Máquina de corte'!B:B,
           IF(ISERROR(MATCH(E8,'Configurações Máquina de corte'!A:A,0)),
              MATCH(E8,'Configurações Máquina de corte'!A:A,1)+1,
              MATCH(E8,'Configurações Máquina de corte'!A:A,0)
           )
        ),
     IF(A24="ALUMÍNIO",
        INDEX('Configurações Máquina de corte'!J:J,
           IF(ISERROR(MATCH(E9,'Configurações Máquina de corte'!I:I,0)),
              MATCH(E9,'Configurações Máquina de corte'!I:I,1)+1,
              MATCH(E9,'Configurações Máquina de corte'!I:I,0)
           )
        ),
     IF(OR(A24="INOX",A24="INOX 200 OU 300",A24="INOX 400"),
        INDEX('Configurações Máquina de corte'!R:R,
           IF(ISERROR(MATCH(E10,'Configurações Máquina de corte'!Q:Q,0)),
              MATCH(E10,'Configurações Máquina de corte'!Q:Q,1)+1,
              MATCH(E10,'Configurações Máquina de corte'!Q:Q,0)
           )
        ),
     0))),
"Verifique Material/Espessura")</f>
        <v>0</v>
      </c>
      <c r="H24" s="77">
        <f t="shared" si="32"/>
        <v>0</v>
      </c>
      <c r="I24" s="60">
        <f t="shared" si="33"/>
        <v>0</v>
      </c>
      <c r="J24" s="47"/>
      <c r="K24" s="76"/>
      <c r="L24" s="76"/>
      <c r="M24" s="76"/>
      <c r="N24" s="76"/>
      <c r="O24" s="72"/>
      <c r="P24" s="72"/>
      <c r="Q24" s="72"/>
      <c r="R24" s="72"/>
      <c r="S24" s="72"/>
    </row>
    <row r="25" spans="1:32" ht="15">
      <c r="A25" s="78" t="s">
        <v>342</v>
      </c>
      <c r="B25" s="60" t="b">
        <f t="array" ref="B25">IFERROR(
  IF(A25="AÇO CARBONO",
     INDEX('Configurações Máquina de corte'!E:E,
        IF(ISERROR(MATCH(E9,'Configurações Máquina de corte'!A:A,0)),
           MATCH(E9,'Configurações Máquina de corte'!A:A,1)+1,
           MATCH(E9,'Configurações Máquina de corte'!A:A,0)
        )
     ),
  IF(A25="ALUMÍNIO",
     INDEX('Configurações Máquina de corte'!M:M,
        IF(ISERROR(MATCH(E10,'Configurações Máquina de corte'!I:I,0)),
           MATCH(E10,'Configurações Máquina de corte'!I:I,1)+1,
           MATCH(E10,'Configurações Máquina de corte'!I:I,0)
        )
     ),
  IF(OR(A25="INOX",A25="INOX 200 OU 300",A25="INOX400"),
     INDEX('Configurações Máquina de corte'!U:U,
        IF(ISERROR(MATCH(E11,'Configurações Máquina de corte'!Q:Q,0)),
           MATCH(E11,'Configurações Máquina de corte'!Q:Q,1)+1,
           MATCH(E11,'Configurações Máquina de corte'!Q:Q,0)
        )
     )
  ))),"")</f>
        <v>0</v>
      </c>
      <c r="C25" s="60" t="b">
        <f t="array" ref="C25">IFERROR(
  IF(A25="AÇO CARBONO",
     INDEX('Configurações Máquina de corte'!E:E,
        IF(ISERROR(MATCH(E9,'Configurações Máquina de corte'!A:A,0)),
           MATCH(E9,'Configurações Máquina de corte'!A:A,1)+1,
           MATCH(E9,'Configurações Máquina de corte'!A:A,0)
        )
     ),
  IF(A25="ALUMÍNIO",
     INDEX('Configurações Máquina de corte'!M:M,
        IF(ISERROR(MATCH(E10,'Configurações Máquina de corte'!I:I,0)),
           MATCH(E10,'Configurações Máquina de corte'!I:I,1)+1,
           MATCH(E10,'Configurações Máquina de corte'!I:I,0)
        )
     ),
  IF(OR(A25="INOX",A25="INOX 200 OU 300",A25="INOX 400"),
     INDEX('Configurações Máquina de corte'!U:U,
        IF(ISERROR(MATCH(E11,'Configurações Máquina de corte'!Q:Q,0)),
           MATCH(E11,'Configurações Máquina de corte'!Q:Q,1)+1,
           MATCH(E11,'Configurações Máquina de corte'!Q:Q,0)
        )
     )
  ))),"")</f>
        <v>0</v>
      </c>
      <c r="D25" s="79">
        <f t="shared" si="30"/>
        <v>1</v>
      </c>
      <c r="E25" s="66">
        <v>0</v>
      </c>
      <c r="F25" s="77">
        <f t="shared" si="31"/>
        <v>0</v>
      </c>
      <c r="G25" s="63">
        <f t="array" ref="G25">IFERROR(
   D25 *
     IF(A25="AÇO CARBONO",
        INDEX('Configurações Máquina de corte'!B:B,
           IF(ISERROR(MATCH(E9,'Configurações Máquina de corte'!A:A,0)),
              MATCH(E9,'Configurações Máquina de corte'!A:A,1)+1,
              MATCH(E9,'Configurações Máquina de corte'!A:A,0)
           )
        ),
     IF(A25="ALUMÍNIO",
        INDEX('Configurações Máquina de corte'!J:J,
           IF(ISERROR(MATCH(E10,'Configurações Máquina de corte'!I:I,0)),
              MATCH(E10,'Configurações Máquina de corte'!I:I,1)+1,
              MATCH(E10,'Configurações Máquina de corte'!I:I,0)
           )
        ),
     IF(OR(A25="INOX",A25="INOX 200 OU 300",A25="INOX 400"),
        INDEX('Configurações Máquina de corte'!R:R,
           IF(ISERROR(MATCH(E11,'Configurações Máquina de corte'!Q:Q,0)),
              MATCH(E11,'Configurações Máquina de corte'!Q:Q,1)+1,
              MATCH(E11,'Configurações Máquina de corte'!Q:Q,0)
           )
        ),
     0))),
"Verifique Material/Espessura")</f>
        <v>0</v>
      </c>
      <c r="H25" s="77">
        <f t="shared" si="32"/>
        <v>0</v>
      </c>
      <c r="I25" s="60">
        <f t="shared" si="33"/>
        <v>0</v>
      </c>
      <c r="J25" s="47"/>
      <c r="K25" s="76"/>
      <c r="L25" s="76"/>
      <c r="M25" s="76"/>
      <c r="N25" s="76"/>
      <c r="O25" s="72"/>
      <c r="P25" s="72"/>
      <c r="Q25" s="72"/>
      <c r="R25" s="72"/>
      <c r="S25" s="72"/>
    </row>
    <row r="26" spans="1:32" ht="17.25">
      <c r="A26" s="100" t="s">
        <v>357</v>
      </c>
      <c r="B26" s="101"/>
      <c r="C26" s="101"/>
      <c r="D26" s="101"/>
      <c r="E26" s="101"/>
      <c r="F26" s="101"/>
      <c r="G26" s="101"/>
      <c r="H26" s="101"/>
      <c r="I26" s="101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2" ht="59.25" customHeight="1">
      <c r="A27" s="80" t="s">
        <v>102</v>
      </c>
      <c r="B27" s="80" t="s">
        <v>358</v>
      </c>
      <c r="C27" s="80" t="s">
        <v>353</v>
      </c>
      <c r="D27" s="53" t="s">
        <v>331</v>
      </c>
      <c r="E27" s="53" t="s">
        <v>332</v>
      </c>
      <c r="F27" s="80" t="s">
        <v>333</v>
      </c>
      <c r="G27" s="80" t="s">
        <v>359</v>
      </c>
      <c r="H27" s="80" t="s">
        <v>360</v>
      </c>
      <c r="I27" s="80" t="s">
        <v>361</v>
      </c>
      <c r="J27" s="47"/>
      <c r="K27" s="47"/>
      <c r="L27" s="47"/>
      <c r="M27" s="47"/>
      <c r="N27" s="47"/>
      <c r="O27" s="47"/>
      <c r="P27" s="47"/>
      <c r="Q27" s="47"/>
      <c r="R27" s="47"/>
      <c r="S27" s="47"/>
    </row>
    <row r="28" spans="1:32" ht="15">
      <c r="A28" s="56" t="s">
        <v>337</v>
      </c>
      <c r="B28" s="60">
        <v>200</v>
      </c>
      <c r="C28" s="81">
        <f t="shared" ref="C28:C33" si="34">B28*0.5</f>
        <v>100</v>
      </c>
      <c r="D28" s="65">
        <v>4</v>
      </c>
      <c r="E28" s="66">
        <v>30</v>
      </c>
      <c r="F28" s="64">
        <f t="shared" ref="F28:F33" si="35">E12</f>
        <v>1</v>
      </c>
      <c r="G28" s="63">
        <v>10</v>
      </c>
      <c r="H28" s="63">
        <f t="shared" ref="H28:H33" si="36">(D28*E28)/3600 +(F28*G28)/60</f>
        <v>0.19999999999999998</v>
      </c>
      <c r="I28" s="63">
        <f t="shared" ref="I28:I33" si="37">H28*B28</f>
        <v>40</v>
      </c>
    </row>
    <row r="29" spans="1:32" ht="15">
      <c r="A29" s="56" t="s">
        <v>338</v>
      </c>
      <c r="B29" s="60">
        <v>300</v>
      </c>
      <c r="C29" s="81">
        <f t="shared" si="34"/>
        <v>150</v>
      </c>
      <c r="D29" s="65">
        <v>4</v>
      </c>
      <c r="E29" s="66">
        <v>30</v>
      </c>
      <c r="F29" s="64">
        <f t="shared" si="35"/>
        <v>1</v>
      </c>
      <c r="G29" s="63">
        <v>10</v>
      </c>
      <c r="H29" s="63">
        <f t="shared" si="36"/>
        <v>0.19999999999999998</v>
      </c>
      <c r="I29" s="63">
        <f t="shared" si="37"/>
        <v>59.999999999999993</v>
      </c>
      <c r="J29" s="76"/>
      <c r="K29" s="76"/>
      <c r="L29" s="76"/>
      <c r="M29" s="76"/>
      <c r="N29" s="76"/>
      <c r="O29" s="72"/>
      <c r="P29" s="72"/>
      <c r="Q29" s="72"/>
      <c r="R29" s="72"/>
      <c r="S29" s="72"/>
    </row>
    <row r="30" spans="1:32" ht="15">
      <c r="A30" s="56" t="s">
        <v>339</v>
      </c>
      <c r="B30" s="60">
        <v>200</v>
      </c>
      <c r="C30" s="81">
        <f t="shared" si="34"/>
        <v>100</v>
      </c>
      <c r="D30" s="65">
        <v>0</v>
      </c>
      <c r="E30" s="66">
        <v>0</v>
      </c>
      <c r="F30" s="64">
        <f t="shared" si="35"/>
        <v>1</v>
      </c>
      <c r="G30" s="63">
        <v>0</v>
      </c>
      <c r="H30" s="63">
        <f t="shared" si="36"/>
        <v>0</v>
      </c>
      <c r="I30" s="63">
        <f t="shared" si="37"/>
        <v>0</v>
      </c>
      <c r="J30" s="76"/>
      <c r="K30" s="76"/>
      <c r="L30" s="76"/>
      <c r="M30" s="76"/>
      <c r="N30" s="76"/>
      <c r="O30" s="72"/>
      <c r="P30" s="72"/>
      <c r="Q30" s="72"/>
      <c r="R30" s="72"/>
      <c r="S30" s="72"/>
    </row>
    <row r="31" spans="1:32" ht="15">
      <c r="A31" s="56" t="s">
        <v>340</v>
      </c>
      <c r="B31" s="60">
        <v>200</v>
      </c>
      <c r="C31" s="81">
        <f t="shared" si="34"/>
        <v>100</v>
      </c>
      <c r="D31" s="65">
        <v>1</v>
      </c>
      <c r="E31" s="66">
        <v>0</v>
      </c>
      <c r="F31" s="64">
        <f t="shared" si="35"/>
        <v>100</v>
      </c>
      <c r="G31" s="63">
        <v>0</v>
      </c>
      <c r="H31" s="63">
        <f t="shared" si="36"/>
        <v>0</v>
      </c>
      <c r="I31" s="63">
        <f t="shared" si="37"/>
        <v>0</v>
      </c>
      <c r="J31" s="76"/>
      <c r="K31" s="76"/>
      <c r="L31" s="76"/>
      <c r="M31" s="76"/>
      <c r="N31" s="76"/>
      <c r="O31" s="72"/>
      <c r="P31" s="72"/>
      <c r="Q31" s="72"/>
      <c r="R31" s="72"/>
      <c r="S31" s="72"/>
    </row>
    <row r="32" spans="1:32" ht="15">
      <c r="A32" s="56" t="s">
        <v>341</v>
      </c>
      <c r="B32" s="60">
        <v>200</v>
      </c>
      <c r="C32" s="81">
        <f t="shared" si="34"/>
        <v>100</v>
      </c>
      <c r="D32" s="65">
        <v>1</v>
      </c>
      <c r="E32" s="66">
        <v>0</v>
      </c>
      <c r="F32" s="64">
        <f t="shared" si="35"/>
        <v>1</v>
      </c>
      <c r="G32" s="63">
        <v>0</v>
      </c>
      <c r="H32" s="63">
        <f t="shared" si="36"/>
        <v>0</v>
      </c>
      <c r="I32" s="63">
        <f t="shared" si="37"/>
        <v>0</v>
      </c>
      <c r="J32" s="76"/>
      <c r="K32" s="76"/>
      <c r="L32" s="76"/>
      <c r="M32" s="76"/>
      <c r="N32" s="76"/>
      <c r="O32" s="72"/>
      <c r="P32" s="72"/>
      <c r="Q32" s="72"/>
      <c r="R32" s="72"/>
      <c r="S32" s="72"/>
    </row>
    <row r="33" spans="1:32" ht="15">
      <c r="A33" s="56" t="s">
        <v>342</v>
      </c>
      <c r="B33" s="60">
        <v>200</v>
      </c>
      <c r="C33" s="81">
        <f t="shared" si="34"/>
        <v>100</v>
      </c>
      <c r="D33" s="65">
        <v>1</v>
      </c>
      <c r="E33" s="66">
        <v>0</v>
      </c>
      <c r="F33" s="64">
        <f t="shared" si="35"/>
        <v>1</v>
      </c>
      <c r="G33" s="63">
        <v>0</v>
      </c>
      <c r="H33" s="63">
        <f t="shared" si="36"/>
        <v>0</v>
      </c>
      <c r="I33" s="63">
        <f t="shared" si="37"/>
        <v>0</v>
      </c>
      <c r="J33" s="76"/>
      <c r="K33" s="76"/>
      <c r="L33" s="76"/>
      <c r="M33" s="76"/>
      <c r="N33" s="76"/>
      <c r="O33" s="72"/>
      <c r="P33" s="72"/>
      <c r="Q33" s="72"/>
      <c r="R33" s="72"/>
      <c r="S33" s="72"/>
    </row>
    <row r="34" spans="1:32" ht="17.25">
      <c r="A34" s="103" t="s">
        <v>362</v>
      </c>
      <c r="B34" s="104"/>
      <c r="C34" s="104"/>
      <c r="D34" s="104"/>
      <c r="E34" s="104"/>
      <c r="F34" s="104"/>
      <c r="G34" s="104"/>
      <c r="H34" s="104"/>
      <c r="I34" s="104"/>
      <c r="J34" s="72"/>
      <c r="K34" s="72"/>
      <c r="L34" s="72"/>
      <c r="M34" s="72"/>
      <c r="N34" s="72"/>
      <c r="O34" s="72"/>
      <c r="P34" s="72"/>
      <c r="Q34" s="72"/>
      <c r="R34" s="72"/>
      <c r="S34" s="72"/>
    </row>
    <row r="35" spans="1:32" ht="94.5">
      <c r="A35" s="48" t="s">
        <v>102</v>
      </c>
      <c r="B35" s="48" t="s">
        <v>363</v>
      </c>
      <c r="C35" s="48" t="s">
        <v>364</v>
      </c>
      <c r="D35" s="48" t="s">
        <v>365</v>
      </c>
      <c r="E35" s="48" t="s">
        <v>366</v>
      </c>
      <c r="F35" s="48" t="s">
        <v>367</v>
      </c>
      <c r="G35" s="48" t="s">
        <v>368</v>
      </c>
      <c r="H35" s="48" t="s">
        <v>350</v>
      </c>
      <c r="I35" s="48" t="s">
        <v>369</v>
      </c>
      <c r="J35" s="82"/>
      <c r="K35" s="82"/>
      <c r="L35" s="8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</row>
    <row r="36" spans="1:32" ht="15">
      <c r="A36" s="56" t="s">
        <v>337</v>
      </c>
      <c r="B36" s="60">
        <f t="shared" ref="B36:B41" si="38">F36/E12</f>
        <v>22.916666666666664</v>
      </c>
      <c r="C36" s="60">
        <f t="shared" ref="C36:C41" si="39">I28/E12</f>
        <v>40</v>
      </c>
      <c r="D36" s="60">
        <f t="shared" ref="D36:D41" si="40">H36/E12</f>
        <v>203.41287000000003</v>
      </c>
      <c r="E36" s="60">
        <f t="shared" ref="E36:E41" si="41">B36+C36+D36</f>
        <v>266.32953666666668</v>
      </c>
      <c r="F36" s="60">
        <f t="shared" ref="F36:F41" si="42">I20</f>
        <v>22.916666666666664</v>
      </c>
      <c r="G36" s="60">
        <f t="shared" ref="G36:G41" si="43">I28</f>
        <v>40</v>
      </c>
      <c r="H36" s="60">
        <f t="shared" ref="H36:H41" si="44">J12</f>
        <v>203.41287000000003</v>
      </c>
      <c r="I36" s="62">
        <f t="shared" ref="I36:I41" si="45">H36+G36+F36</f>
        <v>266.32953666666668</v>
      </c>
      <c r="J36" s="82"/>
      <c r="K36" s="8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</row>
    <row r="37" spans="1:32" ht="15">
      <c r="A37" s="56" t="s">
        <v>338</v>
      </c>
      <c r="B37" s="60">
        <f t="shared" si="38"/>
        <v>23.451388888888886</v>
      </c>
      <c r="C37" s="60">
        <f t="shared" si="39"/>
        <v>59.999999999999993</v>
      </c>
      <c r="D37" s="60">
        <f t="shared" si="40"/>
        <v>1699.4880000000001</v>
      </c>
      <c r="E37" s="60">
        <f t="shared" si="41"/>
        <v>1782.939388888889</v>
      </c>
      <c r="F37" s="60">
        <f t="shared" si="42"/>
        <v>23.451388888888886</v>
      </c>
      <c r="G37" s="60">
        <f t="shared" si="43"/>
        <v>59.999999999999993</v>
      </c>
      <c r="H37" s="60">
        <f t="shared" si="44"/>
        <v>1699.4880000000001</v>
      </c>
      <c r="I37" s="62">
        <f t="shared" si="45"/>
        <v>1782.939388888889</v>
      </c>
      <c r="J37" s="82"/>
      <c r="K37" s="8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</row>
    <row r="38" spans="1:32" ht="15">
      <c r="A38" s="56" t="s">
        <v>339</v>
      </c>
      <c r="B38" s="60">
        <f t="shared" si="38"/>
        <v>19.861111111111111</v>
      </c>
      <c r="C38" s="60">
        <f t="shared" si="39"/>
        <v>0</v>
      </c>
      <c r="D38" s="60">
        <f t="shared" si="40"/>
        <v>176.06400000000002</v>
      </c>
      <c r="E38" s="60">
        <f t="shared" si="41"/>
        <v>195.92511111111114</v>
      </c>
      <c r="F38" s="60">
        <f t="shared" si="42"/>
        <v>19.861111111111111</v>
      </c>
      <c r="G38" s="60">
        <f t="shared" si="43"/>
        <v>0</v>
      </c>
      <c r="H38" s="60">
        <f t="shared" si="44"/>
        <v>176.06400000000002</v>
      </c>
      <c r="I38" s="62">
        <f t="shared" si="45"/>
        <v>195.92511111111114</v>
      </c>
      <c r="J38" s="82"/>
      <c r="K38" s="8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</row>
    <row r="39" spans="1:32" ht="15">
      <c r="A39" s="56" t="s">
        <v>340</v>
      </c>
      <c r="B39" s="60">
        <f t="shared" si="38"/>
        <v>0.18333333333333332</v>
      </c>
      <c r="C39" s="60">
        <f t="shared" si="39"/>
        <v>0</v>
      </c>
      <c r="D39" s="60">
        <f t="shared" si="40"/>
        <v>29.993760000000002</v>
      </c>
      <c r="E39" s="60">
        <f t="shared" si="41"/>
        <v>30.177093333333335</v>
      </c>
      <c r="F39" s="60">
        <f t="shared" si="42"/>
        <v>18.333333333333332</v>
      </c>
      <c r="G39" s="60">
        <f t="shared" si="43"/>
        <v>0</v>
      </c>
      <c r="H39" s="60">
        <f t="shared" si="44"/>
        <v>2999.3760000000002</v>
      </c>
      <c r="I39" s="62">
        <f t="shared" si="45"/>
        <v>3017.7093333333337</v>
      </c>
      <c r="J39" s="82"/>
      <c r="K39" s="8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</row>
    <row r="40" spans="1:32" ht="15">
      <c r="A40" s="56" t="s">
        <v>341</v>
      </c>
      <c r="B40" s="60">
        <f t="shared" si="38"/>
        <v>0</v>
      </c>
      <c r="C40" s="60">
        <f t="shared" si="39"/>
        <v>0</v>
      </c>
      <c r="D40" s="60">
        <f t="shared" si="40"/>
        <v>553.31999999999994</v>
      </c>
      <c r="E40" s="60">
        <f t="shared" si="41"/>
        <v>553.31999999999994</v>
      </c>
      <c r="F40" s="60">
        <f t="shared" si="42"/>
        <v>0</v>
      </c>
      <c r="G40" s="60">
        <f t="shared" si="43"/>
        <v>0</v>
      </c>
      <c r="H40" s="60">
        <f t="shared" si="44"/>
        <v>553.31999999999994</v>
      </c>
      <c r="I40" s="62">
        <f t="shared" si="45"/>
        <v>553.31999999999994</v>
      </c>
      <c r="J40" s="82"/>
      <c r="K40" s="8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</row>
    <row r="41" spans="1:32" ht="15">
      <c r="A41" s="56" t="s">
        <v>342</v>
      </c>
      <c r="B41" s="60">
        <f t="shared" si="38"/>
        <v>0</v>
      </c>
      <c r="C41" s="60">
        <f t="shared" si="39"/>
        <v>0</v>
      </c>
      <c r="D41" s="60">
        <f t="shared" si="40"/>
        <v>569.85600000000011</v>
      </c>
      <c r="E41" s="60">
        <f t="shared" si="41"/>
        <v>569.85600000000011</v>
      </c>
      <c r="F41" s="60">
        <f t="shared" si="42"/>
        <v>0</v>
      </c>
      <c r="G41" s="60">
        <f t="shared" si="43"/>
        <v>0</v>
      </c>
      <c r="H41" s="60">
        <f t="shared" si="44"/>
        <v>569.85600000000011</v>
      </c>
      <c r="I41" s="62">
        <f t="shared" si="45"/>
        <v>569.85600000000011</v>
      </c>
      <c r="J41" s="82"/>
      <c r="K41" s="8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</row>
    <row r="42" spans="1:32" ht="12.75">
      <c r="A42" s="105"/>
      <c r="B42" s="106"/>
      <c r="C42" s="106"/>
      <c r="D42" s="106"/>
      <c r="E42" s="106"/>
      <c r="F42" s="106"/>
      <c r="G42" s="106"/>
      <c r="H42" s="106"/>
      <c r="I42" s="107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</row>
  </sheetData>
  <mergeCells count="7">
    <mergeCell ref="A34:I34"/>
    <mergeCell ref="A42:I42"/>
    <mergeCell ref="G1:I1"/>
    <mergeCell ref="A2:H2"/>
    <mergeCell ref="A10:J10"/>
    <mergeCell ref="A18:J18"/>
    <mergeCell ref="A26:I26"/>
  </mergeCells>
  <pageMargins left="0.511811024" right="0.511811024" top="0.78740157499999996" bottom="0.78740157499999996" header="0.31496062000000002" footer="0.31496062000000002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1012"/>
  <sheetViews>
    <sheetView topLeftCell="C1" workbookViewId="0">
      <selection activeCell="C11" sqref="C11"/>
    </sheetView>
  </sheetViews>
  <sheetFormatPr defaultColWidth="12.5703125" defaultRowHeight="15.75" customHeight="1"/>
  <cols>
    <col min="1" max="1" width="21.5703125" bestFit="1" customWidth="1"/>
    <col min="2" max="2" width="35.140625" bestFit="1" customWidth="1"/>
    <col min="3" max="3" width="37.140625" bestFit="1" customWidth="1"/>
    <col min="4" max="4" width="12.42578125" customWidth="1"/>
    <col min="5" max="5" width="12.42578125" bestFit="1" customWidth="1"/>
    <col min="6" max="6" width="12" bestFit="1" customWidth="1"/>
    <col min="9" max="9" width="21.5703125" bestFit="1" customWidth="1"/>
    <col min="10" max="10" width="35.140625" bestFit="1" customWidth="1"/>
    <col min="11" max="11" width="37.140625" bestFit="1" customWidth="1"/>
    <col min="12" max="13" width="12.42578125" bestFit="1" customWidth="1"/>
    <col min="14" max="14" width="12" bestFit="1" customWidth="1"/>
    <col min="17" max="17" width="21.5703125" bestFit="1" customWidth="1"/>
    <col min="18" max="18" width="35.140625" bestFit="1" customWidth="1"/>
    <col min="19" max="19" width="37.140625" bestFit="1" customWidth="1"/>
    <col min="20" max="21" width="12.42578125" bestFit="1" customWidth="1"/>
    <col min="22" max="22" width="12" bestFit="1" customWidth="1"/>
  </cols>
  <sheetData>
    <row r="1" spans="1:22" ht="24">
      <c r="A1" s="108" t="s">
        <v>337</v>
      </c>
      <c r="B1" s="109"/>
      <c r="C1" s="109"/>
      <c r="D1" s="110"/>
      <c r="E1" s="83"/>
      <c r="F1" s="84"/>
      <c r="J1" s="111" t="s">
        <v>338</v>
      </c>
      <c r="K1" s="112"/>
      <c r="L1" s="112"/>
      <c r="M1" s="113"/>
      <c r="N1" s="84"/>
      <c r="O1" s="85"/>
      <c r="R1" s="114" t="s">
        <v>339</v>
      </c>
      <c r="S1" s="112"/>
      <c r="T1" s="112"/>
      <c r="U1" s="113"/>
      <c r="V1" s="84"/>
    </row>
    <row r="2" spans="1:22" ht="72">
      <c r="A2" s="86" t="s">
        <v>370</v>
      </c>
      <c r="B2" s="86" t="s">
        <v>371</v>
      </c>
      <c r="C2" s="86" t="s">
        <v>372</v>
      </c>
      <c r="D2" s="87" t="s">
        <v>373</v>
      </c>
      <c r="E2" s="88" t="s">
        <v>374</v>
      </c>
      <c r="F2" s="88" t="s">
        <v>318</v>
      </c>
      <c r="I2" s="86" t="s">
        <v>370</v>
      </c>
      <c r="J2" s="86" t="s">
        <v>371</v>
      </c>
      <c r="K2" s="86" t="s">
        <v>372</v>
      </c>
      <c r="L2" s="87" t="s">
        <v>373</v>
      </c>
      <c r="M2" s="88" t="s">
        <v>374</v>
      </c>
      <c r="N2" s="88" t="s">
        <v>318</v>
      </c>
      <c r="Q2" s="86" t="s">
        <v>370</v>
      </c>
      <c r="R2" s="86" t="s">
        <v>371</v>
      </c>
      <c r="S2" s="86" t="s">
        <v>372</v>
      </c>
      <c r="T2" s="87" t="s">
        <v>373</v>
      </c>
      <c r="U2" s="88" t="s">
        <v>374</v>
      </c>
      <c r="V2" s="88" t="s">
        <v>318</v>
      </c>
    </row>
    <row r="3" spans="1:22" ht="20.25">
      <c r="A3" s="89">
        <v>1</v>
      </c>
      <c r="B3" s="90">
        <v>4</v>
      </c>
      <c r="C3" s="91">
        <v>1</v>
      </c>
      <c r="D3" s="92">
        <v>190</v>
      </c>
      <c r="E3" s="93">
        <f t="shared" ref="E3:E4" si="0">$L$21*0.9091</f>
        <v>250.0025</v>
      </c>
      <c r="F3" s="93">
        <f>'Tabelas para cálculos'!$G$4 * 1.3</f>
        <v>9.23</v>
      </c>
      <c r="I3" s="89">
        <v>1</v>
      </c>
      <c r="J3" s="90">
        <v>4</v>
      </c>
      <c r="K3" s="91">
        <v>1</v>
      </c>
      <c r="L3" s="91">
        <v>120</v>
      </c>
      <c r="M3" s="93">
        <f t="shared" ref="M3:M9" si="1">$L$21</f>
        <v>275</v>
      </c>
      <c r="N3" s="93">
        <f>'Tabelas para cálculos'!$G$5 * 1.3</f>
        <v>52</v>
      </c>
      <c r="Q3" s="89">
        <v>1</v>
      </c>
      <c r="R3" s="90">
        <v>4</v>
      </c>
      <c r="S3" s="91">
        <v>1</v>
      </c>
      <c r="T3" s="92">
        <v>120</v>
      </c>
      <c r="U3" s="93">
        <f t="shared" ref="U3:U11" si="2">$L$21</f>
        <v>275</v>
      </c>
      <c r="V3" s="93">
        <f>'Tabelas para cálculos'!$G$6 * 1.3</f>
        <v>33.800000000000004</v>
      </c>
    </row>
    <row r="4" spans="1:22" ht="20.25">
      <c r="A4" s="89">
        <v>1.8</v>
      </c>
      <c r="B4" s="90">
        <v>4</v>
      </c>
      <c r="C4" s="91">
        <v>1</v>
      </c>
      <c r="D4" s="92">
        <v>190</v>
      </c>
      <c r="E4" s="93">
        <f t="shared" si="0"/>
        <v>250.0025</v>
      </c>
      <c r="F4" s="93">
        <f>'Tabelas para cálculos'!$G$4 * 1.325</f>
        <v>9.4074999999999989</v>
      </c>
      <c r="I4" s="89">
        <v>1.4</v>
      </c>
      <c r="J4" s="90">
        <v>4</v>
      </c>
      <c r="K4" s="91">
        <v>1</v>
      </c>
      <c r="L4" s="91">
        <v>120</v>
      </c>
      <c r="M4" s="93">
        <f t="shared" si="1"/>
        <v>275</v>
      </c>
      <c r="N4" s="93">
        <f>'Tabelas para cálculos'!$G$5 * 1.3</f>
        <v>52</v>
      </c>
      <c r="Q4" s="89">
        <v>1.4</v>
      </c>
      <c r="R4" s="90">
        <v>4</v>
      </c>
      <c r="S4" s="91">
        <v>1</v>
      </c>
      <c r="T4" s="92">
        <v>120</v>
      </c>
      <c r="U4" s="93">
        <f t="shared" si="2"/>
        <v>275</v>
      </c>
      <c r="V4" s="93">
        <f>'Tabelas para cálculos'!$G$6 * 1.3</f>
        <v>33.800000000000004</v>
      </c>
    </row>
    <row r="5" spans="1:22" ht="20.25">
      <c r="A5" s="89">
        <v>2</v>
      </c>
      <c r="B5" s="90">
        <v>4</v>
      </c>
      <c r="C5" s="91">
        <v>1</v>
      </c>
      <c r="D5" s="92">
        <v>45</v>
      </c>
      <c r="E5" s="93">
        <f t="shared" ref="E5:E27" si="3">$L$21*1</f>
        <v>275</v>
      </c>
      <c r="F5" s="93">
        <f>'Tabelas para cálculos'!$G$4 * 1.325</f>
        <v>9.4074999999999989</v>
      </c>
      <c r="I5" s="89">
        <v>2</v>
      </c>
      <c r="J5" s="90">
        <v>4</v>
      </c>
      <c r="K5" s="91">
        <v>1</v>
      </c>
      <c r="L5" s="91">
        <v>70</v>
      </c>
      <c r="M5" s="93">
        <f t="shared" si="1"/>
        <v>275</v>
      </c>
      <c r="N5" s="93">
        <f>'Tabelas para cálculos'!$G$5 * 1.325</f>
        <v>53</v>
      </c>
      <c r="Q5" s="89">
        <v>2</v>
      </c>
      <c r="R5" s="90">
        <v>4</v>
      </c>
      <c r="S5" s="91">
        <v>1</v>
      </c>
      <c r="T5" s="92">
        <v>70</v>
      </c>
      <c r="U5" s="93">
        <f t="shared" si="2"/>
        <v>275</v>
      </c>
      <c r="V5" s="93">
        <f>'Tabelas para cálculos'!$G$6 * 1.325</f>
        <v>34.449999999999996</v>
      </c>
    </row>
    <row r="6" spans="1:22" ht="20.25">
      <c r="A6" s="89">
        <v>2.4</v>
      </c>
      <c r="B6" s="90">
        <v>4</v>
      </c>
      <c r="C6" s="91">
        <v>1</v>
      </c>
      <c r="D6" s="92">
        <v>45</v>
      </c>
      <c r="E6" s="93">
        <f t="shared" si="3"/>
        <v>275</v>
      </c>
      <c r="F6" s="93">
        <f>'Tabelas para cálculos'!$G$4 * 1.325</f>
        <v>9.4074999999999989</v>
      </c>
      <c r="I6" s="89">
        <v>2.4</v>
      </c>
      <c r="J6" s="90">
        <v>4</v>
      </c>
      <c r="K6" s="91">
        <v>1</v>
      </c>
      <c r="L6" s="91">
        <v>42</v>
      </c>
      <c r="M6" s="93">
        <f t="shared" si="1"/>
        <v>275</v>
      </c>
      <c r="N6" s="93">
        <f>'Tabelas para cálculos'!$G$5 * 1.325</f>
        <v>53</v>
      </c>
      <c r="Q6" s="89">
        <v>3</v>
      </c>
      <c r="R6" s="90">
        <v>4</v>
      </c>
      <c r="S6" s="91">
        <v>1</v>
      </c>
      <c r="T6" s="92">
        <v>42</v>
      </c>
      <c r="U6" s="93">
        <f t="shared" si="2"/>
        <v>275</v>
      </c>
      <c r="V6" s="93">
        <f>'Tabelas para cálculos'!$G$6*1.35</f>
        <v>35.1</v>
      </c>
    </row>
    <row r="7" spans="1:22" ht="20.25">
      <c r="A7" s="89">
        <v>3</v>
      </c>
      <c r="B7" s="90">
        <v>4</v>
      </c>
      <c r="C7" s="91">
        <v>1</v>
      </c>
      <c r="D7" s="92">
        <v>41</v>
      </c>
      <c r="E7" s="93">
        <f t="shared" si="3"/>
        <v>275</v>
      </c>
      <c r="F7" s="93">
        <f>'Tabelas para cálculos'!$G$4*1.35</f>
        <v>9.5850000000000009</v>
      </c>
      <c r="I7" s="89">
        <v>3</v>
      </c>
      <c r="J7" s="90">
        <v>4</v>
      </c>
      <c r="K7" s="91">
        <v>1</v>
      </c>
      <c r="L7" s="91">
        <v>42</v>
      </c>
      <c r="M7" s="93">
        <f t="shared" si="1"/>
        <v>275</v>
      </c>
      <c r="N7" s="93">
        <f>'Tabelas para cálculos'!$G$5*1.4</f>
        <v>56</v>
      </c>
      <c r="Q7" s="89">
        <v>3</v>
      </c>
      <c r="R7" s="90">
        <v>4</v>
      </c>
      <c r="S7" s="91">
        <v>1</v>
      </c>
      <c r="T7" s="92">
        <v>42</v>
      </c>
      <c r="U7" s="93">
        <f t="shared" si="2"/>
        <v>275</v>
      </c>
      <c r="V7" s="93">
        <f>'Tabelas para cálculos'!$G$6*1.35</f>
        <v>35.1</v>
      </c>
    </row>
    <row r="8" spans="1:22" ht="20.25">
      <c r="A8" s="89">
        <v>3.4</v>
      </c>
      <c r="B8" s="90">
        <v>4</v>
      </c>
      <c r="C8" s="91">
        <v>1</v>
      </c>
      <c r="D8" s="92">
        <v>41</v>
      </c>
      <c r="E8" s="93">
        <f t="shared" si="3"/>
        <v>275</v>
      </c>
      <c r="F8" s="93">
        <f>'Tabelas para cálculos'!$G$4*1.35</f>
        <v>9.5850000000000009</v>
      </c>
      <c r="I8" s="89">
        <v>3.4</v>
      </c>
      <c r="J8" s="90">
        <v>4</v>
      </c>
      <c r="K8" s="91">
        <v>1</v>
      </c>
      <c r="L8" s="91">
        <v>42</v>
      </c>
      <c r="M8" s="93">
        <f t="shared" si="1"/>
        <v>275</v>
      </c>
      <c r="N8" s="93">
        <f>'Tabelas para cálculos'!$G$5*1.4</f>
        <v>56</v>
      </c>
      <c r="Q8" s="89">
        <v>3.4</v>
      </c>
      <c r="R8" s="90">
        <v>4</v>
      </c>
      <c r="S8" s="91">
        <v>1</v>
      </c>
      <c r="T8" s="92">
        <v>42</v>
      </c>
      <c r="U8" s="93">
        <f t="shared" si="2"/>
        <v>275</v>
      </c>
      <c r="V8" s="93">
        <f>'Tabelas para cálculos'!$G$6*1.35</f>
        <v>35.1</v>
      </c>
    </row>
    <row r="9" spans="1:22" ht="20.25">
      <c r="A9" s="89">
        <v>4</v>
      </c>
      <c r="B9" s="90">
        <v>6</v>
      </c>
      <c r="C9" s="91">
        <v>2</v>
      </c>
      <c r="D9" s="92">
        <v>32</v>
      </c>
      <c r="E9" s="93">
        <f t="shared" si="3"/>
        <v>275</v>
      </c>
      <c r="F9" s="93">
        <f>'Tabelas para cálculos'!$G$4 * 1.375</f>
        <v>9.7624999999999993</v>
      </c>
      <c r="I9" s="89">
        <v>4</v>
      </c>
      <c r="J9" s="90">
        <v>6</v>
      </c>
      <c r="K9" s="91">
        <v>2</v>
      </c>
      <c r="L9" s="91">
        <v>30</v>
      </c>
      <c r="M9" s="93">
        <f t="shared" si="1"/>
        <v>275</v>
      </c>
      <c r="N9" s="93">
        <f>'Tabelas para cálculos'!$G$5*1.425</f>
        <v>57</v>
      </c>
      <c r="Q9" s="89">
        <v>4</v>
      </c>
      <c r="R9" s="90">
        <v>6</v>
      </c>
      <c r="S9" s="91">
        <v>2</v>
      </c>
      <c r="T9" s="92">
        <v>30</v>
      </c>
      <c r="U9" s="93">
        <f t="shared" si="2"/>
        <v>275</v>
      </c>
      <c r="V9" s="93">
        <f>'Tabelas para cálculos'!$G$6 * 1.375</f>
        <v>35.75</v>
      </c>
    </row>
    <row r="10" spans="1:22" ht="20.25">
      <c r="A10" s="89">
        <v>4.4000000000000004</v>
      </c>
      <c r="B10" s="90">
        <v>6</v>
      </c>
      <c r="C10" s="91">
        <v>2</v>
      </c>
      <c r="D10" s="92">
        <v>32</v>
      </c>
      <c r="E10" s="93">
        <f t="shared" si="3"/>
        <v>275</v>
      </c>
      <c r="F10" s="93">
        <f>'Tabelas para cálculos'!$G$4 * 1.375</f>
        <v>9.7624999999999993</v>
      </c>
      <c r="M10" s="84"/>
      <c r="N10" s="84"/>
      <c r="Q10" s="89">
        <v>4.4000000000000004</v>
      </c>
      <c r="R10" s="90">
        <v>6</v>
      </c>
      <c r="S10" s="91">
        <v>2</v>
      </c>
      <c r="T10" s="92">
        <v>30</v>
      </c>
      <c r="U10" s="93">
        <f t="shared" si="2"/>
        <v>275</v>
      </c>
      <c r="V10" s="93">
        <f>'Tabelas para cálculos'!$G$6 * 1.375</f>
        <v>35.75</v>
      </c>
    </row>
    <row r="11" spans="1:22" ht="20.25">
      <c r="A11" s="89">
        <v>5</v>
      </c>
      <c r="B11" s="90">
        <v>6</v>
      </c>
      <c r="C11" s="91">
        <v>3</v>
      </c>
      <c r="D11" s="92">
        <v>25</v>
      </c>
      <c r="E11" s="93">
        <f t="shared" si="3"/>
        <v>275</v>
      </c>
      <c r="F11" s="93">
        <f>'Tabelas para cálculos'!$G$4*1.4</f>
        <v>9.94</v>
      </c>
      <c r="M11" s="84"/>
      <c r="N11" s="84"/>
      <c r="Q11" s="89">
        <v>5</v>
      </c>
      <c r="R11" s="90">
        <v>6</v>
      </c>
      <c r="S11" s="91">
        <v>4</v>
      </c>
      <c r="T11" s="92">
        <v>15</v>
      </c>
      <c r="U11" s="93">
        <f t="shared" si="2"/>
        <v>275</v>
      </c>
      <c r="V11" s="93">
        <f>'Tabelas para cálculos'!$G$6*1.4</f>
        <v>36.4</v>
      </c>
    </row>
    <row r="12" spans="1:22" ht="20.25">
      <c r="A12" s="89">
        <v>5.4</v>
      </c>
      <c r="B12" s="90">
        <v>6</v>
      </c>
      <c r="C12" s="91">
        <v>3</v>
      </c>
      <c r="D12" s="92">
        <v>25</v>
      </c>
      <c r="E12" s="93">
        <f t="shared" si="3"/>
        <v>275</v>
      </c>
      <c r="F12" s="93">
        <f>'Tabelas para cálculos'!$G$4*1.4</f>
        <v>9.94</v>
      </c>
      <c r="M12" s="84"/>
      <c r="N12" s="84"/>
      <c r="U12" s="84"/>
      <c r="V12" s="84"/>
    </row>
    <row r="13" spans="1:22" ht="20.25">
      <c r="A13" s="89">
        <v>6</v>
      </c>
      <c r="B13" s="90">
        <v>6</v>
      </c>
      <c r="C13" s="91">
        <v>3</v>
      </c>
      <c r="D13" s="92">
        <v>21</v>
      </c>
      <c r="E13" s="93">
        <f t="shared" si="3"/>
        <v>275</v>
      </c>
      <c r="F13" s="93">
        <f>'Tabelas para cálculos'!$G$4*1.425</f>
        <v>10.1175</v>
      </c>
      <c r="M13" s="84"/>
      <c r="N13" s="84"/>
      <c r="U13" s="84"/>
      <c r="V13" s="84"/>
    </row>
    <row r="14" spans="1:22" ht="20.25">
      <c r="A14" s="89">
        <v>6.4</v>
      </c>
      <c r="B14" s="90">
        <v>6</v>
      </c>
      <c r="C14" s="91">
        <v>3</v>
      </c>
      <c r="D14" s="92">
        <v>21</v>
      </c>
      <c r="E14" s="93">
        <f t="shared" si="3"/>
        <v>275</v>
      </c>
      <c r="F14" s="93">
        <f>'Tabelas para cálculos'!$G$4*1.425</f>
        <v>10.1175</v>
      </c>
      <c r="U14" s="84"/>
      <c r="V14" s="84"/>
    </row>
    <row r="15" spans="1:22" ht="20.25">
      <c r="A15" s="89">
        <v>7</v>
      </c>
      <c r="B15" s="90">
        <v>6</v>
      </c>
      <c r="C15" s="91">
        <v>5</v>
      </c>
      <c r="D15" s="92">
        <v>21</v>
      </c>
      <c r="E15" s="93">
        <f t="shared" si="3"/>
        <v>275</v>
      </c>
      <c r="F15" s="93">
        <f>'Tabelas para cálculos'!$G$4 * 1.45</f>
        <v>10.295</v>
      </c>
      <c r="U15" s="84"/>
      <c r="V15" s="84"/>
    </row>
    <row r="16" spans="1:22" ht="20.25">
      <c r="A16" s="89">
        <v>7.4</v>
      </c>
      <c r="B16" s="90">
        <v>6</v>
      </c>
      <c r="C16" s="91">
        <v>5</v>
      </c>
      <c r="D16" s="92">
        <v>21</v>
      </c>
      <c r="E16" s="93">
        <f t="shared" si="3"/>
        <v>275</v>
      </c>
      <c r="F16" s="93">
        <f>'Tabelas para cálculos'!$G$4 * 1.45</f>
        <v>10.295</v>
      </c>
    </row>
    <row r="17" spans="1:22" ht="20.25">
      <c r="A17" s="89">
        <v>8</v>
      </c>
      <c r="B17" s="90">
        <v>8</v>
      </c>
      <c r="C17" s="91">
        <v>5</v>
      </c>
      <c r="D17" s="92">
        <v>18</v>
      </c>
      <c r="E17" s="93">
        <f t="shared" si="3"/>
        <v>275</v>
      </c>
      <c r="F17" s="93">
        <f>'Tabelas para cálculos'!$G$4 * 1.475</f>
        <v>10.4725</v>
      </c>
    </row>
    <row r="18" spans="1:22" ht="20.25">
      <c r="A18" s="89">
        <v>8.4</v>
      </c>
      <c r="B18" s="90">
        <v>8</v>
      </c>
      <c r="C18" s="91">
        <v>5</v>
      </c>
      <c r="D18" s="92">
        <v>18</v>
      </c>
      <c r="E18" s="93">
        <f t="shared" si="3"/>
        <v>275</v>
      </c>
      <c r="F18" s="93">
        <f>'Tabelas para cálculos'!$G$4 * 1.475</f>
        <v>10.4725</v>
      </c>
    </row>
    <row r="19" spans="1:22" ht="20.25">
      <c r="A19" s="89">
        <v>9</v>
      </c>
      <c r="B19" s="90">
        <v>8</v>
      </c>
      <c r="C19" s="91">
        <v>7</v>
      </c>
      <c r="D19" s="92">
        <v>18</v>
      </c>
      <c r="E19" s="93">
        <f t="shared" si="3"/>
        <v>275</v>
      </c>
      <c r="F19" s="93">
        <f>'Tabelas para cálculos'!$G$4 * 1.5</f>
        <v>10.649999999999999</v>
      </c>
    </row>
    <row r="20" spans="1:22" ht="20.25">
      <c r="A20" s="89">
        <v>9.4</v>
      </c>
      <c r="B20" s="90">
        <v>8</v>
      </c>
      <c r="C20" s="91">
        <v>7</v>
      </c>
      <c r="D20" s="92">
        <v>18</v>
      </c>
      <c r="E20" s="93">
        <f t="shared" si="3"/>
        <v>275</v>
      </c>
      <c r="F20" s="93">
        <f>'Tabelas para cálculos'!$G$4 * 1.5</f>
        <v>10.649999999999999</v>
      </c>
    </row>
    <row r="21" spans="1:22" ht="20.25">
      <c r="A21" s="89">
        <v>10</v>
      </c>
      <c r="B21" s="90">
        <v>8</v>
      </c>
      <c r="C21" s="91">
        <v>7</v>
      </c>
      <c r="D21" s="92">
        <v>14</v>
      </c>
      <c r="E21" s="93">
        <f t="shared" si="3"/>
        <v>275</v>
      </c>
      <c r="F21" s="93">
        <f>'Tabelas para cálculos'!$G$4 * 1.525</f>
        <v>10.827499999999999</v>
      </c>
      <c r="J21" s="115" t="s">
        <v>375</v>
      </c>
      <c r="K21" s="107"/>
      <c r="L21" s="94">
        <v>275</v>
      </c>
    </row>
    <row r="22" spans="1:22" ht="20.25">
      <c r="A22" s="89">
        <v>10.4</v>
      </c>
      <c r="B22" s="90">
        <v>8</v>
      </c>
      <c r="C22" s="91">
        <v>7</v>
      </c>
      <c r="D22" s="92">
        <v>14</v>
      </c>
      <c r="E22" s="93">
        <f t="shared" si="3"/>
        <v>275</v>
      </c>
      <c r="F22" s="93">
        <f>'Tabelas para cálculos'!$G$4 * 1.525</f>
        <v>10.827499999999999</v>
      </c>
    </row>
    <row r="23" spans="1:22" ht="20.25">
      <c r="A23" s="89">
        <v>11</v>
      </c>
      <c r="B23" s="90">
        <v>8</v>
      </c>
      <c r="C23" s="91">
        <v>8</v>
      </c>
      <c r="D23" s="92">
        <v>14</v>
      </c>
      <c r="E23" s="93">
        <f t="shared" si="3"/>
        <v>275</v>
      </c>
      <c r="F23" s="93">
        <f>'Tabelas para cálculos'!$G$4 * 1.55</f>
        <v>11.004999999999999</v>
      </c>
    </row>
    <row r="24" spans="1:22" ht="20.25">
      <c r="A24" s="89">
        <v>11.4</v>
      </c>
      <c r="B24" s="90">
        <v>8</v>
      </c>
      <c r="C24" s="91">
        <v>8</v>
      </c>
      <c r="D24" s="92">
        <v>14</v>
      </c>
      <c r="E24" s="93">
        <f t="shared" si="3"/>
        <v>275</v>
      </c>
      <c r="F24" s="93">
        <f>'Tabelas para cálculos'!$G$4 * 1.55</f>
        <v>11.004999999999999</v>
      </c>
    </row>
    <row r="25" spans="1:22" ht="20.25">
      <c r="A25" s="89">
        <v>12</v>
      </c>
      <c r="B25" s="90">
        <v>8</v>
      </c>
      <c r="C25" s="91">
        <v>13</v>
      </c>
      <c r="D25" s="92">
        <v>11</v>
      </c>
      <c r="E25" s="93">
        <f t="shared" si="3"/>
        <v>275</v>
      </c>
      <c r="F25" s="93">
        <f>'Tabelas para cálculos'!$G$4 * 1.575</f>
        <v>11.182499999999999</v>
      </c>
    </row>
    <row r="26" spans="1:22" ht="20.25">
      <c r="A26" s="89">
        <v>12.4</v>
      </c>
      <c r="B26" s="90">
        <v>8</v>
      </c>
      <c r="C26" s="91">
        <v>13</v>
      </c>
      <c r="D26" s="92">
        <v>11</v>
      </c>
      <c r="E26" s="93">
        <f t="shared" si="3"/>
        <v>275</v>
      </c>
      <c r="F26" s="93">
        <f>'Tabelas para cálculos'!$G$4 * 1.575</f>
        <v>11.182499999999999</v>
      </c>
    </row>
    <row r="27" spans="1:22" ht="20.25">
      <c r="A27" s="89">
        <v>13</v>
      </c>
      <c r="B27" s="90">
        <v>8</v>
      </c>
      <c r="C27" s="91">
        <v>13</v>
      </c>
      <c r="D27" s="92">
        <v>11</v>
      </c>
      <c r="E27" s="93">
        <f t="shared" si="3"/>
        <v>275</v>
      </c>
      <c r="F27" s="93">
        <f>'Tabelas para cálculos'!$G$4 * 1.6</f>
        <v>11.36</v>
      </c>
    </row>
    <row r="28" spans="1:22">
      <c r="E28" s="84"/>
      <c r="F28" s="84"/>
      <c r="M28" s="84"/>
      <c r="N28" s="84"/>
    </row>
    <row r="29" spans="1:22">
      <c r="E29" s="84"/>
      <c r="F29" s="84"/>
      <c r="M29" s="84"/>
      <c r="N29" s="84"/>
    </row>
    <row r="30" spans="1:22">
      <c r="F30" s="84"/>
      <c r="M30" s="84"/>
      <c r="N30" s="84"/>
      <c r="U30" s="84"/>
      <c r="V30" s="84"/>
    </row>
    <row r="31" spans="1:22">
      <c r="F31" s="84"/>
      <c r="M31" s="84"/>
      <c r="N31" s="84"/>
      <c r="U31" s="84"/>
      <c r="V31" s="84"/>
    </row>
    <row r="32" spans="1:22">
      <c r="M32" s="84"/>
      <c r="N32" s="84"/>
      <c r="U32" s="84"/>
      <c r="V32" s="84"/>
    </row>
    <row r="33" spans="5:22">
      <c r="M33" s="84"/>
      <c r="N33" s="84"/>
      <c r="U33" s="84"/>
      <c r="V33" s="84"/>
    </row>
    <row r="34" spans="5:22">
      <c r="M34" s="84"/>
      <c r="N34" s="84"/>
      <c r="U34" s="84"/>
      <c r="V34" s="84"/>
    </row>
    <row r="35" spans="5:22">
      <c r="M35" s="84"/>
      <c r="N35" s="84"/>
      <c r="U35" s="84"/>
      <c r="V35" s="84"/>
    </row>
    <row r="36" spans="5:22" ht="12.75">
      <c r="M36" s="84"/>
      <c r="N36" s="84"/>
      <c r="U36" s="84"/>
      <c r="V36" s="84"/>
    </row>
    <row r="37" spans="5:22" ht="12.75">
      <c r="M37" s="84"/>
      <c r="N37" s="84"/>
      <c r="U37" s="84"/>
      <c r="V37" s="84"/>
    </row>
    <row r="38" spans="5:22" ht="12.75">
      <c r="M38" s="84"/>
      <c r="N38" s="84"/>
      <c r="U38" s="84"/>
      <c r="V38" s="84"/>
    </row>
    <row r="39" spans="5:22" ht="12.75">
      <c r="M39" s="84"/>
      <c r="N39" s="84"/>
      <c r="U39" s="84"/>
      <c r="V39" s="84"/>
    </row>
    <row r="40" spans="5:22" ht="12.75">
      <c r="M40" s="84"/>
      <c r="N40" s="84"/>
      <c r="U40" s="84"/>
      <c r="V40" s="84"/>
    </row>
    <row r="41" spans="5:22" ht="12.75">
      <c r="M41" s="84"/>
      <c r="N41" s="84"/>
      <c r="U41" s="84"/>
      <c r="V41" s="84"/>
    </row>
    <row r="42" spans="5:22" ht="12.75">
      <c r="M42" s="84"/>
      <c r="N42" s="84"/>
      <c r="U42" s="84"/>
      <c r="V42" s="84"/>
    </row>
    <row r="43" spans="5:22" ht="12.75">
      <c r="M43" s="84"/>
      <c r="N43" s="84"/>
      <c r="U43" s="84"/>
      <c r="V43" s="84"/>
    </row>
    <row r="44" spans="5:22" ht="12.75">
      <c r="M44" s="84"/>
      <c r="N44" s="84"/>
      <c r="U44" s="84"/>
      <c r="V44" s="84"/>
    </row>
    <row r="45" spans="5:22" ht="12.75">
      <c r="M45" s="84"/>
      <c r="N45" s="84"/>
      <c r="U45" s="84"/>
      <c r="V45" s="84"/>
    </row>
    <row r="46" spans="5:22" ht="12.75">
      <c r="E46" s="84"/>
      <c r="F46" s="84"/>
      <c r="M46" s="84"/>
      <c r="N46" s="84"/>
      <c r="U46" s="84"/>
      <c r="V46" s="84"/>
    </row>
    <row r="47" spans="5:22" ht="12.75">
      <c r="E47" s="84"/>
      <c r="F47" s="84"/>
      <c r="M47" s="84"/>
      <c r="N47" s="84"/>
      <c r="U47" s="84"/>
      <c r="V47" s="84"/>
    </row>
    <row r="48" spans="5:22" ht="12.75">
      <c r="E48" s="84"/>
      <c r="F48" s="84"/>
      <c r="M48" s="84"/>
      <c r="N48" s="84"/>
      <c r="U48" s="84"/>
      <c r="V48" s="84"/>
    </row>
    <row r="49" spans="5:22" ht="12.75">
      <c r="E49" s="84"/>
      <c r="F49" s="84"/>
      <c r="M49" s="84"/>
      <c r="N49" s="84"/>
      <c r="U49" s="84"/>
      <c r="V49" s="84"/>
    </row>
    <row r="50" spans="5:22" ht="12.75">
      <c r="E50" s="84"/>
      <c r="F50" s="84"/>
      <c r="H50" s="95"/>
      <c r="M50" s="84"/>
      <c r="N50" s="84"/>
      <c r="U50" s="84"/>
      <c r="V50" s="84"/>
    </row>
    <row r="51" spans="5:22" ht="12.75">
      <c r="E51" s="84"/>
      <c r="F51" s="84"/>
      <c r="M51" s="84"/>
      <c r="N51" s="84"/>
      <c r="U51" s="84"/>
      <c r="V51" s="84"/>
    </row>
    <row r="52" spans="5:22" ht="12.75">
      <c r="E52" s="84"/>
      <c r="F52" s="96"/>
      <c r="M52" s="84"/>
      <c r="N52" s="84"/>
      <c r="U52" s="84"/>
      <c r="V52" s="84"/>
    </row>
    <row r="53" spans="5:22" ht="12.75">
      <c r="E53" s="84"/>
      <c r="F53" s="96"/>
      <c r="M53" s="84"/>
      <c r="N53" s="84"/>
      <c r="U53" s="84"/>
      <c r="V53" s="84"/>
    </row>
    <row r="54" spans="5:22" ht="12.75">
      <c r="E54" s="84"/>
      <c r="F54" s="96"/>
      <c r="M54" s="84"/>
      <c r="N54" s="84"/>
      <c r="U54" s="84"/>
      <c r="V54" s="84"/>
    </row>
    <row r="55" spans="5:22" ht="12.75">
      <c r="E55" s="84"/>
      <c r="F55" s="96"/>
      <c r="M55" s="84"/>
      <c r="N55" s="84"/>
      <c r="U55" s="84"/>
      <c r="V55" s="84"/>
    </row>
    <row r="56" spans="5:22" ht="12.75">
      <c r="E56" s="84"/>
      <c r="F56" s="96"/>
      <c r="M56" s="84"/>
      <c r="N56" s="84"/>
      <c r="U56" s="84"/>
      <c r="V56" s="84"/>
    </row>
    <row r="57" spans="5:22" ht="12.75">
      <c r="E57" s="84"/>
      <c r="F57" s="96"/>
      <c r="M57" s="84"/>
      <c r="N57" s="84"/>
      <c r="U57" s="84"/>
      <c r="V57" s="84"/>
    </row>
    <row r="58" spans="5:22" ht="12.75">
      <c r="E58" s="84"/>
      <c r="F58" s="96"/>
      <c r="M58" s="84"/>
      <c r="N58" s="84"/>
      <c r="U58" s="84"/>
      <c r="V58" s="84"/>
    </row>
    <row r="59" spans="5:22" ht="12.75">
      <c r="E59" s="84"/>
      <c r="F59" s="96"/>
      <c r="M59" s="84"/>
      <c r="N59" s="84"/>
      <c r="U59" s="84"/>
      <c r="V59" s="84"/>
    </row>
    <row r="60" spans="5:22" ht="12.75">
      <c r="E60" s="84"/>
      <c r="F60" s="96"/>
      <c r="M60" s="84"/>
      <c r="N60" s="84"/>
      <c r="U60" s="84"/>
      <c r="V60" s="84"/>
    </row>
    <row r="61" spans="5:22" ht="12.75">
      <c r="E61" s="84"/>
      <c r="F61" s="96"/>
      <c r="M61" s="84"/>
      <c r="N61" s="84"/>
      <c r="U61" s="84"/>
      <c r="V61" s="84"/>
    </row>
    <row r="62" spans="5:22" ht="12.75">
      <c r="E62" s="84"/>
      <c r="F62" s="96"/>
      <c r="M62" s="84"/>
      <c r="N62" s="84"/>
      <c r="U62" s="84"/>
      <c r="V62" s="84"/>
    </row>
    <row r="63" spans="5:22" ht="12.75">
      <c r="E63" s="84"/>
      <c r="F63" s="96"/>
      <c r="M63" s="84"/>
      <c r="N63" s="84"/>
      <c r="U63" s="84"/>
      <c r="V63" s="84"/>
    </row>
    <row r="64" spans="5:22" ht="12.75">
      <c r="E64" s="84"/>
      <c r="F64" s="96"/>
      <c r="M64" s="84"/>
      <c r="N64" s="84"/>
      <c r="U64" s="84"/>
      <c r="V64" s="84"/>
    </row>
    <row r="65" spans="5:22" ht="12.75">
      <c r="E65" s="84"/>
      <c r="F65" s="84"/>
      <c r="M65" s="84"/>
      <c r="N65" s="84"/>
      <c r="U65" s="84"/>
      <c r="V65" s="84"/>
    </row>
    <row r="66" spans="5:22" ht="12.75">
      <c r="E66" s="84"/>
      <c r="F66" s="84"/>
      <c r="M66" s="84"/>
      <c r="N66" s="84"/>
      <c r="U66" s="84"/>
      <c r="V66" s="84"/>
    </row>
    <row r="67" spans="5:22" ht="12.75">
      <c r="E67" s="84"/>
      <c r="F67" s="84"/>
      <c r="M67" s="84"/>
      <c r="N67" s="84"/>
      <c r="U67" s="84"/>
      <c r="V67" s="84"/>
    </row>
    <row r="68" spans="5:22" ht="12.75">
      <c r="E68" s="84"/>
      <c r="F68" s="84"/>
      <c r="M68" s="84"/>
      <c r="N68" s="84"/>
      <c r="U68" s="84"/>
      <c r="V68" s="84"/>
    </row>
    <row r="69" spans="5:22" ht="12.75">
      <c r="E69" s="84"/>
      <c r="F69" s="84"/>
      <c r="M69" s="84"/>
      <c r="N69" s="84"/>
      <c r="U69" s="84"/>
      <c r="V69" s="84"/>
    </row>
    <row r="70" spans="5:22" ht="12.75">
      <c r="E70" s="84"/>
      <c r="F70" s="84"/>
      <c r="M70" s="84"/>
      <c r="N70" s="84"/>
      <c r="U70" s="84"/>
      <c r="V70" s="84"/>
    </row>
    <row r="71" spans="5:22" ht="12.75">
      <c r="E71" s="84"/>
      <c r="F71" s="84"/>
      <c r="M71" s="84"/>
      <c r="N71" s="84"/>
      <c r="U71" s="84"/>
      <c r="V71" s="84"/>
    </row>
    <row r="72" spans="5:22" ht="12.75">
      <c r="E72" s="84"/>
      <c r="F72" s="84"/>
      <c r="M72" s="84"/>
      <c r="N72" s="84"/>
      <c r="U72" s="84"/>
      <c r="V72" s="84"/>
    </row>
    <row r="73" spans="5:22" ht="12.75">
      <c r="E73" s="84"/>
      <c r="F73" s="84"/>
      <c r="M73" s="84"/>
      <c r="N73" s="84"/>
      <c r="U73" s="84"/>
      <c r="V73" s="84"/>
    </row>
    <row r="74" spans="5:22" ht="12.75">
      <c r="E74" s="84"/>
      <c r="F74" s="84"/>
      <c r="M74" s="84"/>
      <c r="N74" s="84"/>
      <c r="U74" s="84"/>
      <c r="V74" s="84"/>
    </row>
    <row r="75" spans="5:22" ht="12.75">
      <c r="E75" s="84"/>
      <c r="F75" s="84"/>
      <c r="M75" s="84"/>
      <c r="N75" s="84"/>
      <c r="U75" s="84"/>
      <c r="V75" s="84"/>
    </row>
    <row r="76" spans="5:22" ht="12.75">
      <c r="E76" s="84"/>
      <c r="F76" s="84"/>
      <c r="M76" s="84"/>
      <c r="N76" s="84"/>
      <c r="U76" s="84"/>
      <c r="V76" s="84"/>
    </row>
    <row r="77" spans="5:22" ht="12.75">
      <c r="E77" s="84"/>
      <c r="F77" s="84"/>
      <c r="M77" s="84"/>
      <c r="N77" s="84"/>
      <c r="U77" s="84"/>
      <c r="V77" s="84"/>
    </row>
    <row r="78" spans="5:22" ht="12.75">
      <c r="E78" s="84"/>
      <c r="F78" s="84"/>
      <c r="M78" s="84"/>
      <c r="N78" s="84"/>
      <c r="U78" s="84"/>
      <c r="V78" s="84"/>
    </row>
    <row r="79" spans="5:22" ht="12.75">
      <c r="E79" s="84"/>
      <c r="F79" s="84"/>
      <c r="M79" s="84"/>
      <c r="N79" s="84"/>
      <c r="U79" s="84"/>
      <c r="V79" s="84"/>
    </row>
    <row r="80" spans="5:22" ht="12.75">
      <c r="E80" s="84"/>
      <c r="F80" s="84"/>
      <c r="M80" s="84"/>
      <c r="N80" s="84"/>
      <c r="U80" s="84"/>
      <c r="V80" s="84"/>
    </row>
    <row r="81" spans="5:22" ht="12.75">
      <c r="E81" s="84"/>
      <c r="F81" s="84"/>
      <c r="M81" s="84"/>
      <c r="N81" s="84"/>
      <c r="U81" s="84"/>
      <c r="V81" s="84"/>
    </row>
    <row r="82" spans="5:22" ht="12.75">
      <c r="E82" s="84"/>
      <c r="F82" s="84"/>
      <c r="M82" s="84"/>
      <c r="N82" s="84"/>
      <c r="U82" s="84"/>
      <c r="V82" s="84"/>
    </row>
    <row r="83" spans="5:22" ht="12.75">
      <c r="E83" s="84"/>
      <c r="F83" s="84"/>
      <c r="M83" s="84"/>
      <c r="N83" s="84"/>
      <c r="U83" s="84"/>
      <c r="V83" s="84"/>
    </row>
    <row r="84" spans="5:22" ht="12.75">
      <c r="E84" s="84"/>
      <c r="F84" s="84"/>
      <c r="M84" s="84"/>
      <c r="N84" s="84"/>
      <c r="U84" s="84"/>
      <c r="V84" s="84"/>
    </row>
    <row r="85" spans="5:22" ht="12.75">
      <c r="E85" s="84"/>
      <c r="F85" s="84"/>
      <c r="M85" s="84"/>
      <c r="N85" s="84"/>
      <c r="U85" s="84"/>
      <c r="V85" s="84"/>
    </row>
    <row r="86" spans="5:22" ht="12.75">
      <c r="E86" s="84"/>
      <c r="F86" s="84"/>
      <c r="M86" s="84"/>
      <c r="N86" s="84"/>
      <c r="U86" s="84"/>
      <c r="V86" s="84"/>
    </row>
    <row r="87" spans="5:22" ht="12.75">
      <c r="E87" s="84"/>
      <c r="F87" s="84"/>
      <c r="M87" s="84"/>
      <c r="N87" s="84"/>
      <c r="U87" s="84"/>
      <c r="V87" s="84"/>
    </row>
    <row r="88" spans="5:22" ht="12.75">
      <c r="E88" s="84"/>
      <c r="F88" s="84"/>
      <c r="M88" s="84"/>
      <c r="N88" s="84"/>
      <c r="U88" s="84"/>
      <c r="V88" s="84"/>
    </row>
    <row r="89" spans="5:22" ht="12.75">
      <c r="E89" s="84"/>
      <c r="F89" s="84"/>
      <c r="M89" s="84"/>
      <c r="N89" s="84"/>
      <c r="U89" s="84"/>
      <c r="V89" s="84"/>
    </row>
    <row r="90" spans="5:22" ht="12.75">
      <c r="E90" s="84"/>
      <c r="F90" s="84"/>
      <c r="M90" s="84"/>
      <c r="N90" s="84"/>
      <c r="U90" s="84"/>
      <c r="V90" s="84"/>
    </row>
    <row r="91" spans="5:22" ht="12.75">
      <c r="E91" s="84"/>
      <c r="F91" s="84"/>
      <c r="M91" s="84"/>
      <c r="N91" s="84"/>
      <c r="U91" s="84"/>
      <c r="V91" s="84"/>
    </row>
    <row r="92" spans="5:22" ht="12.75">
      <c r="E92" s="84"/>
      <c r="F92" s="84"/>
      <c r="M92" s="84"/>
      <c r="N92" s="84"/>
      <c r="U92" s="84"/>
      <c r="V92" s="84"/>
    </row>
    <row r="93" spans="5:22" ht="12.75">
      <c r="E93" s="84"/>
      <c r="F93" s="84"/>
      <c r="M93" s="84"/>
      <c r="N93" s="84"/>
      <c r="U93" s="84"/>
      <c r="V93" s="84"/>
    </row>
    <row r="94" spans="5:22" ht="12.75">
      <c r="E94" s="84"/>
      <c r="F94" s="84"/>
      <c r="M94" s="84"/>
      <c r="N94" s="84"/>
      <c r="U94" s="84"/>
      <c r="V94" s="84"/>
    </row>
    <row r="95" spans="5:22" ht="12.75">
      <c r="E95" s="84"/>
      <c r="F95" s="84"/>
      <c r="M95" s="84"/>
      <c r="N95" s="84"/>
      <c r="U95" s="84"/>
      <c r="V95" s="84"/>
    </row>
    <row r="96" spans="5:22" ht="12.75">
      <c r="E96" s="84"/>
      <c r="F96" s="84"/>
      <c r="M96" s="84"/>
      <c r="N96" s="84"/>
      <c r="U96" s="84"/>
      <c r="V96" s="84"/>
    </row>
    <row r="97" spans="5:22" ht="12.75">
      <c r="E97" s="84"/>
      <c r="F97" s="84"/>
      <c r="M97" s="84"/>
      <c r="N97" s="84"/>
      <c r="U97" s="84"/>
      <c r="V97" s="84"/>
    </row>
    <row r="98" spans="5:22" ht="12.75">
      <c r="E98" s="84"/>
      <c r="F98" s="84"/>
      <c r="M98" s="84"/>
      <c r="N98" s="84"/>
      <c r="U98" s="84"/>
      <c r="V98" s="84"/>
    </row>
    <row r="99" spans="5:22" ht="12.75">
      <c r="E99" s="84"/>
      <c r="F99" s="84"/>
      <c r="M99" s="84"/>
      <c r="N99" s="84"/>
      <c r="U99" s="84"/>
      <c r="V99" s="84"/>
    </row>
    <row r="100" spans="5:22" ht="12.75">
      <c r="E100" s="84"/>
      <c r="F100" s="84"/>
      <c r="M100" s="84"/>
      <c r="N100" s="84"/>
      <c r="U100" s="84"/>
      <c r="V100" s="84"/>
    </row>
    <row r="101" spans="5:22" ht="12.75">
      <c r="E101" s="84"/>
      <c r="F101" s="84"/>
      <c r="M101" s="84"/>
      <c r="N101" s="84"/>
      <c r="U101" s="84"/>
      <c r="V101" s="84"/>
    </row>
    <row r="102" spans="5:22" ht="12.75">
      <c r="E102" s="84"/>
      <c r="F102" s="84"/>
      <c r="M102" s="84"/>
      <c r="N102" s="84"/>
      <c r="U102" s="84"/>
      <c r="V102" s="84"/>
    </row>
    <row r="103" spans="5:22" ht="12.75">
      <c r="E103" s="84"/>
      <c r="F103" s="84"/>
      <c r="M103" s="84"/>
      <c r="N103" s="84"/>
      <c r="U103" s="84"/>
      <c r="V103" s="84"/>
    </row>
    <row r="104" spans="5:22" ht="12.75">
      <c r="E104" s="84"/>
      <c r="F104" s="84"/>
      <c r="M104" s="84"/>
      <c r="N104" s="84"/>
      <c r="U104" s="84"/>
      <c r="V104" s="84"/>
    </row>
    <row r="105" spans="5:22" ht="12.75">
      <c r="E105" s="84"/>
      <c r="F105" s="84"/>
      <c r="M105" s="84"/>
      <c r="N105" s="84"/>
      <c r="U105" s="84"/>
      <c r="V105" s="84"/>
    </row>
    <row r="106" spans="5:22" ht="12.75">
      <c r="E106" s="84"/>
      <c r="F106" s="84"/>
      <c r="M106" s="84"/>
      <c r="N106" s="84"/>
      <c r="U106" s="84"/>
      <c r="V106" s="84"/>
    </row>
    <row r="107" spans="5:22" ht="12.75">
      <c r="E107" s="84"/>
      <c r="F107" s="84"/>
      <c r="M107" s="84"/>
      <c r="N107" s="84"/>
      <c r="U107" s="84"/>
      <c r="V107" s="84"/>
    </row>
    <row r="108" spans="5:22" ht="12.75">
      <c r="E108" s="84"/>
      <c r="F108" s="84"/>
      <c r="M108" s="84"/>
      <c r="N108" s="84"/>
      <c r="U108" s="84"/>
      <c r="V108" s="84"/>
    </row>
    <row r="109" spans="5:22" ht="12.75">
      <c r="E109" s="84"/>
      <c r="F109" s="84"/>
      <c r="M109" s="84"/>
      <c r="N109" s="84"/>
      <c r="U109" s="84"/>
      <c r="V109" s="84"/>
    </row>
    <row r="110" spans="5:22" ht="12.75">
      <c r="E110" s="84"/>
      <c r="F110" s="84"/>
      <c r="M110" s="84"/>
      <c r="N110" s="84"/>
      <c r="U110" s="84"/>
      <c r="V110" s="84"/>
    </row>
    <row r="111" spans="5:22" ht="12.75">
      <c r="E111" s="84"/>
      <c r="F111" s="84"/>
      <c r="M111" s="84"/>
      <c r="N111" s="84"/>
      <c r="U111" s="84"/>
      <c r="V111" s="84"/>
    </row>
    <row r="112" spans="5:22" ht="12.75">
      <c r="E112" s="84"/>
      <c r="F112" s="84"/>
      <c r="M112" s="84"/>
      <c r="N112" s="84"/>
      <c r="U112" s="84"/>
      <c r="V112" s="84"/>
    </row>
    <row r="113" spans="5:22" ht="12.75">
      <c r="E113" s="84"/>
      <c r="F113" s="84"/>
      <c r="M113" s="84"/>
      <c r="N113" s="84"/>
      <c r="U113" s="84"/>
      <c r="V113" s="84"/>
    </row>
    <row r="114" spans="5:22" ht="12.75">
      <c r="E114" s="84"/>
      <c r="F114" s="84"/>
      <c r="M114" s="84"/>
      <c r="N114" s="84"/>
      <c r="U114" s="84"/>
      <c r="V114" s="84"/>
    </row>
    <row r="115" spans="5:22" ht="12.75">
      <c r="E115" s="84"/>
      <c r="F115" s="84"/>
      <c r="M115" s="84"/>
      <c r="N115" s="84"/>
      <c r="U115" s="84"/>
      <c r="V115" s="84"/>
    </row>
    <row r="116" spans="5:22" ht="12.75">
      <c r="E116" s="84"/>
      <c r="F116" s="84"/>
      <c r="M116" s="84"/>
      <c r="N116" s="84"/>
      <c r="U116" s="84"/>
      <c r="V116" s="84"/>
    </row>
    <row r="117" spans="5:22" ht="12.75">
      <c r="E117" s="84"/>
      <c r="F117" s="84"/>
      <c r="M117" s="84"/>
      <c r="N117" s="84"/>
      <c r="U117" s="84"/>
      <c r="V117" s="84"/>
    </row>
    <row r="118" spans="5:22" ht="12.75">
      <c r="E118" s="84"/>
      <c r="F118" s="84"/>
      <c r="M118" s="84"/>
      <c r="N118" s="84"/>
      <c r="U118" s="84"/>
      <c r="V118" s="84"/>
    </row>
    <row r="119" spans="5:22" ht="12.75">
      <c r="E119" s="84"/>
      <c r="F119" s="84"/>
      <c r="M119" s="84"/>
      <c r="N119" s="84"/>
      <c r="U119" s="84"/>
      <c r="V119" s="84"/>
    </row>
    <row r="120" spans="5:22" ht="12.75">
      <c r="E120" s="84"/>
      <c r="F120" s="84"/>
      <c r="M120" s="84"/>
      <c r="N120" s="84"/>
      <c r="U120" s="84"/>
      <c r="V120" s="84"/>
    </row>
    <row r="121" spans="5:22" ht="12.75">
      <c r="E121" s="84"/>
      <c r="F121" s="84"/>
      <c r="M121" s="84"/>
      <c r="N121" s="84"/>
      <c r="U121" s="84"/>
      <c r="V121" s="84"/>
    </row>
    <row r="122" spans="5:22" ht="12.75">
      <c r="E122" s="84"/>
      <c r="F122" s="84"/>
      <c r="M122" s="84"/>
      <c r="N122" s="84"/>
      <c r="U122" s="84"/>
      <c r="V122" s="84"/>
    </row>
    <row r="123" spans="5:22" ht="12.75">
      <c r="E123" s="84"/>
      <c r="F123" s="84"/>
      <c r="M123" s="84"/>
      <c r="N123" s="84"/>
      <c r="U123" s="84"/>
      <c r="V123" s="84"/>
    </row>
    <row r="124" spans="5:22" ht="12.75">
      <c r="E124" s="84"/>
      <c r="F124" s="84"/>
      <c r="M124" s="84"/>
      <c r="N124" s="84"/>
      <c r="U124" s="84"/>
      <c r="V124" s="84"/>
    </row>
    <row r="125" spans="5:22" ht="12.75">
      <c r="E125" s="84"/>
      <c r="F125" s="84"/>
      <c r="M125" s="84"/>
      <c r="N125" s="84"/>
      <c r="U125" s="84"/>
      <c r="V125" s="84"/>
    </row>
    <row r="126" spans="5:22" ht="12.75">
      <c r="E126" s="84"/>
      <c r="F126" s="84"/>
      <c r="M126" s="84"/>
      <c r="N126" s="84"/>
      <c r="U126" s="84"/>
      <c r="V126" s="84"/>
    </row>
    <row r="127" spans="5:22" ht="12.75">
      <c r="E127" s="84"/>
      <c r="F127" s="84"/>
      <c r="M127" s="84"/>
      <c r="N127" s="84"/>
      <c r="U127" s="84"/>
      <c r="V127" s="84"/>
    </row>
    <row r="128" spans="5:22" ht="12.75">
      <c r="E128" s="84"/>
      <c r="F128" s="84"/>
      <c r="M128" s="84"/>
      <c r="N128" s="84"/>
      <c r="U128" s="84"/>
      <c r="V128" s="84"/>
    </row>
    <row r="129" spans="5:22" ht="12.75">
      <c r="E129" s="84"/>
      <c r="F129" s="84"/>
      <c r="M129" s="84"/>
      <c r="N129" s="84"/>
      <c r="U129" s="84"/>
      <c r="V129" s="84"/>
    </row>
    <row r="130" spans="5:22" ht="12.75">
      <c r="E130" s="84"/>
      <c r="F130" s="84"/>
      <c r="M130" s="84"/>
      <c r="N130" s="84"/>
      <c r="U130" s="84"/>
      <c r="V130" s="84"/>
    </row>
    <row r="131" spans="5:22" ht="12.75">
      <c r="E131" s="84"/>
      <c r="F131" s="84"/>
      <c r="M131" s="84"/>
      <c r="N131" s="84"/>
      <c r="U131" s="84"/>
      <c r="V131" s="84"/>
    </row>
    <row r="132" spans="5:22" ht="12.75">
      <c r="E132" s="84"/>
      <c r="F132" s="84"/>
      <c r="M132" s="84"/>
      <c r="N132" s="84"/>
      <c r="U132" s="84"/>
      <c r="V132" s="84"/>
    </row>
    <row r="133" spans="5:22" ht="12.75">
      <c r="E133" s="84"/>
      <c r="F133" s="84"/>
      <c r="M133" s="84"/>
      <c r="N133" s="84"/>
      <c r="U133" s="84"/>
      <c r="V133" s="84"/>
    </row>
    <row r="134" spans="5:22" ht="12.75">
      <c r="E134" s="84"/>
      <c r="F134" s="84"/>
      <c r="M134" s="84"/>
      <c r="N134" s="84"/>
      <c r="U134" s="84"/>
      <c r="V134" s="84"/>
    </row>
    <row r="135" spans="5:22" ht="12.75">
      <c r="E135" s="84"/>
      <c r="F135" s="84"/>
      <c r="M135" s="84"/>
      <c r="N135" s="84"/>
      <c r="U135" s="84"/>
      <c r="V135" s="84"/>
    </row>
    <row r="136" spans="5:22" ht="12.75">
      <c r="E136" s="84"/>
      <c r="F136" s="84"/>
      <c r="M136" s="84"/>
      <c r="N136" s="84"/>
      <c r="U136" s="84"/>
      <c r="V136" s="84"/>
    </row>
    <row r="137" spans="5:22" ht="12.75">
      <c r="E137" s="84"/>
      <c r="F137" s="84"/>
      <c r="M137" s="84"/>
      <c r="N137" s="84"/>
      <c r="U137" s="84"/>
      <c r="V137" s="84"/>
    </row>
    <row r="138" spans="5:22" ht="12.75">
      <c r="E138" s="84"/>
      <c r="F138" s="84"/>
      <c r="M138" s="84"/>
      <c r="N138" s="84"/>
      <c r="U138" s="84"/>
      <c r="V138" s="84"/>
    </row>
    <row r="139" spans="5:22" ht="12.75">
      <c r="E139" s="84"/>
      <c r="F139" s="84"/>
      <c r="M139" s="84"/>
      <c r="N139" s="84"/>
      <c r="U139" s="84"/>
      <c r="V139" s="84"/>
    </row>
    <row r="140" spans="5:22" ht="12.75">
      <c r="E140" s="84"/>
      <c r="F140" s="84"/>
      <c r="M140" s="84"/>
      <c r="N140" s="84"/>
      <c r="U140" s="84"/>
      <c r="V140" s="84"/>
    </row>
    <row r="141" spans="5:22" ht="12.75">
      <c r="E141" s="84"/>
      <c r="F141" s="84"/>
      <c r="M141" s="84"/>
      <c r="N141" s="84"/>
      <c r="U141" s="84"/>
      <c r="V141" s="84"/>
    </row>
    <row r="142" spans="5:22" ht="12.75">
      <c r="E142" s="84"/>
      <c r="F142" s="84"/>
      <c r="M142" s="84"/>
      <c r="N142" s="84"/>
      <c r="U142" s="84"/>
      <c r="V142" s="84"/>
    </row>
    <row r="143" spans="5:22" ht="12.75">
      <c r="E143" s="84"/>
      <c r="F143" s="84"/>
      <c r="M143" s="84"/>
      <c r="N143" s="84"/>
      <c r="U143" s="84"/>
      <c r="V143" s="84"/>
    </row>
    <row r="144" spans="5:22" ht="12.75">
      <c r="E144" s="84"/>
      <c r="F144" s="84"/>
      <c r="M144" s="84"/>
      <c r="N144" s="84"/>
      <c r="U144" s="84"/>
      <c r="V144" s="84"/>
    </row>
    <row r="145" spans="5:22" ht="12.75">
      <c r="E145" s="84"/>
      <c r="F145" s="84"/>
      <c r="M145" s="84"/>
      <c r="N145" s="84"/>
      <c r="U145" s="84"/>
      <c r="V145" s="84"/>
    </row>
    <row r="146" spans="5:22" ht="12.75">
      <c r="E146" s="84"/>
      <c r="F146" s="84"/>
      <c r="M146" s="84"/>
      <c r="N146" s="84"/>
      <c r="U146" s="84"/>
      <c r="V146" s="84"/>
    </row>
    <row r="147" spans="5:22" ht="12.75">
      <c r="E147" s="84"/>
      <c r="F147" s="84"/>
      <c r="M147" s="84"/>
      <c r="N147" s="84"/>
      <c r="U147" s="84"/>
      <c r="V147" s="84"/>
    </row>
    <row r="148" spans="5:22" ht="12.75">
      <c r="E148" s="84"/>
      <c r="F148" s="84"/>
      <c r="M148" s="84"/>
      <c r="N148" s="84"/>
      <c r="U148" s="84"/>
      <c r="V148" s="84"/>
    </row>
    <row r="149" spans="5:22" ht="12.75">
      <c r="E149" s="84"/>
      <c r="F149" s="84"/>
      <c r="M149" s="84"/>
      <c r="N149" s="84"/>
      <c r="U149" s="84"/>
      <c r="V149" s="84"/>
    </row>
    <row r="150" spans="5:22" ht="12.75">
      <c r="E150" s="84"/>
      <c r="F150" s="84"/>
      <c r="M150" s="84"/>
      <c r="N150" s="84"/>
      <c r="U150" s="84"/>
      <c r="V150" s="84"/>
    </row>
    <row r="151" spans="5:22" ht="12.75">
      <c r="E151" s="84"/>
      <c r="F151" s="84"/>
      <c r="M151" s="84"/>
      <c r="N151" s="84"/>
      <c r="U151" s="84"/>
      <c r="V151" s="84"/>
    </row>
    <row r="152" spans="5:22" ht="12.75">
      <c r="E152" s="84"/>
      <c r="F152" s="84"/>
      <c r="M152" s="84"/>
      <c r="N152" s="84"/>
      <c r="U152" s="84"/>
      <c r="V152" s="84"/>
    </row>
    <row r="153" spans="5:22" ht="12.75">
      <c r="E153" s="84"/>
      <c r="F153" s="84"/>
      <c r="M153" s="84"/>
      <c r="N153" s="84"/>
      <c r="U153" s="84"/>
      <c r="V153" s="84"/>
    </row>
    <row r="154" spans="5:22" ht="12.75">
      <c r="E154" s="84"/>
      <c r="F154" s="84"/>
      <c r="M154" s="84"/>
      <c r="N154" s="84"/>
      <c r="U154" s="84"/>
      <c r="V154" s="84"/>
    </row>
    <row r="155" spans="5:22" ht="12.75">
      <c r="E155" s="84"/>
      <c r="F155" s="84"/>
      <c r="M155" s="84"/>
      <c r="N155" s="84"/>
      <c r="U155" s="84"/>
      <c r="V155" s="84"/>
    </row>
    <row r="156" spans="5:22" ht="12.75">
      <c r="E156" s="84"/>
      <c r="F156" s="84"/>
      <c r="M156" s="84"/>
      <c r="N156" s="84"/>
      <c r="U156" s="84"/>
      <c r="V156" s="84"/>
    </row>
    <row r="157" spans="5:22" ht="12.75">
      <c r="E157" s="84"/>
      <c r="F157" s="84"/>
      <c r="M157" s="84"/>
      <c r="N157" s="84"/>
      <c r="U157" s="84"/>
      <c r="V157" s="84"/>
    </row>
    <row r="158" spans="5:22" ht="12.75">
      <c r="E158" s="84"/>
      <c r="F158" s="84"/>
      <c r="M158" s="84"/>
      <c r="N158" s="84"/>
      <c r="U158" s="84"/>
      <c r="V158" s="84"/>
    </row>
    <row r="159" spans="5:22" ht="12.75">
      <c r="E159" s="84"/>
      <c r="F159" s="84"/>
      <c r="M159" s="84"/>
      <c r="N159" s="84"/>
      <c r="U159" s="84"/>
      <c r="V159" s="84"/>
    </row>
    <row r="160" spans="5:22" ht="12.75">
      <c r="E160" s="84"/>
      <c r="F160" s="84"/>
      <c r="M160" s="84"/>
      <c r="N160" s="84"/>
      <c r="U160" s="84"/>
      <c r="V160" s="84"/>
    </row>
    <row r="161" spans="5:22" ht="12.75">
      <c r="E161" s="84"/>
      <c r="F161" s="84"/>
      <c r="M161" s="84"/>
      <c r="N161" s="84"/>
      <c r="U161" s="84"/>
      <c r="V161" s="84"/>
    </row>
    <row r="162" spans="5:22" ht="12.75">
      <c r="E162" s="84"/>
      <c r="F162" s="84"/>
      <c r="M162" s="84"/>
      <c r="N162" s="84"/>
      <c r="U162" s="84"/>
      <c r="V162" s="84"/>
    </row>
    <row r="163" spans="5:22" ht="12.75">
      <c r="E163" s="84"/>
      <c r="F163" s="84"/>
      <c r="M163" s="84"/>
      <c r="N163" s="84"/>
      <c r="U163" s="84"/>
      <c r="V163" s="84"/>
    </row>
    <row r="164" spans="5:22" ht="12.75">
      <c r="E164" s="84"/>
      <c r="F164" s="84"/>
      <c r="M164" s="84"/>
      <c r="N164" s="84"/>
      <c r="U164" s="84"/>
      <c r="V164" s="84"/>
    </row>
    <row r="165" spans="5:22" ht="12.75">
      <c r="E165" s="84"/>
      <c r="F165" s="84"/>
      <c r="M165" s="84"/>
      <c r="N165" s="84"/>
      <c r="U165" s="84"/>
      <c r="V165" s="84"/>
    </row>
    <row r="166" spans="5:22" ht="12.75">
      <c r="E166" s="84"/>
      <c r="F166" s="84"/>
      <c r="M166" s="84"/>
      <c r="N166" s="84"/>
      <c r="U166" s="84"/>
      <c r="V166" s="84"/>
    </row>
    <row r="167" spans="5:22" ht="12.75">
      <c r="E167" s="84"/>
      <c r="F167" s="84"/>
      <c r="M167" s="84"/>
      <c r="N167" s="84"/>
      <c r="U167" s="84"/>
      <c r="V167" s="84"/>
    </row>
    <row r="168" spans="5:22" ht="12.75">
      <c r="E168" s="84"/>
      <c r="F168" s="84"/>
      <c r="M168" s="84"/>
      <c r="N168" s="84"/>
      <c r="U168" s="84"/>
      <c r="V168" s="84"/>
    </row>
    <row r="169" spans="5:22" ht="12.75">
      <c r="E169" s="84"/>
      <c r="F169" s="84"/>
      <c r="M169" s="84"/>
      <c r="N169" s="84"/>
      <c r="U169" s="84"/>
      <c r="V169" s="84"/>
    </row>
    <row r="170" spans="5:22" ht="12.75">
      <c r="E170" s="84"/>
      <c r="F170" s="84"/>
      <c r="M170" s="84"/>
      <c r="N170" s="84"/>
      <c r="U170" s="84"/>
      <c r="V170" s="84"/>
    </row>
    <row r="171" spans="5:22" ht="12.75">
      <c r="E171" s="84"/>
      <c r="F171" s="84"/>
      <c r="M171" s="84"/>
      <c r="N171" s="84"/>
      <c r="U171" s="84"/>
      <c r="V171" s="84"/>
    </row>
    <row r="172" spans="5:22" ht="12.75">
      <c r="E172" s="84"/>
      <c r="F172" s="84"/>
      <c r="M172" s="84"/>
      <c r="N172" s="84"/>
      <c r="U172" s="84"/>
      <c r="V172" s="84"/>
    </row>
    <row r="173" spans="5:22" ht="12.75">
      <c r="E173" s="84"/>
      <c r="F173" s="84"/>
      <c r="M173" s="84"/>
      <c r="N173" s="84"/>
      <c r="U173" s="84"/>
      <c r="V173" s="84"/>
    </row>
    <row r="174" spans="5:22" ht="12.75">
      <c r="E174" s="84"/>
      <c r="F174" s="84"/>
      <c r="M174" s="84"/>
      <c r="N174" s="84"/>
      <c r="U174" s="84"/>
      <c r="V174" s="84"/>
    </row>
    <row r="175" spans="5:22" ht="12.75">
      <c r="E175" s="84"/>
      <c r="F175" s="84"/>
      <c r="M175" s="84"/>
      <c r="N175" s="84"/>
      <c r="U175" s="84"/>
      <c r="V175" s="84"/>
    </row>
    <row r="176" spans="5:22" ht="12.75">
      <c r="E176" s="84"/>
      <c r="F176" s="84"/>
      <c r="M176" s="84"/>
      <c r="N176" s="84"/>
      <c r="U176" s="84"/>
      <c r="V176" s="84"/>
    </row>
    <row r="177" spans="5:22" ht="12.75">
      <c r="E177" s="84"/>
      <c r="F177" s="84"/>
      <c r="M177" s="84"/>
      <c r="N177" s="84"/>
      <c r="U177" s="84"/>
      <c r="V177" s="84"/>
    </row>
    <row r="178" spans="5:22" ht="12.75">
      <c r="E178" s="84"/>
      <c r="F178" s="84"/>
      <c r="M178" s="84"/>
      <c r="N178" s="84"/>
      <c r="U178" s="84"/>
      <c r="V178" s="84"/>
    </row>
    <row r="179" spans="5:22" ht="12.75">
      <c r="E179" s="84"/>
      <c r="F179" s="84"/>
      <c r="M179" s="84"/>
      <c r="N179" s="84"/>
      <c r="U179" s="84"/>
      <c r="V179" s="84"/>
    </row>
    <row r="180" spans="5:22" ht="12.75">
      <c r="E180" s="84"/>
      <c r="F180" s="84"/>
      <c r="M180" s="84"/>
      <c r="N180" s="84"/>
      <c r="U180" s="84"/>
      <c r="V180" s="84"/>
    </row>
    <row r="181" spans="5:22" ht="12.75">
      <c r="E181" s="84"/>
      <c r="F181" s="84"/>
      <c r="M181" s="84"/>
      <c r="N181" s="84"/>
      <c r="U181" s="84"/>
      <c r="V181" s="84"/>
    </row>
    <row r="182" spans="5:22" ht="12.75">
      <c r="E182" s="84"/>
      <c r="F182" s="84"/>
      <c r="M182" s="84"/>
      <c r="N182" s="84"/>
      <c r="U182" s="84"/>
      <c r="V182" s="84"/>
    </row>
    <row r="183" spans="5:22" ht="12.75">
      <c r="E183" s="84"/>
      <c r="F183" s="84"/>
      <c r="M183" s="84"/>
      <c r="N183" s="84"/>
      <c r="U183" s="84"/>
      <c r="V183" s="84"/>
    </row>
    <row r="184" spans="5:22" ht="12.75">
      <c r="E184" s="84"/>
      <c r="F184" s="84"/>
      <c r="M184" s="84"/>
      <c r="N184" s="84"/>
      <c r="U184" s="84"/>
      <c r="V184" s="84"/>
    </row>
    <row r="185" spans="5:22" ht="12.75">
      <c r="E185" s="84"/>
      <c r="F185" s="84"/>
      <c r="M185" s="84"/>
      <c r="N185" s="84"/>
      <c r="U185" s="84"/>
      <c r="V185" s="84"/>
    </row>
    <row r="186" spans="5:22" ht="12.75">
      <c r="E186" s="84"/>
      <c r="F186" s="84"/>
      <c r="M186" s="84"/>
      <c r="N186" s="84"/>
      <c r="U186" s="84"/>
      <c r="V186" s="84"/>
    </row>
    <row r="187" spans="5:22" ht="12.75">
      <c r="E187" s="84"/>
      <c r="F187" s="84"/>
      <c r="M187" s="84"/>
      <c r="N187" s="84"/>
      <c r="U187" s="84"/>
      <c r="V187" s="84"/>
    </row>
    <row r="188" spans="5:22" ht="12.75">
      <c r="E188" s="84"/>
      <c r="F188" s="84"/>
      <c r="M188" s="84"/>
      <c r="N188" s="84"/>
      <c r="U188" s="84"/>
      <c r="V188" s="84"/>
    </row>
    <row r="189" spans="5:22" ht="12.75">
      <c r="E189" s="84"/>
      <c r="F189" s="84"/>
      <c r="M189" s="84"/>
      <c r="N189" s="84"/>
      <c r="U189" s="84"/>
      <c r="V189" s="84"/>
    </row>
    <row r="190" spans="5:22" ht="12.75">
      <c r="E190" s="84"/>
      <c r="F190" s="84"/>
      <c r="M190" s="84"/>
      <c r="N190" s="84"/>
      <c r="U190" s="84"/>
      <c r="V190" s="84"/>
    </row>
    <row r="191" spans="5:22" ht="12.75">
      <c r="E191" s="84"/>
      <c r="F191" s="84"/>
      <c r="M191" s="84"/>
      <c r="N191" s="84"/>
      <c r="U191" s="84"/>
      <c r="V191" s="84"/>
    </row>
    <row r="192" spans="5:22" ht="12.75">
      <c r="E192" s="84"/>
      <c r="F192" s="84"/>
      <c r="M192" s="84"/>
      <c r="N192" s="84"/>
      <c r="U192" s="84"/>
      <c r="V192" s="84"/>
    </row>
    <row r="193" spans="5:22" ht="12.75">
      <c r="E193" s="84"/>
      <c r="F193" s="84"/>
      <c r="M193" s="84"/>
      <c r="N193" s="84"/>
      <c r="U193" s="84"/>
      <c r="V193" s="84"/>
    </row>
    <row r="194" spans="5:22" ht="12.75">
      <c r="E194" s="84"/>
      <c r="F194" s="84"/>
      <c r="M194" s="84"/>
      <c r="N194" s="84"/>
      <c r="U194" s="84"/>
      <c r="V194" s="84"/>
    </row>
    <row r="195" spans="5:22" ht="12.75">
      <c r="E195" s="84"/>
      <c r="F195" s="84"/>
      <c r="M195" s="84"/>
      <c r="N195" s="84"/>
      <c r="U195" s="84"/>
      <c r="V195" s="84"/>
    </row>
    <row r="196" spans="5:22" ht="12.75">
      <c r="E196" s="84"/>
      <c r="F196" s="84"/>
      <c r="M196" s="84"/>
      <c r="N196" s="84"/>
      <c r="U196" s="84"/>
      <c r="V196" s="84"/>
    </row>
    <row r="197" spans="5:22" ht="12.75">
      <c r="E197" s="84"/>
      <c r="F197" s="84"/>
      <c r="M197" s="84"/>
      <c r="N197" s="84"/>
      <c r="U197" s="84"/>
      <c r="V197" s="84"/>
    </row>
    <row r="198" spans="5:22" ht="12.75">
      <c r="E198" s="84"/>
      <c r="F198" s="84"/>
      <c r="M198" s="84"/>
      <c r="N198" s="84"/>
      <c r="U198" s="84"/>
      <c r="V198" s="84"/>
    </row>
    <row r="199" spans="5:22" ht="12.75">
      <c r="E199" s="84"/>
      <c r="F199" s="84"/>
      <c r="M199" s="84"/>
      <c r="N199" s="84"/>
      <c r="U199" s="84"/>
      <c r="V199" s="84"/>
    </row>
    <row r="200" spans="5:22" ht="12.75">
      <c r="E200" s="84"/>
      <c r="F200" s="84"/>
      <c r="M200" s="84"/>
      <c r="N200" s="84"/>
      <c r="U200" s="84"/>
      <c r="V200" s="84"/>
    </row>
    <row r="201" spans="5:22" ht="12.75">
      <c r="E201" s="84"/>
      <c r="F201" s="84"/>
      <c r="M201" s="84"/>
      <c r="N201" s="84"/>
      <c r="U201" s="84"/>
      <c r="V201" s="84"/>
    </row>
    <row r="202" spans="5:22" ht="12.75">
      <c r="E202" s="84"/>
      <c r="F202" s="84"/>
      <c r="M202" s="84"/>
      <c r="N202" s="84"/>
      <c r="U202" s="84"/>
      <c r="V202" s="84"/>
    </row>
    <row r="203" spans="5:22" ht="12.75">
      <c r="E203" s="84"/>
      <c r="F203" s="84"/>
      <c r="M203" s="84"/>
      <c r="N203" s="84"/>
      <c r="U203" s="84"/>
      <c r="V203" s="84"/>
    </row>
    <row r="204" spans="5:22" ht="12.75">
      <c r="E204" s="84"/>
      <c r="F204" s="84"/>
      <c r="M204" s="84"/>
      <c r="N204" s="84"/>
      <c r="U204" s="84"/>
      <c r="V204" s="84"/>
    </row>
    <row r="205" spans="5:22" ht="12.75">
      <c r="E205" s="84"/>
      <c r="F205" s="84"/>
      <c r="M205" s="84"/>
      <c r="N205" s="84"/>
      <c r="U205" s="84"/>
      <c r="V205" s="84"/>
    </row>
    <row r="206" spans="5:22" ht="12.75">
      <c r="E206" s="84"/>
      <c r="F206" s="84"/>
      <c r="M206" s="84"/>
      <c r="N206" s="84"/>
      <c r="U206" s="84"/>
      <c r="V206" s="84"/>
    </row>
    <row r="207" spans="5:22" ht="12.75">
      <c r="E207" s="84"/>
      <c r="F207" s="84"/>
      <c r="M207" s="84"/>
      <c r="N207" s="84"/>
      <c r="U207" s="84"/>
      <c r="V207" s="84"/>
    </row>
    <row r="208" spans="5:22" ht="12.75">
      <c r="E208" s="84"/>
      <c r="F208" s="84"/>
      <c r="M208" s="84"/>
      <c r="N208" s="84"/>
      <c r="U208" s="84"/>
      <c r="V208" s="84"/>
    </row>
    <row r="209" spans="5:22" ht="12.75">
      <c r="E209" s="84"/>
      <c r="F209" s="84"/>
      <c r="M209" s="84"/>
      <c r="N209" s="84"/>
      <c r="U209" s="84"/>
      <c r="V209" s="84"/>
    </row>
    <row r="210" spans="5:22" ht="12.75">
      <c r="E210" s="84"/>
      <c r="F210" s="84"/>
      <c r="M210" s="84"/>
      <c r="N210" s="84"/>
      <c r="U210" s="84"/>
      <c r="V210" s="84"/>
    </row>
    <row r="211" spans="5:22" ht="12.75">
      <c r="E211" s="84"/>
      <c r="F211" s="84"/>
      <c r="M211" s="84"/>
      <c r="N211" s="84"/>
      <c r="U211" s="84"/>
      <c r="V211" s="84"/>
    </row>
    <row r="212" spans="5:22" ht="12.75">
      <c r="E212" s="84"/>
      <c r="F212" s="84"/>
      <c r="M212" s="84"/>
      <c r="N212" s="84"/>
      <c r="U212" s="84"/>
      <c r="V212" s="84"/>
    </row>
    <row r="213" spans="5:22" ht="12.75">
      <c r="E213" s="84"/>
      <c r="F213" s="84"/>
      <c r="M213" s="84"/>
      <c r="N213" s="84"/>
      <c r="U213" s="84"/>
      <c r="V213" s="84"/>
    </row>
    <row r="214" spans="5:22" ht="12.75">
      <c r="E214" s="84"/>
      <c r="F214" s="84"/>
      <c r="M214" s="84"/>
      <c r="N214" s="84"/>
      <c r="U214" s="84"/>
      <c r="V214" s="84"/>
    </row>
    <row r="215" spans="5:22" ht="12.75">
      <c r="E215" s="84"/>
      <c r="F215" s="84"/>
      <c r="M215" s="84"/>
      <c r="N215" s="84"/>
      <c r="U215" s="84"/>
      <c r="V215" s="84"/>
    </row>
    <row r="216" spans="5:22" ht="12.75">
      <c r="E216" s="84"/>
      <c r="F216" s="84"/>
      <c r="M216" s="84"/>
      <c r="N216" s="84"/>
      <c r="U216" s="84"/>
      <c r="V216" s="84"/>
    </row>
    <row r="217" spans="5:22" ht="12.75">
      <c r="E217" s="84"/>
      <c r="F217" s="84"/>
      <c r="M217" s="84"/>
      <c r="N217" s="84"/>
      <c r="U217" s="84"/>
      <c r="V217" s="84"/>
    </row>
    <row r="218" spans="5:22" ht="12.75">
      <c r="E218" s="84"/>
      <c r="F218" s="84"/>
      <c r="M218" s="84"/>
      <c r="N218" s="84"/>
      <c r="U218" s="84"/>
      <c r="V218" s="84"/>
    </row>
    <row r="219" spans="5:22" ht="12.75">
      <c r="E219" s="84"/>
      <c r="F219" s="84"/>
      <c r="M219" s="84"/>
      <c r="N219" s="84"/>
      <c r="U219" s="84"/>
      <c r="V219" s="84"/>
    </row>
    <row r="220" spans="5:22" ht="12.75">
      <c r="E220" s="84"/>
      <c r="F220" s="84"/>
      <c r="M220" s="84"/>
      <c r="N220" s="84"/>
      <c r="U220" s="84"/>
      <c r="V220" s="84"/>
    </row>
    <row r="221" spans="5:22" ht="12.75">
      <c r="E221" s="84"/>
      <c r="F221" s="84"/>
      <c r="M221" s="84"/>
      <c r="N221" s="84"/>
      <c r="U221" s="84"/>
      <c r="V221" s="84"/>
    </row>
    <row r="222" spans="5:22" ht="12.75">
      <c r="E222" s="84"/>
      <c r="F222" s="84"/>
      <c r="M222" s="84"/>
      <c r="N222" s="84"/>
      <c r="U222" s="84"/>
      <c r="V222" s="84"/>
    </row>
    <row r="223" spans="5:22" ht="12.75">
      <c r="E223" s="84"/>
      <c r="F223" s="84"/>
      <c r="M223" s="84"/>
      <c r="N223" s="84"/>
      <c r="U223" s="84"/>
      <c r="V223" s="84"/>
    </row>
    <row r="224" spans="5:22" ht="12.75">
      <c r="E224" s="84"/>
      <c r="F224" s="84"/>
      <c r="M224" s="84"/>
      <c r="N224" s="84"/>
      <c r="U224" s="84"/>
      <c r="V224" s="84"/>
    </row>
    <row r="225" spans="5:22" ht="12.75">
      <c r="E225" s="84"/>
      <c r="F225" s="84"/>
      <c r="M225" s="84"/>
      <c r="N225" s="84"/>
      <c r="U225" s="84"/>
      <c r="V225" s="84"/>
    </row>
    <row r="226" spans="5:22" ht="12.75">
      <c r="E226" s="84"/>
      <c r="F226" s="84"/>
      <c r="M226" s="84"/>
      <c r="N226" s="84"/>
      <c r="U226" s="84"/>
      <c r="V226" s="84"/>
    </row>
    <row r="227" spans="5:22" ht="12.75">
      <c r="E227" s="84"/>
      <c r="F227" s="84"/>
      <c r="M227" s="84"/>
      <c r="N227" s="84"/>
      <c r="U227" s="84"/>
      <c r="V227" s="84"/>
    </row>
    <row r="228" spans="5:22" ht="12.75">
      <c r="E228" s="84"/>
      <c r="F228" s="84"/>
      <c r="M228" s="84"/>
      <c r="N228" s="84"/>
      <c r="U228" s="84"/>
      <c r="V228" s="84"/>
    </row>
    <row r="229" spans="5:22" ht="12.75">
      <c r="E229" s="84"/>
      <c r="F229" s="84"/>
      <c r="M229" s="84"/>
      <c r="N229" s="84"/>
      <c r="U229" s="84"/>
      <c r="V229" s="84"/>
    </row>
    <row r="230" spans="5:22" ht="12.75">
      <c r="E230" s="84"/>
      <c r="F230" s="84"/>
      <c r="M230" s="84"/>
      <c r="N230" s="84"/>
      <c r="U230" s="84"/>
      <c r="V230" s="84"/>
    </row>
    <row r="231" spans="5:22" ht="12.75">
      <c r="E231" s="84"/>
      <c r="F231" s="84"/>
      <c r="M231" s="84"/>
      <c r="N231" s="84"/>
      <c r="U231" s="84"/>
      <c r="V231" s="84"/>
    </row>
    <row r="232" spans="5:22" ht="12.75">
      <c r="E232" s="84"/>
      <c r="F232" s="84"/>
      <c r="M232" s="84"/>
      <c r="N232" s="84"/>
      <c r="U232" s="84"/>
      <c r="V232" s="84"/>
    </row>
    <row r="233" spans="5:22" ht="12.75">
      <c r="E233" s="84"/>
      <c r="F233" s="84"/>
      <c r="M233" s="84"/>
      <c r="N233" s="84"/>
      <c r="U233" s="84"/>
      <c r="V233" s="84"/>
    </row>
    <row r="234" spans="5:22" ht="12.75">
      <c r="E234" s="84"/>
      <c r="F234" s="84"/>
      <c r="M234" s="84"/>
      <c r="N234" s="84"/>
      <c r="U234" s="84"/>
      <c r="V234" s="84"/>
    </row>
    <row r="235" spans="5:22" ht="12.75">
      <c r="E235" s="84"/>
      <c r="F235" s="84"/>
      <c r="M235" s="84"/>
      <c r="N235" s="84"/>
      <c r="U235" s="84"/>
      <c r="V235" s="84"/>
    </row>
    <row r="236" spans="5:22" ht="12.75">
      <c r="E236" s="84"/>
      <c r="F236" s="84"/>
      <c r="M236" s="84"/>
      <c r="N236" s="84"/>
      <c r="U236" s="84"/>
      <c r="V236" s="84"/>
    </row>
    <row r="237" spans="5:22" ht="12.75">
      <c r="E237" s="84"/>
      <c r="F237" s="84"/>
      <c r="M237" s="84"/>
      <c r="N237" s="84"/>
      <c r="U237" s="84"/>
      <c r="V237" s="84"/>
    </row>
    <row r="238" spans="5:22" ht="12.75">
      <c r="E238" s="84"/>
      <c r="F238" s="84"/>
      <c r="M238" s="84"/>
      <c r="N238" s="84"/>
      <c r="U238" s="84"/>
      <c r="V238" s="84"/>
    </row>
    <row r="239" spans="5:22" ht="12.75">
      <c r="E239" s="84"/>
      <c r="F239" s="84"/>
      <c r="M239" s="84"/>
      <c r="N239" s="84"/>
      <c r="U239" s="84"/>
      <c r="V239" s="84"/>
    </row>
    <row r="240" spans="5:22" ht="12.75">
      <c r="E240" s="84"/>
      <c r="F240" s="84"/>
      <c r="M240" s="84"/>
      <c r="N240" s="84"/>
      <c r="U240" s="84"/>
      <c r="V240" s="84"/>
    </row>
    <row r="241" spans="5:22" ht="12.75">
      <c r="E241" s="84"/>
      <c r="F241" s="84"/>
      <c r="M241" s="84"/>
      <c r="N241" s="84"/>
      <c r="U241" s="84"/>
      <c r="V241" s="84"/>
    </row>
    <row r="242" spans="5:22" ht="12.75">
      <c r="E242" s="84"/>
      <c r="F242" s="84"/>
      <c r="M242" s="84"/>
      <c r="N242" s="84"/>
      <c r="U242" s="84"/>
      <c r="V242" s="84"/>
    </row>
    <row r="243" spans="5:22" ht="12.75">
      <c r="E243" s="84"/>
      <c r="F243" s="84"/>
      <c r="M243" s="84"/>
      <c r="N243" s="84"/>
      <c r="U243" s="84"/>
      <c r="V243" s="84"/>
    </row>
    <row r="244" spans="5:22" ht="12.75">
      <c r="E244" s="84"/>
      <c r="F244" s="84"/>
      <c r="M244" s="84"/>
      <c r="N244" s="84"/>
      <c r="U244" s="84"/>
      <c r="V244" s="84"/>
    </row>
    <row r="245" spans="5:22" ht="12.75">
      <c r="E245" s="84"/>
      <c r="F245" s="84"/>
      <c r="M245" s="84"/>
      <c r="N245" s="84"/>
      <c r="U245" s="84"/>
      <c r="V245" s="84"/>
    </row>
    <row r="246" spans="5:22" ht="12.75">
      <c r="E246" s="84"/>
      <c r="F246" s="84"/>
      <c r="M246" s="84"/>
      <c r="N246" s="84"/>
      <c r="U246" s="84"/>
      <c r="V246" s="84"/>
    </row>
    <row r="247" spans="5:22" ht="12.75">
      <c r="E247" s="84"/>
      <c r="F247" s="84"/>
      <c r="M247" s="84"/>
      <c r="N247" s="84"/>
      <c r="U247" s="84"/>
      <c r="V247" s="84"/>
    </row>
    <row r="248" spans="5:22" ht="12.75">
      <c r="E248" s="84"/>
      <c r="F248" s="84"/>
      <c r="M248" s="84"/>
      <c r="N248" s="84"/>
      <c r="U248" s="84"/>
      <c r="V248" s="84"/>
    </row>
    <row r="249" spans="5:22" ht="12.75">
      <c r="E249" s="84"/>
      <c r="F249" s="84"/>
      <c r="M249" s="84"/>
      <c r="N249" s="84"/>
      <c r="U249" s="84"/>
      <c r="V249" s="84"/>
    </row>
    <row r="250" spans="5:22" ht="12.75">
      <c r="E250" s="84"/>
      <c r="F250" s="84"/>
      <c r="M250" s="84"/>
      <c r="N250" s="84"/>
      <c r="U250" s="84"/>
      <c r="V250" s="84"/>
    </row>
    <row r="251" spans="5:22" ht="12.75">
      <c r="E251" s="84"/>
      <c r="F251" s="84"/>
      <c r="M251" s="84"/>
      <c r="N251" s="84"/>
      <c r="U251" s="84"/>
      <c r="V251" s="84"/>
    </row>
    <row r="252" spans="5:22" ht="12.75">
      <c r="E252" s="84"/>
      <c r="F252" s="84"/>
      <c r="M252" s="84"/>
      <c r="N252" s="84"/>
      <c r="U252" s="84"/>
      <c r="V252" s="84"/>
    </row>
    <row r="253" spans="5:22" ht="12.75">
      <c r="E253" s="84"/>
      <c r="F253" s="84"/>
      <c r="M253" s="84"/>
      <c r="N253" s="84"/>
      <c r="U253" s="84"/>
      <c r="V253" s="84"/>
    </row>
    <row r="254" spans="5:22" ht="12.75">
      <c r="E254" s="84"/>
      <c r="F254" s="84"/>
      <c r="M254" s="84"/>
      <c r="N254" s="84"/>
      <c r="U254" s="84"/>
      <c r="V254" s="84"/>
    </row>
    <row r="255" spans="5:22" ht="12.75">
      <c r="E255" s="84"/>
      <c r="F255" s="84"/>
      <c r="M255" s="84"/>
      <c r="N255" s="84"/>
      <c r="U255" s="84"/>
      <c r="V255" s="84"/>
    </row>
    <row r="256" spans="5:22" ht="12.75">
      <c r="E256" s="84"/>
      <c r="F256" s="84"/>
      <c r="M256" s="84"/>
      <c r="N256" s="84"/>
      <c r="U256" s="84"/>
      <c r="V256" s="84"/>
    </row>
    <row r="257" spans="5:22" ht="12.75">
      <c r="E257" s="84"/>
      <c r="F257" s="84"/>
      <c r="M257" s="84"/>
      <c r="N257" s="84"/>
      <c r="U257" s="84"/>
      <c r="V257" s="84"/>
    </row>
    <row r="258" spans="5:22" ht="12.75">
      <c r="E258" s="84"/>
      <c r="F258" s="84"/>
      <c r="M258" s="84"/>
      <c r="N258" s="84"/>
      <c r="U258" s="84"/>
      <c r="V258" s="84"/>
    </row>
    <row r="259" spans="5:22" ht="12.75">
      <c r="E259" s="84"/>
      <c r="F259" s="84"/>
      <c r="M259" s="84"/>
      <c r="N259" s="84"/>
      <c r="U259" s="84"/>
      <c r="V259" s="84"/>
    </row>
    <row r="260" spans="5:22" ht="12.75">
      <c r="E260" s="84"/>
      <c r="F260" s="84"/>
      <c r="M260" s="84"/>
      <c r="N260" s="84"/>
      <c r="U260" s="84"/>
      <c r="V260" s="84"/>
    </row>
    <row r="261" spans="5:22" ht="12.75">
      <c r="E261" s="84"/>
      <c r="F261" s="84"/>
      <c r="M261" s="84"/>
      <c r="N261" s="84"/>
      <c r="U261" s="84"/>
      <c r="V261" s="84"/>
    </row>
    <row r="262" spans="5:22" ht="12.75">
      <c r="E262" s="84"/>
      <c r="F262" s="84"/>
      <c r="M262" s="84"/>
      <c r="N262" s="84"/>
      <c r="U262" s="84"/>
      <c r="V262" s="84"/>
    </row>
    <row r="263" spans="5:22" ht="12.75">
      <c r="E263" s="84"/>
      <c r="F263" s="84"/>
      <c r="M263" s="84"/>
      <c r="N263" s="84"/>
      <c r="U263" s="84"/>
      <c r="V263" s="84"/>
    </row>
    <row r="264" spans="5:22" ht="12.75">
      <c r="E264" s="84"/>
      <c r="F264" s="84"/>
      <c r="M264" s="84"/>
      <c r="N264" s="84"/>
      <c r="U264" s="84"/>
      <c r="V264" s="84"/>
    </row>
    <row r="265" spans="5:22" ht="12.75">
      <c r="E265" s="84"/>
      <c r="F265" s="84"/>
      <c r="M265" s="84"/>
      <c r="N265" s="84"/>
      <c r="U265" s="84"/>
      <c r="V265" s="84"/>
    </row>
    <row r="266" spans="5:22" ht="12.75">
      <c r="E266" s="84"/>
      <c r="F266" s="84"/>
      <c r="M266" s="84"/>
      <c r="N266" s="84"/>
      <c r="U266" s="84"/>
      <c r="V266" s="84"/>
    </row>
    <row r="267" spans="5:22" ht="12.75">
      <c r="E267" s="84"/>
      <c r="F267" s="84"/>
      <c r="M267" s="84"/>
      <c r="N267" s="84"/>
      <c r="U267" s="84"/>
      <c r="V267" s="84"/>
    </row>
    <row r="268" spans="5:22" ht="12.75">
      <c r="E268" s="84"/>
      <c r="F268" s="84"/>
      <c r="M268" s="84"/>
      <c r="N268" s="84"/>
      <c r="U268" s="84"/>
      <c r="V268" s="84"/>
    </row>
    <row r="269" spans="5:22" ht="12.75">
      <c r="E269" s="84"/>
      <c r="F269" s="84"/>
      <c r="M269" s="84"/>
      <c r="N269" s="84"/>
      <c r="U269" s="84"/>
      <c r="V269" s="84"/>
    </row>
    <row r="270" spans="5:22" ht="12.75">
      <c r="E270" s="84"/>
      <c r="F270" s="84"/>
      <c r="M270" s="84"/>
      <c r="N270" s="84"/>
      <c r="U270" s="84"/>
      <c r="V270" s="84"/>
    </row>
    <row r="271" spans="5:22" ht="12.75">
      <c r="E271" s="84"/>
      <c r="F271" s="84"/>
      <c r="M271" s="84"/>
      <c r="N271" s="84"/>
      <c r="U271" s="84"/>
      <c r="V271" s="84"/>
    </row>
    <row r="272" spans="5:22" ht="12.75">
      <c r="E272" s="84"/>
      <c r="F272" s="84"/>
      <c r="M272" s="84"/>
      <c r="N272" s="84"/>
      <c r="U272" s="84"/>
      <c r="V272" s="84"/>
    </row>
    <row r="273" spans="5:22" ht="12.75">
      <c r="E273" s="84"/>
      <c r="F273" s="84"/>
      <c r="M273" s="84"/>
      <c r="N273" s="84"/>
      <c r="U273" s="84"/>
      <c r="V273" s="84"/>
    </row>
    <row r="274" spans="5:22" ht="12.75">
      <c r="E274" s="84"/>
      <c r="F274" s="84"/>
      <c r="M274" s="84"/>
      <c r="N274" s="84"/>
      <c r="U274" s="84"/>
      <c r="V274" s="84"/>
    </row>
    <row r="275" spans="5:22" ht="12.75">
      <c r="E275" s="84"/>
      <c r="F275" s="84"/>
      <c r="M275" s="84"/>
      <c r="N275" s="84"/>
      <c r="U275" s="84"/>
      <c r="V275" s="84"/>
    </row>
    <row r="276" spans="5:22" ht="12.75">
      <c r="E276" s="84"/>
      <c r="F276" s="84"/>
      <c r="M276" s="84"/>
      <c r="N276" s="84"/>
      <c r="U276" s="84"/>
      <c r="V276" s="84"/>
    </row>
    <row r="277" spans="5:22" ht="12.75">
      <c r="E277" s="84"/>
      <c r="F277" s="84"/>
      <c r="M277" s="84"/>
      <c r="N277" s="84"/>
      <c r="U277" s="84"/>
      <c r="V277" s="84"/>
    </row>
    <row r="278" spans="5:22" ht="12.75">
      <c r="E278" s="84"/>
      <c r="F278" s="84"/>
      <c r="M278" s="84"/>
      <c r="N278" s="84"/>
      <c r="U278" s="84"/>
      <c r="V278" s="84"/>
    </row>
    <row r="279" spans="5:22" ht="12.75">
      <c r="E279" s="84"/>
      <c r="F279" s="84"/>
      <c r="M279" s="84"/>
      <c r="N279" s="84"/>
      <c r="U279" s="84"/>
      <c r="V279" s="84"/>
    </row>
    <row r="280" spans="5:22" ht="12.75">
      <c r="E280" s="84"/>
      <c r="F280" s="84"/>
      <c r="M280" s="84"/>
      <c r="N280" s="84"/>
      <c r="U280" s="84"/>
      <c r="V280" s="84"/>
    </row>
    <row r="281" spans="5:22" ht="12.75">
      <c r="E281" s="84"/>
      <c r="F281" s="84"/>
      <c r="M281" s="84"/>
      <c r="N281" s="84"/>
      <c r="U281" s="84"/>
      <c r="V281" s="84"/>
    </row>
    <row r="282" spans="5:22" ht="12.75">
      <c r="E282" s="84"/>
      <c r="F282" s="84"/>
      <c r="M282" s="84"/>
      <c r="N282" s="84"/>
      <c r="U282" s="84"/>
      <c r="V282" s="84"/>
    </row>
    <row r="283" spans="5:22" ht="12.75">
      <c r="E283" s="84"/>
      <c r="F283" s="84"/>
      <c r="M283" s="84"/>
      <c r="N283" s="84"/>
      <c r="U283" s="84"/>
      <c r="V283" s="84"/>
    </row>
    <row r="284" spans="5:22" ht="12.75">
      <c r="E284" s="84"/>
      <c r="F284" s="84"/>
      <c r="M284" s="84"/>
      <c r="N284" s="84"/>
      <c r="U284" s="84"/>
      <c r="V284" s="84"/>
    </row>
    <row r="285" spans="5:22" ht="12.75">
      <c r="E285" s="84"/>
      <c r="F285" s="84"/>
      <c r="M285" s="84"/>
      <c r="N285" s="84"/>
      <c r="U285" s="84"/>
      <c r="V285" s="84"/>
    </row>
    <row r="286" spans="5:22" ht="12.75">
      <c r="E286" s="84"/>
      <c r="F286" s="84"/>
      <c r="M286" s="84"/>
      <c r="N286" s="84"/>
      <c r="U286" s="84"/>
      <c r="V286" s="84"/>
    </row>
    <row r="287" spans="5:22" ht="12.75">
      <c r="E287" s="84"/>
      <c r="F287" s="84"/>
      <c r="M287" s="84"/>
      <c r="N287" s="84"/>
      <c r="U287" s="84"/>
      <c r="V287" s="84"/>
    </row>
    <row r="288" spans="5:22" ht="12.75">
      <c r="E288" s="84"/>
      <c r="F288" s="84"/>
      <c r="M288" s="84"/>
      <c r="N288" s="84"/>
      <c r="U288" s="84"/>
      <c r="V288" s="84"/>
    </row>
    <row r="289" spans="5:22" ht="12.75">
      <c r="E289" s="84"/>
      <c r="F289" s="84"/>
      <c r="M289" s="84"/>
      <c r="N289" s="84"/>
      <c r="U289" s="84"/>
      <c r="V289" s="84"/>
    </row>
    <row r="290" spans="5:22" ht="12.75">
      <c r="E290" s="84"/>
      <c r="F290" s="84"/>
      <c r="M290" s="84"/>
      <c r="N290" s="84"/>
      <c r="U290" s="84"/>
      <c r="V290" s="84"/>
    </row>
    <row r="291" spans="5:22" ht="12.75">
      <c r="E291" s="84"/>
      <c r="F291" s="84"/>
      <c r="M291" s="84"/>
      <c r="N291" s="84"/>
      <c r="U291" s="84"/>
      <c r="V291" s="84"/>
    </row>
    <row r="292" spans="5:22" ht="12.75">
      <c r="E292" s="84"/>
      <c r="F292" s="84"/>
      <c r="M292" s="84"/>
      <c r="N292" s="84"/>
      <c r="U292" s="84"/>
      <c r="V292" s="84"/>
    </row>
    <row r="293" spans="5:22" ht="12.75">
      <c r="E293" s="84"/>
      <c r="F293" s="84"/>
      <c r="M293" s="84"/>
      <c r="N293" s="84"/>
      <c r="U293" s="84"/>
      <c r="V293" s="84"/>
    </row>
    <row r="294" spans="5:22" ht="12.75">
      <c r="E294" s="84"/>
      <c r="F294" s="84"/>
      <c r="M294" s="84"/>
      <c r="N294" s="84"/>
      <c r="U294" s="84"/>
      <c r="V294" s="84"/>
    </row>
    <row r="295" spans="5:22" ht="12.75">
      <c r="E295" s="84"/>
      <c r="F295" s="84"/>
      <c r="M295" s="84"/>
      <c r="N295" s="84"/>
      <c r="U295" s="84"/>
      <c r="V295" s="84"/>
    </row>
    <row r="296" spans="5:22" ht="12.75">
      <c r="E296" s="84"/>
      <c r="F296" s="84"/>
      <c r="M296" s="84"/>
      <c r="N296" s="84"/>
      <c r="U296" s="84"/>
      <c r="V296" s="84"/>
    </row>
    <row r="297" spans="5:22" ht="12.75">
      <c r="E297" s="84"/>
      <c r="F297" s="84"/>
      <c r="M297" s="84"/>
      <c r="N297" s="84"/>
      <c r="U297" s="84"/>
      <c r="V297" s="84"/>
    </row>
    <row r="298" spans="5:22" ht="12.75">
      <c r="E298" s="84"/>
      <c r="F298" s="84"/>
      <c r="M298" s="84"/>
      <c r="N298" s="84"/>
      <c r="U298" s="84"/>
      <c r="V298" s="84"/>
    </row>
    <row r="299" spans="5:22" ht="12.75">
      <c r="E299" s="84"/>
      <c r="F299" s="84"/>
      <c r="M299" s="84"/>
      <c r="N299" s="84"/>
      <c r="U299" s="84"/>
      <c r="V299" s="84"/>
    </row>
    <row r="300" spans="5:22" ht="12.75">
      <c r="E300" s="84"/>
      <c r="F300" s="84"/>
      <c r="M300" s="84"/>
      <c r="N300" s="84"/>
      <c r="U300" s="84"/>
      <c r="V300" s="84"/>
    </row>
    <row r="301" spans="5:22" ht="12.75">
      <c r="E301" s="84"/>
      <c r="F301" s="84"/>
      <c r="M301" s="84"/>
      <c r="N301" s="84"/>
      <c r="U301" s="84"/>
      <c r="V301" s="84"/>
    </row>
    <row r="302" spans="5:22" ht="12.75">
      <c r="E302" s="84"/>
      <c r="F302" s="84"/>
      <c r="M302" s="84"/>
      <c r="N302" s="84"/>
      <c r="U302" s="84"/>
      <c r="V302" s="84"/>
    </row>
    <row r="303" spans="5:22" ht="12.75">
      <c r="E303" s="84"/>
      <c r="F303" s="84"/>
      <c r="M303" s="84"/>
      <c r="N303" s="84"/>
      <c r="U303" s="84"/>
      <c r="V303" s="84"/>
    </row>
    <row r="304" spans="5:22" ht="12.75">
      <c r="E304" s="84"/>
      <c r="F304" s="84"/>
      <c r="M304" s="84"/>
      <c r="N304" s="84"/>
      <c r="U304" s="84"/>
      <c r="V304" s="84"/>
    </row>
    <row r="305" spans="5:22" ht="12.75">
      <c r="E305" s="84"/>
      <c r="F305" s="84"/>
      <c r="M305" s="84"/>
      <c r="N305" s="84"/>
      <c r="U305" s="84"/>
      <c r="V305" s="84"/>
    </row>
    <row r="306" spans="5:22" ht="12.75">
      <c r="E306" s="84"/>
      <c r="F306" s="84"/>
      <c r="M306" s="84"/>
      <c r="N306" s="84"/>
      <c r="U306" s="84"/>
      <c r="V306" s="84"/>
    </row>
    <row r="307" spans="5:22" ht="12.75">
      <c r="E307" s="84"/>
      <c r="F307" s="84"/>
      <c r="M307" s="84"/>
      <c r="N307" s="84"/>
      <c r="U307" s="84"/>
      <c r="V307" s="84"/>
    </row>
    <row r="308" spans="5:22" ht="12.75">
      <c r="E308" s="84"/>
      <c r="F308" s="84"/>
      <c r="M308" s="84"/>
      <c r="N308" s="84"/>
      <c r="U308" s="84"/>
      <c r="V308" s="84"/>
    </row>
    <row r="309" spans="5:22" ht="12.75">
      <c r="E309" s="84"/>
      <c r="F309" s="84"/>
      <c r="M309" s="84"/>
      <c r="N309" s="84"/>
      <c r="U309" s="84"/>
      <c r="V309" s="84"/>
    </row>
    <row r="310" spans="5:22" ht="12.75">
      <c r="E310" s="84"/>
      <c r="F310" s="84"/>
      <c r="M310" s="84"/>
      <c r="N310" s="84"/>
      <c r="U310" s="84"/>
      <c r="V310" s="84"/>
    </row>
    <row r="311" spans="5:22" ht="12.75">
      <c r="E311" s="84"/>
      <c r="F311" s="84"/>
      <c r="M311" s="84"/>
      <c r="N311" s="84"/>
      <c r="U311" s="84"/>
      <c r="V311" s="84"/>
    </row>
    <row r="312" spans="5:22" ht="12.75">
      <c r="E312" s="84"/>
      <c r="F312" s="84"/>
      <c r="M312" s="84"/>
      <c r="N312" s="84"/>
      <c r="U312" s="84"/>
      <c r="V312" s="84"/>
    </row>
    <row r="313" spans="5:22" ht="12.75">
      <c r="E313" s="84"/>
      <c r="F313" s="84"/>
      <c r="M313" s="84"/>
      <c r="N313" s="84"/>
      <c r="U313" s="84"/>
      <c r="V313" s="84"/>
    </row>
    <row r="314" spans="5:22" ht="12.75">
      <c r="E314" s="84"/>
      <c r="F314" s="84"/>
      <c r="M314" s="84"/>
      <c r="N314" s="84"/>
      <c r="U314" s="84"/>
      <c r="V314" s="84"/>
    </row>
    <row r="315" spans="5:22" ht="12.75">
      <c r="E315" s="84"/>
      <c r="F315" s="84"/>
      <c r="M315" s="84"/>
      <c r="N315" s="84"/>
      <c r="U315" s="84"/>
      <c r="V315" s="84"/>
    </row>
    <row r="316" spans="5:22" ht="12.75">
      <c r="E316" s="84"/>
      <c r="F316" s="84"/>
      <c r="M316" s="84"/>
      <c r="N316" s="84"/>
      <c r="U316" s="84"/>
      <c r="V316" s="84"/>
    </row>
    <row r="317" spans="5:22" ht="12.75">
      <c r="E317" s="84"/>
      <c r="F317" s="84"/>
      <c r="M317" s="84"/>
      <c r="N317" s="84"/>
      <c r="U317" s="84"/>
      <c r="V317" s="84"/>
    </row>
    <row r="318" spans="5:22" ht="12.75">
      <c r="E318" s="84"/>
      <c r="F318" s="84"/>
      <c r="M318" s="84"/>
      <c r="N318" s="84"/>
      <c r="U318" s="84"/>
      <c r="V318" s="84"/>
    </row>
    <row r="319" spans="5:22" ht="12.75">
      <c r="E319" s="84"/>
      <c r="F319" s="84"/>
      <c r="M319" s="84"/>
      <c r="N319" s="84"/>
      <c r="U319" s="84"/>
      <c r="V319" s="84"/>
    </row>
    <row r="320" spans="5:22" ht="12.75">
      <c r="E320" s="84"/>
      <c r="F320" s="84"/>
      <c r="M320" s="84"/>
      <c r="N320" s="84"/>
      <c r="U320" s="84"/>
      <c r="V320" s="84"/>
    </row>
    <row r="321" spans="5:22" ht="12.75">
      <c r="E321" s="84"/>
      <c r="F321" s="84"/>
      <c r="M321" s="84"/>
      <c r="N321" s="84"/>
      <c r="U321" s="84"/>
      <c r="V321" s="84"/>
    </row>
    <row r="322" spans="5:22" ht="12.75">
      <c r="E322" s="84"/>
      <c r="F322" s="84"/>
      <c r="M322" s="84"/>
      <c r="N322" s="84"/>
      <c r="U322" s="84"/>
      <c r="V322" s="84"/>
    </row>
    <row r="323" spans="5:22" ht="12.75">
      <c r="E323" s="84"/>
      <c r="F323" s="84"/>
      <c r="M323" s="84"/>
      <c r="N323" s="84"/>
      <c r="U323" s="84"/>
      <c r="V323" s="84"/>
    </row>
    <row r="324" spans="5:22" ht="12.75">
      <c r="E324" s="84"/>
      <c r="F324" s="84"/>
      <c r="M324" s="84"/>
      <c r="N324" s="84"/>
      <c r="U324" s="84"/>
      <c r="V324" s="84"/>
    </row>
    <row r="325" spans="5:22" ht="12.75">
      <c r="E325" s="84"/>
      <c r="F325" s="84"/>
      <c r="M325" s="84"/>
      <c r="N325" s="84"/>
      <c r="U325" s="84"/>
      <c r="V325" s="84"/>
    </row>
    <row r="326" spans="5:22" ht="12.75">
      <c r="E326" s="84"/>
      <c r="F326" s="84"/>
      <c r="M326" s="84"/>
      <c r="N326" s="84"/>
      <c r="U326" s="84"/>
      <c r="V326" s="84"/>
    </row>
    <row r="327" spans="5:22" ht="12.75">
      <c r="E327" s="84"/>
      <c r="F327" s="84"/>
      <c r="M327" s="84"/>
      <c r="N327" s="84"/>
      <c r="U327" s="84"/>
      <c r="V327" s="84"/>
    </row>
    <row r="328" spans="5:22" ht="12.75">
      <c r="E328" s="84"/>
      <c r="F328" s="84"/>
      <c r="M328" s="84"/>
      <c r="N328" s="84"/>
      <c r="U328" s="84"/>
      <c r="V328" s="84"/>
    </row>
    <row r="329" spans="5:22" ht="12.75">
      <c r="E329" s="84"/>
      <c r="F329" s="84"/>
      <c r="M329" s="84"/>
      <c r="N329" s="84"/>
      <c r="U329" s="84"/>
      <c r="V329" s="84"/>
    </row>
    <row r="330" spans="5:22" ht="12.75">
      <c r="E330" s="84"/>
      <c r="F330" s="84"/>
      <c r="M330" s="84"/>
      <c r="N330" s="84"/>
      <c r="U330" s="84"/>
      <c r="V330" s="84"/>
    </row>
    <row r="331" spans="5:22" ht="12.75">
      <c r="E331" s="84"/>
      <c r="F331" s="84"/>
      <c r="M331" s="84"/>
      <c r="N331" s="84"/>
      <c r="U331" s="84"/>
      <c r="V331" s="84"/>
    </row>
    <row r="332" spans="5:22" ht="12.75">
      <c r="E332" s="84"/>
      <c r="F332" s="84"/>
      <c r="M332" s="84"/>
      <c r="N332" s="84"/>
      <c r="U332" s="84"/>
      <c r="V332" s="84"/>
    </row>
    <row r="333" spans="5:22" ht="12.75">
      <c r="E333" s="84"/>
      <c r="F333" s="84"/>
      <c r="M333" s="84"/>
      <c r="N333" s="84"/>
      <c r="U333" s="84"/>
      <c r="V333" s="84"/>
    </row>
    <row r="334" spans="5:22" ht="12.75">
      <c r="E334" s="84"/>
      <c r="F334" s="84"/>
      <c r="M334" s="84"/>
      <c r="N334" s="84"/>
      <c r="U334" s="84"/>
      <c r="V334" s="84"/>
    </row>
    <row r="335" spans="5:22" ht="12.75">
      <c r="E335" s="84"/>
      <c r="F335" s="84"/>
      <c r="M335" s="84"/>
      <c r="N335" s="84"/>
      <c r="U335" s="84"/>
      <c r="V335" s="84"/>
    </row>
    <row r="336" spans="5:22" ht="12.75">
      <c r="E336" s="84"/>
      <c r="F336" s="84"/>
      <c r="M336" s="84"/>
      <c r="N336" s="84"/>
      <c r="U336" s="84"/>
      <c r="V336" s="84"/>
    </row>
    <row r="337" spans="5:22" ht="12.75">
      <c r="E337" s="84"/>
      <c r="F337" s="84"/>
      <c r="M337" s="84"/>
      <c r="N337" s="84"/>
      <c r="U337" s="84"/>
      <c r="V337" s="84"/>
    </row>
    <row r="338" spans="5:22" ht="12.75">
      <c r="E338" s="84"/>
      <c r="F338" s="84"/>
      <c r="M338" s="84"/>
      <c r="N338" s="84"/>
      <c r="U338" s="84"/>
      <c r="V338" s="84"/>
    </row>
    <row r="339" spans="5:22" ht="12.75">
      <c r="E339" s="84"/>
      <c r="F339" s="84"/>
      <c r="M339" s="84"/>
      <c r="N339" s="84"/>
      <c r="U339" s="84"/>
      <c r="V339" s="84"/>
    </row>
    <row r="340" spans="5:22" ht="12.75">
      <c r="E340" s="84"/>
      <c r="F340" s="84"/>
      <c r="M340" s="84"/>
      <c r="N340" s="84"/>
      <c r="U340" s="84"/>
      <c r="V340" s="84"/>
    </row>
    <row r="341" spans="5:22" ht="12.75">
      <c r="E341" s="84"/>
      <c r="F341" s="84"/>
      <c r="M341" s="84"/>
      <c r="N341" s="84"/>
      <c r="U341" s="84"/>
      <c r="V341" s="84"/>
    </row>
    <row r="342" spans="5:22" ht="12.75">
      <c r="E342" s="84"/>
      <c r="F342" s="84"/>
      <c r="M342" s="84"/>
      <c r="N342" s="84"/>
      <c r="U342" s="84"/>
      <c r="V342" s="84"/>
    </row>
    <row r="343" spans="5:22" ht="12.75">
      <c r="E343" s="84"/>
      <c r="F343" s="84"/>
      <c r="M343" s="84"/>
      <c r="N343" s="84"/>
      <c r="U343" s="84"/>
      <c r="V343" s="84"/>
    </row>
    <row r="344" spans="5:22" ht="12.75">
      <c r="E344" s="84"/>
      <c r="F344" s="84"/>
      <c r="M344" s="84"/>
      <c r="N344" s="84"/>
      <c r="U344" s="84"/>
      <c r="V344" s="84"/>
    </row>
    <row r="345" spans="5:22" ht="12.75">
      <c r="E345" s="84"/>
      <c r="F345" s="84"/>
      <c r="M345" s="84"/>
      <c r="N345" s="84"/>
      <c r="U345" s="84"/>
      <c r="V345" s="84"/>
    </row>
    <row r="346" spans="5:22" ht="12.75">
      <c r="E346" s="84"/>
      <c r="F346" s="84"/>
      <c r="M346" s="84"/>
      <c r="N346" s="84"/>
      <c r="U346" s="84"/>
      <c r="V346" s="84"/>
    </row>
    <row r="347" spans="5:22" ht="12.75">
      <c r="E347" s="84"/>
      <c r="F347" s="84"/>
      <c r="M347" s="84"/>
      <c r="N347" s="84"/>
      <c r="U347" s="84"/>
      <c r="V347" s="84"/>
    </row>
    <row r="348" spans="5:22" ht="12.75">
      <c r="E348" s="84"/>
      <c r="F348" s="84"/>
      <c r="M348" s="84"/>
      <c r="N348" s="84"/>
      <c r="U348" s="84"/>
      <c r="V348" s="84"/>
    </row>
    <row r="349" spans="5:22" ht="12.75">
      <c r="E349" s="84"/>
      <c r="F349" s="84"/>
      <c r="M349" s="84"/>
      <c r="N349" s="84"/>
      <c r="U349" s="84"/>
      <c r="V349" s="84"/>
    </row>
    <row r="350" spans="5:22" ht="12.75">
      <c r="E350" s="84"/>
      <c r="F350" s="84"/>
      <c r="M350" s="84"/>
      <c r="N350" s="84"/>
      <c r="U350" s="84"/>
      <c r="V350" s="84"/>
    </row>
    <row r="351" spans="5:22" ht="12.75">
      <c r="E351" s="84"/>
      <c r="F351" s="84"/>
      <c r="M351" s="84"/>
      <c r="N351" s="84"/>
      <c r="U351" s="84"/>
      <c r="V351" s="84"/>
    </row>
    <row r="352" spans="5:22" ht="12.75">
      <c r="E352" s="84"/>
      <c r="F352" s="84"/>
      <c r="M352" s="84"/>
      <c r="N352" s="84"/>
      <c r="U352" s="84"/>
      <c r="V352" s="84"/>
    </row>
    <row r="353" spans="5:22" ht="12.75">
      <c r="E353" s="84"/>
      <c r="F353" s="84"/>
      <c r="M353" s="84"/>
      <c r="N353" s="84"/>
      <c r="U353" s="84"/>
      <c r="V353" s="84"/>
    </row>
    <row r="354" spans="5:22" ht="12.75">
      <c r="E354" s="84"/>
      <c r="F354" s="84"/>
      <c r="M354" s="84"/>
      <c r="N354" s="84"/>
      <c r="U354" s="84"/>
      <c r="V354" s="84"/>
    </row>
    <row r="355" spans="5:22" ht="12.75">
      <c r="E355" s="84"/>
      <c r="F355" s="84"/>
      <c r="M355" s="84"/>
      <c r="N355" s="84"/>
      <c r="U355" s="84"/>
      <c r="V355" s="84"/>
    </row>
    <row r="356" spans="5:22" ht="12.75">
      <c r="E356" s="84"/>
      <c r="F356" s="84"/>
      <c r="M356" s="84"/>
      <c r="N356" s="84"/>
      <c r="U356" s="84"/>
      <c r="V356" s="84"/>
    </row>
    <row r="357" spans="5:22" ht="12.75">
      <c r="E357" s="84"/>
      <c r="F357" s="84"/>
      <c r="M357" s="84"/>
      <c r="N357" s="84"/>
      <c r="U357" s="84"/>
      <c r="V357" s="84"/>
    </row>
    <row r="358" spans="5:22" ht="12.75">
      <c r="E358" s="84"/>
      <c r="F358" s="84"/>
      <c r="M358" s="84"/>
      <c r="N358" s="84"/>
      <c r="U358" s="84"/>
      <c r="V358" s="84"/>
    </row>
    <row r="359" spans="5:22" ht="12.75">
      <c r="E359" s="84"/>
      <c r="F359" s="84"/>
      <c r="M359" s="84"/>
      <c r="N359" s="84"/>
      <c r="U359" s="84"/>
      <c r="V359" s="84"/>
    </row>
    <row r="360" spans="5:22" ht="12.75">
      <c r="E360" s="84"/>
      <c r="F360" s="84"/>
      <c r="M360" s="84"/>
      <c r="N360" s="84"/>
      <c r="U360" s="84"/>
      <c r="V360" s="84"/>
    </row>
    <row r="361" spans="5:22" ht="12.75">
      <c r="E361" s="84"/>
      <c r="F361" s="84"/>
      <c r="M361" s="84"/>
      <c r="N361" s="84"/>
      <c r="U361" s="84"/>
      <c r="V361" s="84"/>
    </row>
    <row r="362" spans="5:22" ht="12.75">
      <c r="E362" s="84"/>
      <c r="F362" s="84"/>
      <c r="M362" s="84"/>
      <c r="N362" s="84"/>
      <c r="U362" s="84"/>
      <c r="V362" s="84"/>
    </row>
    <row r="363" spans="5:22" ht="12.75">
      <c r="E363" s="84"/>
      <c r="F363" s="84"/>
      <c r="M363" s="84"/>
      <c r="N363" s="84"/>
      <c r="U363" s="84"/>
      <c r="V363" s="84"/>
    </row>
    <row r="364" spans="5:22" ht="12.75">
      <c r="E364" s="84"/>
      <c r="F364" s="84"/>
      <c r="M364" s="84"/>
      <c r="N364" s="84"/>
      <c r="U364" s="84"/>
      <c r="V364" s="84"/>
    </row>
    <row r="365" spans="5:22" ht="12.75">
      <c r="E365" s="84"/>
      <c r="F365" s="84"/>
      <c r="M365" s="84"/>
      <c r="N365" s="84"/>
      <c r="U365" s="84"/>
      <c r="V365" s="84"/>
    </row>
    <row r="366" spans="5:22" ht="12.75">
      <c r="E366" s="84"/>
      <c r="F366" s="84"/>
      <c r="M366" s="84"/>
      <c r="N366" s="84"/>
      <c r="U366" s="84"/>
      <c r="V366" s="84"/>
    </row>
    <row r="367" spans="5:22" ht="12.75">
      <c r="E367" s="84"/>
      <c r="F367" s="84"/>
      <c r="M367" s="84"/>
      <c r="N367" s="84"/>
      <c r="U367" s="84"/>
      <c r="V367" s="84"/>
    </row>
    <row r="368" spans="5:22" ht="12.75">
      <c r="E368" s="84"/>
      <c r="F368" s="84"/>
      <c r="M368" s="84"/>
      <c r="N368" s="84"/>
      <c r="U368" s="84"/>
      <c r="V368" s="84"/>
    </row>
    <row r="369" spans="5:22" ht="12.75">
      <c r="E369" s="84"/>
      <c r="F369" s="84"/>
      <c r="M369" s="84"/>
      <c r="N369" s="84"/>
      <c r="U369" s="84"/>
      <c r="V369" s="84"/>
    </row>
    <row r="370" spans="5:22" ht="12.75">
      <c r="E370" s="84"/>
      <c r="F370" s="84"/>
      <c r="M370" s="84"/>
      <c r="N370" s="84"/>
      <c r="U370" s="84"/>
      <c r="V370" s="84"/>
    </row>
    <row r="371" spans="5:22" ht="12.75">
      <c r="E371" s="84"/>
      <c r="F371" s="84"/>
      <c r="M371" s="84"/>
      <c r="N371" s="84"/>
      <c r="U371" s="84"/>
      <c r="V371" s="84"/>
    </row>
    <row r="372" spans="5:22" ht="12.75">
      <c r="E372" s="84"/>
      <c r="F372" s="84"/>
      <c r="M372" s="84"/>
      <c r="N372" s="84"/>
      <c r="U372" s="84"/>
      <c r="V372" s="84"/>
    </row>
    <row r="373" spans="5:22" ht="12.75">
      <c r="E373" s="84"/>
      <c r="F373" s="84"/>
      <c r="M373" s="84"/>
      <c r="N373" s="84"/>
      <c r="U373" s="84"/>
      <c r="V373" s="84"/>
    </row>
    <row r="374" spans="5:22" ht="12.75">
      <c r="E374" s="84"/>
      <c r="F374" s="84"/>
      <c r="M374" s="84"/>
      <c r="N374" s="84"/>
      <c r="U374" s="84"/>
      <c r="V374" s="84"/>
    </row>
    <row r="375" spans="5:22" ht="12.75">
      <c r="E375" s="84"/>
      <c r="F375" s="84"/>
      <c r="M375" s="84"/>
      <c r="N375" s="84"/>
      <c r="U375" s="84"/>
      <c r="V375" s="84"/>
    </row>
    <row r="376" spans="5:22" ht="12.75">
      <c r="E376" s="84"/>
      <c r="F376" s="84"/>
      <c r="M376" s="84"/>
      <c r="N376" s="84"/>
      <c r="U376" s="84"/>
      <c r="V376" s="84"/>
    </row>
    <row r="377" spans="5:22" ht="12.75">
      <c r="E377" s="84"/>
      <c r="F377" s="84"/>
      <c r="M377" s="84"/>
      <c r="N377" s="84"/>
      <c r="U377" s="84"/>
      <c r="V377" s="84"/>
    </row>
    <row r="378" spans="5:22" ht="12.75">
      <c r="E378" s="84"/>
      <c r="F378" s="84"/>
      <c r="M378" s="84"/>
      <c r="N378" s="84"/>
      <c r="U378" s="84"/>
      <c r="V378" s="84"/>
    </row>
    <row r="379" spans="5:22" ht="12.75">
      <c r="E379" s="84"/>
      <c r="F379" s="84"/>
      <c r="M379" s="84"/>
      <c r="N379" s="84"/>
      <c r="U379" s="84"/>
      <c r="V379" s="84"/>
    </row>
    <row r="380" spans="5:22" ht="12.75">
      <c r="E380" s="84"/>
      <c r="F380" s="84"/>
      <c r="M380" s="84"/>
      <c r="N380" s="84"/>
      <c r="U380" s="84"/>
      <c r="V380" s="84"/>
    </row>
    <row r="381" spans="5:22" ht="12.75">
      <c r="E381" s="84"/>
      <c r="F381" s="84"/>
      <c r="M381" s="84"/>
      <c r="N381" s="84"/>
      <c r="U381" s="84"/>
      <c r="V381" s="84"/>
    </row>
    <row r="382" spans="5:22" ht="12.75">
      <c r="E382" s="84"/>
      <c r="F382" s="84"/>
      <c r="M382" s="84"/>
      <c r="N382" s="84"/>
      <c r="U382" s="84"/>
      <c r="V382" s="84"/>
    </row>
    <row r="383" spans="5:22" ht="12.75">
      <c r="E383" s="84"/>
      <c r="F383" s="84"/>
      <c r="M383" s="84"/>
      <c r="N383" s="84"/>
      <c r="U383" s="84"/>
      <c r="V383" s="84"/>
    </row>
    <row r="384" spans="5:22" ht="12.75">
      <c r="E384" s="84"/>
      <c r="F384" s="84"/>
      <c r="M384" s="84"/>
      <c r="N384" s="84"/>
      <c r="U384" s="84"/>
      <c r="V384" s="84"/>
    </row>
    <row r="385" spans="5:22" ht="12.75">
      <c r="E385" s="84"/>
      <c r="F385" s="84"/>
      <c r="M385" s="84"/>
      <c r="N385" s="84"/>
      <c r="U385" s="84"/>
      <c r="V385" s="84"/>
    </row>
    <row r="386" spans="5:22" ht="12.75">
      <c r="E386" s="84"/>
      <c r="F386" s="84"/>
      <c r="M386" s="84"/>
      <c r="N386" s="84"/>
      <c r="U386" s="84"/>
      <c r="V386" s="84"/>
    </row>
    <row r="387" spans="5:22" ht="12.75">
      <c r="E387" s="84"/>
      <c r="F387" s="84"/>
      <c r="M387" s="84"/>
      <c r="N387" s="84"/>
      <c r="U387" s="84"/>
      <c r="V387" s="84"/>
    </row>
    <row r="388" spans="5:22" ht="12.75">
      <c r="E388" s="84"/>
      <c r="F388" s="84"/>
      <c r="M388" s="84"/>
      <c r="N388" s="84"/>
      <c r="U388" s="84"/>
      <c r="V388" s="84"/>
    </row>
    <row r="389" spans="5:22" ht="12.75">
      <c r="E389" s="84"/>
      <c r="F389" s="84"/>
      <c r="M389" s="84"/>
      <c r="N389" s="84"/>
      <c r="U389" s="84"/>
      <c r="V389" s="84"/>
    </row>
    <row r="390" spans="5:22" ht="12.75">
      <c r="E390" s="84"/>
      <c r="F390" s="84"/>
      <c r="M390" s="84"/>
      <c r="N390" s="84"/>
      <c r="U390" s="84"/>
      <c r="V390" s="84"/>
    </row>
    <row r="391" spans="5:22" ht="12.75">
      <c r="E391" s="84"/>
      <c r="F391" s="84"/>
      <c r="M391" s="84"/>
      <c r="N391" s="84"/>
      <c r="U391" s="84"/>
      <c r="V391" s="84"/>
    </row>
    <row r="392" spans="5:22" ht="12.75">
      <c r="E392" s="84"/>
      <c r="F392" s="84"/>
      <c r="M392" s="84"/>
      <c r="N392" s="84"/>
      <c r="U392" s="84"/>
      <c r="V392" s="84"/>
    </row>
    <row r="393" spans="5:22" ht="12.75">
      <c r="E393" s="84"/>
      <c r="F393" s="84"/>
      <c r="M393" s="84"/>
      <c r="N393" s="84"/>
      <c r="U393" s="84"/>
      <c r="V393" s="84"/>
    </row>
    <row r="394" spans="5:22" ht="12.75">
      <c r="E394" s="84"/>
      <c r="F394" s="84"/>
      <c r="M394" s="84"/>
      <c r="N394" s="84"/>
      <c r="U394" s="84"/>
      <c r="V394" s="84"/>
    </row>
    <row r="395" spans="5:22" ht="12.75">
      <c r="E395" s="84"/>
      <c r="F395" s="84"/>
      <c r="M395" s="84"/>
      <c r="N395" s="84"/>
      <c r="U395" s="84"/>
      <c r="V395" s="84"/>
    </row>
    <row r="396" spans="5:22" ht="12.75">
      <c r="E396" s="84"/>
      <c r="F396" s="84"/>
      <c r="M396" s="84"/>
      <c r="N396" s="84"/>
      <c r="U396" s="84"/>
      <c r="V396" s="84"/>
    </row>
    <row r="397" spans="5:22" ht="12.75">
      <c r="E397" s="84"/>
      <c r="F397" s="84"/>
      <c r="M397" s="84"/>
      <c r="N397" s="84"/>
      <c r="U397" s="84"/>
      <c r="V397" s="84"/>
    </row>
    <row r="398" spans="5:22" ht="12.75">
      <c r="E398" s="84"/>
      <c r="F398" s="84"/>
      <c r="M398" s="84"/>
      <c r="N398" s="84"/>
      <c r="U398" s="84"/>
      <c r="V398" s="84"/>
    </row>
    <row r="399" spans="5:22" ht="12.75">
      <c r="E399" s="84"/>
      <c r="F399" s="84"/>
      <c r="M399" s="84"/>
      <c r="N399" s="84"/>
      <c r="U399" s="84"/>
      <c r="V399" s="84"/>
    </row>
    <row r="400" spans="5:22" ht="12.75">
      <c r="E400" s="84"/>
      <c r="F400" s="84"/>
      <c r="M400" s="84"/>
      <c r="N400" s="84"/>
      <c r="U400" s="84"/>
      <c r="V400" s="84"/>
    </row>
    <row r="401" spans="5:22" ht="12.75">
      <c r="E401" s="84"/>
      <c r="F401" s="84"/>
      <c r="M401" s="84"/>
      <c r="N401" s="84"/>
      <c r="U401" s="84"/>
      <c r="V401" s="84"/>
    </row>
    <row r="402" spans="5:22" ht="12.75">
      <c r="E402" s="84"/>
      <c r="F402" s="84"/>
      <c r="M402" s="84"/>
      <c r="N402" s="84"/>
      <c r="U402" s="84"/>
      <c r="V402" s="84"/>
    </row>
    <row r="403" spans="5:22" ht="12.75">
      <c r="E403" s="84"/>
      <c r="F403" s="84"/>
      <c r="M403" s="84"/>
      <c r="N403" s="84"/>
      <c r="U403" s="84"/>
      <c r="V403" s="84"/>
    </row>
    <row r="404" spans="5:22" ht="12.75">
      <c r="E404" s="84"/>
      <c r="F404" s="84"/>
      <c r="M404" s="84"/>
      <c r="N404" s="84"/>
      <c r="U404" s="84"/>
      <c r="V404" s="84"/>
    </row>
    <row r="405" spans="5:22" ht="12.75">
      <c r="E405" s="84"/>
      <c r="F405" s="84"/>
      <c r="M405" s="84"/>
      <c r="N405" s="84"/>
      <c r="U405" s="84"/>
      <c r="V405" s="84"/>
    </row>
    <row r="406" spans="5:22" ht="12.75">
      <c r="E406" s="84"/>
      <c r="F406" s="84"/>
      <c r="M406" s="84"/>
      <c r="N406" s="84"/>
      <c r="U406" s="84"/>
      <c r="V406" s="84"/>
    </row>
    <row r="407" spans="5:22" ht="12.75">
      <c r="E407" s="84"/>
      <c r="F407" s="84"/>
      <c r="M407" s="84"/>
      <c r="N407" s="84"/>
      <c r="U407" s="84"/>
      <c r="V407" s="84"/>
    </row>
    <row r="408" spans="5:22" ht="12.75">
      <c r="E408" s="84"/>
      <c r="F408" s="84"/>
      <c r="M408" s="84"/>
      <c r="N408" s="84"/>
      <c r="U408" s="84"/>
      <c r="V408" s="84"/>
    </row>
    <row r="409" spans="5:22" ht="12.75">
      <c r="E409" s="84"/>
      <c r="F409" s="84"/>
      <c r="M409" s="84"/>
      <c r="N409" s="84"/>
      <c r="U409" s="84"/>
      <c r="V409" s="84"/>
    </row>
    <row r="410" spans="5:22" ht="12.75">
      <c r="E410" s="84"/>
      <c r="F410" s="84"/>
      <c r="M410" s="84"/>
      <c r="N410" s="84"/>
      <c r="U410" s="84"/>
      <c r="V410" s="84"/>
    </row>
    <row r="411" spans="5:22" ht="12.75">
      <c r="E411" s="84"/>
      <c r="F411" s="84"/>
      <c r="M411" s="84"/>
      <c r="N411" s="84"/>
      <c r="U411" s="84"/>
      <c r="V411" s="84"/>
    </row>
    <row r="412" spans="5:22" ht="12.75">
      <c r="E412" s="84"/>
      <c r="F412" s="84"/>
      <c r="M412" s="84"/>
      <c r="N412" s="84"/>
      <c r="U412" s="84"/>
      <c r="V412" s="84"/>
    </row>
    <row r="413" spans="5:22" ht="12.75">
      <c r="E413" s="84"/>
      <c r="F413" s="84"/>
      <c r="M413" s="84"/>
      <c r="N413" s="84"/>
      <c r="U413" s="84"/>
      <c r="V413" s="84"/>
    </row>
    <row r="414" spans="5:22" ht="12.75">
      <c r="E414" s="84"/>
      <c r="F414" s="84"/>
      <c r="M414" s="84"/>
      <c r="N414" s="84"/>
      <c r="U414" s="84"/>
      <c r="V414" s="84"/>
    </row>
    <row r="415" spans="5:22" ht="12.75">
      <c r="E415" s="84"/>
      <c r="F415" s="84"/>
      <c r="M415" s="84"/>
      <c r="N415" s="84"/>
      <c r="U415" s="84"/>
      <c r="V415" s="84"/>
    </row>
    <row r="416" spans="5:22" ht="12.75">
      <c r="E416" s="84"/>
      <c r="F416" s="84"/>
      <c r="M416" s="84"/>
      <c r="N416" s="84"/>
      <c r="U416" s="84"/>
      <c r="V416" s="84"/>
    </row>
    <row r="417" spans="5:22" ht="12.75">
      <c r="E417" s="84"/>
      <c r="F417" s="84"/>
      <c r="M417" s="84"/>
      <c r="N417" s="84"/>
      <c r="U417" s="84"/>
      <c r="V417" s="84"/>
    </row>
    <row r="418" spans="5:22" ht="12.75">
      <c r="E418" s="84"/>
      <c r="F418" s="84"/>
      <c r="M418" s="84"/>
      <c r="N418" s="84"/>
      <c r="U418" s="84"/>
      <c r="V418" s="84"/>
    </row>
    <row r="419" spans="5:22" ht="12.75">
      <c r="E419" s="84"/>
      <c r="F419" s="84"/>
      <c r="M419" s="84"/>
      <c r="N419" s="84"/>
      <c r="U419" s="84"/>
      <c r="V419" s="84"/>
    </row>
    <row r="420" spans="5:22" ht="12.75">
      <c r="E420" s="84"/>
      <c r="F420" s="84"/>
      <c r="M420" s="84"/>
      <c r="N420" s="84"/>
      <c r="U420" s="84"/>
      <c r="V420" s="84"/>
    </row>
    <row r="421" spans="5:22" ht="12.75">
      <c r="E421" s="84"/>
      <c r="F421" s="84"/>
      <c r="M421" s="84"/>
      <c r="N421" s="84"/>
      <c r="U421" s="84"/>
      <c r="V421" s="84"/>
    </row>
    <row r="422" spans="5:22" ht="12.75">
      <c r="E422" s="84"/>
      <c r="F422" s="84"/>
      <c r="M422" s="84"/>
      <c r="N422" s="84"/>
      <c r="U422" s="84"/>
      <c r="V422" s="84"/>
    </row>
    <row r="423" spans="5:22" ht="12.75">
      <c r="E423" s="84"/>
      <c r="F423" s="84"/>
      <c r="M423" s="84"/>
      <c r="N423" s="84"/>
      <c r="U423" s="84"/>
      <c r="V423" s="84"/>
    </row>
    <row r="424" spans="5:22" ht="12.75">
      <c r="E424" s="84"/>
      <c r="F424" s="84"/>
      <c r="M424" s="84"/>
      <c r="N424" s="84"/>
      <c r="U424" s="84"/>
      <c r="V424" s="84"/>
    </row>
    <row r="425" spans="5:22" ht="12.75">
      <c r="E425" s="84"/>
      <c r="F425" s="84"/>
      <c r="M425" s="84"/>
      <c r="N425" s="84"/>
      <c r="U425" s="84"/>
      <c r="V425" s="84"/>
    </row>
    <row r="426" spans="5:22" ht="12.75">
      <c r="E426" s="84"/>
      <c r="F426" s="84"/>
      <c r="M426" s="84"/>
      <c r="N426" s="84"/>
      <c r="U426" s="84"/>
      <c r="V426" s="84"/>
    </row>
    <row r="427" spans="5:22" ht="12.75">
      <c r="E427" s="84"/>
      <c r="F427" s="84"/>
      <c r="M427" s="84"/>
      <c r="N427" s="84"/>
      <c r="U427" s="84"/>
      <c r="V427" s="84"/>
    </row>
    <row r="428" spans="5:22" ht="12.75">
      <c r="E428" s="84"/>
      <c r="F428" s="84"/>
      <c r="M428" s="84"/>
      <c r="N428" s="84"/>
      <c r="U428" s="84"/>
      <c r="V428" s="84"/>
    </row>
    <row r="429" spans="5:22" ht="12.75">
      <c r="E429" s="84"/>
      <c r="F429" s="84"/>
      <c r="M429" s="84"/>
      <c r="N429" s="84"/>
      <c r="U429" s="84"/>
      <c r="V429" s="84"/>
    </row>
    <row r="430" spans="5:22" ht="12.75">
      <c r="E430" s="84"/>
      <c r="F430" s="84"/>
      <c r="M430" s="84"/>
      <c r="N430" s="84"/>
      <c r="U430" s="84"/>
      <c r="V430" s="84"/>
    </row>
    <row r="431" spans="5:22" ht="12.75">
      <c r="E431" s="84"/>
      <c r="F431" s="84"/>
      <c r="M431" s="84"/>
      <c r="N431" s="84"/>
      <c r="U431" s="84"/>
      <c r="V431" s="84"/>
    </row>
    <row r="432" spans="5:22" ht="12.75">
      <c r="E432" s="84"/>
      <c r="F432" s="84"/>
      <c r="M432" s="84"/>
      <c r="N432" s="84"/>
      <c r="U432" s="84"/>
      <c r="V432" s="84"/>
    </row>
    <row r="433" spans="5:22" ht="12.75">
      <c r="E433" s="84"/>
      <c r="F433" s="84"/>
      <c r="M433" s="84"/>
      <c r="N433" s="84"/>
      <c r="U433" s="84"/>
      <c r="V433" s="84"/>
    </row>
    <row r="434" spans="5:22" ht="12.75">
      <c r="E434" s="84"/>
      <c r="F434" s="84"/>
      <c r="M434" s="84"/>
      <c r="N434" s="84"/>
      <c r="U434" s="84"/>
      <c r="V434" s="84"/>
    </row>
    <row r="435" spans="5:22" ht="12.75">
      <c r="E435" s="84"/>
      <c r="F435" s="84"/>
      <c r="M435" s="84"/>
      <c r="N435" s="84"/>
      <c r="U435" s="84"/>
      <c r="V435" s="84"/>
    </row>
    <row r="436" spans="5:22" ht="12.75">
      <c r="E436" s="84"/>
      <c r="F436" s="84"/>
      <c r="M436" s="84"/>
      <c r="N436" s="84"/>
      <c r="U436" s="84"/>
      <c r="V436" s="84"/>
    </row>
    <row r="437" spans="5:22" ht="12.75">
      <c r="E437" s="84"/>
      <c r="F437" s="84"/>
      <c r="M437" s="84"/>
      <c r="N437" s="84"/>
      <c r="U437" s="84"/>
      <c r="V437" s="84"/>
    </row>
    <row r="438" spans="5:22" ht="12.75">
      <c r="E438" s="84"/>
      <c r="F438" s="84"/>
      <c r="M438" s="84"/>
      <c r="N438" s="84"/>
      <c r="U438" s="84"/>
      <c r="V438" s="84"/>
    </row>
    <row r="439" spans="5:22" ht="12.75">
      <c r="E439" s="84"/>
      <c r="F439" s="84"/>
      <c r="M439" s="84"/>
      <c r="N439" s="84"/>
      <c r="U439" s="84"/>
      <c r="V439" s="84"/>
    </row>
    <row r="440" spans="5:22" ht="12.75">
      <c r="E440" s="84"/>
      <c r="F440" s="84"/>
      <c r="M440" s="84"/>
      <c r="N440" s="84"/>
      <c r="U440" s="84"/>
      <c r="V440" s="84"/>
    </row>
    <row r="441" spans="5:22" ht="12.75">
      <c r="E441" s="84"/>
      <c r="F441" s="84"/>
      <c r="M441" s="84"/>
      <c r="N441" s="84"/>
      <c r="U441" s="84"/>
      <c r="V441" s="84"/>
    </row>
    <row r="442" spans="5:22" ht="12.75">
      <c r="E442" s="84"/>
      <c r="F442" s="84"/>
      <c r="M442" s="84"/>
      <c r="N442" s="84"/>
      <c r="U442" s="84"/>
      <c r="V442" s="84"/>
    </row>
    <row r="443" spans="5:22" ht="12.75">
      <c r="E443" s="84"/>
      <c r="F443" s="84"/>
      <c r="M443" s="84"/>
      <c r="N443" s="84"/>
      <c r="U443" s="84"/>
      <c r="V443" s="84"/>
    </row>
    <row r="444" spans="5:22" ht="12.75">
      <c r="E444" s="84"/>
      <c r="F444" s="84"/>
      <c r="M444" s="84"/>
      <c r="N444" s="84"/>
      <c r="U444" s="84"/>
      <c r="V444" s="84"/>
    </row>
    <row r="445" spans="5:22" ht="12.75">
      <c r="E445" s="84"/>
      <c r="F445" s="84"/>
      <c r="M445" s="84"/>
      <c r="N445" s="84"/>
      <c r="U445" s="84"/>
      <c r="V445" s="84"/>
    </row>
    <row r="446" spans="5:22" ht="12.75">
      <c r="E446" s="84"/>
      <c r="F446" s="84"/>
      <c r="M446" s="84"/>
      <c r="N446" s="84"/>
      <c r="U446" s="84"/>
      <c r="V446" s="84"/>
    </row>
    <row r="447" spans="5:22" ht="12.75">
      <c r="E447" s="84"/>
      <c r="F447" s="84"/>
      <c r="M447" s="84"/>
      <c r="N447" s="84"/>
      <c r="U447" s="84"/>
      <c r="V447" s="84"/>
    </row>
    <row r="448" spans="5:22" ht="12.75">
      <c r="E448" s="84"/>
      <c r="F448" s="84"/>
      <c r="M448" s="84"/>
      <c r="N448" s="84"/>
      <c r="U448" s="84"/>
      <c r="V448" s="84"/>
    </row>
    <row r="449" spans="5:22" ht="12.75">
      <c r="E449" s="84"/>
      <c r="F449" s="84"/>
      <c r="M449" s="84"/>
      <c r="N449" s="84"/>
      <c r="U449" s="84"/>
      <c r="V449" s="84"/>
    </row>
    <row r="450" spans="5:22" ht="12.75">
      <c r="E450" s="84"/>
      <c r="F450" s="84"/>
      <c r="M450" s="84"/>
      <c r="N450" s="84"/>
      <c r="U450" s="84"/>
      <c r="V450" s="84"/>
    </row>
    <row r="451" spans="5:22" ht="12.75">
      <c r="E451" s="84"/>
      <c r="F451" s="84"/>
      <c r="M451" s="84"/>
      <c r="N451" s="84"/>
      <c r="U451" s="84"/>
      <c r="V451" s="84"/>
    </row>
    <row r="452" spans="5:22" ht="12.75">
      <c r="E452" s="84"/>
      <c r="F452" s="84"/>
      <c r="M452" s="84"/>
      <c r="N452" s="84"/>
      <c r="U452" s="84"/>
      <c r="V452" s="84"/>
    </row>
    <row r="453" spans="5:22" ht="12.75">
      <c r="E453" s="84"/>
      <c r="F453" s="84"/>
      <c r="M453" s="84"/>
      <c r="N453" s="84"/>
      <c r="U453" s="84"/>
      <c r="V453" s="84"/>
    </row>
    <row r="454" spans="5:22" ht="12.75">
      <c r="E454" s="84"/>
      <c r="F454" s="84"/>
      <c r="M454" s="84"/>
      <c r="N454" s="84"/>
      <c r="U454" s="84"/>
      <c r="V454" s="84"/>
    </row>
    <row r="455" spans="5:22" ht="12.75">
      <c r="E455" s="84"/>
      <c r="F455" s="84"/>
      <c r="M455" s="84"/>
      <c r="N455" s="84"/>
      <c r="U455" s="84"/>
      <c r="V455" s="84"/>
    </row>
    <row r="456" spans="5:22" ht="12.75">
      <c r="E456" s="84"/>
      <c r="F456" s="84"/>
      <c r="M456" s="84"/>
      <c r="N456" s="84"/>
      <c r="U456" s="84"/>
      <c r="V456" s="84"/>
    </row>
    <row r="457" spans="5:22" ht="12.75">
      <c r="E457" s="84"/>
      <c r="F457" s="84"/>
      <c r="M457" s="84"/>
      <c r="N457" s="84"/>
      <c r="U457" s="84"/>
      <c r="V457" s="84"/>
    </row>
    <row r="458" spans="5:22" ht="12.75">
      <c r="E458" s="84"/>
      <c r="F458" s="84"/>
      <c r="M458" s="84"/>
      <c r="N458" s="84"/>
      <c r="U458" s="84"/>
      <c r="V458" s="84"/>
    </row>
    <row r="459" spans="5:22" ht="12.75">
      <c r="E459" s="84"/>
      <c r="F459" s="84"/>
      <c r="M459" s="84"/>
      <c r="N459" s="84"/>
      <c r="U459" s="84"/>
      <c r="V459" s="84"/>
    </row>
    <row r="460" spans="5:22" ht="12.75">
      <c r="E460" s="84"/>
      <c r="F460" s="84"/>
      <c r="M460" s="84"/>
      <c r="N460" s="84"/>
      <c r="U460" s="84"/>
      <c r="V460" s="84"/>
    </row>
    <row r="461" spans="5:22" ht="12.75">
      <c r="E461" s="84"/>
      <c r="F461" s="84"/>
      <c r="M461" s="84"/>
      <c r="N461" s="84"/>
      <c r="U461" s="84"/>
      <c r="V461" s="84"/>
    </row>
    <row r="462" spans="5:22" ht="12.75">
      <c r="E462" s="84"/>
      <c r="F462" s="84"/>
      <c r="M462" s="84"/>
      <c r="N462" s="84"/>
      <c r="U462" s="84"/>
      <c r="V462" s="84"/>
    </row>
    <row r="463" spans="5:22" ht="12.75">
      <c r="E463" s="84"/>
      <c r="F463" s="84"/>
      <c r="M463" s="84"/>
      <c r="N463" s="84"/>
      <c r="U463" s="84"/>
      <c r="V463" s="84"/>
    </row>
    <row r="464" spans="5:22" ht="12.75">
      <c r="E464" s="84"/>
      <c r="F464" s="84"/>
      <c r="M464" s="84"/>
      <c r="N464" s="84"/>
      <c r="U464" s="84"/>
      <c r="V464" s="84"/>
    </row>
    <row r="465" spans="5:22" ht="12.75">
      <c r="E465" s="84"/>
      <c r="F465" s="84"/>
      <c r="M465" s="84"/>
      <c r="N465" s="84"/>
      <c r="U465" s="84"/>
      <c r="V465" s="84"/>
    </row>
    <row r="466" spans="5:22" ht="12.75">
      <c r="E466" s="84"/>
      <c r="F466" s="84"/>
      <c r="M466" s="84"/>
      <c r="N466" s="84"/>
      <c r="U466" s="84"/>
      <c r="V466" s="84"/>
    </row>
    <row r="467" spans="5:22" ht="12.75">
      <c r="E467" s="84"/>
      <c r="F467" s="84"/>
      <c r="M467" s="84"/>
      <c r="N467" s="84"/>
      <c r="U467" s="84"/>
      <c r="V467" s="84"/>
    </row>
    <row r="468" spans="5:22" ht="12.75">
      <c r="E468" s="84"/>
      <c r="F468" s="84"/>
      <c r="M468" s="84"/>
      <c r="N468" s="84"/>
      <c r="U468" s="84"/>
      <c r="V468" s="84"/>
    </row>
    <row r="469" spans="5:22" ht="12.75">
      <c r="E469" s="84"/>
      <c r="F469" s="84"/>
      <c r="M469" s="84"/>
      <c r="N469" s="84"/>
      <c r="U469" s="84"/>
      <c r="V469" s="84"/>
    </row>
    <row r="470" spans="5:22" ht="12.75">
      <c r="E470" s="84"/>
      <c r="F470" s="84"/>
      <c r="M470" s="84"/>
      <c r="N470" s="84"/>
      <c r="U470" s="84"/>
      <c r="V470" s="84"/>
    </row>
    <row r="471" spans="5:22" ht="12.75">
      <c r="E471" s="84"/>
      <c r="F471" s="84"/>
      <c r="M471" s="84"/>
      <c r="N471" s="84"/>
      <c r="U471" s="84"/>
      <c r="V471" s="84"/>
    </row>
    <row r="472" spans="5:22" ht="12.75">
      <c r="E472" s="84"/>
      <c r="F472" s="84"/>
      <c r="M472" s="84"/>
      <c r="N472" s="84"/>
      <c r="U472" s="84"/>
      <c r="V472" s="84"/>
    </row>
    <row r="473" spans="5:22" ht="12.75">
      <c r="E473" s="84"/>
      <c r="F473" s="84"/>
      <c r="M473" s="84"/>
      <c r="N473" s="84"/>
      <c r="U473" s="84"/>
      <c r="V473" s="84"/>
    </row>
    <row r="474" spans="5:22" ht="12.75">
      <c r="E474" s="84"/>
      <c r="F474" s="84"/>
      <c r="M474" s="84"/>
      <c r="N474" s="84"/>
      <c r="U474" s="84"/>
      <c r="V474" s="84"/>
    </row>
    <row r="475" spans="5:22" ht="12.75">
      <c r="E475" s="84"/>
      <c r="F475" s="84"/>
      <c r="M475" s="84"/>
      <c r="N475" s="84"/>
      <c r="U475" s="84"/>
      <c r="V475" s="84"/>
    </row>
    <row r="476" spans="5:22" ht="12.75">
      <c r="E476" s="84"/>
      <c r="F476" s="84"/>
      <c r="M476" s="84"/>
      <c r="N476" s="84"/>
      <c r="U476" s="84"/>
      <c r="V476" s="84"/>
    </row>
    <row r="477" spans="5:22" ht="12.75">
      <c r="E477" s="84"/>
      <c r="F477" s="84"/>
      <c r="M477" s="84"/>
      <c r="N477" s="84"/>
      <c r="U477" s="84"/>
      <c r="V477" s="84"/>
    </row>
    <row r="478" spans="5:22" ht="12.75">
      <c r="E478" s="84"/>
      <c r="F478" s="84"/>
      <c r="M478" s="84"/>
      <c r="N478" s="84"/>
      <c r="U478" s="84"/>
      <c r="V478" s="84"/>
    </row>
    <row r="479" spans="5:22" ht="12.75">
      <c r="E479" s="84"/>
      <c r="F479" s="84"/>
      <c r="M479" s="84"/>
      <c r="N479" s="84"/>
      <c r="U479" s="84"/>
      <c r="V479" s="84"/>
    </row>
    <row r="480" spans="5:22" ht="12.75">
      <c r="E480" s="84"/>
      <c r="F480" s="84"/>
      <c r="M480" s="84"/>
      <c r="N480" s="84"/>
      <c r="U480" s="84"/>
      <c r="V480" s="84"/>
    </row>
    <row r="481" spans="5:22" ht="12.75">
      <c r="E481" s="84"/>
      <c r="F481" s="84"/>
      <c r="M481" s="84"/>
      <c r="N481" s="84"/>
      <c r="U481" s="84"/>
      <c r="V481" s="84"/>
    </row>
    <row r="482" spans="5:22" ht="12.75">
      <c r="E482" s="84"/>
      <c r="F482" s="84"/>
      <c r="M482" s="84"/>
      <c r="N482" s="84"/>
      <c r="U482" s="84"/>
      <c r="V482" s="84"/>
    </row>
    <row r="483" spans="5:22" ht="12.75">
      <c r="E483" s="84"/>
      <c r="F483" s="84"/>
      <c r="M483" s="84"/>
      <c r="N483" s="84"/>
      <c r="U483" s="84"/>
      <c r="V483" s="84"/>
    </row>
    <row r="484" spans="5:22" ht="12.75">
      <c r="E484" s="84"/>
      <c r="F484" s="84"/>
      <c r="M484" s="84"/>
      <c r="N484" s="84"/>
      <c r="U484" s="84"/>
      <c r="V484" s="84"/>
    </row>
    <row r="485" spans="5:22" ht="12.75">
      <c r="E485" s="84"/>
      <c r="F485" s="84"/>
      <c r="M485" s="84"/>
      <c r="N485" s="84"/>
      <c r="U485" s="84"/>
      <c r="V485" s="84"/>
    </row>
    <row r="486" spans="5:22" ht="12.75">
      <c r="E486" s="84"/>
      <c r="F486" s="84"/>
      <c r="M486" s="84"/>
      <c r="N486" s="84"/>
      <c r="U486" s="84"/>
      <c r="V486" s="84"/>
    </row>
    <row r="487" spans="5:22" ht="12.75">
      <c r="E487" s="84"/>
      <c r="F487" s="84"/>
      <c r="M487" s="84"/>
      <c r="N487" s="84"/>
      <c r="U487" s="84"/>
      <c r="V487" s="84"/>
    </row>
    <row r="488" spans="5:22" ht="12.75">
      <c r="E488" s="84"/>
      <c r="F488" s="84"/>
      <c r="M488" s="84"/>
      <c r="N488" s="84"/>
      <c r="U488" s="84"/>
      <c r="V488" s="84"/>
    </row>
    <row r="489" spans="5:22" ht="12.75">
      <c r="E489" s="84"/>
      <c r="F489" s="84"/>
      <c r="M489" s="84"/>
      <c r="N489" s="84"/>
      <c r="U489" s="84"/>
      <c r="V489" s="84"/>
    </row>
    <row r="490" spans="5:22" ht="12.75">
      <c r="E490" s="84"/>
      <c r="F490" s="84"/>
      <c r="M490" s="84"/>
      <c r="N490" s="84"/>
      <c r="U490" s="84"/>
      <c r="V490" s="84"/>
    </row>
    <row r="491" spans="5:22" ht="12.75">
      <c r="E491" s="84"/>
      <c r="F491" s="84"/>
      <c r="M491" s="84"/>
      <c r="N491" s="84"/>
      <c r="U491" s="84"/>
      <c r="V491" s="84"/>
    </row>
    <row r="492" spans="5:22" ht="12.75">
      <c r="E492" s="84"/>
      <c r="F492" s="84"/>
      <c r="M492" s="84"/>
      <c r="N492" s="84"/>
      <c r="U492" s="84"/>
      <c r="V492" s="84"/>
    </row>
    <row r="493" spans="5:22" ht="12.75">
      <c r="E493" s="84"/>
      <c r="F493" s="84"/>
      <c r="M493" s="84"/>
      <c r="N493" s="84"/>
      <c r="U493" s="84"/>
      <c r="V493" s="84"/>
    </row>
    <row r="494" spans="5:22" ht="12.75">
      <c r="E494" s="84"/>
      <c r="F494" s="84"/>
      <c r="M494" s="84"/>
      <c r="N494" s="84"/>
      <c r="U494" s="84"/>
      <c r="V494" s="84"/>
    </row>
    <row r="495" spans="5:22" ht="12.75">
      <c r="E495" s="84"/>
      <c r="F495" s="84"/>
      <c r="M495" s="84"/>
      <c r="N495" s="84"/>
      <c r="U495" s="84"/>
      <c r="V495" s="84"/>
    </row>
    <row r="496" spans="5:22" ht="12.75">
      <c r="E496" s="84"/>
      <c r="F496" s="84"/>
      <c r="M496" s="84"/>
      <c r="N496" s="84"/>
      <c r="U496" s="84"/>
      <c r="V496" s="84"/>
    </row>
    <row r="497" spans="5:22" ht="12.75">
      <c r="E497" s="84"/>
      <c r="F497" s="84"/>
      <c r="M497" s="84"/>
      <c r="N497" s="84"/>
      <c r="U497" s="84"/>
      <c r="V497" s="84"/>
    </row>
    <row r="498" spans="5:22" ht="12.75">
      <c r="E498" s="84"/>
      <c r="F498" s="84"/>
      <c r="M498" s="84"/>
      <c r="N498" s="84"/>
      <c r="U498" s="84"/>
      <c r="V498" s="84"/>
    </row>
    <row r="499" spans="5:22" ht="12.75">
      <c r="E499" s="84"/>
      <c r="F499" s="84"/>
      <c r="M499" s="84"/>
      <c r="N499" s="84"/>
      <c r="U499" s="84"/>
      <c r="V499" s="84"/>
    </row>
    <row r="500" spans="5:22" ht="12.75">
      <c r="E500" s="84"/>
      <c r="F500" s="84"/>
      <c r="M500" s="84"/>
      <c r="N500" s="84"/>
      <c r="U500" s="84"/>
      <c r="V500" s="84"/>
    </row>
    <row r="501" spans="5:22" ht="12.75">
      <c r="E501" s="84"/>
      <c r="F501" s="84"/>
      <c r="M501" s="84"/>
      <c r="N501" s="84"/>
      <c r="U501" s="84"/>
      <c r="V501" s="84"/>
    </row>
    <row r="502" spans="5:22" ht="12.75">
      <c r="E502" s="84"/>
      <c r="F502" s="84"/>
      <c r="M502" s="84"/>
      <c r="N502" s="84"/>
      <c r="U502" s="84"/>
      <c r="V502" s="84"/>
    </row>
    <row r="503" spans="5:22" ht="12.75">
      <c r="E503" s="84"/>
      <c r="F503" s="84"/>
      <c r="M503" s="84"/>
      <c r="N503" s="84"/>
      <c r="U503" s="84"/>
      <c r="V503" s="84"/>
    </row>
    <row r="504" spans="5:22" ht="12.75">
      <c r="E504" s="84"/>
      <c r="F504" s="84"/>
      <c r="M504" s="84"/>
      <c r="N504" s="84"/>
      <c r="U504" s="84"/>
      <c r="V504" s="84"/>
    </row>
    <row r="505" spans="5:22" ht="12.75">
      <c r="E505" s="84"/>
      <c r="F505" s="84"/>
      <c r="M505" s="84"/>
      <c r="N505" s="84"/>
      <c r="U505" s="84"/>
      <c r="V505" s="84"/>
    </row>
    <row r="506" spans="5:22" ht="12.75">
      <c r="E506" s="84"/>
      <c r="F506" s="84"/>
      <c r="M506" s="84"/>
      <c r="N506" s="84"/>
      <c r="U506" s="84"/>
      <c r="V506" s="84"/>
    </row>
    <row r="507" spans="5:22" ht="12.75">
      <c r="E507" s="84"/>
      <c r="F507" s="84"/>
      <c r="M507" s="84"/>
      <c r="N507" s="84"/>
      <c r="U507" s="84"/>
      <c r="V507" s="84"/>
    </row>
    <row r="508" spans="5:22" ht="12.75">
      <c r="E508" s="84"/>
      <c r="F508" s="84"/>
      <c r="M508" s="84"/>
      <c r="N508" s="84"/>
      <c r="U508" s="84"/>
      <c r="V508" s="84"/>
    </row>
    <row r="509" spans="5:22" ht="12.75">
      <c r="E509" s="84"/>
      <c r="F509" s="84"/>
      <c r="M509" s="84"/>
      <c r="N509" s="84"/>
      <c r="U509" s="84"/>
      <c r="V509" s="84"/>
    </row>
    <row r="510" spans="5:22" ht="12.75">
      <c r="E510" s="84"/>
      <c r="F510" s="84"/>
      <c r="M510" s="84"/>
      <c r="N510" s="84"/>
      <c r="U510" s="84"/>
      <c r="V510" s="84"/>
    </row>
    <row r="511" spans="5:22" ht="12.75">
      <c r="E511" s="84"/>
      <c r="F511" s="84"/>
      <c r="M511" s="84"/>
      <c r="N511" s="84"/>
      <c r="U511" s="84"/>
      <c r="V511" s="84"/>
    </row>
    <row r="512" spans="5:22" ht="12.75">
      <c r="E512" s="84"/>
      <c r="F512" s="84"/>
      <c r="M512" s="84"/>
      <c r="N512" s="84"/>
      <c r="U512" s="84"/>
      <c r="V512" s="84"/>
    </row>
    <row r="513" spans="5:22" ht="12.75">
      <c r="E513" s="84"/>
      <c r="F513" s="84"/>
      <c r="M513" s="84"/>
      <c r="N513" s="84"/>
      <c r="U513" s="84"/>
      <c r="V513" s="84"/>
    </row>
    <row r="514" spans="5:22" ht="12.75">
      <c r="E514" s="84"/>
      <c r="F514" s="84"/>
      <c r="M514" s="84"/>
      <c r="N514" s="84"/>
      <c r="U514" s="84"/>
      <c r="V514" s="84"/>
    </row>
    <row r="515" spans="5:22" ht="12.75">
      <c r="E515" s="84"/>
      <c r="F515" s="84"/>
      <c r="M515" s="84"/>
      <c r="N515" s="84"/>
      <c r="U515" s="84"/>
      <c r="V515" s="84"/>
    </row>
    <row r="516" spans="5:22" ht="12.75">
      <c r="E516" s="84"/>
      <c r="F516" s="84"/>
      <c r="M516" s="84"/>
      <c r="N516" s="84"/>
      <c r="U516" s="84"/>
      <c r="V516" s="84"/>
    </row>
    <row r="517" spans="5:22" ht="12.75">
      <c r="E517" s="84"/>
      <c r="F517" s="84"/>
      <c r="M517" s="84"/>
      <c r="N517" s="84"/>
      <c r="U517" s="84"/>
      <c r="V517" s="84"/>
    </row>
    <row r="518" spans="5:22" ht="12.75">
      <c r="E518" s="84"/>
      <c r="F518" s="84"/>
      <c r="M518" s="84"/>
      <c r="N518" s="84"/>
      <c r="U518" s="84"/>
      <c r="V518" s="84"/>
    </row>
    <row r="519" spans="5:22" ht="12.75">
      <c r="E519" s="84"/>
      <c r="F519" s="84"/>
      <c r="M519" s="84"/>
      <c r="N519" s="84"/>
      <c r="U519" s="84"/>
      <c r="V519" s="84"/>
    </row>
    <row r="520" spans="5:22" ht="12.75">
      <c r="E520" s="84"/>
      <c r="F520" s="84"/>
      <c r="M520" s="84"/>
      <c r="N520" s="84"/>
      <c r="U520" s="84"/>
      <c r="V520" s="84"/>
    </row>
    <row r="521" spans="5:22" ht="12.75">
      <c r="E521" s="84"/>
      <c r="F521" s="84"/>
      <c r="M521" s="84"/>
      <c r="N521" s="84"/>
      <c r="U521" s="84"/>
      <c r="V521" s="84"/>
    </row>
    <row r="522" spans="5:22" ht="12.75">
      <c r="E522" s="84"/>
      <c r="F522" s="84"/>
      <c r="M522" s="84"/>
      <c r="N522" s="84"/>
      <c r="U522" s="84"/>
      <c r="V522" s="84"/>
    </row>
    <row r="523" spans="5:22" ht="12.75">
      <c r="E523" s="84"/>
      <c r="F523" s="84"/>
      <c r="M523" s="84"/>
      <c r="N523" s="84"/>
      <c r="U523" s="84"/>
      <c r="V523" s="84"/>
    </row>
    <row r="524" spans="5:22" ht="12.75">
      <c r="E524" s="84"/>
      <c r="F524" s="84"/>
      <c r="M524" s="84"/>
      <c r="N524" s="84"/>
      <c r="U524" s="84"/>
      <c r="V524" s="84"/>
    </row>
    <row r="525" spans="5:22" ht="12.75">
      <c r="E525" s="84"/>
      <c r="F525" s="84"/>
      <c r="M525" s="84"/>
      <c r="N525" s="84"/>
      <c r="U525" s="84"/>
      <c r="V525" s="84"/>
    </row>
    <row r="526" spans="5:22" ht="12.75">
      <c r="E526" s="84"/>
      <c r="F526" s="84"/>
      <c r="M526" s="84"/>
      <c r="N526" s="84"/>
      <c r="U526" s="84"/>
      <c r="V526" s="84"/>
    </row>
    <row r="527" spans="5:22" ht="12.75">
      <c r="E527" s="84"/>
      <c r="F527" s="84"/>
      <c r="M527" s="84"/>
      <c r="N527" s="84"/>
      <c r="U527" s="84"/>
      <c r="V527" s="84"/>
    </row>
    <row r="528" spans="5:22" ht="12.75">
      <c r="E528" s="84"/>
      <c r="F528" s="84"/>
      <c r="M528" s="84"/>
      <c r="N528" s="84"/>
      <c r="U528" s="84"/>
      <c r="V528" s="84"/>
    </row>
    <row r="529" spans="5:22" ht="12.75">
      <c r="E529" s="84"/>
      <c r="F529" s="84"/>
      <c r="M529" s="84"/>
      <c r="N529" s="84"/>
      <c r="U529" s="84"/>
      <c r="V529" s="84"/>
    </row>
    <row r="530" spans="5:22" ht="12.75">
      <c r="E530" s="84"/>
      <c r="F530" s="84"/>
      <c r="M530" s="84"/>
      <c r="N530" s="84"/>
      <c r="U530" s="84"/>
      <c r="V530" s="84"/>
    </row>
    <row r="531" spans="5:22" ht="12.75">
      <c r="E531" s="84"/>
      <c r="F531" s="84"/>
      <c r="M531" s="84"/>
      <c r="N531" s="84"/>
      <c r="U531" s="84"/>
      <c r="V531" s="84"/>
    </row>
    <row r="532" spans="5:22" ht="12.75">
      <c r="E532" s="84"/>
      <c r="F532" s="84"/>
      <c r="M532" s="84"/>
      <c r="N532" s="84"/>
      <c r="U532" s="84"/>
      <c r="V532" s="84"/>
    </row>
    <row r="533" spans="5:22" ht="12.75">
      <c r="E533" s="84"/>
      <c r="F533" s="84"/>
      <c r="M533" s="84"/>
      <c r="N533" s="84"/>
      <c r="U533" s="84"/>
      <c r="V533" s="84"/>
    </row>
    <row r="534" spans="5:22" ht="12.75">
      <c r="E534" s="84"/>
      <c r="F534" s="84"/>
      <c r="M534" s="84"/>
      <c r="N534" s="84"/>
      <c r="U534" s="84"/>
      <c r="V534" s="84"/>
    </row>
    <row r="535" spans="5:22" ht="12.75">
      <c r="E535" s="84"/>
      <c r="F535" s="84"/>
      <c r="M535" s="84"/>
      <c r="N535" s="84"/>
      <c r="U535" s="84"/>
      <c r="V535" s="84"/>
    </row>
    <row r="536" spans="5:22" ht="12.75">
      <c r="E536" s="84"/>
      <c r="F536" s="84"/>
      <c r="M536" s="84"/>
      <c r="N536" s="84"/>
      <c r="U536" s="84"/>
      <c r="V536" s="84"/>
    </row>
    <row r="537" spans="5:22" ht="12.75">
      <c r="E537" s="84"/>
      <c r="F537" s="84"/>
      <c r="M537" s="84"/>
      <c r="N537" s="84"/>
      <c r="U537" s="84"/>
      <c r="V537" s="84"/>
    </row>
    <row r="538" spans="5:22" ht="12.75">
      <c r="E538" s="84"/>
      <c r="F538" s="84"/>
      <c r="M538" s="84"/>
      <c r="N538" s="84"/>
      <c r="U538" s="84"/>
      <c r="V538" s="84"/>
    </row>
    <row r="539" spans="5:22" ht="12.75">
      <c r="E539" s="84"/>
      <c r="F539" s="84"/>
      <c r="M539" s="84"/>
      <c r="N539" s="84"/>
      <c r="U539" s="84"/>
      <c r="V539" s="84"/>
    </row>
    <row r="540" spans="5:22" ht="12.75">
      <c r="E540" s="84"/>
      <c r="F540" s="84"/>
      <c r="M540" s="84"/>
      <c r="N540" s="84"/>
      <c r="U540" s="84"/>
      <c r="V540" s="84"/>
    </row>
    <row r="541" spans="5:22" ht="12.75">
      <c r="E541" s="84"/>
      <c r="F541" s="84"/>
      <c r="M541" s="84"/>
      <c r="N541" s="84"/>
      <c r="U541" s="84"/>
      <c r="V541" s="84"/>
    </row>
    <row r="542" spans="5:22" ht="12.75">
      <c r="E542" s="84"/>
      <c r="F542" s="84"/>
      <c r="M542" s="84"/>
      <c r="N542" s="84"/>
      <c r="U542" s="84"/>
      <c r="V542" s="84"/>
    </row>
    <row r="543" spans="5:22" ht="12.75">
      <c r="E543" s="84"/>
      <c r="F543" s="84"/>
      <c r="M543" s="84"/>
      <c r="N543" s="84"/>
      <c r="U543" s="84"/>
      <c r="V543" s="84"/>
    </row>
    <row r="544" spans="5:22" ht="12.75">
      <c r="E544" s="84"/>
      <c r="F544" s="84"/>
      <c r="M544" s="84"/>
      <c r="N544" s="84"/>
      <c r="U544" s="84"/>
      <c r="V544" s="84"/>
    </row>
    <row r="545" spans="5:22" ht="12.75">
      <c r="E545" s="84"/>
      <c r="F545" s="84"/>
      <c r="M545" s="84"/>
      <c r="N545" s="84"/>
      <c r="U545" s="84"/>
      <c r="V545" s="84"/>
    </row>
    <row r="546" spans="5:22" ht="12.75">
      <c r="E546" s="84"/>
      <c r="F546" s="84"/>
      <c r="M546" s="84"/>
      <c r="N546" s="84"/>
      <c r="U546" s="84"/>
      <c r="V546" s="84"/>
    </row>
    <row r="547" spans="5:22" ht="12.75">
      <c r="E547" s="84"/>
      <c r="F547" s="84"/>
      <c r="M547" s="84"/>
      <c r="N547" s="84"/>
      <c r="U547" s="84"/>
      <c r="V547" s="84"/>
    </row>
    <row r="548" spans="5:22" ht="12.75">
      <c r="E548" s="84"/>
      <c r="F548" s="84"/>
      <c r="M548" s="84"/>
      <c r="N548" s="84"/>
      <c r="U548" s="84"/>
      <c r="V548" s="84"/>
    </row>
    <row r="549" spans="5:22" ht="12.75">
      <c r="E549" s="84"/>
      <c r="F549" s="84"/>
      <c r="M549" s="84"/>
      <c r="N549" s="84"/>
      <c r="U549" s="84"/>
      <c r="V549" s="84"/>
    </row>
    <row r="550" spans="5:22" ht="12.75">
      <c r="E550" s="84"/>
      <c r="F550" s="84"/>
      <c r="M550" s="84"/>
      <c r="N550" s="84"/>
      <c r="U550" s="84"/>
      <c r="V550" s="84"/>
    </row>
    <row r="551" spans="5:22" ht="12.75">
      <c r="E551" s="84"/>
      <c r="F551" s="84"/>
      <c r="M551" s="84"/>
      <c r="N551" s="84"/>
      <c r="U551" s="84"/>
      <c r="V551" s="84"/>
    </row>
    <row r="552" spans="5:22" ht="12.75">
      <c r="E552" s="84"/>
      <c r="F552" s="84"/>
      <c r="M552" s="84"/>
      <c r="N552" s="84"/>
      <c r="U552" s="84"/>
      <c r="V552" s="84"/>
    </row>
    <row r="553" spans="5:22" ht="12.75">
      <c r="E553" s="84"/>
      <c r="F553" s="84"/>
      <c r="M553" s="84"/>
      <c r="N553" s="84"/>
      <c r="U553" s="84"/>
      <c r="V553" s="84"/>
    </row>
    <row r="554" spans="5:22" ht="12.75">
      <c r="E554" s="84"/>
      <c r="F554" s="84"/>
      <c r="M554" s="84"/>
      <c r="N554" s="84"/>
      <c r="U554" s="84"/>
      <c r="V554" s="84"/>
    </row>
    <row r="555" spans="5:22" ht="12.75">
      <c r="E555" s="84"/>
      <c r="F555" s="84"/>
      <c r="M555" s="84"/>
      <c r="N555" s="84"/>
      <c r="U555" s="84"/>
      <c r="V555" s="84"/>
    </row>
    <row r="556" spans="5:22" ht="12.75">
      <c r="E556" s="84"/>
      <c r="F556" s="84"/>
      <c r="M556" s="84"/>
      <c r="N556" s="84"/>
      <c r="U556" s="84"/>
      <c r="V556" s="84"/>
    </row>
    <row r="557" spans="5:22" ht="12.75">
      <c r="E557" s="84"/>
      <c r="F557" s="84"/>
      <c r="M557" s="84"/>
      <c r="N557" s="84"/>
      <c r="U557" s="84"/>
      <c r="V557" s="84"/>
    </row>
    <row r="558" spans="5:22" ht="12.75">
      <c r="E558" s="84"/>
      <c r="F558" s="84"/>
      <c r="M558" s="84"/>
      <c r="N558" s="84"/>
      <c r="U558" s="84"/>
      <c r="V558" s="84"/>
    </row>
    <row r="559" spans="5:22" ht="12.75">
      <c r="E559" s="84"/>
      <c r="F559" s="84"/>
      <c r="M559" s="84"/>
      <c r="N559" s="84"/>
      <c r="U559" s="84"/>
      <c r="V559" s="84"/>
    </row>
    <row r="560" spans="5:22" ht="12.75">
      <c r="E560" s="84"/>
      <c r="F560" s="84"/>
      <c r="M560" s="84"/>
      <c r="N560" s="84"/>
      <c r="U560" s="84"/>
      <c r="V560" s="84"/>
    </row>
    <row r="561" spans="5:22" ht="12.75">
      <c r="E561" s="84"/>
      <c r="F561" s="84"/>
      <c r="M561" s="84"/>
      <c r="N561" s="84"/>
      <c r="U561" s="84"/>
      <c r="V561" s="84"/>
    </row>
    <row r="562" spans="5:22" ht="12.75">
      <c r="E562" s="84"/>
      <c r="F562" s="84"/>
      <c r="M562" s="84"/>
      <c r="N562" s="84"/>
      <c r="U562" s="84"/>
      <c r="V562" s="84"/>
    </row>
    <row r="563" spans="5:22" ht="12.75">
      <c r="E563" s="84"/>
      <c r="F563" s="84"/>
      <c r="M563" s="84"/>
      <c r="N563" s="84"/>
      <c r="U563" s="84"/>
      <c r="V563" s="84"/>
    </row>
    <row r="564" spans="5:22" ht="12.75">
      <c r="E564" s="84"/>
      <c r="F564" s="84"/>
      <c r="M564" s="84"/>
      <c r="N564" s="84"/>
      <c r="U564" s="84"/>
      <c r="V564" s="84"/>
    </row>
    <row r="565" spans="5:22" ht="12.75">
      <c r="E565" s="84"/>
      <c r="F565" s="84"/>
      <c r="M565" s="84"/>
      <c r="N565" s="84"/>
      <c r="U565" s="84"/>
      <c r="V565" s="84"/>
    </row>
    <row r="566" spans="5:22" ht="12.75">
      <c r="E566" s="84"/>
      <c r="F566" s="84"/>
      <c r="M566" s="84"/>
      <c r="N566" s="84"/>
      <c r="U566" s="84"/>
      <c r="V566" s="84"/>
    </row>
    <row r="567" spans="5:22" ht="12.75">
      <c r="E567" s="84"/>
      <c r="F567" s="84"/>
      <c r="M567" s="84"/>
      <c r="N567" s="84"/>
      <c r="U567" s="84"/>
      <c r="V567" s="84"/>
    </row>
    <row r="568" spans="5:22" ht="12.75">
      <c r="E568" s="84"/>
      <c r="F568" s="84"/>
      <c r="M568" s="84"/>
      <c r="N568" s="84"/>
      <c r="U568" s="84"/>
      <c r="V568" s="84"/>
    </row>
    <row r="569" spans="5:22" ht="12.75">
      <c r="E569" s="84"/>
      <c r="F569" s="84"/>
      <c r="M569" s="84"/>
      <c r="N569" s="84"/>
      <c r="U569" s="84"/>
      <c r="V569" s="84"/>
    </row>
    <row r="570" spans="5:22" ht="12.75">
      <c r="E570" s="84"/>
      <c r="F570" s="84"/>
      <c r="M570" s="84"/>
      <c r="N570" s="84"/>
      <c r="U570" s="84"/>
      <c r="V570" s="84"/>
    </row>
    <row r="571" spans="5:22" ht="12.75">
      <c r="E571" s="84"/>
      <c r="F571" s="84"/>
      <c r="M571" s="84"/>
      <c r="N571" s="84"/>
      <c r="U571" s="84"/>
      <c r="V571" s="84"/>
    </row>
    <row r="572" spans="5:22" ht="12.75">
      <c r="E572" s="84"/>
      <c r="F572" s="84"/>
      <c r="M572" s="84"/>
      <c r="N572" s="84"/>
      <c r="U572" s="84"/>
      <c r="V572" s="84"/>
    </row>
    <row r="573" spans="5:22" ht="12.75">
      <c r="E573" s="84"/>
      <c r="F573" s="84"/>
      <c r="M573" s="84"/>
      <c r="N573" s="84"/>
      <c r="U573" s="84"/>
      <c r="V573" s="84"/>
    </row>
    <row r="574" spans="5:22" ht="12.75">
      <c r="E574" s="84"/>
      <c r="F574" s="84"/>
      <c r="M574" s="84"/>
      <c r="N574" s="84"/>
      <c r="U574" s="84"/>
      <c r="V574" s="84"/>
    </row>
    <row r="575" spans="5:22" ht="12.75">
      <c r="E575" s="84"/>
      <c r="F575" s="84"/>
      <c r="M575" s="84"/>
      <c r="N575" s="84"/>
      <c r="U575" s="84"/>
      <c r="V575" s="84"/>
    </row>
    <row r="576" spans="5:22" ht="12.75">
      <c r="E576" s="84"/>
      <c r="F576" s="84"/>
      <c r="M576" s="84"/>
      <c r="N576" s="84"/>
      <c r="U576" s="84"/>
      <c r="V576" s="84"/>
    </row>
    <row r="577" spans="5:22" ht="12.75">
      <c r="E577" s="84"/>
      <c r="F577" s="84"/>
      <c r="M577" s="84"/>
      <c r="N577" s="84"/>
      <c r="U577" s="84"/>
      <c r="V577" s="84"/>
    </row>
    <row r="578" spans="5:22" ht="12.75">
      <c r="E578" s="84"/>
      <c r="F578" s="84"/>
      <c r="M578" s="84"/>
      <c r="N578" s="84"/>
      <c r="U578" s="84"/>
      <c r="V578" s="84"/>
    </row>
    <row r="579" spans="5:22" ht="12.75">
      <c r="E579" s="84"/>
      <c r="F579" s="84"/>
      <c r="M579" s="84"/>
      <c r="N579" s="84"/>
      <c r="U579" s="84"/>
      <c r="V579" s="84"/>
    </row>
    <row r="580" spans="5:22" ht="12.75">
      <c r="E580" s="84"/>
      <c r="F580" s="84"/>
      <c r="M580" s="84"/>
      <c r="N580" s="84"/>
      <c r="U580" s="84"/>
      <c r="V580" s="84"/>
    </row>
    <row r="581" spans="5:22" ht="12.75">
      <c r="E581" s="84"/>
      <c r="F581" s="84"/>
      <c r="M581" s="84"/>
      <c r="N581" s="84"/>
      <c r="U581" s="84"/>
      <c r="V581" s="84"/>
    </row>
    <row r="582" spans="5:22" ht="12.75">
      <c r="E582" s="84"/>
      <c r="F582" s="84"/>
      <c r="M582" s="84"/>
      <c r="N582" s="84"/>
      <c r="U582" s="84"/>
      <c r="V582" s="84"/>
    </row>
    <row r="583" spans="5:22" ht="12.75">
      <c r="E583" s="84"/>
      <c r="F583" s="84"/>
      <c r="M583" s="84"/>
      <c r="N583" s="84"/>
      <c r="U583" s="84"/>
      <c r="V583" s="84"/>
    </row>
    <row r="584" spans="5:22" ht="12.75">
      <c r="E584" s="84"/>
      <c r="F584" s="84"/>
      <c r="M584" s="84"/>
      <c r="N584" s="84"/>
      <c r="U584" s="84"/>
      <c r="V584" s="84"/>
    </row>
    <row r="585" spans="5:22" ht="12.75">
      <c r="E585" s="84"/>
      <c r="F585" s="84"/>
      <c r="M585" s="84"/>
      <c r="N585" s="84"/>
      <c r="U585" s="84"/>
      <c r="V585" s="84"/>
    </row>
    <row r="586" spans="5:22" ht="12.75">
      <c r="E586" s="84"/>
      <c r="F586" s="84"/>
      <c r="M586" s="84"/>
      <c r="N586" s="84"/>
      <c r="U586" s="84"/>
      <c r="V586" s="84"/>
    </row>
    <row r="587" spans="5:22" ht="12.75">
      <c r="E587" s="84"/>
      <c r="F587" s="84"/>
      <c r="M587" s="84"/>
      <c r="N587" s="84"/>
      <c r="U587" s="84"/>
      <c r="V587" s="84"/>
    </row>
    <row r="588" spans="5:22" ht="12.75">
      <c r="E588" s="84"/>
      <c r="F588" s="84"/>
      <c r="M588" s="84"/>
      <c r="N588" s="84"/>
      <c r="U588" s="84"/>
      <c r="V588" s="84"/>
    </row>
    <row r="589" spans="5:22" ht="12.75">
      <c r="E589" s="84"/>
      <c r="F589" s="84"/>
      <c r="M589" s="84"/>
      <c r="N589" s="84"/>
      <c r="U589" s="84"/>
      <c r="V589" s="84"/>
    </row>
    <row r="590" spans="5:22" ht="12.75">
      <c r="E590" s="84"/>
      <c r="F590" s="84"/>
      <c r="M590" s="84"/>
      <c r="N590" s="84"/>
      <c r="U590" s="84"/>
      <c r="V590" s="84"/>
    </row>
    <row r="591" spans="5:22" ht="12.75">
      <c r="E591" s="84"/>
      <c r="F591" s="84"/>
      <c r="M591" s="84"/>
      <c r="N591" s="84"/>
      <c r="U591" s="84"/>
      <c r="V591" s="84"/>
    </row>
    <row r="592" spans="5:22" ht="12.75">
      <c r="E592" s="84"/>
      <c r="F592" s="84"/>
      <c r="M592" s="84"/>
      <c r="N592" s="84"/>
      <c r="U592" s="84"/>
      <c r="V592" s="84"/>
    </row>
    <row r="593" spans="5:22" ht="12.75">
      <c r="E593" s="84"/>
      <c r="F593" s="84"/>
      <c r="M593" s="84"/>
      <c r="N593" s="84"/>
      <c r="U593" s="84"/>
      <c r="V593" s="84"/>
    </row>
    <row r="594" spans="5:22" ht="12.75">
      <c r="E594" s="84"/>
      <c r="F594" s="84"/>
      <c r="M594" s="84"/>
      <c r="N594" s="84"/>
      <c r="U594" s="84"/>
      <c r="V594" s="84"/>
    </row>
    <row r="595" spans="5:22" ht="12.75">
      <c r="E595" s="84"/>
      <c r="F595" s="84"/>
      <c r="M595" s="84"/>
      <c r="N595" s="84"/>
      <c r="U595" s="84"/>
      <c r="V595" s="84"/>
    </row>
    <row r="596" spans="5:22" ht="12.75">
      <c r="E596" s="84"/>
      <c r="F596" s="84"/>
      <c r="M596" s="84"/>
      <c r="N596" s="84"/>
      <c r="U596" s="84"/>
      <c r="V596" s="84"/>
    </row>
    <row r="597" spans="5:22" ht="12.75">
      <c r="E597" s="84"/>
      <c r="F597" s="84"/>
      <c r="M597" s="84"/>
      <c r="N597" s="84"/>
      <c r="U597" s="84"/>
      <c r="V597" s="84"/>
    </row>
    <row r="598" spans="5:22" ht="12.75">
      <c r="E598" s="84"/>
      <c r="F598" s="84"/>
      <c r="M598" s="84"/>
      <c r="N598" s="84"/>
      <c r="U598" s="84"/>
      <c r="V598" s="84"/>
    </row>
    <row r="599" spans="5:22" ht="12.75">
      <c r="E599" s="84"/>
      <c r="F599" s="84"/>
      <c r="M599" s="84"/>
      <c r="N599" s="84"/>
      <c r="U599" s="84"/>
      <c r="V599" s="84"/>
    </row>
    <row r="600" spans="5:22" ht="12.75">
      <c r="E600" s="84"/>
      <c r="F600" s="84"/>
      <c r="M600" s="84"/>
      <c r="N600" s="84"/>
      <c r="U600" s="84"/>
      <c r="V600" s="84"/>
    </row>
    <row r="601" spans="5:22" ht="12.75">
      <c r="E601" s="84"/>
      <c r="F601" s="84"/>
      <c r="M601" s="84"/>
      <c r="N601" s="84"/>
      <c r="U601" s="84"/>
      <c r="V601" s="84"/>
    </row>
    <row r="602" spans="5:22" ht="12.75">
      <c r="E602" s="84"/>
      <c r="F602" s="84"/>
      <c r="M602" s="84"/>
      <c r="N602" s="84"/>
      <c r="U602" s="84"/>
      <c r="V602" s="84"/>
    </row>
    <row r="603" spans="5:22" ht="12.75">
      <c r="E603" s="84"/>
      <c r="F603" s="84"/>
      <c r="M603" s="84"/>
      <c r="N603" s="84"/>
      <c r="U603" s="84"/>
      <c r="V603" s="84"/>
    </row>
    <row r="604" spans="5:22" ht="12.75">
      <c r="E604" s="84"/>
      <c r="F604" s="84"/>
      <c r="M604" s="84"/>
      <c r="N604" s="84"/>
      <c r="U604" s="84"/>
      <c r="V604" s="84"/>
    </row>
    <row r="605" spans="5:22" ht="12.75">
      <c r="E605" s="84"/>
      <c r="F605" s="84"/>
      <c r="M605" s="84"/>
      <c r="N605" s="84"/>
      <c r="U605" s="84"/>
      <c r="V605" s="84"/>
    </row>
    <row r="606" spans="5:22" ht="12.75">
      <c r="E606" s="84"/>
      <c r="F606" s="84"/>
      <c r="M606" s="84"/>
      <c r="N606" s="84"/>
      <c r="U606" s="84"/>
      <c r="V606" s="84"/>
    </row>
    <row r="607" spans="5:22" ht="12.75">
      <c r="E607" s="84"/>
      <c r="F607" s="84"/>
      <c r="M607" s="84"/>
      <c r="N607" s="84"/>
      <c r="U607" s="84"/>
      <c r="V607" s="84"/>
    </row>
    <row r="608" spans="5:22" ht="12.75">
      <c r="E608" s="84"/>
      <c r="F608" s="84"/>
      <c r="M608" s="84"/>
      <c r="N608" s="84"/>
      <c r="U608" s="84"/>
      <c r="V608" s="84"/>
    </row>
    <row r="609" spans="5:22" ht="12.75">
      <c r="E609" s="84"/>
      <c r="F609" s="84"/>
      <c r="M609" s="84"/>
      <c r="N609" s="84"/>
      <c r="U609" s="84"/>
      <c r="V609" s="84"/>
    </row>
    <row r="610" spans="5:22" ht="12.75">
      <c r="E610" s="84"/>
      <c r="F610" s="84"/>
      <c r="M610" s="84"/>
      <c r="N610" s="84"/>
      <c r="U610" s="84"/>
      <c r="V610" s="84"/>
    </row>
    <row r="611" spans="5:22" ht="12.75">
      <c r="E611" s="84"/>
      <c r="F611" s="84"/>
      <c r="M611" s="84"/>
      <c r="N611" s="84"/>
      <c r="U611" s="84"/>
      <c r="V611" s="84"/>
    </row>
    <row r="612" spans="5:22" ht="12.75">
      <c r="E612" s="84"/>
      <c r="F612" s="84"/>
      <c r="M612" s="84"/>
      <c r="N612" s="84"/>
      <c r="U612" s="84"/>
      <c r="V612" s="84"/>
    </row>
    <row r="613" spans="5:22" ht="12.75">
      <c r="E613" s="84"/>
      <c r="F613" s="84"/>
      <c r="M613" s="84"/>
      <c r="N613" s="84"/>
      <c r="U613" s="84"/>
      <c r="V613" s="84"/>
    </row>
    <row r="614" spans="5:22" ht="12.75">
      <c r="E614" s="84"/>
      <c r="F614" s="84"/>
      <c r="M614" s="84"/>
      <c r="N614" s="84"/>
      <c r="U614" s="84"/>
      <c r="V614" s="84"/>
    </row>
    <row r="615" spans="5:22" ht="12.75">
      <c r="E615" s="84"/>
      <c r="F615" s="84"/>
      <c r="M615" s="84"/>
      <c r="N615" s="84"/>
      <c r="U615" s="84"/>
      <c r="V615" s="84"/>
    </row>
    <row r="616" spans="5:22" ht="12.75">
      <c r="E616" s="84"/>
      <c r="F616" s="84"/>
      <c r="M616" s="84"/>
      <c r="N616" s="84"/>
      <c r="U616" s="84"/>
      <c r="V616" s="84"/>
    </row>
    <row r="617" spans="5:22" ht="12.75">
      <c r="E617" s="84"/>
      <c r="F617" s="84"/>
      <c r="M617" s="84"/>
      <c r="N617" s="84"/>
      <c r="U617" s="84"/>
      <c r="V617" s="84"/>
    </row>
    <row r="618" spans="5:22" ht="12.75">
      <c r="E618" s="84"/>
      <c r="F618" s="84"/>
      <c r="M618" s="84"/>
      <c r="N618" s="84"/>
      <c r="U618" s="84"/>
      <c r="V618" s="84"/>
    </row>
    <row r="619" spans="5:22" ht="12.75">
      <c r="E619" s="84"/>
      <c r="F619" s="84"/>
      <c r="M619" s="84"/>
      <c r="N619" s="84"/>
      <c r="U619" s="84"/>
      <c r="V619" s="84"/>
    </row>
    <row r="620" spans="5:22" ht="12.75">
      <c r="E620" s="84"/>
      <c r="F620" s="84"/>
      <c r="M620" s="84"/>
      <c r="N620" s="84"/>
      <c r="U620" s="84"/>
      <c r="V620" s="84"/>
    </row>
    <row r="621" spans="5:22" ht="12.75">
      <c r="E621" s="84"/>
      <c r="F621" s="84"/>
      <c r="M621" s="84"/>
      <c r="N621" s="84"/>
      <c r="U621" s="84"/>
      <c r="V621" s="84"/>
    </row>
    <row r="622" spans="5:22" ht="12.75">
      <c r="E622" s="84"/>
      <c r="F622" s="84"/>
      <c r="M622" s="84"/>
      <c r="N622" s="84"/>
      <c r="U622" s="84"/>
      <c r="V622" s="84"/>
    </row>
    <row r="623" spans="5:22" ht="12.75">
      <c r="E623" s="84"/>
      <c r="F623" s="84"/>
      <c r="M623" s="84"/>
      <c r="N623" s="84"/>
      <c r="U623" s="84"/>
      <c r="V623" s="84"/>
    </row>
    <row r="624" spans="5:22" ht="12.75">
      <c r="E624" s="84"/>
      <c r="F624" s="84"/>
      <c r="M624" s="84"/>
      <c r="N624" s="84"/>
      <c r="U624" s="84"/>
      <c r="V624" s="84"/>
    </row>
    <row r="625" spans="5:22" ht="12.75">
      <c r="E625" s="84"/>
      <c r="F625" s="84"/>
      <c r="M625" s="84"/>
      <c r="N625" s="84"/>
      <c r="U625" s="84"/>
      <c r="V625" s="84"/>
    </row>
    <row r="626" spans="5:22" ht="12.75">
      <c r="E626" s="84"/>
      <c r="F626" s="84"/>
      <c r="M626" s="84"/>
      <c r="N626" s="84"/>
      <c r="U626" s="84"/>
      <c r="V626" s="84"/>
    </row>
    <row r="627" spans="5:22" ht="12.75">
      <c r="E627" s="84"/>
      <c r="F627" s="84"/>
      <c r="M627" s="84"/>
      <c r="N627" s="84"/>
      <c r="U627" s="84"/>
      <c r="V627" s="84"/>
    </row>
    <row r="628" spans="5:22" ht="12.75">
      <c r="E628" s="84"/>
      <c r="F628" s="84"/>
      <c r="M628" s="84"/>
      <c r="N628" s="84"/>
      <c r="U628" s="84"/>
      <c r="V628" s="84"/>
    </row>
    <row r="629" spans="5:22" ht="12.75">
      <c r="E629" s="84"/>
      <c r="F629" s="84"/>
      <c r="M629" s="84"/>
      <c r="N629" s="84"/>
      <c r="U629" s="84"/>
      <c r="V629" s="84"/>
    </row>
    <row r="630" spans="5:22" ht="12.75">
      <c r="E630" s="84"/>
      <c r="F630" s="84"/>
      <c r="M630" s="84"/>
      <c r="N630" s="84"/>
      <c r="U630" s="84"/>
      <c r="V630" s="84"/>
    </row>
    <row r="631" spans="5:22" ht="12.75">
      <c r="E631" s="84"/>
      <c r="F631" s="84"/>
      <c r="M631" s="84"/>
      <c r="N631" s="84"/>
      <c r="U631" s="84"/>
      <c r="V631" s="84"/>
    </row>
    <row r="632" spans="5:22" ht="12.75">
      <c r="E632" s="84"/>
      <c r="F632" s="84"/>
      <c r="M632" s="84"/>
      <c r="N632" s="84"/>
      <c r="U632" s="84"/>
      <c r="V632" s="84"/>
    </row>
    <row r="633" spans="5:22" ht="12.75">
      <c r="E633" s="84"/>
      <c r="F633" s="84"/>
      <c r="M633" s="84"/>
      <c r="N633" s="84"/>
      <c r="U633" s="84"/>
      <c r="V633" s="84"/>
    </row>
    <row r="634" spans="5:22" ht="12.75">
      <c r="E634" s="84"/>
      <c r="F634" s="84"/>
      <c r="M634" s="84"/>
      <c r="N634" s="84"/>
      <c r="U634" s="84"/>
      <c r="V634" s="84"/>
    </row>
    <row r="635" spans="5:22" ht="12.75">
      <c r="E635" s="84"/>
      <c r="F635" s="84"/>
      <c r="M635" s="84"/>
      <c r="N635" s="84"/>
      <c r="U635" s="84"/>
      <c r="V635" s="84"/>
    </row>
    <row r="636" spans="5:22" ht="12.75">
      <c r="E636" s="84"/>
      <c r="F636" s="84"/>
      <c r="M636" s="84"/>
      <c r="N636" s="84"/>
      <c r="U636" s="84"/>
      <c r="V636" s="84"/>
    </row>
    <row r="637" spans="5:22" ht="12.75">
      <c r="E637" s="84"/>
      <c r="F637" s="84"/>
      <c r="M637" s="84"/>
      <c r="N637" s="84"/>
      <c r="U637" s="84"/>
      <c r="V637" s="84"/>
    </row>
    <row r="638" spans="5:22" ht="12.75">
      <c r="E638" s="84"/>
      <c r="F638" s="84"/>
      <c r="M638" s="84"/>
      <c r="N638" s="84"/>
      <c r="U638" s="84"/>
      <c r="V638" s="84"/>
    </row>
    <row r="639" spans="5:22" ht="12.75">
      <c r="E639" s="84"/>
      <c r="F639" s="84"/>
      <c r="M639" s="84"/>
      <c r="N639" s="84"/>
      <c r="U639" s="84"/>
      <c r="V639" s="84"/>
    </row>
    <row r="640" spans="5:22" ht="12.75">
      <c r="E640" s="84"/>
      <c r="F640" s="84"/>
      <c r="M640" s="84"/>
      <c r="N640" s="84"/>
      <c r="U640" s="84"/>
      <c r="V640" s="84"/>
    </row>
    <row r="641" spans="5:22" ht="12.75">
      <c r="E641" s="84"/>
      <c r="F641" s="84"/>
      <c r="M641" s="84"/>
      <c r="N641" s="84"/>
      <c r="U641" s="84"/>
      <c r="V641" s="84"/>
    </row>
    <row r="642" spans="5:22" ht="12.75">
      <c r="E642" s="84"/>
      <c r="F642" s="84"/>
      <c r="M642" s="84"/>
      <c r="N642" s="84"/>
      <c r="U642" s="84"/>
      <c r="V642" s="84"/>
    </row>
    <row r="643" spans="5:22" ht="12.75">
      <c r="E643" s="84"/>
      <c r="F643" s="84"/>
      <c r="M643" s="84"/>
      <c r="N643" s="84"/>
      <c r="U643" s="84"/>
      <c r="V643" s="84"/>
    </row>
    <row r="644" spans="5:22" ht="12.75">
      <c r="E644" s="84"/>
      <c r="F644" s="84"/>
      <c r="M644" s="84"/>
      <c r="N644" s="84"/>
      <c r="U644" s="84"/>
      <c r="V644" s="84"/>
    </row>
    <row r="645" spans="5:22" ht="12.75">
      <c r="E645" s="84"/>
      <c r="F645" s="84"/>
      <c r="M645" s="84"/>
      <c r="N645" s="84"/>
      <c r="U645" s="84"/>
      <c r="V645" s="84"/>
    </row>
    <row r="646" spans="5:22" ht="12.75">
      <c r="E646" s="84"/>
      <c r="F646" s="84"/>
      <c r="M646" s="84"/>
      <c r="N646" s="84"/>
      <c r="U646" s="84"/>
      <c r="V646" s="84"/>
    </row>
    <row r="647" spans="5:22" ht="12.75">
      <c r="E647" s="84"/>
      <c r="F647" s="84"/>
      <c r="M647" s="84"/>
      <c r="N647" s="84"/>
      <c r="U647" s="84"/>
      <c r="V647" s="84"/>
    </row>
    <row r="648" spans="5:22" ht="12.75">
      <c r="E648" s="84"/>
      <c r="F648" s="84"/>
      <c r="M648" s="84"/>
      <c r="N648" s="84"/>
      <c r="U648" s="84"/>
      <c r="V648" s="84"/>
    </row>
    <row r="649" spans="5:22" ht="12.75">
      <c r="E649" s="84"/>
      <c r="F649" s="84"/>
      <c r="M649" s="84"/>
      <c r="N649" s="84"/>
      <c r="U649" s="84"/>
      <c r="V649" s="84"/>
    </row>
    <row r="650" spans="5:22" ht="12.75">
      <c r="E650" s="84"/>
      <c r="F650" s="84"/>
      <c r="M650" s="84"/>
      <c r="N650" s="84"/>
      <c r="U650" s="84"/>
      <c r="V650" s="84"/>
    </row>
    <row r="651" spans="5:22" ht="12.75">
      <c r="E651" s="84"/>
      <c r="F651" s="84"/>
      <c r="M651" s="84"/>
      <c r="N651" s="84"/>
      <c r="U651" s="84"/>
      <c r="V651" s="84"/>
    </row>
    <row r="652" spans="5:22" ht="12.75">
      <c r="E652" s="84"/>
      <c r="F652" s="84"/>
      <c r="M652" s="84"/>
      <c r="N652" s="84"/>
      <c r="U652" s="84"/>
      <c r="V652" s="84"/>
    </row>
    <row r="653" spans="5:22" ht="12.75">
      <c r="E653" s="84"/>
      <c r="F653" s="84"/>
      <c r="M653" s="84"/>
      <c r="N653" s="84"/>
      <c r="U653" s="84"/>
      <c r="V653" s="84"/>
    </row>
    <row r="654" spans="5:22" ht="12.75">
      <c r="E654" s="84"/>
      <c r="F654" s="84"/>
      <c r="M654" s="84"/>
      <c r="N654" s="84"/>
      <c r="U654" s="84"/>
      <c r="V654" s="84"/>
    </row>
    <row r="655" spans="5:22" ht="12.75">
      <c r="E655" s="84"/>
      <c r="F655" s="84"/>
      <c r="M655" s="84"/>
      <c r="N655" s="84"/>
      <c r="U655" s="84"/>
      <c r="V655" s="84"/>
    </row>
    <row r="656" spans="5:22" ht="12.75">
      <c r="E656" s="84"/>
      <c r="F656" s="84"/>
      <c r="M656" s="84"/>
      <c r="N656" s="84"/>
      <c r="U656" s="84"/>
      <c r="V656" s="84"/>
    </row>
    <row r="657" spans="5:22" ht="12.75">
      <c r="E657" s="84"/>
      <c r="F657" s="84"/>
      <c r="M657" s="84"/>
      <c r="N657" s="84"/>
      <c r="U657" s="84"/>
      <c r="V657" s="84"/>
    </row>
    <row r="658" spans="5:22" ht="12.75">
      <c r="E658" s="84"/>
      <c r="F658" s="84"/>
      <c r="M658" s="84"/>
      <c r="N658" s="84"/>
      <c r="U658" s="84"/>
      <c r="V658" s="84"/>
    </row>
    <row r="659" spans="5:22" ht="12.75">
      <c r="E659" s="84"/>
      <c r="F659" s="84"/>
      <c r="M659" s="84"/>
      <c r="N659" s="84"/>
      <c r="U659" s="84"/>
      <c r="V659" s="84"/>
    </row>
    <row r="660" spans="5:22" ht="12.75">
      <c r="E660" s="84"/>
      <c r="F660" s="84"/>
      <c r="M660" s="84"/>
      <c r="N660" s="84"/>
      <c r="U660" s="84"/>
      <c r="V660" s="84"/>
    </row>
    <row r="661" spans="5:22" ht="12.75">
      <c r="E661" s="84"/>
      <c r="F661" s="84"/>
      <c r="M661" s="84"/>
      <c r="N661" s="84"/>
      <c r="U661" s="84"/>
      <c r="V661" s="84"/>
    </row>
    <row r="662" spans="5:22" ht="12.75">
      <c r="E662" s="84"/>
      <c r="F662" s="84"/>
      <c r="M662" s="84"/>
      <c r="N662" s="84"/>
      <c r="U662" s="84"/>
      <c r="V662" s="84"/>
    </row>
    <row r="663" spans="5:22" ht="12.75">
      <c r="E663" s="84"/>
      <c r="F663" s="84"/>
      <c r="M663" s="84"/>
      <c r="N663" s="84"/>
      <c r="U663" s="84"/>
      <c r="V663" s="84"/>
    </row>
    <row r="664" spans="5:22" ht="12.75">
      <c r="E664" s="84"/>
      <c r="F664" s="84"/>
      <c r="M664" s="84"/>
      <c r="N664" s="84"/>
      <c r="U664" s="84"/>
      <c r="V664" s="84"/>
    </row>
    <row r="665" spans="5:22" ht="12.75">
      <c r="E665" s="84"/>
      <c r="F665" s="84"/>
      <c r="M665" s="84"/>
      <c r="N665" s="84"/>
      <c r="U665" s="84"/>
      <c r="V665" s="84"/>
    </row>
    <row r="666" spans="5:22" ht="12.75">
      <c r="E666" s="84"/>
      <c r="F666" s="84"/>
      <c r="M666" s="84"/>
      <c r="N666" s="84"/>
      <c r="U666" s="84"/>
      <c r="V666" s="84"/>
    </row>
    <row r="667" spans="5:22" ht="12.75">
      <c r="E667" s="84"/>
      <c r="F667" s="84"/>
      <c r="M667" s="84"/>
      <c r="N667" s="84"/>
      <c r="U667" s="84"/>
      <c r="V667" s="84"/>
    </row>
    <row r="668" spans="5:22" ht="12.75">
      <c r="E668" s="84"/>
      <c r="F668" s="84"/>
      <c r="M668" s="84"/>
      <c r="N668" s="84"/>
      <c r="U668" s="84"/>
      <c r="V668" s="84"/>
    </row>
    <row r="669" spans="5:22" ht="12.75">
      <c r="E669" s="84"/>
      <c r="F669" s="84"/>
      <c r="M669" s="84"/>
      <c r="N669" s="84"/>
      <c r="U669" s="84"/>
      <c r="V669" s="84"/>
    </row>
    <row r="670" spans="5:22" ht="12.75">
      <c r="E670" s="84"/>
      <c r="F670" s="84"/>
      <c r="M670" s="84"/>
      <c r="N670" s="84"/>
      <c r="U670" s="84"/>
      <c r="V670" s="84"/>
    </row>
    <row r="671" spans="5:22" ht="12.75">
      <c r="E671" s="84"/>
      <c r="F671" s="84"/>
      <c r="M671" s="84"/>
      <c r="N671" s="84"/>
      <c r="U671" s="84"/>
      <c r="V671" s="84"/>
    </row>
    <row r="672" spans="5:22" ht="12.75">
      <c r="E672" s="84"/>
      <c r="F672" s="84"/>
      <c r="M672" s="84"/>
      <c r="N672" s="84"/>
      <c r="U672" s="84"/>
      <c r="V672" s="84"/>
    </row>
    <row r="673" spans="5:22" ht="12.75">
      <c r="E673" s="84"/>
      <c r="F673" s="84"/>
      <c r="M673" s="84"/>
      <c r="N673" s="84"/>
      <c r="U673" s="84"/>
      <c r="V673" s="84"/>
    </row>
    <row r="674" spans="5:22" ht="12.75">
      <c r="E674" s="84"/>
      <c r="F674" s="84"/>
      <c r="M674" s="84"/>
      <c r="N674" s="84"/>
      <c r="U674" s="84"/>
      <c r="V674" s="84"/>
    </row>
    <row r="675" spans="5:22" ht="12.75">
      <c r="E675" s="84"/>
      <c r="F675" s="84"/>
      <c r="M675" s="84"/>
      <c r="N675" s="84"/>
      <c r="U675" s="84"/>
      <c r="V675" s="84"/>
    </row>
    <row r="676" spans="5:22" ht="12.75">
      <c r="E676" s="84"/>
      <c r="F676" s="84"/>
      <c r="M676" s="84"/>
      <c r="N676" s="84"/>
      <c r="U676" s="84"/>
      <c r="V676" s="84"/>
    </row>
    <row r="677" spans="5:22" ht="12.75">
      <c r="E677" s="84"/>
      <c r="F677" s="84"/>
      <c r="M677" s="84"/>
      <c r="N677" s="84"/>
      <c r="U677" s="84"/>
      <c r="V677" s="84"/>
    </row>
    <row r="678" spans="5:22" ht="12.75">
      <c r="E678" s="84"/>
      <c r="F678" s="84"/>
      <c r="M678" s="84"/>
      <c r="N678" s="84"/>
      <c r="U678" s="84"/>
      <c r="V678" s="84"/>
    </row>
    <row r="679" spans="5:22" ht="12.75">
      <c r="E679" s="84"/>
      <c r="F679" s="84"/>
      <c r="M679" s="84"/>
      <c r="N679" s="84"/>
      <c r="U679" s="84"/>
      <c r="V679" s="84"/>
    </row>
    <row r="680" spans="5:22" ht="12.75">
      <c r="E680" s="84"/>
      <c r="F680" s="84"/>
      <c r="M680" s="84"/>
      <c r="N680" s="84"/>
      <c r="U680" s="84"/>
      <c r="V680" s="84"/>
    </row>
    <row r="681" spans="5:22" ht="12.75">
      <c r="E681" s="84"/>
      <c r="F681" s="84"/>
      <c r="M681" s="84"/>
      <c r="N681" s="84"/>
      <c r="U681" s="84"/>
      <c r="V681" s="84"/>
    </row>
    <row r="682" spans="5:22" ht="12.75">
      <c r="E682" s="84"/>
      <c r="F682" s="84"/>
      <c r="M682" s="84"/>
      <c r="N682" s="84"/>
      <c r="U682" s="84"/>
      <c r="V682" s="84"/>
    </row>
    <row r="683" spans="5:22" ht="12.75">
      <c r="E683" s="84"/>
      <c r="F683" s="84"/>
      <c r="M683" s="84"/>
      <c r="N683" s="84"/>
      <c r="U683" s="84"/>
      <c r="V683" s="84"/>
    </row>
    <row r="684" spans="5:22" ht="12.75">
      <c r="E684" s="84"/>
      <c r="F684" s="84"/>
      <c r="M684" s="84"/>
      <c r="N684" s="84"/>
      <c r="U684" s="84"/>
      <c r="V684" s="84"/>
    </row>
    <row r="685" spans="5:22" ht="12.75">
      <c r="E685" s="84"/>
      <c r="F685" s="84"/>
      <c r="M685" s="84"/>
      <c r="N685" s="84"/>
      <c r="U685" s="84"/>
      <c r="V685" s="84"/>
    </row>
    <row r="686" spans="5:22" ht="12.75">
      <c r="E686" s="84"/>
      <c r="F686" s="84"/>
      <c r="M686" s="84"/>
      <c r="N686" s="84"/>
      <c r="U686" s="84"/>
      <c r="V686" s="84"/>
    </row>
    <row r="687" spans="5:22" ht="12.75">
      <c r="E687" s="84"/>
      <c r="F687" s="84"/>
      <c r="M687" s="84"/>
      <c r="N687" s="84"/>
      <c r="U687" s="84"/>
      <c r="V687" s="84"/>
    </row>
    <row r="688" spans="5:22" ht="12.75">
      <c r="E688" s="84"/>
      <c r="F688" s="84"/>
      <c r="M688" s="84"/>
      <c r="N688" s="84"/>
      <c r="U688" s="84"/>
      <c r="V688" s="84"/>
    </row>
    <row r="689" spans="5:22" ht="12.75">
      <c r="E689" s="84"/>
      <c r="F689" s="84"/>
      <c r="M689" s="84"/>
      <c r="N689" s="84"/>
      <c r="U689" s="84"/>
      <c r="V689" s="84"/>
    </row>
    <row r="690" spans="5:22" ht="12.75">
      <c r="E690" s="84"/>
      <c r="F690" s="84"/>
      <c r="M690" s="84"/>
      <c r="N690" s="84"/>
      <c r="U690" s="84"/>
      <c r="V690" s="84"/>
    </row>
    <row r="691" spans="5:22" ht="12.75">
      <c r="E691" s="84"/>
      <c r="F691" s="84"/>
      <c r="M691" s="84"/>
      <c r="N691" s="84"/>
      <c r="U691" s="84"/>
      <c r="V691" s="84"/>
    </row>
    <row r="692" spans="5:22" ht="12.75">
      <c r="E692" s="84"/>
      <c r="F692" s="84"/>
      <c r="M692" s="84"/>
      <c r="N692" s="84"/>
      <c r="U692" s="84"/>
      <c r="V692" s="84"/>
    </row>
    <row r="693" spans="5:22" ht="12.75">
      <c r="E693" s="84"/>
      <c r="F693" s="84"/>
      <c r="M693" s="84"/>
      <c r="N693" s="84"/>
      <c r="U693" s="84"/>
      <c r="V693" s="84"/>
    </row>
    <row r="694" spans="5:22" ht="12.75">
      <c r="E694" s="84"/>
      <c r="F694" s="84"/>
      <c r="M694" s="84"/>
      <c r="N694" s="84"/>
      <c r="U694" s="84"/>
      <c r="V694" s="84"/>
    </row>
    <row r="695" spans="5:22" ht="12.75">
      <c r="E695" s="84"/>
      <c r="F695" s="84"/>
      <c r="M695" s="84"/>
      <c r="N695" s="84"/>
      <c r="U695" s="84"/>
      <c r="V695" s="84"/>
    </row>
    <row r="696" spans="5:22" ht="12.75">
      <c r="E696" s="84"/>
      <c r="F696" s="84"/>
      <c r="M696" s="84"/>
      <c r="N696" s="84"/>
      <c r="U696" s="84"/>
      <c r="V696" s="84"/>
    </row>
    <row r="697" spans="5:22" ht="12.75">
      <c r="E697" s="84"/>
      <c r="F697" s="84"/>
      <c r="M697" s="84"/>
      <c r="N697" s="84"/>
      <c r="U697" s="84"/>
      <c r="V697" s="84"/>
    </row>
    <row r="698" spans="5:22" ht="12.75">
      <c r="E698" s="84"/>
      <c r="F698" s="84"/>
      <c r="M698" s="84"/>
      <c r="N698" s="84"/>
      <c r="U698" s="84"/>
      <c r="V698" s="84"/>
    </row>
    <row r="699" spans="5:22" ht="12.75">
      <c r="E699" s="84"/>
      <c r="F699" s="84"/>
      <c r="M699" s="84"/>
      <c r="N699" s="84"/>
      <c r="U699" s="84"/>
      <c r="V699" s="84"/>
    </row>
    <row r="700" spans="5:22" ht="12.75">
      <c r="E700" s="84"/>
      <c r="F700" s="84"/>
      <c r="M700" s="84"/>
      <c r="N700" s="84"/>
      <c r="U700" s="84"/>
      <c r="V700" s="84"/>
    </row>
    <row r="701" spans="5:22" ht="12.75">
      <c r="E701" s="84"/>
      <c r="F701" s="84"/>
      <c r="M701" s="84"/>
      <c r="N701" s="84"/>
      <c r="U701" s="84"/>
      <c r="V701" s="84"/>
    </row>
    <row r="702" spans="5:22" ht="12.75">
      <c r="E702" s="84"/>
      <c r="F702" s="84"/>
      <c r="M702" s="84"/>
      <c r="N702" s="84"/>
      <c r="U702" s="84"/>
      <c r="V702" s="84"/>
    </row>
    <row r="703" spans="5:22" ht="12.75">
      <c r="E703" s="84"/>
      <c r="F703" s="84"/>
      <c r="M703" s="84"/>
      <c r="N703" s="84"/>
      <c r="U703" s="84"/>
      <c r="V703" s="84"/>
    </row>
    <row r="704" spans="5:22" ht="12.75">
      <c r="E704" s="84"/>
      <c r="F704" s="84"/>
      <c r="M704" s="84"/>
      <c r="N704" s="84"/>
      <c r="U704" s="84"/>
      <c r="V704" s="84"/>
    </row>
    <row r="705" spans="5:22" ht="12.75">
      <c r="E705" s="84"/>
      <c r="F705" s="84"/>
      <c r="M705" s="84"/>
      <c r="N705" s="84"/>
      <c r="U705" s="84"/>
      <c r="V705" s="84"/>
    </row>
    <row r="706" spans="5:22" ht="12.75">
      <c r="E706" s="84"/>
      <c r="F706" s="84"/>
      <c r="M706" s="84"/>
      <c r="N706" s="84"/>
      <c r="U706" s="84"/>
      <c r="V706" s="84"/>
    </row>
    <row r="707" spans="5:22" ht="12.75">
      <c r="E707" s="84"/>
      <c r="F707" s="84"/>
      <c r="M707" s="84"/>
      <c r="N707" s="84"/>
      <c r="U707" s="84"/>
      <c r="V707" s="84"/>
    </row>
    <row r="708" spans="5:22" ht="12.75">
      <c r="E708" s="84"/>
      <c r="F708" s="84"/>
      <c r="M708" s="84"/>
      <c r="N708" s="84"/>
      <c r="U708" s="84"/>
      <c r="V708" s="84"/>
    </row>
    <row r="709" spans="5:22" ht="12.75">
      <c r="E709" s="84"/>
      <c r="F709" s="84"/>
      <c r="M709" s="84"/>
      <c r="N709" s="84"/>
      <c r="U709" s="84"/>
      <c r="V709" s="84"/>
    </row>
    <row r="710" spans="5:22" ht="12.75">
      <c r="E710" s="84"/>
      <c r="F710" s="84"/>
      <c r="M710" s="84"/>
      <c r="N710" s="84"/>
      <c r="U710" s="84"/>
      <c r="V710" s="84"/>
    </row>
    <row r="711" spans="5:22" ht="12.75">
      <c r="E711" s="84"/>
      <c r="F711" s="84"/>
      <c r="M711" s="84"/>
      <c r="N711" s="84"/>
      <c r="U711" s="84"/>
      <c r="V711" s="84"/>
    </row>
    <row r="712" spans="5:22" ht="12.75">
      <c r="E712" s="84"/>
      <c r="F712" s="84"/>
      <c r="M712" s="84"/>
      <c r="N712" s="84"/>
      <c r="U712" s="84"/>
      <c r="V712" s="84"/>
    </row>
    <row r="713" spans="5:22" ht="12.75">
      <c r="E713" s="84"/>
      <c r="F713" s="84"/>
      <c r="M713" s="84"/>
      <c r="N713" s="84"/>
      <c r="U713" s="84"/>
      <c r="V713" s="84"/>
    </row>
    <row r="714" spans="5:22" ht="12.75">
      <c r="E714" s="84"/>
      <c r="F714" s="84"/>
      <c r="M714" s="84"/>
      <c r="N714" s="84"/>
      <c r="U714" s="84"/>
      <c r="V714" s="84"/>
    </row>
    <row r="715" spans="5:22" ht="12.75">
      <c r="E715" s="84"/>
      <c r="F715" s="84"/>
      <c r="M715" s="84"/>
      <c r="N715" s="84"/>
      <c r="U715" s="84"/>
      <c r="V715" s="84"/>
    </row>
    <row r="716" spans="5:22" ht="12.75">
      <c r="E716" s="84"/>
      <c r="F716" s="84"/>
      <c r="M716" s="84"/>
      <c r="N716" s="84"/>
      <c r="U716" s="84"/>
      <c r="V716" s="84"/>
    </row>
    <row r="717" spans="5:22" ht="12.75">
      <c r="E717" s="84"/>
      <c r="F717" s="84"/>
      <c r="M717" s="84"/>
      <c r="N717" s="84"/>
      <c r="U717" s="84"/>
      <c r="V717" s="84"/>
    </row>
    <row r="718" spans="5:22" ht="12.75">
      <c r="E718" s="84"/>
      <c r="F718" s="84"/>
      <c r="M718" s="84"/>
      <c r="N718" s="84"/>
      <c r="U718" s="84"/>
      <c r="V718" s="84"/>
    </row>
    <row r="719" spans="5:22" ht="12.75">
      <c r="E719" s="84"/>
      <c r="F719" s="84"/>
      <c r="M719" s="84"/>
      <c r="N719" s="84"/>
      <c r="U719" s="84"/>
      <c r="V719" s="84"/>
    </row>
    <row r="720" spans="5:22" ht="12.75">
      <c r="E720" s="84"/>
      <c r="F720" s="84"/>
      <c r="M720" s="84"/>
      <c r="N720" s="84"/>
      <c r="U720" s="84"/>
      <c r="V720" s="84"/>
    </row>
    <row r="721" spans="5:22" ht="12.75">
      <c r="E721" s="84"/>
      <c r="F721" s="84"/>
      <c r="M721" s="84"/>
      <c r="N721" s="84"/>
      <c r="U721" s="84"/>
      <c r="V721" s="84"/>
    </row>
    <row r="722" spans="5:22" ht="12.75">
      <c r="E722" s="84"/>
      <c r="F722" s="84"/>
      <c r="M722" s="84"/>
      <c r="N722" s="84"/>
      <c r="U722" s="84"/>
      <c r="V722" s="84"/>
    </row>
    <row r="723" spans="5:22" ht="12.75">
      <c r="E723" s="84"/>
      <c r="F723" s="84"/>
      <c r="M723" s="84"/>
      <c r="N723" s="84"/>
      <c r="U723" s="84"/>
      <c r="V723" s="84"/>
    </row>
    <row r="724" spans="5:22" ht="12.75">
      <c r="E724" s="84"/>
      <c r="F724" s="84"/>
      <c r="M724" s="84"/>
      <c r="N724" s="84"/>
      <c r="U724" s="84"/>
      <c r="V724" s="84"/>
    </row>
    <row r="725" spans="5:22" ht="12.75">
      <c r="E725" s="84"/>
      <c r="F725" s="84"/>
      <c r="M725" s="84"/>
      <c r="N725" s="84"/>
      <c r="U725" s="84"/>
      <c r="V725" s="84"/>
    </row>
    <row r="726" spans="5:22" ht="12.75">
      <c r="E726" s="84"/>
      <c r="F726" s="84"/>
      <c r="M726" s="84"/>
      <c r="N726" s="84"/>
      <c r="U726" s="84"/>
      <c r="V726" s="84"/>
    </row>
    <row r="727" spans="5:22" ht="12.75">
      <c r="E727" s="84"/>
      <c r="F727" s="84"/>
      <c r="M727" s="84"/>
      <c r="N727" s="84"/>
      <c r="U727" s="84"/>
      <c r="V727" s="84"/>
    </row>
    <row r="728" spans="5:22" ht="12.75">
      <c r="E728" s="84"/>
      <c r="F728" s="84"/>
      <c r="M728" s="84"/>
      <c r="N728" s="84"/>
      <c r="U728" s="84"/>
      <c r="V728" s="84"/>
    </row>
    <row r="729" spans="5:22" ht="12.75">
      <c r="E729" s="84"/>
      <c r="F729" s="84"/>
      <c r="M729" s="84"/>
      <c r="N729" s="84"/>
      <c r="U729" s="84"/>
      <c r="V729" s="84"/>
    </row>
    <row r="730" spans="5:22" ht="12.75">
      <c r="E730" s="84"/>
      <c r="F730" s="84"/>
      <c r="M730" s="84"/>
      <c r="N730" s="84"/>
      <c r="U730" s="84"/>
      <c r="V730" s="84"/>
    </row>
    <row r="731" spans="5:22" ht="12.75">
      <c r="E731" s="84"/>
      <c r="F731" s="84"/>
      <c r="M731" s="84"/>
      <c r="N731" s="84"/>
      <c r="U731" s="84"/>
      <c r="V731" s="84"/>
    </row>
    <row r="732" spans="5:22" ht="12.75">
      <c r="E732" s="84"/>
      <c r="F732" s="84"/>
      <c r="M732" s="84"/>
      <c r="N732" s="84"/>
      <c r="U732" s="84"/>
      <c r="V732" s="84"/>
    </row>
    <row r="733" spans="5:22" ht="12.75">
      <c r="E733" s="84"/>
      <c r="F733" s="84"/>
      <c r="M733" s="84"/>
      <c r="N733" s="84"/>
      <c r="U733" s="84"/>
      <c r="V733" s="84"/>
    </row>
    <row r="734" spans="5:22" ht="12.75">
      <c r="E734" s="84"/>
      <c r="F734" s="84"/>
      <c r="M734" s="84"/>
      <c r="N734" s="84"/>
      <c r="U734" s="84"/>
      <c r="V734" s="84"/>
    </row>
    <row r="735" spans="5:22" ht="12.75">
      <c r="E735" s="84"/>
      <c r="F735" s="84"/>
      <c r="M735" s="84"/>
      <c r="N735" s="84"/>
      <c r="U735" s="84"/>
      <c r="V735" s="84"/>
    </row>
    <row r="736" spans="5:22" ht="12.75">
      <c r="E736" s="84"/>
      <c r="F736" s="84"/>
      <c r="M736" s="84"/>
      <c r="N736" s="84"/>
      <c r="U736" s="84"/>
      <c r="V736" s="84"/>
    </row>
    <row r="737" spans="5:22" ht="12.75">
      <c r="E737" s="84"/>
      <c r="F737" s="84"/>
      <c r="M737" s="84"/>
      <c r="N737" s="84"/>
      <c r="U737" s="84"/>
      <c r="V737" s="84"/>
    </row>
    <row r="738" spans="5:22" ht="12.75">
      <c r="E738" s="84"/>
      <c r="F738" s="84"/>
      <c r="M738" s="84"/>
      <c r="N738" s="84"/>
      <c r="U738" s="84"/>
      <c r="V738" s="84"/>
    </row>
    <row r="739" spans="5:22" ht="12.75">
      <c r="E739" s="84"/>
      <c r="F739" s="84"/>
      <c r="M739" s="84"/>
      <c r="N739" s="84"/>
      <c r="U739" s="84"/>
      <c r="V739" s="84"/>
    </row>
    <row r="740" spans="5:22" ht="12.75">
      <c r="E740" s="84"/>
      <c r="F740" s="84"/>
      <c r="M740" s="84"/>
      <c r="N740" s="84"/>
      <c r="U740" s="84"/>
      <c r="V740" s="84"/>
    </row>
    <row r="741" spans="5:22" ht="12.75">
      <c r="E741" s="84"/>
      <c r="F741" s="84"/>
      <c r="M741" s="84"/>
      <c r="N741" s="84"/>
      <c r="U741" s="84"/>
      <c r="V741" s="84"/>
    </row>
    <row r="742" spans="5:22" ht="12.75">
      <c r="E742" s="84"/>
      <c r="F742" s="84"/>
      <c r="M742" s="84"/>
      <c r="N742" s="84"/>
      <c r="U742" s="84"/>
      <c r="V742" s="84"/>
    </row>
    <row r="743" spans="5:22" ht="12.75">
      <c r="E743" s="84"/>
      <c r="F743" s="84"/>
      <c r="M743" s="84"/>
      <c r="N743" s="84"/>
      <c r="U743" s="84"/>
      <c r="V743" s="84"/>
    </row>
    <row r="744" spans="5:22" ht="12.75">
      <c r="E744" s="84"/>
      <c r="F744" s="84"/>
      <c r="M744" s="84"/>
      <c r="N744" s="84"/>
      <c r="U744" s="84"/>
      <c r="V744" s="84"/>
    </row>
    <row r="745" spans="5:22" ht="12.75">
      <c r="E745" s="84"/>
      <c r="F745" s="84"/>
      <c r="M745" s="84"/>
      <c r="N745" s="84"/>
      <c r="U745" s="84"/>
      <c r="V745" s="84"/>
    </row>
    <row r="746" spans="5:22" ht="12.75">
      <c r="E746" s="84"/>
      <c r="F746" s="84"/>
      <c r="M746" s="84"/>
      <c r="N746" s="84"/>
      <c r="U746" s="84"/>
      <c r="V746" s="84"/>
    </row>
    <row r="747" spans="5:22" ht="12.75">
      <c r="E747" s="84"/>
      <c r="F747" s="84"/>
      <c r="M747" s="84"/>
      <c r="N747" s="84"/>
      <c r="U747" s="84"/>
      <c r="V747" s="84"/>
    </row>
    <row r="748" spans="5:22" ht="12.75">
      <c r="E748" s="84"/>
      <c r="F748" s="84"/>
      <c r="M748" s="84"/>
      <c r="N748" s="84"/>
      <c r="U748" s="84"/>
      <c r="V748" s="84"/>
    </row>
    <row r="749" spans="5:22" ht="12.75">
      <c r="E749" s="84"/>
      <c r="F749" s="84"/>
      <c r="M749" s="84"/>
      <c r="N749" s="84"/>
      <c r="U749" s="84"/>
      <c r="V749" s="84"/>
    </row>
    <row r="750" spans="5:22" ht="12.75">
      <c r="E750" s="84"/>
      <c r="F750" s="84"/>
      <c r="M750" s="84"/>
      <c r="N750" s="84"/>
      <c r="U750" s="84"/>
      <c r="V750" s="84"/>
    </row>
    <row r="751" spans="5:22" ht="12.75">
      <c r="E751" s="84"/>
      <c r="F751" s="84"/>
      <c r="M751" s="84"/>
      <c r="N751" s="84"/>
      <c r="U751" s="84"/>
      <c r="V751" s="84"/>
    </row>
    <row r="752" spans="5:22" ht="12.75">
      <c r="E752" s="84"/>
      <c r="F752" s="84"/>
      <c r="M752" s="84"/>
      <c r="N752" s="84"/>
      <c r="U752" s="84"/>
      <c r="V752" s="84"/>
    </row>
    <row r="753" spans="5:22" ht="12.75">
      <c r="E753" s="84"/>
      <c r="F753" s="84"/>
      <c r="M753" s="84"/>
      <c r="N753" s="84"/>
      <c r="U753" s="84"/>
      <c r="V753" s="84"/>
    </row>
    <row r="754" spans="5:22" ht="12.75">
      <c r="E754" s="84"/>
      <c r="F754" s="84"/>
      <c r="M754" s="84"/>
      <c r="N754" s="84"/>
      <c r="U754" s="84"/>
      <c r="V754" s="84"/>
    </row>
    <row r="755" spans="5:22" ht="12.75">
      <c r="E755" s="84"/>
      <c r="F755" s="84"/>
      <c r="M755" s="84"/>
      <c r="N755" s="84"/>
      <c r="U755" s="84"/>
      <c r="V755" s="84"/>
    </row>
    <row r="756" spans="5:22" ht="12.75">
      <c r="E756" s="84"/>
      <c r="F756" s="84"/>
      <c r="M756" s="84"/>
      <c r="N756" s="84"/>
      <c r="U756" s="84"/>
      <c r="V756" s="84"/>
    </row>
    <row r="757" spans="5:22" ht="12.75">
      <c r="E757" s="84"/>
      <c r="F757" s="84"/>
      <c r="M757" s="84"/>
      <c r="N757" s="84"/>
      <c r="U757" s="84"/>
      <c r="V757" s="84"/>
    </row>
    <row r="758" spans="5:22" ht="12.75">
      <c r="E758" s="84"/>
      <c r="F758" s="84"/>
      <c r="M758" s="84"/>
      <c r="N758" s="84"/>
      <c r="U758" s="84"/>
      <c r="V758" s="84"/>
    </row>
    <row r="759" spans="5:22" ht="12.75">
      <c r="E759" s="84"/>
      <c r="F759" s="84"/>
      <c r="M759" s="84"/>
      <c r="N759" s="84"/>
      <c r="U759" s="84"/>
      <c r="V759" s="84"/>
    </row>
    <row r="760" spans="5:22" ht="12.75">
      <c r="E760" s="84"/>
      <c r="F760" s="84"/>
      <c r="M760" s="84"/>
      <c r="N760" s="84"/>
      <c r="U760" s="84"/>
      <c r="V760" s="84"/>
    </row>
    <row r="761" spans="5:22" ht="12.75">
      <c r="E761" s="84"/>
      <c r="F761" s="84"/>
      <c r="M761" s="84"/>
      <c r="N761" s="84"/>
      <c r="U761" s="84"/>
      <c r="V761" s="84"/>
    </row>
    <row r="762" spans="5:22" ht="12.75">
      <c r="E762" s="84"/>
      <c r="F762" s="84"/>
      <c r="M762" s="84"/>
      <c r="N762" s="84"/>
      <c r="U762" s="84"/>
      <c r="V762" s="84"/>
    </row>
    <row r="763" spans="5:22" ht="12.75">
      <c r="E763" s="84"/>
      <c r="F763" s="84"/>
      <c r="M763" s="84"/>
      <c r="N763" s="84"/>
      <c r="U763" s="84"/>
      <c r="V763" s="84"/>
    </row>
    <row r="764" spans="5:22" ht="12.75">
      <c r="E764" s="84"/>
      <c r="F764" s="84"/>
      <c r="M764" s="84"/>
      <c r="N764" s="84"/>
      <c r="U764" s="84"/>
      <c r="V764" s="84"/>
    </row>
    <row r="765" spans="5:22" ht="12.75">
      <c r="E765" s="84"/>
      <c r="F765" s="84"/>
      <c r="M765" s="84"/>
      <c r="N765" s="84"/>
      <c r="U765" s="84"/>
      <c r="V765" s="84"/>
    </row>
    <row r="766" spans="5:22" ht="12.75">
      <c r="E766" s="84"/>
      <c r="F766" s="84"/>
      <c r="M766" s="84"/>
      <c r="N766" s="84"/>
      <c r="U766" s="84"/>
      <c r="V766" s="84"/>
    </row>
    <row r="767" spans="5:22" ht="12.75">
      <c r="E767" s="84"/>
      <c r="F767" s="84"/>
      <c r="M767" s="84"/>
      <c r="N767" s="84"/>
      <c r="U767" s="84"/>
      <c r="V767" s="84"/>
    </row>
    <row r="768" spans="5:22" ht="12.75">
      <c r="E768" s="84"/>
      <c r="F768" s="84"/>
      <c r="M768" s="84"/>
      <c r="N768" s="84"/>
      <c r="U768" s="84"/>
      <c r="V768" s="84"/>
    </row>
    <row r="769" spans="5:22" ht="12.75">
      <c r="E769" s="84"/>
      <c r="F769" s="84"/>
      <c r="M769" s="84"/>
      <c r="N769" s="84"/>
      <c r="U769" s="84"/>
      <c r="V769" s="84"/>
    </row>
    <row r="770" spans="5:22" ht="12.75">
      <c r="E770" s="84"/>
      <c r="F770" s="84"/>
      <c r="M770" s="84"/>
      <c r="N770" s="84"/>
      <c r="U770" s="84"/>
      <c r="V770" s="84"/>
    </row>
    <row r="771" spans="5:22" ht="12.75">
      <c r="E771" s="84"/>
      <c r="F771" s="84"/>
      <c r="M771" s="84"/>
      <c r="N771" s="84"/>
      <c r="U771" s="84"/>
      <c r="V771" s="84"/>
    </row>
    <row r="772" spans="5:22" ht="12.75">
      <c r="E772" s="84"/>
      <c r="F772" s="84"/>
      <c r="M772" s="84"/>
      <c r="N772" s="84"/>
      <c r="U772" s="84"/>
      <c r="V772" s="84"/>
    </row>
    <row r="773" spans="5:22" ht="12.75">
      <c r="E773" s="84"/>
      <c r="F773" s="84"/>
      <c r="M773" s="84"/>
      <c r="N773" s="84"/>
      <c r="U773" s="84"/>
      <c r="V773" s="84"/>
    </row>
    <row r="774" spans="5:22" ht="12.75">
      <c r="E774" s="84"/>
      <c r="F774" s="84"/>
      <c r="M774" s="84"/>
      <c r="N774" s="84"/>
      <c r="U774" s="84"/>
      <c r="V774" s="84"/>
    </row>
    <row r="775" spans="5:22" ht="12.75">
      <c r="E775" s="84"/>
      <c r="F775" s="84"/>
      <c r="M775" s="84"/>
      <c r="N775" s="84"/>
      <c r="U775" s="84"/>
      <c r="V775" s="84"/>
    </row>
    <row r="776" spans="5:22" ht="12.75">
      <c r="E776" s="84"/>
      <c r="F776" s="84"/>
      <c r="M776" s="84"/>
      <c r="N776" s="84"/>
      <c r="U776" s="84"/>
      <c r="V776" s="84"/>
    </row>
    <row r="777" spans="5:22" ht="12.75">
      <c r="E777" s="84"/>
      <c r="F777" s="84"/>
      <c r="M777" s="84"/>
      <c r="N777" s="84"/>
      <c r="U777" s="84"/>
      <c r="V777" s="84"/>
    </row>
    <row r="778" spans="5:22" ht="12.75">
      <c r="E778" s="84"/>
      <c r="F778" s="84"/>
      <c r="M778" s="84"/>
      <c r="N778" s="84"/>
      <c r="U778" s="84"/>
      <c r="V778" s="84"/>
    </row>
    <row r="779" spans="5:22" ht="12.75">
      <c r="E779" s="84"/>
      <c r="F779" s="84"/>
      <c r="M779" s="84"/>
      <c r="N779" s="84"/>
      <c r="U779" s="84"/>
      <c r="V779" s="84"/>
    </row>
    <row r="780" spans="5:22" ht="12.75">
      <c r="E780" s="84"/>
      <c r="F780" s="84"/>
      <c r="M780" s="84"/>
      <c r="N780" s="84"/>
      <c r="U780" s="84"/>
      <c r="V780" s="84"/>
    </row>
    <row r="781" spans="5:22" ht="12.75">
      <c r="E781" s="84"/>
      <c r="F781" s="84"/>
      <c r="M781" s="84"/>
      <c r="N781" s="84"/>
      <c r="U781" s="84"/>
      <c r="V781" s="84"/>
    </row>
    <row r="782" spans="5:22" ht="12.75">
      <c r="E782" s="84"/>
      <c r="F782" s="84"/>
      <c r="M782" s="84"/>
      <c r="N782" s="84"/>
      <c r="U782" s="84"/>
      <c r="V782" s="84"/>
    </row>
    <row r="783" spans="5:22" ht="12.75">
      <c r="E783" s="84"/>
      <c r="F783" s="84"/>
      <c r="M783" s="84"/>
      <c r="N783" s="84"/>
      <c r="U783" s="84"/>
      <c r="V783" s="84"/>
    </row>
    <row r="784" spans="5:22" ht="12.75">
      <c r="E784" s="84"/>
      <c r="F784" s="84"/>
      <c r="M784" s="84"/>
      <c r="N784" s="84"/>
      <c r="U784" s="84"/>
      <c r="V784" s="84"/>
    </row>
    <row r="785" spans="5:22" ht="12.75">
      <c r="E785" s="84"/>
      <c r="F785" s="84"/>
      <c r="M785" s="84"/>
      <c r="N785" s="84"/>
      <c r="U785" s="84"/>
      <c r="V785" s="84"/>
    </row>
    <row r="786" spans="5:22" ht="12.75">
      <c r="E786" s="84"/>
      <c r="F786" s="84"/>
      <c r="M786" s="84"/>
      <c r="N786" s="84"/>
      <c r="U786" s="84"/>
      <c r="V786" s="84"/>
    </row>
    <row r="787" spans="5:22" ht="12.75">
      <c r="E787" s="84"/>
      <c r="F787" s="84"/>
      <c r="M787" s="84"/>
      <c r="N787" s="84"/>
      <c r="U787" s="84"/>
      <c r="V787" s="84"/>
    </row>
    <row r="788" spans="5:22" ht="12.75">
      <c r="E788" s="84"/>
      <c r="F788" s="84"/>
      <c r="M788" s="84"/>
      <c r="N788" s="84"/>
      <c r="U788" s="84"/>
      <c r="V788" s="84"/>
    </row>
    <row r="789" spans="5:22" ht="12.75">
      <c r="E789" s="84"/>
      <c r="F789" s="84"/>
      <c r="M789" s="84"/>
      <c r="N789" s="84"/>
      <c r="U789" s="84"/>
      <c r="V789" s="84"/>
    </row>
    <row r="790" spans="5:22" ht="12.75">
      <c r="E790" s="84"/>
      <c r="F790" s="84"/>
      <c r="M790" s="84"/>
      <c r="N790" s="84"/>
      <c r="U790" s="84"/>
      <c r="V790" s="84"/>
    </row>
    <row r="791" spans="5:22" ht="12.75">
      <c r="E791" s="84"/>
      <c r="F791" s="84"/>
      <c r="M791" s="84"/>
      <c r="N791" s="84"/>
      <c r="U791" s="84"/>
      <c r="V791" s="84"/>
    </row>
    <row r="792" spans="5:22" ht="12.75">
      <c r="E792" s="84"/>
      <c r="F792" s="84"/>
      <c r="M792" s="84"/>
      <c r="N792" s="84"/>
      <c r="U792" s="84"/>
      <c r="V792" s="84"/>
    </row>
    <row r="793" spans="5:22" ht="12.75">
      <c r="E793" s="84"/>
      <c r="F793" s="84"/>
      <c r="M793" s="84"/>
      <c r="N793" s="84"/>
      <c r="U793" s="84"/>
      <c r="V793" s="84"/>
    </row>
    <row r="794" spans="5:22" ht="12.75">
      <c r="E794" s="84"/>
      <c r="F794" s="84"/>
      <c r="M794" s="84"/>
      <c r="N794" s="84"/>
      <c r="U794" s="84"/>
      <c r="V794" s="84"/>
    </row>
    <row r="795" spans="5:22" ht="12.75">
      <c r="E795" s="84"/>
      <c r="F795" s="84"/>
      <c r="M795" s="84"/>
      <c r="N795" s="84"/>
      <c r="U795" s="84"/>
      <c r="V795" s="84"/>
    </row>
    <row r="796" spans="5:22" ht="12.75">
      <c r="E796" s="84"/>
      <c r="F796" s="84"/>
      <c r="M796" s="84"/>
      <c r="N796" s="84"/>
      <c r="U796" s="84"/>
      <c r="V796" s="84"/>
    </row>
    <row r="797" spans="5:22" ht="12.75">
      <c r="E797" s="84"/>
      <c r="F797" s="84"/>
      <c r="M797" s="84"/>
      <c r="N797" s="84"/>
      <c r="U797" s="84"/>
      <c r="V797" s="84"/>
    </row>
    <row r="798" spans="5:22" ht="12.75">
      <c r="E798" s="84"/>
      <c r="F798" s="84"/>
      <c r="M798" s="84"/>
      <c r="N798" s="84"/>
      <c r="U798" s="84"/>
      <c r="V798" s="84"/>
    </row>
    <row r="799" spans="5:22" ht="12.75">
      <c r="E799" s="84"/>
      <c r="F799" s="84"/>
      <c r="M799" s="84"/>
      <c r="N799" s="84"/>
      <c r="U799" s="84"/>
      <c r="V799" s="84"/>
    </row>
    <row r="800" spans="5:22" ht="12.75">
      <c r="E800" s="84"/>
      <c r="F800" s="84"/>
      <c r="M800" s="84"/>
      <c r="N800" s="84"/>
      <c r="U800" s="84"/>
      <c r="V800" s="84"/>
    </row>
    <row r="801" spans="5:22" ht="12.75">
      <c r="E801" s="84"/>
      <c r="F801" s="84"/>
      <c r="M801" s="84"/>
      <c r="N801" s="84"/>
      <c r="U801" s="84"/>
      <c r="V801" s="84"/>
    </row>
    <row r="802" spans="5:22" ht="12.75">
      <c r="E802" s="84"/>
      <c r="F802" s="84"/>
      <c r="M802" s="84"/>
      <c r="N802" s="84"/>
      <c r="U802" s="84"/>
      <c r="V802" s="84"/>
    </row>
    <row r="803" spans="5:22" ht="12.75">
      <c r="E803" s="84"/>
      <c r="F803" s="84"/>
      <c r="M803" s="84"/>
      <c r="N803" s="84"/>
      <c r="U803" s="84"/>
      <c r="V803" s="84"/>
    </row>
    <row r="804" spans="5:22" ht="12.75">
      <c r="E804" s="84"/>
      <c r="F804" s="84"/>
      <c r="M804" s="84"/>
      <c r="N804" s="84"/>
      <c r="U804" s="84"/>
      <c r="V804" s="84"/>
    </row>
    <row r="805" spans="5:22" ht="12.75">
      <c r="E805" s="84"/>
      <c r="F805" s="84"/>
      <c r="M805" s="84"/>
      <c r="N805" s="84"/>
      <c r="U805" s="84"/>
      <c r="V805" s="84"/>
    </row>
    <row r="806" spans="5:22" ht="12.75">
      <c r="E806" s="84"/>
      <c r="F806" s="84"/>
      <c r="M806" s="84"/>
      <c r="N806" s="84"/>
      <c r="U806" s="84"/>
      <c r="V806" s="84"/>
    </row>
    <row r="807" spans="5:22" ht="12.75">
      <c r="E807" s="84"/>
      <c r="F807" s="84"/>
      <c r="M807" s="84"/>
      <c r="N807" s="84"/>
      <c r="U807" s="84"/>
      <c r="V807" s="84"/>
    </row>
    <row r="808" spans="5:22" ht="12.75">
      <c r="E808" s="84"/>
      <c r="F808" s="84"/>
      <c r="M808" s="84"/>
      <c r="N808" s="84"/>
      <c r="U808" s="84"/>
      <c r="V808" s="84"/>
    </row>
    <row r="809" spans="5:22" ht="12.75">
      <c r="E809" s="84"/>
      <c r="F809" s="84"/>
      <c r="M809" s="84"/>
      <c r="N809" s="84"/>
      <c r="U809" s="84"/>
      <c r="V809" s="84"/>
    </row>
    <row r="810" spans="5:22" ht="12.75">
      <c r="E810" s="84"/>
      <c r="F810" s="84"/>
      <c r="M810" s="84"/>
      <c r="N810" s="84"/>
      <c r="U810" s="84"/>
      <c r="V810" s="84"/>
    </row>
    <row r="811" spans="5:22" ht="12.75">
      <c r="E811" s="84"/>
      <c r="F811" s="84"/>
      <c r="M811" s="84"/>
      <c r="N811" s="84"/>
      <c r="U811" s="84"/>
      <c r="V811" s="84"/>
    </row>
    <row r="812" spans="5:22" ht="12.75">
      <c r="E812" s="84"/>
      <c r="F812" s="84"/>
      <c r="M812" s="84"/>
      <c r="N812" s="84"/>
      <c r="U812" s="84"/>
      <c r="V812" s="84"/>
    </row>
    <row r="813" spans="5:22" ht="12.75">
      <c r="E813" s="84"/>
      <c r="F813" s="84"/>
      <c r="M813" s="84"/>
      <c r="N813" s="84"/>
      <c r="U813" s="84"/>
      <c r="V813" s="84"/>
    </row>
    <row r="814" spans="5:22" ht="12.75">
      <c r="E814" s="84"/>
      <c r="F814" s="84"/>
      <c r="M814" s="84"/>
      <c r="N814" s="84"/>
      <c r="U814" s="84"/>
      <c r="V814" s="84"/>
    </row>
    <row r="815" spans="5:22" ht="12.75">
      <c r="E815" s="84"/>
      <c r="F815" s="84"/>
      <c r="M815" s="84"/>
      <c r="N815" s="84"/>
      <c r="U815" s="84"/>
      <c r="V815" s="84"/>
    </row>
    <row r="816" spans="5:22" ht="12.75">
      <c r="E816" s="84"/>
      <c r="F816" s="84"/>
      <c r="M816" s="84"/>
      <c r="N816" s="84"/>
      <c r="U816" s="84"/>
      <c r="V816" s="84"/>
    </row>
    <row r="817" spans="5:22" ht="12.75">
      <c r="E817" s="84"/>
      <c r="F817" s="84"/>
      <c r="M817" s="84"/>
      <c r="N817" s="84"/>
      <c r="U817" s="84"/>
      <c r="V817" s="84"/>
    </row>
    <row r="818" spans="5:22" ht="12.75">
      <c r="E818" s="84"/>
      <c r="F818" s="84"/>
      <c r="M818" s="84"/>
      <c r="N818" s="84"/>
      <c r="U818" s="84"/>
      <c r="V818" s="84"/>
    </row>
    <row r="819" spans="5:22" ht="12.75">
      <c r="E819" s="84"/>
      <c r="F819" s="84"/>
      <c r="M819" s="84"/>
      <c r="N819" s="84"/>
      <c r="U819" s="84"/>
      <c r="V819" s="84"/>
    </row>
    <row r="820" spans="5:22" ht="12.75">
      <c r="E820" s="84"/>
      <c r="F820" s="84"/>
      <c r="M820" s="84"/>
      <c r="N820" s="84"/>
      <c r="U820" s="84"/>
      <c r="V820" s="84"/>
    </row>
    <row r="821" spans="5:22" ht="12.75">
      <c r="E821" s="84"/>
      <c r="F821" s="84"/>
      <c r="M821" s="84"/>
      <c r="N821" s="84"/>
      <c r="U821" s="84"/>
      <c r="V821" s="84"/>
    </row>
    <row r="822" spans="5:22" ht="12.75">
      <c r="E822" s="84"/>
      <c r="F822" s="84"/>
      <c r="M822" s="84"/>
      <c r="N822" s="84"/>
      <c r="U822" s="84"/>
      <c r="V822" s="84"/>
    </row>
    <row r="823" spans="5:22" ht="12.75">
      <c r="E823" s="84"/>
      <c r="F823" s="84"/>
      <c r="M823" s="84"/>
      <c r="N823" s="84"/>
      <c r="U823" s="84"/>
      <c r="V823" s="84"/>
    </row>
    <row r="824" spans="5:22" ht="12.75">
      <c r="E824" s="84"/>
      <c r="F824" s="84"/>
      <c r="M824" s="84"/>
      <c r="N824" s="84"/>
      <c r="U824" s="84"/>
      <c r="V824" s="84"/>
    </row>
    <row r="825" spans="5:22" ht="12.75">
      <c r="E825" s="84"/>
      <c r="F825" s="84"/>
      <c r="M825" s="84"/>
      <c r="N825" s="84"/>
      <c r="U825" s="84"/>
      <c r="V825" s="84"/>
    </row>
    <row r="826" spans="5:22" ht="12.75">
      <c r="E826" s="84"/>
      <c r="F826" s="84"/>
      <c r="M826" s="84"/>
      <c r="N826" s="84"/>
      <c r="U826" s="84"/>
      <c r="V826" s="84"/>
    </row>
    <row r="827" spans="5:22" ht="12.75">
      <c r="E827" s="84"/>
      <c r="F827" s="84"/>
      <c r="M827" s="84"/>
      <c r="N827" s="84"/>
      <c r="U827" s="84"/>
      <c r="V827" s="84"/>
    </row>
    <row r="828" spans="5:22" ht="12.75">
      <c r="E828" s="84"/>
      <c r="F828" s="84"/>
      <c r="M828" s="84"/>
      <c r="N828" s="84"/>
      <c r="U828" s="84"/>
      <c r="V828" s="84"/>
    </row>
    <row r="829" spans="5:22" ht="12.75">
      <c r="E829" s="84"/>
      <c r="F829" s="84"/>
      <c r="M829" s="84"/>
      <c r="N829" s="84"/>
      <c r="U829" s="84"/>
      <c r="V829" s="84"/>
    </row>
    <row r="830" spans="5:22" ht="12.75">
      <c r="E830" s="84"/>
      <c r="F830" s="84"/>
      <c r="M830" s="84"/>
      <c r="N830" s="84"/>
      <c r="U830" s="84"/>
      <c r="V830" s="84"/>
    </row>
    <row r="831" spans="5:22" ht="12.75">
      <c r="E831" s="84"/>
      <c r="F831" s="84"/>
      <c r="M831" s="84"/>
      <c r="N831" s="84"/>
      <c r="U831" s="84"/>
      <c r="V831" s="84"/>
    </row>
    <row r="832" spans="5:22" ht="12.75">
      <c r="E832" s="84"/>
      <c r="F832" s="84"/>
      <c r="M832" s="84"/>
      <c r="N832" s="84"/>
      <c r="U832" s="84"/>
      <c r="V832" s="84"/>
    </row>
    <row r="833" spans="5:22" ht="12.75">
      <c r="E833" s="84"/>
      <c r="F833" s="84"/>
      <c r="M833" s="84"/>
      <c r="N833" s="84"/>
      <c r="U833" s="84"/>
      <c r="V833" s="84"/>
    </row>
    <row r="834" spans="5:22" ht="12.75">
      <c r="E834" s="84"/>
      <c r="F834" s="84"/>
      <c r="M834" s="84"/>
      <c r="N834" s="84"/>
      <c r="U834" s="84"/>
      <c r="V834" s="84"/>
    </row>
    <row r="835" spans="5:22" ht="12.75">
      <c r="E835" s="84"/>
      <c r="F835" s="84"/>
      <c r="M835" s="84"/>
      <c r="N835" s="84"/>
      <c r="U835" s="84"/>
      <c r="V835" s="84"/>
    </row>
    <row r="836" spans="5:22" ht="12.75">
      <c r="E836" s="84"/>
      <c r="F836" s="84"/>
      <c r="M836" s="84"/>
      <c r="N836" s="84"/>
      <c r="U836" s="84"/>
      <c r="V836" s="84"/>
    </row>
    <row r="837" spans="5:22" ht="12.75">
      <c r="E837" s="84"/>
      <c r="F837" s="84"/>
      <c r="M837" s="84"/>
      <c r="N837" s="84"/>
      <c r="U837" s="84"/>
      <c r="V837" s="84"/>
    </row>
    <row r="838" spans="5:22" ht="12.75">
      <c r="E838" s="84"/>
      <c r="F838" s="84"/>
      <c r="M838" s="84"/>
      <c r="N838" s="84"/>
      <c r="U838" s="84"/>
      <c r="V838" s="84"/>
    </row>
    <row r="839" spans="5:22" ht="12.75">
      <c r="E839" s="84"/>
      <c r="F839" s="84"/>
      <c r="M839" s="84"/>
      <c r="N839" s="84"/>
      <c r="U839" s="84"/>
      <c r="V839" s="84"/>
    </row>
    <row r="840" spans="5:22" ht="12.75">
      <c r="E840" s="84"/>
      <c r="F840" s="84"/>
      <c r="M840" s="84"/>
      <c r="N840" s="84"/>
      <c r="U840" s="84"/>
      <c r="V840" s="84"/>
    </row>
    <row r="841" spans="5:22" ht="12.75">
      <c r="E841" s="84"/>
      <c r="F841" s="84"/>
      <c r="M841" s="84"/>
      <c r="N841" s="84"/>
      <c r="U841" s="84"/>
      <c r="V841" s="84"/>
    </row>
    <row r="842" spans="5:22" ht="12.75">
      <c r="E842" s="84"/>
      <c r="F842" s="84"/>
      <c r="M842" s="84"/>
      <c r="N842" s="84"/>
      <c r="U842" s="84"/>
      <c r="V842" s="84"/>
    </row>
    <row r="843" spans="5:22" ht="12.75">
      <c r="E843" s="84"/>
      <c r="F843" s="84"/>
      <c r="M843" s="84"/>
      <c r="N843" s="84"/>
      <c r="U843" s="84"/>
      <c r="V843" s="84"/>
    </row>
    <row r="844" spans="5:22" ht="12.75">
      <c r="E844" s="84"/>
      <c r="F844" s="84"/>
      <c r="M844" s="84"/>
      <c r="N844" s="84"/>
      <c r="U844" s="84"/>
      <c r="V844" s="84"/>
    </row>
    <row r="845" spans="5:22" ht="12.75">
      <c r="E845" s="84"/>
      <c r="F845" s="84"/>
      <c r="M845" s="84"/>
      <c r="N845" s="84"/>
      <c r="U845" s="84"/>
      <c r="V845" s="84"/>
    </row>
    <row r="846" spans="5:22" ht="12.75">
      <c r="E846" s="84"/>
      <c r="F846" s="84"/>
      <c r="M846" s="84"/>
      <c r="N846" s="84"/>
      <c r="U846" s="84"/>
      <c r="V846" s="84"/>
    </row>
    <row r="847" spans="5:22" ht="12.75">
      <c r="E847" s="84"/>
      <c r="F847" s="84"/>
      <c r="M847" s="84"/>
      <c r="N847" s="84"/>
      <c r="U847" s="84"/>
      <c r="V847" s="84"/>
    </row>
    <row r="848" spans="5:22" ht="12.75">
      <c r="E848" s="84"/>
      <c r="F848" s="84"/>
      <c r="M848" s="84"/>
      <c r="N848" s="84"/>
      <c r="U848" s="84"/>
      <c r="V848" s="84"/>
    </row>
    <row r="849" spans="5:22" ht="12.75">
      <c r="E849" s="84"/>
      <c r="F849" s="84"/>
      <c r="M849" s="84"/>
      <c r="N849" s="84"/>
      <c r="U849" s="84"/>
      <c r="V849" s="84"/>
    </row>
    <row r="850" spans="5:22" ht="12.75">
      <c r="E850" s="84"/>
      <c r="F850" s="84"/>
      <c r="M850" s="84"/>
      <c r="N850" s="84"/>
      <c r="U850" s="84"/>
      <c r="V850" s="84"/>
    </row>
    <row r="851" spans="5:22" ht="12.75">
      <c r="E851" s="84"/>
      <c r="F851" s="84"/>
      <c r="M851" s="84"/>
      <c r="N851" s="84"/>
      <c r="U851" s="84"/>
      <c r="V851" s="84"/>
    </row>
    <row r="852" spans="5:22" ht="12.75">
      <c r="E852" s="84"/>
      <c r="F852" s="84"/>
      <c r="M852" s="84"/>
      <c r="N852" s="84"/>
      <c r="U852" s="84"/>
      <c r="V852" s="84"/>
    </row>
    <row r="853" spans="5:22" ht="12.75">
      <c r="E853" s="84"/>
      <c r="F853" s="84"/>
      <c r="M853" s="84"/>
      <c r="N853" s="84"/>
      <c r="U853" s="84"/>
      <c r="V853" s="84"/>
    </row>
    <row r="854" spans="5:22" ht="12.75">
      <c r="E854" s="84"/>
      <c r="F854" s="84"/>
      <c r="M854" s="84"/>
      <c r="N854" s="84"/>
      <c r="U854" s="84"/>
      <c r="V854" s="84"/>
    </row>
    <row r="855" spans="5:22" ht="12.75">
      <c r="E855" s="84"/>
      <c r="F855" s="84"/>
      <c r="M855" s="84"/>
      <c r="N855" s="84"/>
      <c r="U855" s="84"/>
      <c r="V855" s="84"/>
    </row>
    <row r="856" spans="5:22" ht="12.75">
      <c r="E856" s="84"/>
      <c r="F856" s="84"/>
      <c r="M856" s="84"/>
      <c r="N856" s="84"/>
      <c r="U856" s="84"/>
      <c r="V856" s="84"/>
    </row>
    <row r="857" spans="5:22" ht="12.75">
      <c r="E857" s="84"/>
      <c r="F857" s="84"/>
      <c r="M857" s="84"/>
      <c r="N857" s="84"/>
      <c r="U857" s="84"/>
      <c r="V857" s="84"/>
    </row>
    <row r="858" spans="5:22" ht="12.75">
      <c r="E858" s="84"/>
      <c r="F858" s="84"/>
      <c r="M858" s="84"/>
      <c r="N858" s="84"/>
      <c r="U858" s="84"/>
      <c r="V858" s="84"/>
    </row>
    <row r="859" spans="5:22" ht="12.75">
      <c r="E859" s="84"/>
      <c r="F859" s="84"/>
      <c r="M859" s="84"/>
      <c r="N859" s="84"/>
      <c r="U859" s="84"/>
      <c r="V859" s="84"/>
    </row>
    <row r="860" spans="5:22" ht="12.75">
      <c r="E860" s="84"/>
      <c r="F860" s="84"/>
      <c r="M860" s="84"/>
      <c r="N860" s="84"/>
      <c r="U860" s="84"/>
      <c r="V860" s="84"/>
    </row>
    <row r="861" spans="5:22" ht="12.75">
      <c r="E861" s="84"/>
      <c r="F861" s="84"/>
      <c r="M861" s="84"/>
      <c r="N861" s="84"/>
      <c r="U861" s="84"/>
      <c r="V861" s="84"/>
    </row>
    <row r="862" spans="5:22" ht="12.75">
      <c r="E862" s="84"/>
      <c r="F862" s="84"/>
      <c r="M862" s="84"/>
      <c r="N862" s="84"/>
      <c r="U862" s="84"/>
      <c r="V862" s="84"/>
    </row>
    <row r="863" spans="5:22" ht="12.75">
      <c r="E863" s="84"/>
      <c r="F863" s="84"/>
      <c r="M863" s="84"/>
      <c r="N863" s="84"/>
      <c r="U863" s="84"/>
      <c r="V863" s="84"/>
    </row>
    <row r="864" spans="5:22" ht="12.75">
      <c r="E864" s="84"/>
      <c r="F864" s="84"/>
      <c r="M864" s="84"/>
      <c r="N864" s="84"/>
      <c r="U864" s="84"/>
      <c r="V864" s="84"/>
    </row>
    <row r="865" spans="5:22" ht="12.75">
      <c r="E865" s="84"/>
      <c r="F865" s="84"/>
      <c r="M865" s="84"/>
      <c r="N865" s="84"/>
      <c r="U865" s="84"/>
      <c r="V865" s="84"/>
    </row>
    <row r="866" spans="5:22" ht="12.75">
      <c r="E866" s="84"/>
      <c r="F866" s="84"/>
      <c r="M866" s="84"/>
      <c r="N866" s="84"/>
      <c r="U866" s="84"/>
      <c r="V866" s="84"/>
    </row>
    <row r="867" spans="5:22" ht="12.75">
      <c r="E867" s="84"/>
      <c r="F867" s="84"/>
      <c r="M867" s="84"/>
      <c r="N867" s="84"/>
      <c r="U867" s="84"/>
      <c r="V867" s="84"/>
    </row>
    <row r="868" spans="5:22" ht="12.75">
      <c r="E868" s="84"/>
      <c r="F868" s="84"/>
      <c r="M868" s="84"/>
      <c r="N868" s="84"/>
      <c r="U868" s="84"/>
      <c r="V868" s="84"/>
    </row>
    <row r="869" spans="5:22" ht="12.75">
      <c r="E869" s="84"/>
      <c r="F869" s="84"/>
      <c r="M869" s="84"/>
      <c r="N869" s="84"/>
      <c r="U869" s="84"/>
      <c r="V869" s="84"/>
    </row>
    <row r="870" spans="5:22" ht="12.75">
      <c r="E870" s="84"/>
      <c r="F870" s="84"/>
      <c r="M870" s="84"/>
      <c r="N870" s="84"/>
      <c r="U870" s="84"/>
      <c r="V870" s="84"/>
    </row>
    <row r="871" spans="5:22" ht="12.75">
      <c r="E871" s="84"/>
      <c r="F871" s="84"/>
      <c r="M871" s="84"/>
      <c r="N871" s="84"/>
      <c r="U871" s="84"/>
      <c r="V871" s="84"/>
    </row>
    <row r="872" spans="5:22" ht="12.75">
      <c r="E872" s="84"/>
      <c r="F872" s="84"/>
      <c r="M872" s="84"/>
      <c r="N872" s="84"/>
      <c r="U872" s="84"/>
      <c r="V872" s="84"/>
    </row>
    <row r="873" spans="5:22" ht="12.75">
      <c r="E873" s="84"/>
      <c r="F873" s="84"/>
      <c r="M873" s="84"/>
      <c r="N873" s="84"/>
      <c r="U873" s="84"/>
      <c r="V873" s="84"/>
    </row>
    <row r="874" spans="5:22" ht="12.75">
      <c r="E874" s="84"/>
      <c r="F874" s="84"/>
      <c r="M874" s="84"/>
      <c r="N874" s="84"/>
      <c r="U874" s="84"/>
      <c r="V874" s="84"/>
    </row>
    <row r="875" spans="5:22" ht="12.75">
      <c r="E875" s="84"/>
      <c r="F875" s="84"/>
      <c r="M875" s="84"/>
      <c r="N875" s="84"/>
      <c r="U875" s="84"/>
      <c r="V875" s="84"/>
    </row>
    <row r="876" spans="5:22" ht="12.75">
      <c r="E876" s="84"/>
      <c r="F876" s="84"/>
      <c r="M876" s="84"/>
      <c r="N876" s="84"/>
      <c r="U876" s="84"/>
      <c r="V876" s="84"/>
    </row>
    <row r="877" spans="5:22" ht="12.75">
      <c r="E877" s="84"/>
      <c r="F877" s="84"/>
      <c r="M877" s="84"/>
      <c r="N877" s="84"/>
      <c r="U877" s="84"/>
      <c r="V877" s="84"/>
    </row>
    <row r="878" spans="5:22" ht="12.75">
      <c r="E878" s="84"/>
      <c r="F878" s="84"/>
      <c r="M878" s="84"/>
      <c r="N878" s="84"/>
      <c r="U878" s="84"/>
      <c r="V878" s="84"/>
    </row>
    <row r="879" spans="5:22" ht="12.75">
      <c r="E879" s="84"/>
      <c r="F879" s="84"/>
      <c r="M879" s="84"/>
      <c r="N879" s="84"/>
      <c r="U879" s="84"/>
      <c r="V879" s="84"/>
    </row>
    <row r="880" spans="5:22" ht="12.75">
      <c r="E880" s="84"/>
      <c r="F880" s="84"/>
      <c r="M880" s="84"/>
      <c r="N880" s="84"/>
      <c r="U880" s="84"/>
      <c r="V880" s="84"/>
    </row>
    <row r="881" spans="5:22" ht="12.75">
      <c r="E881" s="84"/>
      <c r="F881" s="84"/>
      <c r="M881" s="84"/>
      <c r="N881" s="84"/>
      <c r="U881" s="84"/>
      <c r="V881" s="84"/>
    </row>
    <row r="882" spans="5:22" ht="12.75">
      <c r="E882" s="84"/>
      <c r="F882" s="84"/>
      <c r="M882" s="84"/>
      <c r="N882" s="84"/>
      <c r="U882" s="84"/>
      <c r="V882" s="84"/>
    </row>
    <row r="883" spans="5:22" ht="12.75">
      <c r="E883" s="84"/>
      <c r="F883" s="84"/>
      <c r="M883" s="84"/>
      <c r="N883" s="84"/>
      <c r="U883" s="84"/>
      <c r="V883" s="84"/>
    </row>
    <row r="884" spans="5:22" ht="12.75">
      <c r="E884" s="84"/>
      <c r="F884" s="84"/>
      <c r="M884" s="84"/>
      <c r="N884" s="84"/>
      <c r="U884" s="84"/>
      <c r="V884" s="84"/>
    </row>
    <row r="885" spans="5:22" ht="12.75">
      <c r="E885" s="84"/>
      <c r="F885" s="84"/>
      <c r="M885" s="84"/>
      <c r="N885" s="84"/>
      <c r="U885" s="84"/>
      <c r="V885" s="84"/>
    </row>
    <row r="886" spans="5:22" ht="12.75">
      <c r="E886" s="84"/>
      <c r="F886" s="84"/>
      <c r="M886" s="84"/>
      <c r="N886" s="84"/>
      <c r="U886" s="84"/>
      <c r="V886" s="84"/>
    </row>
    <row r="887" spans="5:22" ht="12.75">
      <c r="E887" s="84"/>
      <c r="F887" s="84"/>
      <c r="M887" s="84"/>
      <c r="N887" s="84"/>
      <c r="U887" s="84"/>
      <c r="V887" s="84"/>
    </row>
    <row r="888" spans="5:22" ht="12.75">
      <c r="E888" s="84"/>
      <c r="F888" s="84"/>
      <c r="M888" s="84"/>
      <c r="N888" s="84"/>
      <c r="U888" s="84"/>
      <c r="V888" s="84"/>
    </row>
    <row r="889" spans="5:22" ht="12.75">
      <c r="E889" s="84"/>
      <c r="F889" s="84"/>
      <c r="M889" s="84"/>
      <c r="N889" s="84"/>
      <c r="U889" s="84"/>
      <c r="V889" s="84"/>
    </row>
    <row r="890" spans="5:22" ht="12.75">
      <c r="E890" s="84"/>
      <c r="F890" s="84"/>
      <c r="M890" s="84"/>
      <c r="N890" s="84"/>
      <c r="U890" s="84"/>
      <c r="V890" s="84"/>
    </row>
    <row r="891" spans="5:22" ht="12.75">
      <c r="E891" s="84"/>
      <c r="F891" s="84"/>
      <c r="M891" s="84"/>
      <c r="N891" s="84"/>
      <c r="U891" s="84"/>
      <c r="V891" s="84"/>
    </row>
    <row r="892" spans="5:22" ht="12.75">
      <c r="E892" s="84"/>
      <c r="F892" s="84"/>
      <c r="M892" s="84"/>
      <c r="N892" s="84"/>
      <c r="U892" s="84"/>
      <c r="V892" s="84"/>
    </row>
    <row r="893" spans="5:22" ht="12.75">
      <c r="E893" s="84"/>
      <c r="F893" s="84"/>
      <c r="M893" s="84"/>
      <c r="N893" s="84"/>
      <c r="U893" s="84"/>
      <c r="V893" s="84"/>
    </row>
    <row r="894" spans="5:22" ht="12.75">
      <c r="E894" s="84"/>
      <c r="F894" s="84"/>
      <c r="M894" s="84"/>
      <c r="N894" s="84"/>
      <c r="U894" s="84"/>
      <c r="V894" s="84"/>
    </row>
    <row r="895" spans="5:22" ht="12.75">
      <c r="E895" s="84"/>
      <c r="F895" s="84"/>
      <c r="M895" s="84"/>
      <c r="N895" s="84"/>
      <c r="U895" s="84"/>
      <c r="V895" s="84"/>
    </row>
    <row r="896" spans="5:22" ht="12.75">
      <c r="E896" s="84"/>
      <c r="F896" s="84"/>
      <c r="M896" s="84"/>
      <c r="N896" s="84"/>
      <c r="U896" s="84"/>
      <c r="V896" s="84"/>
    </row>
    <row r="897" spans="5:22" ht="12.75">
      <c r="E897" s="84"/>
      <c r="F897" s="84"/>
      <c r="M897" s="84"/>
      <c r="N897" s="84"/>
      <c r="U897" s="84"/>
      <c r="V897" s="84"/>
    </row>
    <row r="898" spans="5:22" ht="12.75">
      <c r="E898" s="84"/>
      <c r="F898" s="84"/>
      <c r="M898" s="84"/>
      <c r="N898" s="84"/>
      <c r="U898" s="84"/>
      <c r="V898" s="84"/>
    </row>
    <row r="899" spans="5:22" ht="12.75">
      <c r="E899" s="84"/>
      <c r="F899" s="84"/>
      <c r="M899" s="84"/>
      <c r="N899" s="84"/>
      <c r="U899" s="84"/>
      <c r="V899" s="84"/>
    </row>
    <row r="900" spans="5:22" ht="12.75">
      <c r="E900" s="84"/>
      <c r="F900" s="84"/>
      <c r="M900" s="84"/>
      <c r="N900" s="84"/>
      <c r="U900" s="84"/>
      <c r="V900" s="84"/>
    </row>
    <row r="901" spans="5:22" ht="12.75">
      <c r="E901" s="84"/>
      <c r="F901" s="84"/>
      <c r="M901" s="84"/>
      <c r="N901" s="84"/>
      <c r="U901" s="84"/>
      <c r="V901" s="84"/>
    </row>
    <row r="902" spans="5:22" ht="12.75">
      <c r="E902" s="84"/>
      <c r="F902" s="84"/>
      <c r="M902" s="84"/>
      <c r="N902" s="84"/>
      <c r="U902" s="84"/>
      <c r="V902" s="84"/>
    </row>
    <row r="903" spans="5:22" ht="12.75">
      <c r="E903" s="84"/>
      <c r="F903" s="84"/>
      <c r="M903" s="84"/>
      <c r="N903" s="84"/>
      <c r="U903" s="84"/>
      <c r="V903" s="84"/>
    </row>
    <row r="904" spans="5:22" ht="12.75">
      <c r="E904" s="84"/>
      <c r="F904" s="84"/>
      <c r="M904" s="84"/>
      <c r="N904" s="84"/>
      <c r="U904" s="84"/>
      <c r="V904" s="84"/>
    </row>
    <row r="905" spans="5:22" ht="12.75">
      <c r="E905" s="84"/>
      <c r="F905" s="84"/>
      <c r="M905" s="84"/>
      <c r="N905" s="84"/>
      <c r="U905" s="84"/>
      <c r="V905" s="84"/>
    </row>
    <row r="906" spans="5:22" ht="12.75">
      <c r="E906" s="84"/>
      <c r="F906" s="84"/>
      <c r="M906" s="84"/>
      <c r="N906" s="84"/>
      <c r="U906" s="84"/>
      <c r="V906" s="84"/>
    </row>
    <row r="907" spans="5:22" ht="12.75">
      <c r="E907" s="84"/>
      <c r="F907" s="84"/>
      <c r="M907" s="84"/>
      <c r="N907" s="84"/>
      <c r="U907" s="84"/>
      <c r="V907" s="84"/>
    </row>
    <row r="908" spans="5:22" ht="12.75">
      <c r="E908" s="84"/>
      <c r="F908" s="84"/>
      <c r="M908" s="84"/>
      <c r="N908" s="84"/>
      <c r="U908" s="84"/>
      <c r="V908" s="84"/>
    </row>
    <row r="909" spans="5:22" ht="12.75">
      <c r="E909" s="84"/>
      <c r="F909" s="84"/>
      <c r="M909" s="84"/>
      <c r="N909" s="84"/>
      <c r="U909" s="84"/>
      <c r="V909" s="84"/>
    </row>
    <row r="910" spans="5:22" ht="12.75">
      <c r="E910" s="84"/>
      <c r="F910" s="84"/>
      <c r="M910" s="84"/>
      <c r="N910" s="84"/>
      <c r="U910" s="84"/>
      <c r="V910" s="84"/>
    </row>
    <row r="911" spans="5:22" ht="12.75">
      <c r="E911" s="84"/>
      <c r="F911" s="84"/>
      <c r="M911" s="84"/>
      <c r="N911" s="84"/>
      <c r="U911" s="84"/>
      <c r="V911" s="84"/>
    </row>
    <row r="912" spans="5:22" ht="12.75">
      <c r="E912" s="84"/>
      <c r="F912" s="84"/>
      <c r="M912" s="84"/>
      <c r="N912" s="84"/>
      <c r="U912" s="84"/>
      <c r="V912" s="84"/>
    </row>
    <row r="913" spans="5:22" ht="12.75">
      <c r="E913" s="84"/>
      <c r="F913" s="84"/>
      <c r="M913" s="84"/>
      <c r="N913" s="84"/>
      <c r="U913" s="84"/>
      <c r="V913" s="84"/>
    </row>
    <row r="914" spans="5:22" ht="12.75">
      <c r="E914" s="84"/>
      <c r="F914" s="84"/>
      <c r="M914" s="84"/>
      <c r="N914" s="84"/>
      <c r="U914" s="84"/>
      <c r="V914" s="84"/>
    </row>
    <row r="915" spans="5:22" ht="12.75">
      <c r="E915" s="84"/>
      <c r="F915" s="84"/>
      <c r="M915" s="84"/>
      <c r="N915" s="84"/>
      <c r="U915" s="84"/>
      <c r="V915" s="84"/>
    </row>
    <row r="916" spans="5:22" ht="12.75">
      <c r="E916" s="84"/>
      <c r="F916" s="84"/>
      <c r="M916" s="84"/>
      <c r="N916" s="84"/>
      <c r="U916" s="84"/>
      <c r="V916" s="84"/>
    </row>
    <row r="917" spans="5:22" ht="12.75">
      <c r="E917" s="84"/>
      <c r="F917" s="84"/>
      <c r="M917" s="84"/>
      <c r="N917" s="84"/>
      <c r="U917" s="84"/>
      <c r="V917" s="84"/>
    </row>
    <row r="918" spans="5:22" ht="12.75">
      <c r="E918" s="84"/>
      <c r="F918" s="84"/>
      <c r="M918" s="84"/>
      <c r="N918" s="84"/>
      <c r="U918" s="84"/>
      <c r="V918" s="84"/>
    </row>
    <row r="919" spans="5:22" ht="12.75">
      <c r="E919" s="84"/>
      <c r="F919" s="84"/>
      <c r="M919" s="84"/>
      <c r="N919" s="84"/>
      <c r="U919" s="84"/>
      <c r="V919" s="84"/>
    </row>
    <row r="920" spans="5:22" ht="12.75">
      <c r="E920" s="84"/>
      <c r="F920" s="84"/>
      <c r="M920" s="84"/>
      <c r="N920" s="84"/>
      <c r="U920" s="84"/>
      <c r="V920" s="84"/>
    </row>
    <row r="921" spans="5:22" ht="12.75">
      <c r="E921" s="84"/>
      <c r="F921" s="84"/>
      <c r="M921" s="84"/>
      <c r="N921" s="84"/>
      <c r="U921" s="84"/>
      <c r="V921" s="84"/>
    </row>
    <row r="922" spans="5:22" ht="12.75">
      <c r="E922" s="84"/>
      <c r="F922" s="84"/>
      <c r="M922" s="84"/>
      <c r="N922" s="84"/>
      <c r="U922" s="84"/>
      <c r="V922" s="84"/>
    </row>
    <row r="923" spans="5:22" ht="12.75">
      <c r="E923" s="84"/>
      <c r="F923" s="84"/>
      <c r="M923" s="84"/>
      <c r="N923" s="84"/>
      <c r="U923" s="84"/>
      <c r="V923" s="84"/>
    </row>
    <row r="924" spans="5:22" ht="12.75">
      <c r="E924" s="84"/>
      <c r="F924" s="84"/>
      <c r="M924" s="84"/>
      <c r="N924" s="84"/>
      <c r="U924" s="84"/>
      <c r="V924" s="84"/>
    </row>
    <row r="925" spans="5:22" ht="12.75">
      <c r="E925" s="84"/>
      <c r="F925" s="84"/>
      <c r="M925" s="84"/>
      <c r="N925" s="84"/>
      <c r="U925" s="84"/>
      <c r="V925" s="84"/>
    </row>
    <row r="926" spans="5:22" ht="12.75">
      <c r="E926" s="84"/>
      <c r="F926" s="84"/>
      <c r="M926" s="84"/>
      <c r="N926" s="84"/>
      <c r="U926" s="84"/>
      <c r="V926" s="84"/>
    </row>
    <row r="927" spans="5:22" ht="12.75">
      <c r="E927" s="84"/>
      <c r="F927" s="84"/>
      <c r="M927" s="84"/>
      <c r="N927" s="84"/>
      <c r="U927" s="84"/>
      <c r="V927" s="84"/>
    </row>
    <row r="928" spans="5:22" ht="12.75">
      <c r="E928" s="84"/>
      <c r="F928" s="84"/>
      <c r="M928" s="84"/>
      <c r="N928" s="84"/>
      <c r="U928" s="84"/>
      <c r="V928" s="84"/>
    </row>
    <row r="929" spans="5:22" ht="12.75">
      <c r="E929" s="84"/>
      <c r="F929" s="84"/>
      <c r="M929" s="84"/>
      <c r="N929" s="84"/>
      <c r="U929" s="84"/>
      <c r="V929" s="84"/>
    </row>
    <row r="930" spans="5:22" ht="12.75">
      <c r="E930" s="84"/>
      <c r="F930" s="84"/>
      <c r="M930" s="84"/>
      <c r="N930" s="84"/>
      <c r="U930" s="84"/>
      <c r="V930" s="84"/>
    </row>
    <row r="931" spans="5:22" ht="12.75">
      <c r="E931" s="84"/>
      <c r="F931" s="84"/>
      <c r="M931" s="84"/>
      <c r="N931" s="84"/>
      <c r="U931" s="84"/>
      <c r="V931" s="84"/>
    </row>
    <row r="932" spans="5:22" ht="12.75">
      <c r="E932" s="84"/>
      <c r="F932" s="84"/>
      <c r="M932" s="84"/>
      <c r="N932" s="84"/>
      <c r="U932" s="84"/>
      <c r="V932" s="84"/>
    </row>
    <row r="933" spans="5:22" ht="12.75">
      <c r="E933" s="84"/>
      <c r="F933" s="84"/>
      <c r="M933" s="84"/>
      <c r="N933" s="84"/>
      <c r="U933" s="84"/>
      <c r="V933" s="84"/>
    </row>
    <row r="934" spans="5:22" ht="12.75">
      <c r="E934" s="84"/>
      <c r="F934" s="84"/>
      <c r="M934" s="84"/>
      <c r="N934" s="84"/>
      <c r="U934" s="84"/>
      <c r="V934" s="84"/>
    </row>
    <row r="935" spans="5:22" ht="12.75">
      <c r="E935" s="84"/>
      <c r="F935" s="84"/>
      <c r="M935" s="84"/>
      <c r="N935" s="84"/>
      <c r="U935" s="84"/>
      <c r="V935" s="84"/>
    </row>
    <row r="936" spans="5:22" ht="12.75">
      <c r="E936" s="84"/>
      <c r="F936" s="84"/>
      <c r="M936" s="84"/>
      <c r="N936" s="84"/>
      <c r="U936" s="84"/>
      <c r="V936" s="84"/>
    </row>
    <row r="937" spans="5:22" ht="12.75">
      <c r="E937" s="84"/>
      <c r="F937" s="84"/>
      <c r="M937" s="84"/>
      <c r="N937" s="84"/>
      <c r="U937" s="84"/>
      <c r="V937" s="84"/>
    </row>
    <row r="938" spans="5:22" ht="12.75">
      <c r="E938" s="84"/>
      <c r="F938" s="84"/>
      <c r="M938" s="84"/>
      <c r="N938" s="84"/>
      <c r="U938" s="84"/>
      <c r="V938" s="84"/>
    </row>
    <row r="939" spans="5:22" ht="12.75">
      <c r="E939" s="84"/>
      <c r="F939" s="84"/>
      <c r="M939" s="84"/>
      <c r="N939" s="84"/>
      <c r="U939" s="84"/>
      <c r="V939" s="84"/>
    </row>
    <row r="940" spans="5:22" ht="12.75">
      <c r="E940" s="84"/>
      <c r="F940" s="84"/>
      <c r="M940" s="84"/>
      <c r="N940" s="84"/>
      <c r="U940" s="84"/>
      <c r="V940" s="84"/>
    </row>
    <row r="941" spans="5:22" ht="12.75">
      <c r="E941" s="84"/>
      <c r="F941" s="84"/>
      <c r="M941" s="84"/>
      <c r="N941" s="84"/>
      <c r="U941" s="84"/>
      <c r="V941" s="84"/>
    </row>
    <row r="942" spans="5:22" ht="12.75">
      <c r="E942" s="84"/>
      <c r="F942" s="84"/>
      <c r="M942" s="84"/>
      <c r="N942" s="84"/>
      <c r="U942" s="84"/>
      <c r="V942" s="84"/>
    </row>
    <row r="943" spans="5:22" ht="12.75">
      <c r="E943" s="84"/>
      <c r="F943" s="84"/>
      <c r="M943" s="84"/>
      <c r="N943" s="84"/>
      <c r="U943" s="84"/>
      <c r="V943" s="84"/>
    </row>
    <row r="944" spans="5:22" ht="12.75">
      <c r="E944" s="84"/>
      <c r="F944" s="84"/>
      <c r="M944" s="84"/>
      <c r="N944" s="84"/>
      <c r="U944" s="84"/>
      <c r="V944" s="84"/>
    </row>
    <row r="945" spans="5:22" ht="12.75">
      <c r="E945" s="84"/>
      <c r="F945" s="84"/>
      <c r="M945" s="84"/>
      <c r="N945" s="84"/>
      <c r="U945" s="84"/>
      <c r="V945" s="84"/>
    </row>
    <row r="946" spans="5:22" ht="12.75">
      <c r="E946" s="84"/>
      <c r="F946" s="84"/>
      <c r="M946" s="84"/>
      <c r="N946" s="84"/>
      <c r="U946" s="84"/>
      <c r="V946" s="84"/>
    </row>
    <row r="947" spans="5:22" ht="12.75">
      <c r="E947" s="84"/>
      <c r="F947" s="84"/>
      <c r="M947" s="84"/>
      <c r="N947" s="84"/>
      <c r="U947" s="84"/>
      <c r="V947" s="84"/>
    </row>
    <row r="948" spans="5:22" ht="12.75">
      <c r="E948" s="84"/>
      <c r="F948" s="84"/>
      <c r="M948" s="84"/>
      <c r="N948" s="84"/>
      <c r="U948" s="84"/>
      <c r="V948" s="84"/>
    </row>
    <row r="949" spans="5:22" ht="12.75">
      <c r="E949" s="84"/>
      <c r="F949" s="84"/>
      <c r="M949" s="84"/>
      <c r="N949" s="84"/>
      <c r="U949" s="84"/>
      <c r="V949" s="84"/>
    </row>
    <row r="950" spans="5:22" ht="12.75">
      <c r="E950" s="84"/>
      <c r="F950" s="84"/>
      <c r="M950" s="84"/>
      <c r="N950" s="84"/>
      <c r="U950" s="84"/>
      <c r="V950" s="84"/>
    </row>
    <row r="951" spans="5:22" ht="12.75">
      <c r="E951" s="84"/>
      <c r="F951" s="84"/>
      <c r="M951" s="84"/>
      <c r="N951" s="84"/>
      <c r="U951" s="84"/>
      <c r="V951" s="84"/>
    </row>
    <row r="952" spans="5:22" ht="12.75">
      <c r="E952" s="84"/>
      <c r="F952" s="84"/>
      <c r="M952" s="84"/>
      <c r="N952" s="84"/>
      <c r="U952" s="84"/>
      <c r="V952" s="84"/>
    </row>
    <row r="953" spans="5:22" ht="12.75">
      <c r="E953" s="84"/>
      <c r="F953" s="84"/>
      <c r="M953" s="84"/>
      <c r="N953" s="84"/>
      <c r="U953" s="84"/>
      <c r="V953" s="84"/>
    </row>
    <row r="954" spans="5:22" ht="12.75">
      <c r="E954" s="84"/>
      <c r="F954" s="84"/>
      <c r="M954" s="84"/>
      <c r="N954" s="84"/>
      <c r="U954" s="84"/>
      <c r="V954" s="84"/>
    </row>
    <row r="955" spans="5:22" ht="12.75">
      <c r="E955" s="84"/>
      <c r="F955" s="84"/>
      <c r="M955" s="84"/>
      <c r="N955" s="84"/>
      <c r="U955" s="84"/>
      <c r="V955" s="84"/>
    </row>
    <row r="956" spans="5:22" ht="12.75">
      <c r="E956" s="84"/>
      <c r="F956" s="84"/>
      <c r="M956" s="84"/>
      <c r="N956" s="84"/>
      <c r="U956" s="84"/>
      <c r="V956" s="84"/>
    </row>
    <row r="957" spans="5:22" ht="12.75">
      <c r="E957" s="84"/>
      <c r="F957" s="84"/>
      <c r="M957" s="84"/>
      <c r="N957" s="84"/>
      <c r="U957" s="84"/>
      <c r="V957" s="84"/>
    </row>
    <row r="958" spans="5:22" ht="12.75">
      <c r="E958" s="84"/>
      <c r="F958" s="84"/>
      <c r="M958" s="84"/>
      <c r="N958" s="84"/>
      <c r="U958" s="84"/>
      <c r="V958" s="84"/>
    </row>
    <row r="959" spans="5:22" ht="12.75">
      <c r="E959" s="84"/>
      <c r="F959" s="84"/>
      <c r="M959" s="84"/>
      <c r="N959" s="84"/>
      <c r="U959" s="84"/>
      <c r="V959" s="84"/>
    </row>
    <row r="960" spans="5:22" ht="12.75">
      <c r="E960" s="84"/>
      <c r="F960" s="84"/>
      <c r="M960" s="84"/>
      <c r="N960" s="84"/>
      <c r="U960" s="84"/>
      <c r="V960" s="84"/>
    </row>
    <row r="961" spans="5:22" ht="12.75">
      <c r="E961" s="84"/>
      <c r="F961" s="84"/>
      <c r="M961" s="84"/>
      <c r="N961" s="84"/>
      <c r="U961" s="84"/>
      <c r="V961" s="84"/>
    </row>
    <row r="962" spans="5:22" ht="12.75">
      <c r="E962" s="84"/>
      <c r="F962" s="84"/>
      <c r="M962" s="84"/>
      <c r="N962" s="84"/>
      <c r="U962" s="84"/>
      <c r="V962" s="84"/>
    </row>
    <row r="963" spans="5:22" ht="12.75">
      <c r="E963" s="84"/>
      <c r="F963" s="84"/>
      <c r="M963" s="84"/>
      <c r="N963" s="84"/>
      <c r="U963" s="84"/>
      <c r="V963" s="84"/>
    </row>
    <row r="964" spans="5:22" ht="12.75">
      <c r="E964" s="84"/>
      <c r="F964" s="84"/>
      <c r="M964" s="84"/>
      <c r="N964" s="84"/>
      <c r="U964" s="84"/>
      <c r="V964" s="84"/>
    </row>
    <row r="965" spans="5:22" ht="12.75">
      <c r="E965" s="84"/>
      <c r="F965" s="84"/>
      <c r="M965" s="84"/>
      <c r="N965" s="84"/>
      <c r="U965" s="84"/>
      <c r="V965" s="84"/>
    </row>
    <row r="966" spans="5:22" ht="12.75">
      <c r="E966" s="84"/>
      <c r="F966" s="84"/>
      <c r="M966" s="84"/>
      <c r="N966" s="84"/>
      <c r="U966" s="84"/>
      <c r="V966" s="84"/>
    </row>
    <row r="967" spans="5:22" ht="12.75">
      <c r="E967" s="84"/>
      <c r="F967" s="84"/>
      <c r="M967" s="84"/>
      <c r="N967" s="84"/>
      <c r="U967" s="84"/>
      <c r="V967" s="84"/>
    </row>
    <row r="968" spans="5:22" ht="12.75">
      <c r="E968" s="84"/>
      <c r="F968" s="84"/>
      <c r="M968" s="84"/>
      <c r="N968" s="84"/>
      <c r="U968" s="84"/>
      <c r="V968" s="84"/>
    </row>
    <row r="969" spans="5:22" ht="12.75">
      <c r="E969" s="84"/>
      <c r="F969" s="84"/>
      <c r="M969" s="84"/>
      <c r="N969" s="84"/>
      <c r="U969" s="84"/>
      <c r="V969" s="84"/>
    </row>
    <row r="970" spans="5:22" ht="12.75">
      <c r="E970" s="84"/>
      <c r="F970" s="84"/>
      <c r="M970" s="84"/>
      <c r="N970" s="84"/>
      <c r="U970" s="84"/>
      <c r="V970" s="84"/>
    </row>
    <row r="971" spans="5:22" ht="12.75">
      <c r="E971" s="84"/>
      <c r="F971" s="84"/>
      <c r="M971" s="84"/>
      <c r="N971" s="84"/>
      <c r="U971" s="84"/>
      <c r="V971" s="84"/>
    </row>
    <row r="972" spans="5:22" ht="12.75">
      <c r="E972" s="84"/>
      <c r="F972" s="84"/>
      <c r="M972" s="84"/>
      <c r="N972" s="84"/>
      <c r="U972" s="84"/>
      <c r="V972" s="84"/>
    </row>
    <row r="973" spans="5:22" ht="12.75">
      <c r="E973" s="84"/>
      <c r="F973" s="84"/>
      <c r="M973" s="84"/>
      <c r="N973" s="84"/>
      <c r="U973" s="84"/>
      <c r="V973" s="84"/>
    </row>
    <row r="974" spans="5:22" ht="12.75">
      <c r="E974" s="84"/>
      <c r="F974" s="84"/>
      <c r="M974" s="84"/>
      <c r="N974" s="84"/>
      <c r="U974" s="84"/>
      <c r="V974" s="84"/>
    </row>
    <row r="975" spans="5:22" ht="12.75">
      <c r="E975" s="84"/>
      <c r="F975" s="84"/>
      <c r="M975" s="84"/>
      <c r="N975" s="84"/>
      <c r="U975" s="84"/>
      <c r="V975" s="84"/>
    </row>
    <row r="976" spans="5:22" ht="12.75">
      <c r="E976" s="84"/>
      <c r="F976" s="84"/>
      <c r="M976" s="84"/>
      <c r="N976" s="84"/>
      <c r="U976" s="84"/>
      <c r="V976" s="84"/>
    </row>
    <row r="977" spans="5:22" ht="12.75">
      <c r="E977" s="84"/>
      <c r="F977" s="84"/>
      <c r="M977" s="84"/>
      <c r="N977" s="84"/>
      <c r="U977" s="84"/>
      <c r="V977" s="84"/>
    </row>
    <row r="978" spans="5:22" ht="12.75">
      <c r="E978" s="84"/>
      <c r="F978" s="84"/>
      <c r="M978" s="84"/>
      <c r="N978" s="84"/>
      <c r="U978" s="84"/>
      <c r="V978" s="84"/>
    </row>
    <row r="979" spans="5:22" ht="12.75">
      <c r="E979" s="84"/>
      <c r="F979" s="84"/>
      <c r="M979" s="84"/>
      <c r="N979" s="84"/>
      <c r="U979" s="84"/>
      <c r="V979" s="84"/>
    </row>
    <row r="980" spans="5:22" ht="12.75">
      <c r="E980" s="84"/>
      <c r="F980" s="84"/>
      <c r="M980" s="84"/>
      <c r="N980" s="84"/>
      <c r="U980" s="84"/>
      <c r="V980" s="84"/>
    </row>
    <row r="981" spans="5:22" ht="12.75">
      <c r="E981" s="84"/>
      <c r="F981" s="84"/>
      <c r="M981" s="84"/>
      <c r="N981" s="84"/>
      <c r="U981" s="84"/>
      <c r="V981" s="84"/>
    </row>
    <row r="982" spans="5:22" ht="12.75">
      <c r="E982" s="84"/>
      <c r="F982" s="84"/>
      <c r="M982" s="84"/>
      <c r="N982" s="84"/>
      <c r="U982" s="84"/>
      <c r="V982" s="84"/>
    </row>
    <row r="983" spans="5:22" ht="12.75">
      <c r="E983" s="84"/>
      <c r="F983" s="84"/>
      <c r="M983" s="84"/>
      <c r="N983" s="84"/>
      <c r="U983" s="84"/>
      <c r="V983" s="84"/>
    </row>
    <row r="984" spans="5:22" ht="12.75">
      <c r="E984" s="84"/>
      <c r="F984" s="84"/>
      <c r="M984" s="84"/>
      <c r="N984" s="84"/>
      <c r="U984" s="84"/>
      <c r="V984" s="84"/>
    </row>
    <row r="985" spans="5:22" ht="12.75">
      <c r="E985" s="84"/>
      <c r="F985" s="84"/>
      <c r="M985" s="84"/>
      <c r="N985" s="84"/>
      <c r="U985" s="84"/>
      <c r="V985" s="84"/>
    </row>
    <row r="986" spans="5:22" ht="12.75">
      <c r="E986" s="84"/>
      <c r="F986" s="84"/>
      <c r="M986" s="84"/>
      <c r="N986" s="84"/>
      <c r="U986" s="84"/>
      <c r="V986" s="84"/>
    </row>
    <row r="987" spans="5:22" ht="12.75">
      <c r="E987" s="84"/>
      <c r="F987" s="84"/>
      <c r="M987" s="84"/>
      <c r="N987" s="84"/>
      <c r="U987" s="84"/>
      <c r="V987" s="84"/>
    </row>
    <row r="988" spans="5:22" ht="12.75">
      <c r="E988" s="84"/>
      <c r="F988" s="84"/>
      <c r="M988" s="84"/>
      <c r="N988" s="84"/>
      <c r="U988" s="84"/>
      <c r="V988" s="84"/>
    </row>
    <row r="989" spans="5:22" ht="12.75">
      <c r="E989" s="84"/>
      <c r="F989" s="84"/>
      <c r="M989" s="84"/>
      <c r="N989" s="84"/>
      <c r="U989" s="84"/>
      <c r="V989" s="84"/>
    </row>
    <row r="990" spans="5:22" ht="12.75">
      <c r="E990" s="84"/>
      <c r="F990" s="84"/>
      <c r="M990" s="84"/>
      <c r="N990" s="84"/>
      <c r="U990" s="84"/>
      <c r="V990" s="84"/>
    </row>
    <row r="991" spans="5:22" ht="12.75">
      <c r="E991" s="84"/>
      <c r="F991" s="84"/>
      <c r="M991" s="84"/>
      <c r="N991" s="84"/>
      <c r="U991" s="84"/>
      <c r="V991" s="84"/>
    </row>
    <row r="992" spans="5:22" ht="12.75">
      <c r="E992" s="84"/>
      <c r="F992" s="84"/>
      <c r="M992" s="84"/>
      <c r="N992" s="84"/>
      <c r="U992" s="84"/>
      <c r="V992" s="84"/>
    </row>
    <row r="993" spans="5:22" ht="12.75">
      <c r="E993" s="84"/>
      <c r="F993" s="84"/>
      <c r="M993" s="84"/>
      <c r="N993" s="84"/>
      <c r="U993" s="84"/>
      <c r="V993" s="84"/>
    </row>
    <row r="994" spans="5:22" ht="12.75">
      <c r="E994" s="84"/>
      <c r="F994" s="84"/>
      <c r="M994" s="84"/>
      <c r="N994" s="84"/>
      <c r="U994" s="84"/>
      <c r="V994" s="84"/>
    </row>
    <row r="995" spans="5:22" ht="12.75">
      <c r="E995" s="84"/>
      <c r="F995" s="84"/>
      <c r="U995" s="84"/>
      <c r="V995" s="84"/>
    </row>
    <row r="996" spans="5:22" ht="12.75">
      <c r="E996" s="84"/>
      <c r="F996" s="84"/>
      <c r="U996" s="84"/>
      <c r="V996" s="84"/>
    </row>
    <row r="997" spans="5:22" ht="12.75">
      <c r="E997" s="84"/>
      <c r="F997" s="84"/>
    </row>
    <row r="998" spans="5:22" ht="12.75">
      <c r="E998" s="84"/>
      <c r="F998" s="84"/>
    </row>
    <row r="999" spans="5:22" ht="12.75">
      <c r="E999" s="84"/>
      <c r="F999" s="84"/>
    </row>
    <row r="1000" spans="5:22" ht="12.75">
      <c r="E1000" s="84"/>
      <c r="F1000" s="84"/>
    </row>
    <row r="1001" spans="5:22" ht="12.75">
      <c r="E1001" s="84"/>
      <c r="F1001" s="84"/>
    </row>
    <row r="1002" spans="5:22" ht="12.75">
      <c r="E1002" s="84"/>
      <c r="F1002" s="84"/>
    </row>
    <row r="1003" spans="5:22" ht="12.75">
      <c r="E1003" s="84"/>
      <c r="F1003" s="84"/>
    </row>
    <row r="1004" spans="5:22" ht="12.75">
      <c r="E1004" s="84"/>
      <c r="F1004" s="84"/>
    </row>
    <row r="1005" spans="5:22" ht="12.75">
      <c r="E1005" s="84"/>
      <c r="F1005" s="84"/>
    </row>
    <row r="1006" spans="5:22" ht="12.75">
      <c r="E1006" s="84"/>
      <c r="F1006" s="84"/>
    </row>
    <row r="1007" spans="5:22" ht="12.75">
      <c r="E1007" s="84"/>
      <c r="F1007" s="84"/>
    </row>
    <row r="1008" spans="5:22" ht="12.75">
      <c r="E1008" s="84"/>
      <c r="F1008" s="84"/>
    </row>
    <row r="1009" spans="5:6" ht="12.75">
      <c r="E1009" s="84"/>
      <c r="F1009" s="84"/>
    </row>
    <row r="1010" spans="5:6" ht="12.75">
      <c r="E1010" s="84"/>
      <c r="F1010" s="84"/>
    </row>
    <row r="1011" spans="5:6" ht="12.75">
      <c r="E1011" s="84"/>
      <c r="F1011" s="84"/>
    </row>
    <row r="1012" spans="5:6" ht="12.75">
      <c r="E1012" s="84"/>
      <c r="F1012" s="84"/>
    </row>
  </sheetData>
  <mergeCells count="4">
    <mergeCell ref="A1:D1"/>
    <mergeCell ref="J1:M1"/>
    <mergeCell ref="R1:U1"/>
    <mergeCell ref="J21:K2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21"/>
  <sheetViews>
    <sheetView workbookViewId="0"/>
  </sheetViews>
  <sheetFormatPr defaultColWidth="12.5703125" defaultRowHeight="15.75" customHeight="1"/>
  <cols>
    <col min="1" max="1" width="19.7109375" customWidth="1"/>
    <col min="3" max="3" width="21.140625" customWidth="1"/>
  </cols>
  <sheetData>
    <row r="1" spans="1:3">
      <c r="A1" s="97" t="s">
        <v>38</v>
      </c>
      <c r="C1" s="97" t="s">
        <v>47</v>
      </c>
    </row>
    <row r="2" spans="1:3">
      <c r="A2" s="97" t="s">
        <v>15</v>
      </c>
      <c r="C2" s="97" t="s">
        <v>376</v>
      </c>
    </row>
    <row r="3" spans="1:3">
      <c r="A3" s="97" t="s">
        <v>377</v>
      </c>
      <c r="C3" s="97" t="s">
        <v>378</v>
      </c>
    </row>
    <row r="4" spans="1:3">
      <c r="A4" s="97" t="s">
        <v>379</v>
      </c>
      <c r="C4" s="97" t="s">
        <v>380</v>
      </c>
    </row>
    <row r="5" spans="1:3">
      <c r="C5" s="97" t="s">
        <v>54</v>
      </c>
    </row>
    <row r="6" spans="1:3">
      <c r="C6" s="97" t="s">
        <v>58</v>
      </c>
    </row>
    <row r="18" spans="1:2">
      <c r="A18" s="97" t="s">
        <v>381</v>
      </c>
      <c r="B18" s="97">
        <v>7.86</v>
      </c>
    </row>
    <row r="19" spans="1:2">
      <c r="A19" s="97" t="s">
        <v>382</v>
      </c>
      <c r="B19" s="97">
        <v>2.7</v>
      </c>
    </row>
    <row r="20" spans="1:2">
      <c r="A20" s="97" t="s">
        <v>383</v>
      </c>
      <c r="B20" s="97">
        <v>8.73</v>
      </c>
    </row>
    <row r="21" spans="1:2">
      <c r="A21" s="97" t="s">
        <v>384</v>
      </c>
      <c r="B21" s="97">
        <v>8.9600000000000009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Orçamentos</vt:lpstr>
      <vt:lpstr>Pedidos</vt:lpstr>
      <vt:lpstr>Produtos</vt:lpstr>
      <vt:lpstr>Registro de Manutenções</vt:lpstr>
      <vt:lpstr>Controle de Materiais</vt:lpstr>
      <vt:lpstr>Cadastro de Clientes</vt:lpstr>
      <vt:lpstr>Controle de Veículos</vt:lpstr>
      <vt:lpstr>Logs</vt:lpstr>
      <vt:lpstr>Avaliações</vt:lpstr>
      <vt:lpstr>Tabelas para cálculos</vt:lpstr>
      <vt:lpstr>Configurações Máquina de corte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Admin</cp:lastModifiedBy>
  <dcterms:modified xsi:type="dcterms:W3CDTF">2025-11-05T17:53:39Z</dcterms:modified>
</cp:coreProperties>
</file>